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atalog" sheetId="2" state="visible" r:id="rId4"/>
    <sheet name="Part types" sheetId="3" state="visible" r:id="rId5"/>
    <sheet name="Categories" sheetId="4" state="visible" r:id="rId6"/>
    <sheet name="Positions" sheetId="5" state="visible" r:id="rId7"/>
    <sheet name="Placements" sheetId="6" state="visible" r:id="rId8"/>
    <sheet name="Size scale" sheetId="7" state="visible" r:id="rId9"/>
    <sheet name="Checks" sheetId="8" state="visible" r:id="rId10"/>
  </sheets>
  <definedNames>
    <definedName function="false" hidden="true" localSheetId="1" name="_xlnm._FilterDatabase" vbProcedure="false">Catalog!$A$1:$AK$1112</definedName>
    <definedName function="false" hidden="true" localSheetId="2" name="_xlnm._FilterDatabase" vbProcedure="false">'Part types'!$A$1:$Y$737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ADDED. The original sheet had the weight only in the Arabic and Chinese blocks. This is the one weight value: the Arabic and Chinese weight columns follow it. It (and the length, width and height) is looked up from 'Part types': change a size THERE, once.</t>
        </r>
      </text>
    </comment>
  </commentList>
</comments>
</file>

<file path=xl/sharedStrings.xml><?xml version="1.0" encoding="utf-8"?>
<sst xmlns="http://schemas.openxmlformats.org/spreadsheetml/2006/main" count="28231" uniqueCount="5059">
  <si>
    <t xml:space="preserve">Leap Auto Parts: master parts catalog (version 2: one-word categories)</t>
  </si>
  <si>
    <t xml:space="preserve">What this is</t>
  </si>
  <si>
    <t xml:space="preserve">A complete list of the parts of a car in the column order of your Categories sheet (English block, Arabic block, Chinese block) with the English WEIGHT column added. It covers combustion, hybrid, range-extender and electric cars. Counts are on 'Categories' and 'Checks'.</t>
  </si>
  <si>
    <t xml:space="preserve">The naming rules (checked automatically on the 'Checks' sheet)</t>
  </si>
  <si>
    <t xml:space="preserve">Main category: ONE word. Sub-category: 1 to 3 words. Part name: 1 to 5 words, always starting with its sub-category: the sub-category plus a position (Brake Pad Set - Front) or, for fluids and chemicals, plus a pack size (Engine Oil 4 L).</t>
  </si>
  <si>
    <t xml:space="preserve">Bracket text is never part of a name: an alias such as (DPF) or (Sway Bar) is in the Search Keywords columns (English, Arabic, Chinese), together with the longer original name where a name was shortened.</t>
  </si>
  <si>
    <t xml:space="preserve">The sheets</t>
  </si>
  <si>
    <t xml:space="preserve">Catalog: one row per part name (the format you asked for). Length, width, height, weight, applies-to, shipping notes and keywords are looked up from 'Part types'; the Arabic and Chinese measurement columns copy the English ones.</t>
  </si>
  <si>
    <t xml:space="preserve">Part types: the MASTER list, one row per part (a pack size is a separate row, with its own size). The sheet to edit, and the one a category import for the marketplace would read.</t>
  </si>
  <si>
    <t xml:space="preserve">Categories, Positions, Placements, Size scale: the lists the catalog uses, with live counts. Checks: automatic tests (all should say PASS).</t>
  </si>
  <si>
    <t xml:space="preserve">Where to edit (legend)</t>
  </si>
  <si>
    <t xml:space="preserve">Change a size or weight: 'Part types', columns Length, Width, Height, Weight. Change it ONCE; the Catalog follows. Then change 'Size Basis' to "Measured".</t>
  </si>
  <si>
    <t xml:space="preserve">Fix a name or translation: change it in 'Part types' AND in the Catalog cells for that part (filter the Catalog by 'Sub Category Code').</t>
  </si>
  <si>
    <t xml:space="preserve">Add a part: add a row to 'Part types' with a new Part Code (never reuse a code), then one Catalog row per allowed position with the same code in 'Sub Category Code'. Example: row 2 of the Catalog.</t>
  </si>
  <si>
    <t xml:space="preserve">What changed compared with version 1</t>
  </si>
  <si>
    <t xml:space="preserve">Main categories are one word each (compound categories were split: Glass and Mirrors, Intake and Turbo, and so on); categories over about 35 parts were split. Long sub-category names were shortened; pack sizes became part names; part codes were renumbered inside the new categories.</t>
  </si>
  <si>
    <t xml:space="preserve">Everything else is as before: nine accepted positions, one controlled placement list, estimates for sizes (see 'Size scale'), the five extra columns at the right.</t>
  </si>
  <si>
    <t xml:space="preserve">Please read: estimates and translations</t>
  </si>
  <si>
    <t xml:space="preserve">Every size and weight is an ESTIMATE (assumptions on the 'Size scale' sheet). The Arabic and Chinese texts were written for this catalog and should be reviewed by a native Arabic speaker and by your Chinese suppliers before going live.</t>
  </si>
  <si>
    <t xml:space="preserve">How to keep this table perfect</t>
  </si>
  <si>
    <t xml:space="preserve">1. One master list of parts, positions chosen separately; never write front / rear / left / right inside a name.</t>
  </si>
  <si>
    <t xml:space="preserve">2. Only controlled lists for position, placement and 'Applies To'.</t>
  </si>
  <si>
    <t xml:space="preserve">3. Permanent codes: never reuse or renumber a released code; retire a part by marking it.</t>
  </si>
  <si>
    <t xml:space="preserve">4. Sizes are PACKED shipping sizes with an estimate / measured flag; a supplier's own measured values override the default on each product.</t>
  </si>
  <si>
    <t xml:space="preserve">5. Extend the Search Keywords with synonyms (rotor / disc, fender / wing, stabilizer / sway bar) in all three languages; today they hold the bracket aliases and the longer original names.</t>
  </si>
  <si>
    <t xml:space="preserve">6. Next columns worth adding: OEM / cross-reference numbers, quantity per vehicle, how it is sold (each / pair / set), customs (HS) code, 'needs vehicle fitment' flag.</t>
  </si>
  <si>
    <t xml:space="preserve">7. Review Arabic and Chinese with a shared glossary; lock released versions with a change log; run 'Checks' after every change.</t>
  </si>
  <si>
    <t xml:space="preserve">8. Not covered yet: motorcycles, trucks and buses, agricultural vehicles, brand-specific parts.</t>
  </si>
  <si>
    <t xml:space="preserve">SKU / الرمز / SKU</t>
  </si>
  <si>
    <t xml:space="preserve">Main Category</t>
  </si>
  <si>
    <t xml:space="preserve">Sub Category</t>
  </si>
  <si>
    <t xml:space="preserve">Part Name</t>
  </si>
  <si>
    <t xml:space="preserve">Position</t>
  </si>
  <si>
    <t xml:space="preserve">Placement</t>
  </si>
  <si>
    <t xml:space="preserve">Length (cm)</t>
  </si>
  <si>
    <t xml:space="preserve">Width (cm)</t>
  </si>
  <si>
    <t xml:space="preserve">Height (cm)</t>
  </si>
  <si>
    <t xml:space="preserve">Weight (kg)</t>
  </si>
  <si>
    <t xml:space="preserve">التصنيف الرئيسي</t>
  </si>
  <si>
    <t xml:space="preserve">التصنيف الفرعي</t>
  </si>
  <si>
    <t xml:space="preserve">اسم القطعة</t>
  </si>
  <si>
    <t xml:space="preserve">الجهة</t>
  </si>
  <si>
    <t xml:space="preserve">مكان التركيب</t>
  </si>
  <si>
    <t xml:space="preserve">الطول (سم)</t>
  </si>
  <si>
    <t xml:space="preserve">العرض (سم)</t>
  </si>
  <si>
    <t xml:space="preserve">الارتفاع (سم)</t>
  </si>
  <si>
    <t xml:space="preserve">الوزن (كجم)</t>
  </si>
  <si>
    <t xml:space="preserve">主类别</t>
  </si>
  <si>
    <t xml:space="preserve">子类别</t>
  </si>
  <si>
    <t xml:space="preserve">零件名称</t>
  </si>
  <si>
    <t xml:space="preserve">位置</t>
  </si>
  <si>
    <t xml:space="preserve">安装位置</t>
  </si>
  <si>
    <r>
      <rPr>
        <b val="true"/>
        <sz val="10"/>
        <color rgb="FFFFFFFF"/>
        <rFont val="Noto Sans CJK SC"/>
        <family val="2"/>
      </rPr>
      <t xml:space="preserve">长度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厘米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</si>
  <si>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宽度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厘米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</si>
  <si>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高度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厘米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</si>
  <si>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重量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公斤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</si>
  <si>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Main Category Code</t>
  </si>
  <si>
    <t xml:space="preserve">Sub Category Code</t>
  </si>
  <si>
    <t xml:space="preserve">Applies To</t>
  </si>
  <si>
    <t xml:space="preserve">Special Shipping</t>
  </si>
  <si>
    <t xml:space="preserve">Size Basis</t>
  </si>
  <si>
    <t xml:space="preserve">Search Keywords (English)</t>
  </si>
  <si>
    <t xml:space="preserve">Search Keywords (Arabic)</t>
  </si>
  <si>
    <t xml:space="preserve">Search Keywords (Chinese)</t>
  </si>
  <si>
    <t xml:space="preserve">Master Row (helper)</t>
  </si>
  <si>
    <t xml:space="preserve">SKU1000</t>
  </si>
  <si>
    <t xml:space="preserve">Engine</t>
  </si>
  <si>
    <t xml:space="preserve">Engine Assembly</t>
  </si>
  <si>
    <t xml:space="preserve">Universal</t>
  </si>
  <si>
    <t xml:space="preserve">Engine Bay</t>
  </si>
  <si>
    <t xml:space="preserve">المحرك</t>
  </si>
  <si>
    <t xml:space="preserve">محرك كامل</t>
  </si>
  <si>
    <t xml:space="preserve">عام</t>
  </si>
  <si>
    <t xml:space="preserve">حجرة المحرك</t>
  </si>
  <si>
    <t xml:space="preserve">发动机</t>
  </si>
  <si>
    <t xml:space="preserve">发动机总成</t>
  </si>
  <si>
    <t xml:space="preserve">通用</t>
  </si>
  <si>
    <t xml:space="preserve">发动机舱</t>
  </si>
  <si>
    <t xml:space="preserve">ENG</t>
  </si>
  <si>
    <t xml:space="preserve">ENG-001</t>
  </si>
  <si>
    <t xml:space="preserve">SKU1001</t>
  </si>
  <si>
    <t xml:space="preserve">Short Block</t>
  </si>
  <si>
    <t xml:space="preserve">هيكل المحرك</t>
  </si>
  <si>
    <t xml:space="preserve">发动机短缸体总成</t>
  </si>
  <si>
    <t xml:space="preserve">ENG-002</t>
  </si>
  <si>
    <t xml:space="preserve">SKU1002</t>
  </si>
  <si>
    <t xml:space="preserve">Cylinder Block</t>
  </si>
  <si>
    <t xml:space="preserve">Engine Block</t>
  </si>
  <si>
    <t xml:space="preserve">كتلة الأسطوانات</t>
  </si>
  <si>
    <t xml:space="preserve">كتلة المحرك</t>
  </si>
  <si>
    <t xml:space="preserve">气缸体</t>
  </si>
  <si>
    <t xml:space="preserve">缸体</t>
  </si>
  <si>
    <t xml:space="preserve">ENG-003</t>
  </si>
  <si>
    <t xml:space="preserve">SKU1003</t>
  </si>
  <si>
    <t xml:space="preserve">Cylinder Head</t>
  </si>
  <si>
    <t xml:space="preserve">رأس الأسطوانات</t>
  </si>
  <si>
    <t xml:space="preserve">气缸盖</t>
  </si>
  <si>
    <t xml:space="preserve">ENG-004</t>
  </si>
  <si>
    <t xml:space="preserve">SKU1004</t>
  </si>
  <si>
    <t xml:space="preserve">Cylinder Head Gasket</t>
  </si>
  <si>
    <t xml:space="preserve">جوان رأس الأسطوانات</t>
  </si>
  <si>
    <t xml:space="preserve">气缸垫</t>
  </si>
  <si>
    <t xml:space="preserve">ENG-005</t>
  </si>
  <si>
    <t xml:space="preserve">SKU1005</t>
  </si>
  <si>
    <t xml:space="preserve">Head Bolt Set</t>
  </si>
  <si>
    <t xml:space="preserve">طقم براغي رأس الأسطوانات</t>
  </si>
  <si>
    <t xml:space="preserve">缸盖螺栓套装</t>
  </si>
  <si>
    <t xml:space="preserve">ENG-006</t>
  </si>
  <si>
    <t xml:space="preserve">SKU1006</t>
  </si>
  <si>
    <t xml:space="preserve">Valve Cover</t>
  </si>
  <si>
    <t xml:space="preserve">Engine Top</t>
  </si>
  <si>
    <t xml:space="preserve">غطاء الصمامات</t>
  </si>
  <si>
    <t xml:space="preserve">أعلى المحرك</t>
  </si>
  <si>
    <t xml:space="preserve">气门室盖</t>
  </si>
  <si>
    <t xml:space="preserve">发动机顶部</t>
  </si>
  <si>
    <t xml:space="preserve">ENG-007</t>
  </si>
  <si>
    <t xml:space="preserve">SKU1007</t>
  </si>
  <si>
    <t xml:space="preserve">Valve Cover Gasket</t>
  </si>
  <si>
    <t xml:space="preserve">جوان غطاء الصمامات</t>
  </si>
  <si>
    <t xml:space="preserve">气门室盖垫</t>
  </si>
  <si>
    <t xml:space="preserve">ENG-008</t>
  </si>
  <si>
    <t xml:space="preserve">SKU1008</t>
  </si>
  <si>
    <t xml:space="preserve">Piston</t>
  </si>
  <si>
    <t xml:space="preserve">Engine Internal</t>
  </si>
  <si>
    <t xml:space="preserve">مكبس</t>
  </si>
  <si>
    <t xml:space="preserve">داخل المحرك</t>
  </si>
  <si>
    <t xml:space="preserve">活塞</t>
  </si>
  <si>
    <t xml:space="preserve">发动机内部</t>
  </si>
  <si>
    <t xml:space="preserve">ENG-009</t>
  </si>
  <si>
    <t xml:space="preserve">SKU1009</t>
  </si>
  <si>
    <t xml:space="preserve">Piston Ring Set</t>
  </si>
  <si>
    <t xml:space="preserve">طقم شنابر المكبس</t>
  </si>
  <si>
    <t xml:space="preserve">活塞环套装</t>
  </si>
  <si>
    <t xml:space="preserve">ENG-010</t>
  </si>
  <si>
    <t xml:space="preserve">SKU1010</t>
  </si>
  <si>
    <t xml:space="preserve">Piston Pin</t>
  </si>
  <si>
    <t xml:space="preserve">مسمار المكبس</t>
  </si>
  <si>
    <t xml:space="preserve">活塞销</t>
  </si>
  <si>
    <t xml:space="preserve">ENG-011</t>
  </si>
  <si>
    <t xml:space="preserve">SKU1011</t>
  </si>
  <si>
    <t xml:space="preserve">Connecting Rod</t>
  </si>
  <si>
    <t xml:space="preserve">ذراع التوصيل</t>
  </si>
  <si>
    <t xml:space="preserve">连杆</t>
  </si>
  <si>
    <t xml:space="preserve">ENG-012</t>
  </si>
  <si>
    <t xml:space="preserve">SKU1012</t>
  </si>
  <si>
    <t xml:space="preserve">Rod Bearing Set</t>
  </si>
  <si>
    <t xml:space="preserve">طقم كراسي ذراع التوصيل</t>
  </si>
  <si>
    <t xml:space="preserve">连杆轴瓦套装</t>
  </si>
  <si>
    <t xml:space="preserve">ENG-013</t>
  </si>
  <si>
    <t xml:space="preserve">SKU1013</t>
  </si>
  <si>
    <t xml:space="preserve">Crankshaft</t>
  </si>
  <si>
    <t xml:space="preserve">عمود المرفق</t>
  </si>
  <si>
    <t xml:space="preserve">曲轴</t>
  </si>
  <si>
    <t xml:space="preserve">ENG-014</t>
  </si>
  <si>
    <t xml:space="preserve">SKU1014</t>
  </si>
  <si>
    <t xml:space="preserve">Main Bearing Set</t>
  </si>
  <si>
    <t xml:space="preserve">طقم كراسي عمود المرفق الرئيسية</t>
  </si>
  <si>
    <t xml:space="preserve">曲轴主轴瓦套装</t>
  </si>
  <si>
    <t xml:space="preserve">ENG-015</t>
  </si>
  <si>
    <t xml:space="preserve">SKU1015</t>
  </si>
  <si>
    <t xml:space="preserve">Crankshaft Oil Seal</t>
  </si>
  <si>
    <t xml:space="preserve">Front</t>
  </si>
  <si>
    <t xml:space="preserve">سيل زيت عمود المرفق</t>
  </si>
  <si>
    <t xml:space="preserve">أمامي</t>
  </si>
  <si>
    <t xml:space="preserve">曲轴油封</t>
  </si>
  <si>
    <t xml:space="preserve">前部</t>
  </si>
  <si>
    <t xml:space="preserve">ENG-016</t>
  </si>
  <si>
    <t xml:space="preserve">SKU1016</t>
  </si>
  <si>
    <t xml:space="preserve">Rear</t>
  </si>
  <si>
    <t xml:space="preserve">خلفي</t>
  </si>
  <si>
    <t xml:space="preserve">后部</t>
  </si>
  <si>
    <t xml:space="preserve">SKU1017</t>
  </si>
  <si>
    <t xml:space="preserve">Camshaft</t>
  </si>
  <si>
    <t xml:space="preserve">عمود الكامات</t>
  </si>
  <si>
    <t xml:space="preserve">凸轮轴</t>
  </si>
  <si>
    <t xml:space="preserve">ENG-017</t>
  </si>
  <si>
    <t xml:space="preserve">SKU1018</t>
  </si>
  <si>
    <t xml:space="preserve">Camshaft Bearing Set</t>
  </si>
  <si>
    <t xml:space="preserve">طقم كراسي عمود الكامات</t>
  </si>
  <si>
    <t xml:space="preserve">凸轮轴轴瓦套装</t>
  </si>
  <si>
    <t xml:space="preserve">ENG-018</t>
  </si>
  <si>
    <t xml:space="preserve">SKU1019</t>
  </si>
  <si>
    <t xml:space="preserve">Rocker Arm</t>
  </si>
  <si>
    <t xml:space="preserve">ذراع الروكر</t>
  </si>
  <si>
    <t xml:space="preserve">摇臂</t>
  </si>
  <si>
    <t xml:space="preserve">ENG-019</t>
  </si>
  <si>
    <t xml:space="preserve">SKU1020</t>
  </si>
  <si>
    <t xml:space="preserve">Hydraulic Valve Lifter</t>
  </si>
  <si>
    <t xml:space="preserve">رافع صمام هيدروليكي</t>
  </si>
  <si>
    <t xml:space="preserve">液压挺柱</t>
  </si>
  <si>
    <t xml:space="preserve">ENG-020</t>
  </si>
  <si>
    <t xml:space="preserve">SKU1021</t>
  </si>
  <si>
    <t xml:space="preserve">Intake Valve</t>
  </si>
  <si>
    <t xml:space="preserve">صمام السحب</t>
  </si>
  <si>
    <t xml:space="preserve">进气门</t>
  </si>
  <si>
    <t xml:space="preserve">ENG-021</t>
  </si>
  <si>
    <t xml:space="preserve">SKU1022</t>
  </si>
  <si>
    <t xml:space="preserve">Exhaust Valve</t>
  </si>
  <si>
    <t xml:space="preserve">صمام العادم</t>
  </si>
  <si>
    <t xml:space="preserve">排气门</t>
  </si>
  <si>
    <t xml:space="preserve">ENG-022</t>
  </si>
  <si>
    <t xml:space="preserve">SKU1023</t>
  </si>
  <si>
    <t xml:space="preserve">Valve Spring</t>
  </si>
  <si>
    <t xml:space="preserve">زنبرك الصمام</t>
  </si>
  <si>
    <t xml:space="preserve">气门弹簧</t>
  </si>
  <si>
    <t xml:space="preserve">ENG-023</t>
  </si>
  <si>
    <t xml:space="preserve">SKU1024</t>
  </si>
  <si>
    <t xml:space="preserve">Valve Seal Set</t>
  </si>
  <si>
    <t xml:space="preserve">طقم سيل ساق الصمام</t>
  </si>
  <si>
    <t xml:space="preserve">气门油封套装</t>
  </si>
  <si>
    <t xml:space="preserve">ENG-024</t>
  </si>
  <si>
    <t xml:space="preserve">SKU1025</t>
  </si>
  <si>
    <t xml:space="preserve">Valve Guide</t>
  </si>
  <si>
    <t xml:space="preserve">دليل الصمام</t>
  </si>
  <si>
    <t xml:space="preserve">气门导管</t>
  </si>
  <si>
    <t xml:space="preserve">ENG-025</t>
  </si>
  <si>
    <t xml:space="preserve">SKU1026</t>
  </si>
  <si>
    <t xml:space="preserve">Engine Mount</t>
  </si>
  <si>
    <t xml:space="preserve">Left</t>
  </si>
  <si>
    <t xml:space="preserve">قاعدة المحرك</t>
  </si>
  <si>
    <t xml:space="preserve">يسار</t>
  </si>
  <si>
    <t xml:space="preserve">发动机脚垫</t>
  </si>
  <si>
    <t xml:space="preserve">左侧</t>
  </si>
  <si>
    <t xml:space="preserve">ENG-026</t>
  </si>
  <si>
    <t xml:space="preserve">SKU1027</t>
  </si>
  <si>
    <t xml:space="preserve">Right</t>
  </si>
  <si>
    <t xml:space="preserve">يمين</t>
  </si>
  <si>
    <t xml:space="preserve">右侧</t>
  </si>
  <si>
    <t xml:space="preserve">SKU1028</t>
  </si>
  <si>
    <t xml:space="preserve">SKU1029</t>
  </si>
  <si>
    <t xml:space="preserve">SKU1030</t>
  </si>
  <si>
    <t xml:space="preserve">Engine Cover</t>
  </si>
  <si>
    <t xml:space="preserve">غطاء المحرك التجميلي</t>
  </si>
  <si>
    <t xml:space="preserve">发动机装饰罩</t>
  </si>
  <si>
    <t xml:space="preserve">ENG-027</t>
  </si>
  <si>
    <t xml:space="preserve">SKU1031</t>
  </si>
  <si>
    <t xml:space="preserve">Engine Under Shield</t>
  </si>
  <si>
    <t xml:space="preserve">Underbody</t>
  </si>
  <si>
    <t xml:space="preserve">درع حماية أسفل المحرك</t>
  </si>
  <si>
    <t xml:space="preserve">أسفل الهيكل</t>
  </si>
  <si>
    <t xml:space="preserve">发动机下护板</t>
  </si>
  <si>
    <t xml:space="preserve">底盘下部</t>
  </si>
  <si>
    <t xml:space="preserve">ENG-028</t>
  </si>
  <si>
    <t xml:space="preserve">SKU1032</t>
  </si>
  <si>
    <t xml:space="preserve">Balance Shaft</t>
  </si>
  <si>
    <t xml:space="preserve">عمود الاتزان</t>
  </si>
  <si>
    <t xml:space="preserve">平衡轴</t>
  </si>
  <si>
    <t xml:space="preserve">ENG-029</t>
  </si>
  <si>
    <t xml:space="preserve">SKU1033</t>
  </si>
  <si>
    <t xml:space="preserve">Cylinder Liner</t>
  </si>
  <si>
    <t xml:space="preserve">بطانة الأسطوانة</t>
  </si>
  <si>
    <t xml:space="preserve">气缸套</t>
  </si>
  <si>
    <t xml:space="preserve">ENG-030</t>
  </si>
  <si>
    <t xml:space="preserve">SKU1034</t>
  </si>
  <si>
    <t xml:space="preserve">Core Plug Set</t>
  </si>
  <si>
    <t xml:space="preserve">طقم سدادات الكور</t>
  </si>
  <si>
    <t xml:space="preserve">缸体堵盖套装</t>
  </si>
  <si>
    <t xml:space="preserve">ENG-031</t>
  </si>
  <si>
    <t xml:space="preserve">SKU1035</t>
  </si>
  <si>
    <t xml:space="preserve">Engine Gasket Set</t>
  </si>
  <si>
    <t xml:space="preserve">طقم جوانات المحرك الكامل</t>
  </si>
  <si>
    <t xml:space="preserve">发动机大修垫片套装</t>
  </si>
  <si>
    <t xml:space="preserve">ENG-032</t>
  </si>
  <si>
    <t xml:space="preserve">SKU1036</t>
  </si>
  <si>
    <t xml:space="preserve">Timing</t>
  </si>
  <si>
    <t xml:space="preserve">Crankshaft Pulley</t>
  </si>
  <si>
    <t xml:space="preserve">Engine Front</t>
  </si>
  <si>
    <t xml:space="preserve">التوقيت</t>
  </si>
  <si>
    <t xml:space="preserve">بكرة عمود المرفق</t>
  </si>
  <si>
    <t xml:space="preserve">مقدمة المحرك</t>
  </si>
  <si>
    <t xml:space="preserve">正时</t>
  </si>
  <si>
    <t xml:space="preserve">曲轴皮带轮</t>
  </si>
  <si>
    <t xml:space="preserve">发动机前端</t>
  </si>
  <si>
    <t xml:space="preserve">TIM</t>
  </si>
  <si>
    <t xml:space="preserve">TIM-001</t>
  </si>
  <si>
    <t xml:space="preserve">SKU1037</t>
  </si>
  <si>
    <t xml:space="preserve">Camshaft Phaser</t>
  </si>
  <si>
    <t xml:space="preserve">ضابط توقيت الكامات</t>
  </si>
  <si>
    <t xml:space="preserve">凸轮轴相位器</t>
  </si>
  <si>
    <t xml:space="preserve">TIM-002</t>
  </si>
  <si>
    <t xml:space="preserve">SKU1038</t>
  </si>
  <si>
    <t xml:space="preserve">VVT Control Solenoid</t>
  </si>
  <si>
    <t xml:space="preserve">سولينويد التحكم VVT</t>
  </si>
  <si>
    <r>
      <rPr>
        <sz val="10"/>
        <rFont val="Arial"/>
        <family val="0"/>
        <charset val="1"/>
      </rPr>
      <t xml:space="preserve">VVT</t>
    </r>
    <r>
      <rPr>
        <sz val="10"/>
        <rFont val="Noto Sans CJK SC"/>
        <family val="2"/>
      </rPr>
      <t xml:space="preserve">控制电磁阀</t>
    </r>
  </si>
  <si>
    <t xml:space="preserve">TIM-003</t>
  </si>
  <si>
    <t xml:space="preserve">SKU1039</t>
  </si>
  <si>
    <t xml:space="preserve">Timing Belt</t>
  </si>
  <si>
    <t xml:space="preserve">سير التوقيت</t>
  </si>
  <si>
    <t xml:space="preserve">正时皮带</t>
  </si>
  <si>
    <t xml:space="preserve">TIM-004</t>
  </si>
  <si>
    <t xml:space="preserve">SKU1040</t>
  </si>
  <si>
    <t xml:space="preserve">Timing Belt Kit</t>
  </si>
  <si>
    <t xml:space="preserve">طقم سير التوقيت</t>
  </si>
  <si>
    <t xml:space="preserve">正时皮带套装</t>
  </si>
  <si>
    <t xml:space="preserve">TIM-005</t>
  </si>
  <si>
    <t xml:space="preserve">SKU1041</t>
  </si>
  <si>
    <t xml:space="preserve">Timing Chain</t>
  </si>
  <si>
    <t xml:space="preserve">جنزير التوقيت</t>
  </si>
  <si>
    <t xml:space="preserve">正时链条</t>
  </si>
  <si>
    <t xml:space="preserve">TIM-006</t>
  </si>
  <si>
    <t xml:space="preserve">SKU1042</t>
  </si>
  <si>
    <t xml:space="preserve">Timing Chain Kit</t>
  </si>
  <si>
    <t xml:space="preserve">طقم جنزير التوقيت</t>
  </si>
  <si>
    <t xml:space="preserve">正时链条套装</t>
  </si>
  <si>
    <t xml:space="preserve">TIM-007</t>
  </si>
  <si>
    <t xml:space="preserve">SKU1043</t>
  </si>
  <si>
    <t xml:space="preserve">Timing Chain Tensioner</t>
  </si>
  <si>
    <t xml:space="preserve">مشد جنزير التوقيت</t>
  </si>
  <si>
    <t xml:space="preserve">正时链条张紧器</t>
  </si>
  <si>
    <t xml:space="preserve">TIM-008</t>
  </si>
  <si>
    <t xml:space="preserve">SKU1044</t>
  </si>
  <si>
    <t xml:space="preserve">Timing Chain Guide</t>
  </si>
  <si>
    <t xml:space="preserve">دليل جنزير التوقيت</t>
  </si>
  <si>
    <t xml:space="preserve">正时链条导轨</t>
  </si>
  <si>
    <t xml:space="preserve">TIM-009</t>
  </si>
  <si>
    <t xml:space="preserve">SKU1045</t>
  </si>
  <si>
    <t xml:space="preserve">Timing Belt Tensioner</t>
  </si>
  <si>
    <t xml:space="preserve">مشد سير التوقيت</t>
  </si>
  <si>
    <t xml:space="preserve">正时皮带张紧轮</t>
  </si>
  <si>
    <t xml:space="preserve">TIM-010</t>
  </si>
  <si>
    <t xml:space="preserve">SKU1046</t>
  </si>
  <si>
    <t xml:space="preserve">Timing Cover</t>
  </si>
  <si>
    <t xml:space="preserve">غطاء التوقيت</t>
  </si>
  <si>
    <t xml:space="preserve">正时盖</t>
  </si>
  <si>
    <t xml:space="preserve">TIM-011</t>
  </si>
  <si>
    <t xml:space="preserve">SKU1047</t>
  </si>
  <si>
    <t xml:space="preserve">Drive Belt</t>
  </si>
  <si>
    <t xml:space="preserve">سير المحرك</t>
  </si>
  <si>
    <t xml:space="preserve">发动机附件皮带</t>
  </si>
  <si>
    <t xml:space="preserve">TIM-012</t>
  </si>
  <si>
    <t xml:space="preserve">SKU1048</t>
  </si>
  <si>
    <t xml:space="preserve">Drive Belt Tensioner</t>
  </si>
  <si>
    <t xml:space="preserve">مشد سير المحرك</t>
  </si>
  <si>
    <t xml:space="preserve">附件皮带张紧器</t>
  </si>
  <si>
    <t xml:space="preserve">TIM-013</t>
  </si>
  <si>
    <t xml:space="preserve">SKU1049</t>
  </si>
  <si>
    <t xml:space="preserve">Idler Pulley</t>
  </si>
  <si>
    <t xml:space="preserve">بكرة توجيه السير</t>
  </si>
  <si>
    <t xml:space="preserve">惰轮</t>
  </si>
  <si>
    <t xml:space="preserve">TIM-014</t>
  </si>
  <si>
    <t xml:space="preserve">SKU1050</t>
  </si>
  <si>
    <t xml:space="preserve">Lubrication</t>
  </si>
  <si>
    <t xml:space="preserve">Oil Pan</t>
  </si>
  <si>
    <t xml:space="preserve">Engine Bottom</t>
  </si>
  <si>
    <t xml:space="preserve">التزييت</t>
  </si>
  <si>
    <t xml:space="preserve">حوض الزيت</t>
  </si>
  <si>
    <t xml:space="preserve">أسفل المحرك</t>
  </si>
  <si>
    <t xml:space="preserve">润滑</t>
  </si>
  <si>
    <t xml:space="preserve">机油底壳</t>
  </si>
  <si>
    <t xml:space="preserve">发动机底部</t>
  </si>
  <si>
    <t xml:space="preserve">LUB</t>
  </si>
  <si>
    <t xml:space="preserve">LUB-001</t>
  </si>
  <si>
    <t xml:space="preserve">SKU1051</t>
  </si>
  <si>
    <t xml:space="preserve">Oil Pan Gasket</t>
  </si>
  <si>
    <t xml:space="preserve">جوان حوض الزيت</t>
  </si>
  <si>
    <t xml:space="preserve">机油底壳垫</t>
  </si>
  <si>
    <t xml:space="preserve">LUB-002</t>
  </si>
  <si>
    <t xml:space="preserve">SKU1052</t>
  </si>
  <si>
    <t xml:space="preserve">Oil Pump</t>
  </si>
  <si>
    <t xml:space="preserve">مضخة الزيت</t>
  </si>
  <si>
    <t xml:space="preserve">机油泵</t>
  </si>
  <si>
    <t xml:space="preserve">LUB-003</t>
  </si>
  <si>
    <t xml:space="preserve">SKU1053</t>
  </si>
  <si>
    <t xml:space="preserve">Oil Pickup Tube</t>
  </si>
  <si>
    <t xml:space="preserve">ماسورة سحب الزيت</t>
  </si>
  <si>
    <t xml:space="preserve">机油集滤器</t>
  </si>
  <si>
    <t xml:space="preserve">LUB-004</t>
  </si>
  <si>
    <t xml:space="preserve">SKU1054</t>
  </si>
  <si>
    <t xml:space="preserve">Oil Cooler</t>
  </si>
  <si>
    <t xml:space="preserve">Engine Side</t>
  </si>
  <si>
    <t xml:space="preserve">مبرد الزيت</t>
  </si>
  <si>
    <t xml:space="preserve">جانب المحرك</t>
  </si>
  <si>
    <t xml:space="preserve">机油冷却器</t>
  </si>
  <si>
    <t xml:space="preserve">发动机侧面</t>
  </si>
  <si>
    <t xml:space="preserve">LUB-005</t>
  </si>
  <si>
    <t xml:space="preserve">SKU1055</t>
  </si>
  <si>
    <t xml:space="preserve">Oil Filter Housing</t>
  </si>
  <si>
    <t xml:space="preserve">قاعدة فلتر الزيت</t>
  </si>
  <si>
    <t xml:space="preserve">机油滤清器座</t>
  </si>
  <si>
    <t xml:space="preserve">LUB-006</t>
  </si>
  <si>
    <t xml:space="preserve">SKU1056</t>
  </si>
  <si>
    <t xml:space="preserve">Oil Dipstick</t>
  </si>
  <si>
    <t xml:space="preserve">عصا قياس الزيت</t>
  </si>
  <si>
    <t xml:space="preserve">机油尺</t>
  </si>
  <si>
    <t xml:space="preserve">LUB-007</t>
  </si>
  <si>
    <t xml:space="preserve">SKU1057</t>
  </si>
  <si>
    <t xml:space="preserve">Oil Filler Cap</t>
  </si>
  <si>
    <t xml:space="preserve">غطاء تعبئة الزيت</t>
  </si>
  <si>
    <t xml:space="preserve">机油加注口盖</t>
  </si>
  <si>
    <t xml:space="preserve">LUB-008</t>
  </si>
  <si>
    <t xml:space="preserve">SKU1058</t>
  </si>
  <si>
    <t xml:space="preserve">Oil Separator</t>
  </si>
  <si>
    <t xml:space="preserve">فاصل الزيت والبخار</t>
  </si>
  <si>
    <t xml:space="preserve">油气分离器</t>
  </si>
  <si>
    <t xml:space="preserve">LUB-009</t>
  </si>
  <si>
    <t xml:space="preserve">SKU1059</t>
  </si>
  <si>
    <t xml:space="preserve">PCV Valve</t>
  </si>
  <si>
    <t xml:space="preserve">صمام تهوية علبة المرفق</t>
  </si>
  <si>
    <t xml:space="preserve">曲轴箱通风阀</t>
  </si>
  <si>
    <t xml:space="preserve">LUB-010</t>
  </si>
  <si>
    <t xml:space="preserve">SKU1060</t>
  </si>
  <si>
    <t xml:space="preserve">Intake</t>
  </si>
  <si>
    <t xml:space="preserve">Intake Manifold</t>
  </si>
  <si>
    <t xml:space="preserve">Intake System</t>
  </si>
  <si>
    <t xml:space="preserve">السحب</t>
  </si>
  <si>
    <t xml:space="preserve">مشعب السحب</t>
  </si>
  <si>
    <t xml:space="preserve">نظام السحب</t>
  </si>
  <si>
    <t xml:space="preserve">进气</t>
  </si>
  <si>
    <t xml:space="preserve">进气歧管</t>
  </si>
  <si>
    <t xml:space="preserve">进气系统</t>
  </si>
  <si>
    <t xml:space="preserve">INT</t>
  </si>
  <si>
    <t xml:space="preserve">INT-001</t>
  </si>
  <si>
    <t xml:space="preserve">SKU1061</t>
  </si>
  <si>
    <t xml:space="preserve">Intake Manifold Gasket</t>
  </si>
  <si>
    <t xml:space="preserve">جوان مشعب السحب</t>
  </si>
  <si>
    <t xml:space="preserve">进气歧管垫</t>
  </si>
  <si>
    <t xml:space="preserve">INT-002</t>
  </si>
  <si>
    <t xml:space="preserve">SKU1062</t>
  </si>
  <si>
    <t xml:space="preserve">Throttle Body</t>
  </si>
  <si>
    <t xml:space="preserve">جسم الخانق</t>
  </si>
  <si>
    <t xml:space="preserve">节气门体</t>
  </si>
  <si>
    <t xml:space="preserve">INT-003</t>
  </si>
  <si>
    <t xml:space="preserve">SKU1063</t>
  </si>
  <si>
    <t xml:space="preserve">Throttle Body Gasket</t>
  </si>
  <si>
    <t xml:space="preserve">جوان جسم الخانق</t>
  </si>
  <si>
    <t xml:space="preserve">节气门垫</t>
  </si>
  <si>
    <t xml:space="preserve">INT-004</t>
  </si>
  <si>
    <t xml:space="preserve">SKU1064</t>
  </si>
  <si>
    <t xml:space="preserve">Air Intake Hose</t>
  </si>
  <si>
    <t xml:space="preserve">خرطوم سحب الهواء</t>
  </si>
  <si>
    <t xml:space="preserve">进气软管</t>
  </si>
  <si>
    <t xml:space="preserve">INT-005</t>
  </si>
  <si>
    <t xml:space="preserve">SKU1065</t>
  </si>
  <si>
    <t xml:space="preserve">Air Filter Housing</t>
  </si>
  <si>
    <t xml:space="preserve">صندوق فلتر الهواء</t>
  </si>
  <si>
    <t xml:space="preserve">空气滤清器壳体</t>
  </si>
  <si>
    <t xml:space="preserve">INT-006</t>
  </si>
  <si>
    <t xml:space="preserve">SKU1066</t>
  </si>
  <si>
    <t xml:space="preserve">Air Intake Resonator</t>
  </si>
  <si>
    <t xml:space="preserve">رنان السحب</t>
  </si>
  <si>
    <t xml:space="preserve">进气谐振腔</t>
  </si>
  <si>
    <t xml:space="preserve">INT-007</t>
  </si>
  <si>
    <t xml:space="preserve">SKU1067</t>
  </si>
  <si>
    <t xml:space="preserve">Idle Control Valve</t>
  </si>
  <si>
    <t xml:space="preserve">صمام التحكم بالهواء الخامل</t>
  </si>
  <si>
    <t xml:space="preserve">怠速控制阀</t>
  </si>
  <si>
    <t xml:space="preserve">INT-008</t>
  </si>
  <si>
    <t xml:space="preserve">SKU1068</t>
  </si>
  <si>
    <t xml:space="preserve">Vacuum Pump</t>
  </si>
  <si>
    <t xml:space="preserve">مضخة التفريغ</t>
  </si>
  <si>
    <t xml:space="preserve">真空泵</t>
  </si>
  <si>
    <t xml:space="preserve">INT-009</t>
  </si>
  <si>
    <t xml:space="preserve">SKU1069</t>
  </si>
  <si>
    <t xml:space="preserve">Vacuum Hose Set</t>
  </si>
  <si>
    <t xml:space="preserve">طقم خراطيم التفريغ</t>
  </si>
  <si>
    <t xml:space="preserve">真空软管套装</t>
  </si>
  <si>
    <t xml:space="preserve">INT-010</t>
  </si>
  <si>
    <t xml:space="preserve">SKU1070</t>
  </si>
  <si>
    <t xml:space="preserve">Turbo</t>
  </si>
  <si>
    <t xml:space="preserve">Turbocharger</t>
  </si>
  <si>
    <t xml:space="preserve">Turbocharger Area</t>
  </si>
  <si>
    <t xml:space="preserve">التيربو</t>
  </si>
  <si>
    <t xml:space="preserve">تيربو</t>
  </si>
  <si>
    <t xml:space="preserve">منطقة التيربو</t>
  </si>
  <si>
    <t xml:space="preserve">涡轮</t>
  </si>
  <si>
    <t xml:space="preserve">涡轮增压器</t>
  </si>
  <si>
    <t xml:space="preserve">涡轮增压区域</t>
  </si>
  <si>
    <t xml:space="preserve">TRB</t>
  </si>
  <si>
    <t xml:space="preserve">TRB-001</t>
  </si>
  <si>
    <t xml:space="preserve">SKU1071</t>
  </si>
  <si>
    <t xml:space="preserve">Turbocharger Gasket Kit</t>
  </si>
  <si>
    <t xml:space="preserve">طقم جوانات التيربو</t>
  </si>
  <si>
    <t xml:space="preserve">涡轮增压器垫片套装</t>
  </si>
  <si>
    <t xml:space="preserve">TRB-002</t>
  </si>
  <si>
    <t xml:space="preserve">SKU1072</t>
  </si>
  <si>
    <t xml:space="preserve">Turbo Oil Line</t>
  </si>
  <si>
    <t xml:space="preserve">خط تغذية زيت التيربو</t>
  </si>
  <si>
    <t xml:space="preserve">涡轮进油管</t>
  </si>
  <si>
    <t xml:space="preserve">TRB-003</t>
  </si>
  <si>
    <t xml:space="preserve">SKU1073</t>
  </si>
  <si>
    <t xml:space="preserve">Turbo Return Pipe</t>
  </si>
  <si>
    <t xml:space="preserve">ماسورة رجوع زيت التيربو</t>
  </si>
  <si>
    <t xml:space="preserve">涡轮回油管</t>
  </si>
  <si>
    <t xml:space="preserve">TRB-004</t>
  </si>
  <si>
    <t xml:space="preserve">SKU1074</t>
  </si>
  <si>
    <t xml:space="preserve">Turbo Wastegate Actuator</t>
  </si>
  <si>
    <t xml:space="preserve">مشغل الوستجيت</t>
  </si>
  <si>
    <t xml:space="preserve">涡轮废气旁通阀执行器</t>
  </si>
  <si>
    <t xml:space="preserve">TRB-005</t>
  </si>
  <si>
    <t xml:space="preserve">SKU1075</t>
  </si>
  <si>
    <t xml:space="preserve">Turbo Boost Pipe</t>
  </si>
  <si>
    <t xml:space="preserve">ماسورة ضغط التيربو</t>
  </si>
  <si>
    <t xml:space="preserve">增压管</t>
  </si>
  <si>
    <t xml:space="preserve">TRB-006</t>
  </si>
  <si>
    <t xml:space="preserve">SKU1076</t>
  </si>
  <si>
    <t xml:space="preserve">Intercooler</t>
  </si>
  <si>
    <t xml:space="preserve">Radiator Area</t>
  </si>
  <si>
    <t xml:space="preserve">مبرد الهواء</t>
  </si>
  <si>
    <t xml:space="preserve">منطقة الرديتر</t>
  </si>
  <si>
    <t xml:space="preserve">中冷器</t>
  </si>
  <si>
    <t xml:space="preserve">散热器区域</t>
  </si>
  <si>
    <t xml:space="preserve">TRB-007</t>
  </si>
  <si>
    <t xml:space="preserve">SKU1077</t>
  </si>
  <si>
    <t xml:space="preserve">Intercooler Hose</t>
  </si>
  <si>
    <t xml:space="preserve">خرطوم الإنتركولر</t>
  </si>
  <si>
    <t xml:space="preserve">中冷器软管</t>
  </si>
  <si>
    <t xml:space="preserve">TRB-008</t>
  </si>
  <si>
    <t xml:space="preserve">SKU1078</t>
  </si>
  <si>
    <t xml:space="preserve">Blow-Off Valve</t>
  </si>
  <si>
    <t xml:space="preserve">صمام التفريغ</t>
  </si>
  <si>
    <t xml:space="preserve">泄压阀</t>
  </si>
  <si>
    <t xml:space="preserve">TRB-009</t>
  </si>
  <si>
    <t xml:space="preserve">SKU1079</t>
  </si>
  <si>
    <t xml:space="preserve">Supercharger</t>
  </si>
  <si>
    <t xml:space="preserve">شاحن ميكانيكي</t>
  </si>
  <si>
    <t xml:space="preserve">机械增压器</t>
  </si>
  <si>
    <t xml:space="preserve">TRB-010</t>
  </si>
  <si>
    <t xml:space="preserve">SKU1080</t>
  </si>
  <si>
    <t xml:space="preserve">Fuel</t>
  </si>
  <si>
    <t xml:space="preserve">In-Tank Fuel Pump</t>
  </si>
  <si>
    <t xml:space="preserve">Fuel Tank</t>
  </si>
  <si>
    <t xml:space="preserve">الوقود</t>
  </si>
  <si>
    <t xml:space="preserve">مضخة الوقود</t>
  </si>
  <si>
    <t xml:space="preserve">خزان الوقود</t>
  </si>
  <si>
    <t xml:space="preserve">燃油</t>
  </si>
  <si>
    <t xml:space="preserve">油箱内燃油泵</t>
  </si>
  <si>
    <t xml:space="preserve">油箱</t>
  </si>
  <si>
    <t xml:space="preserve">FUE</t>
  </si>
  <si>
    <t xml:space="preserve">FUE-001</t>
  </si>
  <si>
    <t xml:space="preserve">SKU1081</t>
  </si>
  <si>
    <t xml:space="preserve">Fuel Pump Module</t>
  </si>
  <si>
    <t xml:space="preserve">مجموعة مضخة الوقود</t>
  </si>
  <si>
    <t xml:space="preserve">燃油泵总成</t>
  </si>
  <si>
    <t xml:space="preserve">FUE-002</t>
  </si>
  <si>
    <t xml:space="preserve">SKU1082</t>
  </si>
  <si>
    <t xml:space="preserve">High-Pressure Fuel Pump</t>
  </si>
  <si>
    <t xml:space="preserve">مضخة الوقود عالية الضغط</t>
  </si>
  <si>
    <t xml:space="preserve">高压燃油泵</t>
  </si>
  <si>
    <t xml:space="preserve">FUE-003</t>
  </si>
  <si>
    <t xml:space="preserve">SKU1083</t>
  </si>
  <si>
    <t xml:space="preserve">Fuel Injector</t>
  </si>
  <si>
    <t xml:space="preserve">بخاخ الوقود</t>
  </si>
  <si>
    <t xml:space="preserve">喷油嘴</t>
  </si>
  <si>
    <t xml:space="preserve">FUE-004</t>
  </si>
  <si>
    <t xml:space="preserve">SKU1084</t>
  </si>
  <si>
    <t xml:space="preserve">Fuel Injector Set</t>
  </si>
  <si>
    <t xml:space="preserve">طقم بخاخات الوقود</t>
  </si>
  <si>
    <t xml:space="preserve">喷油嘴套装</t>
  </si>
  <si>
    <t xml:space="preserve">FUE-005</t>
  </si>
  <si>
    <t xml:space="preserve">SKU1085</t>
  </si>
  <si>
    <t xml:space="preserve">Injector Seal Kit</t>
  </si>
  <si>
    <t xml:space="preserve">طقم سيلات البخاخات</t>
  </si>
  <si>
    <t xml:space="preserve">喷油嘴密封件套装</t>
  </si>
  <si>
    <t xml:space="preserve">FUE-006</t>
  </si>
  <si>
    <t xml:space="preserve">SKU1086</t>
  </si>
  <si>
    <t xml:space="preserve">Fuel Rail</t>
  </si>
  <si>
    <t xml:space="preserve">سكة الوقود</t>
  </si>
  <si>
    <t xml:space="preserve">燃油分配管</t>
  </si>
  <si>
    <t xml:space="preserve">FUE-007</t>
  </si>
  <si>
    <t xml:space="preserve">SKU1087</t>
  </si>
  <si>
    <t xml:space="preserve">Fuel Pressure Regulator</t>
  </si>
  <si>
    <t xml:space="preserve">Fuel System</t>
  </si>
  <si>
    <t xml:space="preserve">منظم ضغط الوقود</t>
  </si>
  <si>
    <t xml:space="preserve">نظام الوقود</t>
  </si>
  <si>
    <t xml:space="preserve">燃油压力调节器</t>
  </si>
  <si>
    <t xml:space="preserve">燃油系统</t>
  </si>
  <si>
    <t xml:space="preserve">FUE-008</t>
  </si>
  <si>
    <t xml:space="preserve">SKU1088</t>
  </si>
  <si>
    <t xml:space="preserve">FUE-009</t>
  </si>
  <si>
    <t xml:space="preserve">SKU1089</t>
  </si>
  <si>
    <t xml:space="preserve">Filler Neck</t>
  </si>
  <si>
    <t xml:space="preserve">رقبة تعبئة الوقود</t>
  </si>
  <si>
    <t xml:space="preserve">加油管</t>
  </si>
  <si>
    <t xml:space="preserve">FUE-010</t>
  </si>
  <si>
    <t xml:space="preserve">SKU1090</t>
  </si>
  <si>
    <t xml:space="preserve">Fuel Tank Cap</t>
  </si>
  <si>
    <t xml:space="preserve">غطاء خزان الوقود</t>
  </si>
  <si>
    <t xml:space="preserve">油箱盖</t>
  </si>
  <si>
    <t xml:space="preserve">FUE-011</t>
  </si>
  <si>
    <t xml:space="preserve">SKU1091</t>
  </si>
  <si>
    <t xml:space="preserve">Fuel Tank Strap</t>
  </si>
  <si>
    <t xml:space="preserve">حزام خزان الوقود</t>
  </si>
  <si>
    <t xml:space="preserve">油箱固定带</t>
  </si>
  <si>
    <t xml:space="preserve">FUE-012</t>
  </si>
  <si>
    <t xml:space="preserve">SKU1092</t>
  </si>
  <si>
    <t xml:space="preserve">SKU1093</t>
  </si>
  <si>
    <t xml:space="preserve">Fuel Level Sender</t>
  </si>
  <si>
    <t xml:space="preserve">عوامة مستوى الوقود</t>
  </si>
  <si>
    <t xml:space="preserve">燃油液位传感器</t>
  </si>
  <si>
    <t xml:space="preserve">FUE-013</t>
  </si>
  <si>
    <t xml:space="preserve">SKU1094</t>
  </si>
  <si>
    <t xml:space="preserve">Fuel Line</t>
  </si>
  <si>
    <t xml:space="preserve">ماسورة الوقود</t>
  </si>
  <si>
    <t xml:space="preserve">燃油管</t>
  </si>
  <si>
    <t xml:space="preserve">FUE-014</t>
  </si>
  <si>
    <t xml:space="preserve">SKU1095</t>
  </si>
  <si>
    <t xml:space="preserve">Fuel Hose</t>
  </si>
  <si>
    <t xml:space="preserve">خرطوم الوقود</t>
  </si>
  <si>
    <t xml:space="preserve">燃油软管</t>
  </si>
  <si>
    <t xml:space="preserve">FUE-015</t>
  </si>
  <si>
    <t xml:space="preserve">SKU1096</t>
  </si>
  <si>
    <t xml:space="preserve">Fuel Line Connector</t>
  </si>
  <si>
    <t xml:space="preserve">وصلة سريعة لخط الوقود</t>
  </si>
  <si>
    <t xml:space="preserve">燃油管快速接头</t>
  </si>
  <si>
    <t xml:space="preserve">FUE-016</t>
  </si>
  <si>
    <t xml:space="preserve">SKU1097</t>
  </si>
  <si>
    <t xml:space="preserve">Fuel Vapor Canister</t>
  </si>
  <si>
    <t xml:space="preserve">علبة بخار الوقود</t>
  </si>
  <si>
    <t xml:space="preserve">活性炭罐</t>
  </si>
  <si>
    <t xml:space="preserve">FUE-017</t>
  </si>
  <si>
    <t xml:space="preserve">SKU1098</t>
  </si>
  <si>
    <t xml:space="preserve">Canister Purge Valve</t>
  </si>
  <si>
    <t xml:space="preserve">صمام تنقية الكانستر</t>
  </si>
  <si>
    <t xml:space="preserve">炭罐电磁阀</t>
  </si>
  <si>
    <t xml:space="preserve">FUE-018</t>
  </si>
  <si>
    <t xml:space="preserve">SKU1099</t>
  </si>
  <si>
    <t xml:space="preserve">Diesel Injection Pump</t>
  </si>
  <si>
    <t xml:space="preserve">مضخة حقن الديزل</t>
  </si>
  <si>
    <t xml:space="preserve">柴油喷射泵</t>
  </si>
  <si>
    <t xml:space="preserve">FUE-019</t>
  </si>
  <si>
    <t xml:space="preserve">SKU1100</t>
  </si>
  <si>
    <t xml:space="preserve">Diesel Glow Plug</t>
  </si>
  <si>
    <t xml:space="preserve">شمعة تسخين الديزل</t>
  </si>
  <si>
    <t xml:space="preserve">柴油预热塞</t>
  </si>
  <si>
    <t xml:space="preserve">FUE-020</t>
  </si>
  <si>
    <t xml:space="preserve">SKU1101</t>
  </si>
  <si>
    <t xml:space="preserve">Carburetor</t>
  </si>
  <si>
    <t xml:space="preserve">كاربوريتر</t>
  </si>
  <si>
    <t xml:space="preserve">化油器</t>
  </si>
  <si>
    <t xml:space="preserve">FUE-021</t>
  </si>
  <si>
    <t xml:space="preserve">SKU1102</t>
  </si>
  <si>
    <t xml:space="preserve">Carburetor Rebuild Kit</t>
  </si>
  <si>
    <t xml:space="preserve">طقم إصلاح الكاربوريتر</t>
  </si>
  <si>
    <t xml:space="preserve">化油器修理包</t>
  </si>
  <si>
    <t xml:space="preserve">FUE-022</t>
  </si>
  <si>
    <t xml:space="preserve">SKU1103</t>
  </si>
  <si>
    <t xml:space="preserve">Exhaust</t>
  </si>
  <si>
    <t xml:space="preserve">Exhaust Manifold</t>
  </si>
  <si>
    <t xml:space="preserve">العادم</t>
  </si>
  <si>
    <t xml:space="preserve">مشعب العادم</t>
  </si>
  <si>
    <t xml:space="preserve">排气</t>
  </si>
  <si>
    <t xml:space="preserve">排气歧管</t>
  </si>
  <si>
    <t xml:space="preserve">EXH</t>
  </si>
  <si>
    <t xml:space="preserve">EXH-001</t>
  </si>
  <si>
    <t xml:space="preserve">SKU1104</t>
  </si>
  <si>
    <t xml:space="preserve">Exhaust Manifold Gasket</t>
  </si>
  <si>
    <t xml:space="preserve">جوان مشعب العادم</t>
  </si>
  <si>
    <t xml:space="preserve">排气歧管垫</t>
  </si>
  <si>
    <t xml:space="preserve">EXH-002</t>
  </si>
  <si>
    <t xml:space="preserve">SKU1105</t>
  </si>
  <si>
    <t xml:space="preserve">Exhaust Downpipe</t>
  </si>
  <si>
    <t xml:space="preserve">Exhaust System</t>
  </si>
  <si>
    <t xml:space="preserve">ماسورة العادم الأولى</t>
  </si>
  <si>
    <t xml:space="preserve">نظام العادم</t>
  </si>
  <si>
    <t xml:space="preserve">排气下弯管</t>
  </si>
  <si>
    <t xml:space="preserve">排气系统</t>
  </si>
  <si>
    <t xml:space="preserve">EXH-003</t>
  </si>
  <si>
    <t xml:space="preserve">SKU1106</t>
  </si>
  <si>
    <t xml:space="preserve">Exhaust Intermediate Pipe</t>
  </si>
  <si>
    <t xml:space="preserve">ماسورة العادم الوسطى</t>
  </si>
  <si>
    <t xml:space="preserve">排气中段管</t>
  </si>
  <si>
    <t xml:space="preserve">EXH-004</t>
  </si>
  <si>
    <t xml:space="preserve">SKU1107</t>
  </si>
  <si>
    <t xml:space="preserve">Exhaust Tailpipe</t>
  </si>
  <si>
    <t xml:space="preserve">ماسورة العادم الأخيرة</t>
  </si>
  <si>
    <t xml:space="preserve">排气尾管</t>
  </si>
  <si>
    <t xml:space="preserve">EXH-005</t>
  </si>
  <si>
    <t xml:space="preserve">SKU1108</t>
  </si>
  <si>
    <t xml:space="preserve">Exhaust Flex Pipe</t>
  </si>
  <si>
    <t xml:space="preserve">ماسورة العادم المرنة</t>
  </si>
  <si>
    <t xml:space="preserve">排气柔性管</t>
  </si>
  <si>
    <t xml:space="preserve">EXH-006</t>
  </si>
  <si>
    <t xml:space="preserve">SKU1109</t>
  </si>
  <si>
    <t xml:space="preserve">Muffler</t>
  </si>
  <si>
    <t xml:space="preserve">كاتم الصوت</t>
  </si>
  <si>
    <t xml:space="preserve">消声器</t>
  </si>
  <si>
    <t xml:space="preserve">EXH-007</t>
  </si>
  <si>
    <t xml:space="preserve">SKU1110</t>
  </si>
  <si>
    <t xml:space="preserve">Resonator</t>
  </si>
  <si>
    <t xml:space="preserve">رنان العادم</t>
  </si>
  <si>
    <t xml:space="preserve">谐振器</t>
  </si>
  <si>
    <t xml:space="preserve">EXH-008</t>
  </si>
  <si>
    <t xml:space="preserve">SKU1111</t>
  </si>
  <si>
    <t xml:space="preserve">Exhaust Gasket</t>
  </si>
  <si>
    <t xml:space="preserve">جوان العادم</t>
  </si>
  <si>
    <t xml:space="preserve">排气垫片</t>
  </si>
  <si>
    <t xml:space="preserve">EXH-009</t>
  </si>
  <si>
    <t xml:space="preserve">SKU1112</t>
  </si>
  <si>
    <t xml:space="preserve">Exhaust Clamp</t>
  </si>
  <si>
    <t xml:space="preserve">مشبك العادم</t>
  </si>
  <si>
    <t xml:space="preserve">排气卡箍</t>
  </si>
  <si>
    <t xml:space="preserve">EXH-010</t>
  </si>
  <si>
    <t xml:space="preserve">SKU1113</t>
  </si>
  <si>
    <t xml:space="preserve">Exhaust Hanger</t>
  </si>
  <si>
    <t xml:space="preserve">حامل العادم المطاطي</t>
  </si>
  <si>
    <t xml:space="preserve">排气吊耳</t>
  </si>
  <si>
    <t xml:space="preserve">EXH-011</t>
  </si>
  <si>
    <t xml:space="preserve">SKU1114</t>
  </si>
  <si>
    <t xml:space="preserve">Exhaust Heat Shield</t>
  </si>
  <si>
    <t xml:space="preserve">درع حرارة العادم</t>
  </si>
  <si>
    <t xml:space="preserve">排气隔热罩</t>
  </si>
  <si>
    <t xml:space="preserve">EXH-012</t>
  </si>
  <si>
    <t xml:space="preserve">SKU1115</t>
  </si>
  <si>
    <t xml:space="preserve">Exhaust Tip</t>
  </si>
  <si>
    <t xml:space="preserve">Rear Bumper</t>
  </si>
  <si>
    <t xml:space="preserve">نهاية العادم</t>
  </si>
  <si>
    <t xml:space="preserve">المصد الخلفي</t>
  </si>
  <si>
    <t xml:space="preserve">排气尾喉</t>
  </si>
  <si>
    <t xml:space="preserve">后保险杠</t>
  </si>
  <si>
    <t xml:space="preserve">EXH-013</t>
  </si>
  <si>
    <t xml:space="preserve">SKU1116</t>
  </si>
  <si>
    <t xml:space="preserve">SKU1117</t>
  </si>
  <si>
    <t xml:space="preserve">Emissions</t>
  </si>
  <si>
    <t xml:space="preserve">Catalytic Converter</t>
  </si>
  <si>
    <t xml:space="preserve">الانبعاثات</t>
  </si>
  <si>
    <t xml:space="preserve">محول حفاز</t>
  </si>
  <si>
    <t xml:space="preserve">排放</t>
  </si>
  <si>
    <t xml:space="preserve">催化转换器</t>
  </si>
  <si>
    <t xml:space="preserve">EMI</t>
  </si>
  <si>
    <t xml:space="preserve">EMI-001</t>
  </si>
  <si>
    <t xml:space="preserve">SKU1118</t>
  </si>
  <si>
    <t xml:space="preserve">Diesel Particulate Filter</t>
  </si>
  <si>
    <t xml:space="preserve">فلتر الجسيمات</t>
  </si>
  <si>
    <t xml:space="preserve">柴油颗粒捕集器</t>
  </si>
  <si>
    <t xml:space="preserve">EMI-002</t>
  </si>
  <si>
    <t xml:space="preserve">SKU1119</t>
  </si>
  <si>
    <t xml:space="preserve">Gasoline Particulate Filter</t>
  </si>
  <si>
    <t xml:space="preserve">فلتر جسيمات البنزين</t>
  </si>
  <si>
    <t xml:space="preserve">汽油颗粒捕集器</t>
  </si>
  <si>
    <t xml:space="preserve">EMI-003</t>
  </si>
  <si>
    <t xml:space="preserve">SKU1120</t>
  </si>
  <si>
    <t xml:space="preserve">SCR Catalyst</t>
  </si>
  <si>
    <t xml:space="preserve">محفز SCR</t>
  </si>
  <si>
    <r>
      <rPr>
        <sz val="10"/>
        <rFont val="Arial"/>
        <family val="0"/>
        <charset val="1"/>
      </rPr>
      <t xml:space="preserve">SCR</t>
    </r>
    <r>
      <rPr>
        <sz val="10"/>
        <rFont val="Noto Sans CJK SC"/>
        <family val="2"/>
      </rPr>
      <t xml:space="preserve">催化器</t>
    </r>
  </si>
  <si>
    <t xml:space="preserve">EMI-004</t>
  </si>
  <si>
    <t xml:space="preserve">SKU1121</t>
  </si>
  <si>
    <t xml:space="preserve">AdBlue Tank</t>
  </si>
  <si>
    <t xml:space="preserve">خزان أدبلو</t>
  </si>
  <si>
    <t xml:space="preserve">尿素箱</t>
  </si>
  <si>
    <t xml:space="preserve">EMI-005</t>
  </si>
  <si>
    <t xml:space="preserve">SKU1122</t>
  </si>
  <si>
    <t xml:space="preserve">AdBlue Injector</t>
  </si>
  <si>
    <t xml:space="preserve">بخاخ أدبلو</t>
  </si>
  <si>
    <t xml:space="preserve">尿素喷嘴</t>
  </si>
  <si>
    <t xml:space="preserve">EMI-006</t>
  </si>
  <si>
    <t xml:space="preserve">SKU1123</t>
  </si>
  <si>
    <t xml:space="preserve">EGR Valve</t>
  </si>
  <si>
    <t xml:space="preserve">صمام إعادة تدوير العادم</t>
  </si>
  <si>
    <r>
      <rPr>
        <sz val="10"/>
        <rFont val="Arial"/>
        <family val="0"/>
        <charset val="1"/>
      </rPr>
      <t xml:space="preserve">EGR</t>
    </r>
    <r>
      <rPr>
        <sz val="10"/>
        <rFont val="Noto Sans CJK SC"/>
        <family val="2"/>
      </rPr>
      <t xml:space="preserve">阀</t>
    </r>
  </si>
  <si>
    <t xml:space="preserve">EMI-007</t>
  </si>
  <si>
    <t xml:space="preserve">SKU1124</t>
  </si>
  <si>
    <t xml:space="preserve">EGR Cooler</t>
  </si>
  <si>
    <t xml:space="preserve">مبرد EGR</t>
  </si>
  <si>
    <r>
      <rPr>
        <sz val="10"/>
        <rFont val="Arial"/>
        <family val="0"/>
        <charset val="1"/>
      </rPr>
      <t xml:space="preserve">EGR</t>
    </r>
    <r>
      <rPr>
        <sz val="10"/>
        <rFont val="Noto Sans CJK SC"/>
        <family val="2"/>
      </rPr>
      <t xml:space="preserve">冷却器</t>
    </r>
  </si>
  <si>
    <t xml:space="preserve">EMI-008</t>
  </si>
  <si>
    <t xml:space="preserve">SKU1125</t>
  </si>
  <si>
    <t xml:space="preserve">Secondary Air Pump</t>
  </si>
  <si>
    <t xml:space="preserve">مضخة الهواء الثانوية</t>
  </si>
  <si>
    <t xml:space="preserve">二次空气泵</t>
  </si>
  <si>
    <t xml:space="preserve">EMI-009</t>
  </si>
  <si>
    <t xml:space="preserve">SKU1126</t>
  </si>
  <si>
    <t xml:space="preserve">Cooling</t>
  </si>
  <si>
    <t xml:space="preserve">Radiator</t>
  </si>
  <si>
    <t xml:space="preserve">التبريد</t>
  </si>
  <si>
    <t xml:space="preserve">رديتر المحرك</t>
  </si>
  <si>
    <t xml:space="preserve">冷却</t>
  </si>
  <si>
    <t xml:space="preserve">发动机散热器</t>
  </si>
  <si>
    <t xml:space="preserve">COO</t>
  </si>
  <si>
    <t xml:space="preserve">COO-001</t>
  </si>
  <si>
    <t xml:space="preserve">SKU1127</t>
  </si>
  <si>
    <t xml:space="preserve">Radiator Cap</t>
  </si>
  <si>
    <t xml:space="preserve">غطاء الرديتر</t>
  </si>
  <si>
    <t xml:space="preserve">散热器盖</t>
  </si>
  <si>
    <t xml:space="preserve">COO-002</t>
  </si>
  <si>
    <t xml:space="preserve">SKU1128</t>
  </si>
  <si>
    <t xml:space="preserve">Radiator Upper Hose</t>
  </si>
  <si>
    <t xml:space="preserve">خرطوم الرديتر العلوي</t>
  </si>
  <si>
    <t xml:space="preserve">散热器上水管</t>
  </si>
  <si>
    <t xml:space="preserve">COO-003</t>
  </si>
  <si>
    <t xml:space="preserve">SKU1129</t>
  </si>
  <si>
    <t xml:space="preserve">Radiator Lower Hose</t>
  </si>
  <si>
    <t xml:space="preserve">خرطوم الرديتر السفلي</t>
  </si>
  <si>
    <t xml:space="preserve">散热器下水管</t>
  </si>
  <si>
    <t xml:space="preserve">COO-004</t>
  </si>
  <si>
    <t xml:space="preserve">SKU1130</t>
  </si>
  <si>
    <t xml:space="preserve">Radiator Drain Plug</t>
  </si>
  <si>
    <t xml:space="preserve">سدادة تصريف الرديتر</t>
  </si>
  <si>
    <t xml:space="preserve">散热器放水螺塞</t>
  </si>
  <si>
    <t xml:space="preserve">COO-005</t>
  </si>
  <si>
    <t xml:space="preserve">SKU1131</t>
  </si>
  <si>
    <t xml:space="preserve">Coolant Expansion Tank</t>
  </si>
  <si>
    <t xml:space="preserve">خزان تمدد المياه</t>
  </si>
  <si>
    <t xml:space="preserve">膨胀水箱</t>
  </si>
  <si>
    <t xml:space="preserve">COO-006</t>
  </si>
  <si>
    <t xml:space="preserve">SKU1132</t>
  </si>
  <si>
    <t xml:space="preserve">Expansion Tank Cap</t>
  </si>
  <si>
    <t xml:space="preserve">غطاء خزان التمدد</t>
  </si>
  <si>
    <t xml:space="preserve">膨胀水箱盖</t>
  </si>
  <si>
    <t xml:space="preserve">COO-007</t>
  </si>
  <si>
    <t xml:space="preserve">SKU1133</t>
  </si>
  <si>
    <t xml:space="preserve">Water Pump</t>
  </si>
  <si>
    <t xml:space="preserve">مضخة المياه</t>
  </si>
  <si>
    <t xml:space="preserve">水泵</t>
  </si>
  <si>
    <t xml:space="preserve">COO-008</t>
  </si>
  <si>
    <t xml:space="preserve">SKU1134</t>
  </si>
  <si>
    <t xml:space="preserve">Auxiliary Water Pump</t>
  </si>
  <si>
    <t xml:space="preserve">مضخة مياه مساعدة</t>
  </si>
  <si>
    <t xml:space="preserve">辅助水泵</t>
  </si>
  <si>
    <t xml:space="preserve">COO-009</t>
  </si>
  <si>
    <t xml:space="preserve">SKU1135</t>
  </si>
  <si>
    <t xml:space="preserve">Thermostat</t>
  </si>
  <si>
    <t xml:space="preserve">ثرموستات</t>
  </si>
  <si>
    <t xml:space="preserve">节温器</t>
  </si>
  <si>
    <t xml:space="preserve">COO-010</t>
  </si>
  <si>
    <t xml:space="preserve">SKU1136</t>
  </si>
  <si>
    <t xml:space="preserve">Thermostat Housing</t>
  </si>
  <si>
    <t xml:space="preserve">بيت الثرموستات</t>
  </si>
  <si>
    <t xml:space="preserve">节温器壳体</t>
  </si>
  <si>
    <t xml:space="preserve">COO-011</t>
  </si>
  <si>
    <t xml:space="preserve">SKU1137</t>
  </si>
  <si>
    <t xml:space="preserve">Coolant Pipe</t>
  </si>
  <si>
    <t xml:space="preserve">ماسورة المياه</t>
  </si>
  <si>
    <t xml:space="preserve">冷却水管</t>
  </si>
  <si>
    <t xml:space="preserve">COO-012</t>
  </si>
  <si>
    <t xml:space="preserve">SKU1138</t>
  </si>
  <si>
    <t xml:space="preserve">Coolant Hose Set</t>
  </si>
  <si>
    <t xml:space="preserve">طقم خراطيم المياه</t>
  </si>
  <si>
    <t xml:space="preserve">冷却水管套装</t>
  </si>
  <si>
    <t xml:space="preserve">COO-013</t>
  </si>
  <si>
    <t xml:space="preserve">SKU1139</t>
  </si>
  <si>
    <t xml:space="preserve">Heater Hose Set</t>
  </si>
  <si>
    <t xml:space="preserve">Firewall</t>
  </si>
  <si>
    <t xml:space="preserve">طقم خراطيم الهيتر</t>
  </si>
  <si>
    <t xml:space="preserve">الحاجز الناري</t>
  </si>
  <si>
    <t xml:space="preserve">暖风水管套装</t>
  </si>
  <si>
    <t xml:space="preserve">防火墙</t>
  </si>
  <si>
    <t xml:space="preserve">COO-014</t>
  </si>
  <si>
    <t xml:space="preserve">SKU1140</t>
  </si>
  <si>
    <t xml:space="preserve">Heater Control Valve</t>
  </si>
  <si>
    <t xml:space="preserve">صمام التحكم بالهيتر</t>
  </si>
  <si>
    <t xml:space="preserve">暖风控制阀</t>
  </si>
  <si>
    <t xml:space="preserve">COO-015</t>
  </si>
  <si>
    <t xml:space="preserve">SKU1141</t>
  </si>
  <si>
    <t xml:space="preserve">Radiator Cooling Fan</t>
  </si>
  <si>
    <t xml:space="preserve">مروحة الرديتر</t>
  </si>
  <si>
    <t xml:space="preserve">散热风扇</t>
  </si>
  <si>
    <t xml:space="preserve">COO-016</t>
  </si>
  <si>
    <t xml:space="preserve">SKU1142</t>
  </si>
  <si>
    <t xml:space="preserve">Radiator Fan Shroud</t>
  </si>
  <si>
    <t xml:space="preserve">غلاف مروحة الرديتر</t>
  </si>
  <si>
    <t xml:space="preserve">风扇导风罩</t>
  </si>
  <si>
    <t xml:space="preserve">COO-017</t>
  </si>
  <si>
    <t xml:space="preserve">SKU1143</t>
  </si>
  <si>
    <t xml:space="preserve">Radiator Fan Motor</t>
  </si>
  <si>
    <t xml:space="preserve">موتور مروحة الرديتر</t>
  </si>
  <si>
    <t xml:space="preserve">散热风扇电机</t>
  </si>
  <si>
    <t xml:space="preserve">COO-018</t>
  </si>
  <si>
    <t xml:space="preserve">SKU1144</t>
  </si>
  <si>
    <t xml:space="preserve">Viscous Fan Clutch</t>
  </si>
  <si>
    <t xml:space="preserve">قابض المروحة</t>
  </si>
  <si>
    <t xml:space="preserve">风扇离合器</t>
  </si>
  <si>
    <t xml:space="preserve">COO-019</t>
  </si>
  <si>
    <t xml:space="preserve">SKU1145</t>
  </si>
  <si>
    <t xml:space="preserve">Transmission Oil Cooler</t>
  </si>
  <si>
    <t xml:space="preserve">مبرد زيت القير</t>
  </si>
  <si>
    <t xml:space="preserve">变速箱油冷却器</t>
  </si>
  <si>
    <t xml:space="preserve">COO-020</t>
  </si>
  <si>
    <t xml:space="preserve">SKU1146</t>
  </si>
  <si>
    <t xml:space="preserve">Steering Oil Cooler</t>
  </si>
  <si>
    <t xml:space="preserve">مبرد زيت الباور</t>
  </si>
  <si>
    <t xml:space="preserve">转向油冷却器</t>
  </si>
  <si>
    <t xml:space="preserve">COO-021</t>
  </si>
  <si>
    <t xml:space="preserve">SKU1147</t>
  </si>
  <si>
    <t xml:space="preserve">Filters</t>
  </si>
  <si>
    <t xml:space="preserve">Engine Oil Filter</t>
  </si>
  <si>
    <t xml:space="preserve">الفلاتر</t>
  </si>
  <si>
    <t xml:space="preserve">فلتر زيت المحرك</t>
  </si>
  <si>
    <t xml:space="preserve">滤清器</t>
  </si>
  <si>
    <t xml:space="preserve">机油滤清器</t>
  </si>
  <si>
    <t xml:space="preserve">FLT</t>
  </si>
  <si>
    <t xml:space="preserve">FLT-001</t>
  </si>
  <si>
    <t xml:space="preserve">SKU1148</t>
  </si>
  <si>
    <t xml:space="preserve">Oil Filter Element</t>
  </si>
  <si>
    <t xml:space="preserve">عنصر فلتر الزيت</t>
  </si>
  <si>
    <t xml:space="preserve">机油滤芯</t>
  </si>
  <si>
    <t xml:space="preserve">FLT-002</t>
  </si>
  <si>
    <t xml:space="preserve">SKU1149</t>
  </si>
  <si>
    <t xml:space="preserve">Air Filter</t>
  </si>
  <si>
    <t xml:space="preserve">فلتر الهواء</t>
  </si>
  <si>
    <t xml:space="preserve">空气滤清器</t>
  </si>
  <si>
    <t xml:space="preserve">FLT-003</t>
  </si>
  <si>
    <t xml:space="preserve">SKU1150</t>
  </si>
  <si>
    <t xml:space="preserve">Cabin Air Filter</t>
  </si>
  <si>
    <t xml:space="preserve">HVAC Housing</t>
  </si>
  <si>
    <t xml:space="preserve">فلتر المكيف</t>
  </si>
  <si>
    <t xml:space="preserve">صندوق التكييف</t>
  </si>
  <si>
    <t xml:space="preserve">空调滤清器</t>
  </si>
  <si>
    <t xml:space="preserve">空调箱</t>
  </si>
  <si>
    <t xml:space="preserve">FLT-004</t>
  </si>
  <si>
    <t xml:space="preserve">SKU1151</t>
  </si>
  <si>
    <t xml:space="preserve">Carbon Cabin Filter</t>
  </si>
  <si>
    <t xml:space="preserve">فلتر مكيف بالكربون النشط</t>
  </si>
  <si>
    <t xml:space="preserve">活性炭空调滤清器</t>
  </si>
  <si>
    <t xml:space="preserve">FLT-005</t>
  </si>
  <si>
    <t xml:space="preserve">SKU1152</t>
  </si>
  <si>
    <t xml:space="preserve">Fuel Filter</t>
  </si>
  <si>
    <t xml:space="preserve">فلتر الوقود</t>
  </si>
  <si>
    <t xml:space="preserve">汽油滤清器</t>
  </si>
  <si>
    <t xml:space="preserve">FLT-006</t>
  </si>
  <si>
    <t xml:space="preserve">SKU1153</t>
  </si>
  <si>
    <t xml:space="preserve">Diesel Fuel Filter</t>
  </si>
  <si>
    <t xml:space="preserve">فلتر الديزل</t>
  </si>
  <si>
    <t xml:space="preserve">柴油滤清器</t>
  </si>
  <si>
    <t xml:space="preserve">FLT-007</t>
  </si>
  <si>
    <t xml:space="preserve">SKU1154</t>
  </si>
  <si>
    <t xml:space="preserve">Fuel Water Separator</t>
  </si>
  <si>
    <t xml:space="preserve">فاصل الماء من الوقود</t>
  </si>
  <si>
    <t xml:space="preserve">油水分离器</t>
  </si>
  <si>
    <t xml:space="preserve">FLT-008</t>
  </si>
  <si>
    <t xml:space="preserve">SKU1155</t>
  </si>
  <si>
    <t xml:space="preserve">Fuel Tank Strainer</t>
  </si>
  <si>
    <t xml:space="preserve">مصفاة خزان الوقود</t>
  </si>
  <si>
    <t xml:space="preserve">油箱滤网</t>
  </si>
  <si>
    <t xml:space="preserve">FLT-009</t>
  </si>
  <si>
    <t xml:space="preserve">SKU1156</t>
  </si>
  <si>
    <t xml:space="preserve">Transmission Oil Filter</t>
  </si>
  <si>
    <t xml:space="preserve">Transmission</t>
  </si>
  <si>
    <t xml:space="preserve">فلتر زيت ناقل الحركة</t>
  </si>
  <si>
    <t xml:space="preserve">ناقل الحركة</t>
  </si>
  <si>
    <t xml:space="preserve">变速箱滤清器</t>
  </si>
  <si>
    <t xml:space="preserve">变速箱</t>
  </si>
  <si>
    <t xml:space="preserve">FLT-010</t>
  </si>
  <si>
    <t xml:space="preserve">SKU1157</t>
  </si>
  <si>
    <t xml:space="preserve">Steering Fluid Filter</t>
  </si>
  <si>
    <t xml:space="preserve">Steering System</t>
  </si>
  <si>
    <t xml:space="preserve">فلتر زيت الباور</t>
  </si>
  <si>
    <t xml:space="preserve">نظام التوجيه</t>
  </si>
  <si>
    <t xml:space="preserve">转向油滤清器</t>
  </si>
  <si>
    <t xml:space="preserve">转向系统</t>
  </si>
  <si>
    <t xml:space="preserve">FLT-011</t>
  </si>
  <si>
    <t xml:space="preserve">SKU1158</t>
  </si>
  <si>
    <t xml:space="preserve">Crankcase Breather Filter</t>
  </si>
  <si>
    <t xml:space="preserve">فلتر تهوية علبة المرفق</t>
  </si>
  <si>
    <t xml:space="preserve">曲轴箱通风滤清器</t>
  </si>
  <si>
    <t xml:space="preserve">FLT-012</t>
  </si>
  <si>
    <t xml:space="preserve">SKU1159</t>
  </si>
  <si>
    <t xml:space="preserve">Battery Coolant Filter</t>
  </si>
  <si>
    <t xml:space="preserve">HV Battery Pack</t>
  </si>
  <si>
    <t xml:space="preserve">فلتر سائل تبريد البطارية</t>
  </si>
  <si>
    <t xml:space="preserve">حزمة بطارية الجهد العالي</t>
  </si>
  <si>
    <t xml:space="preserve">电池冷却液滤清器</t>
  </si>
  <si>
    <t xml:space="preserve">高压电池包</t>
  </si>
  <si>
    <t xml:space="preserve">FLT-013</t>
  </si>
  <si>
    <t xml:space="preserve">SKU1160</t>
  </si>
  <si>
    <t xml:space="preserve">Fluids</t>
  </si>
  <si>
    <t xml:space="preserve">Engine Oil</t>
  </si>
  <si>
    <t xml:space="preserve">Universal Fit</t>
  </si>
  <si>
    <t xml:space="preserve">السوائل</t>
  </si>
  <si>
    <t xml:space="preserve">زيت محرك</t>
  </si>
  <si>
    <t xml:space="preserve">تركيب عام</t>
  </si>
  <si>
    <t xml:space="preserve">油液</t>
  </si>
  <si>
    <t xml:space="preserve">发动机机油</t>
  </si>
  <si>
    <t xml:space="preserve">通用安装</t>
  </si>
  <si>
    <t xml:space="preserve">FLD</t>
  </si>
  <si>
    <t xml:space="preserve">FLD-001</t>
  </si>
  <si>
    <t xml:space="preserve">SKU1161</t>
  </si>
  <si>
    <t xml:space="preserve">FLD-002</t>
  </si>
  <si>
    <t xml:space="preserve">SKU1162</t>
  </si>
  <si>
    <t xml:space="preserve">FLD-003</t>
  </si>
  <si>
    <t xml:space="preserve">SKU1163</t>
  </si>
  <si>
    <t xml:space="preserve">Automatic Transmission Fluid</t>
  </si>
  <si>
    <t xml:space="preserve">زيت ناقل حركة أوتوماتيك</t>
  </si>
  <si>
    <t xml:space="preserve">自动变速箱油</t>
  </si>
  <si>
    <t xml:space="preserve">FLD-004</t>
  </si>
  <si>
    <t xml:space="preserve">SKU1164</t>
  </si>
  <si>
    <t xml:space="preserve">FLD-005</t>
  </si>
  <si>
    <t xml:space="preserve">SKU1165</t>
  </si>
  <si>
    <t xml:space="preserve">CVT Fluid</t>
  </si>
  <si>
    <t xml:space="preserve">زيت ناقل حركة CVT</t>
  </si>
  <si>
    <r>
      <rPr>
        <sz val="10"/>
        <rFont val="Arial"/>
        <family val="0"/>
        <charset val="1"/>
      </rPr>
      <t xml:space="preserve">CVT</t>
    </r>
    <r>
      <rPr>
        <sz val="10"/>
        <rFont val="Noto Sans CJK SC"/>
        <family val="2"/>
      </rPr>
      <t xml:space="preserve">变速箱油</t>
    </r>
  </si>
  <si>
    <t xml:space="preserve">FLD-006</t>
  </si>
  <si>
    <t xml:space="preserve">SKU1166</t>
  </si>
  <si>
    <t xml:space="preserve">Manual Gear Oil</t>
  </si>
  <si>
    <t xml:space="preserve">زيت قير عادي</t>
  </si>
  <si>
    <t xml:space="preserve">手动变速箱油</t>
  </si>
  <si>
    <t xml:space="preserve">FLD-007</t>
  </si>
  <si>
    <t xml:space="preserve">SKU1167</t>
  </si>
  <si>
    <t xml:space="preserve">Differential Oil</t>
  </si>
  <si>
    <t xml:space="preserve">زيت الدفرنس</t>
  </si>
  <si>
    <t xml:space="preserve">差速器油</t>
  </si>
  <si>
    <t xml:space="preserve">FLD-008</t>
  </si>
  <si>
    <t xml:space="preserve">SKU1168</t>
  </si>
  <si>
    <t xml:space="preserve">EV Gear Oil</t>
  </si>
  <si>
    <t xml:space="preserve">زيت علبة تخفيض السرعة للسيارات الكهربائية</t>
  </si>
  <si>
    <t xml:space="preserve">电动车减速器油</t>
  </si>
  <si>
    <t xml:space="preserve">FLD-009</t>
  </si>
  <si>
    <t xml:space="preserve">SKU1169</t>
  </si>
  <si>
    <t xml:space="preserve">Brake Fluid</t>
  </si>
  <si>
    <t xml:space="preserve">زيت فرامل</t>
  </si>
  <si>
    <t xml:space="preserve">制动液</t>
  </si>
  <si>
    <t xml:space="preserve">FLD-010</t>
  </si>
  <si>
    <t xml:space="preserve">SKU1170</t>
  </si>
  <si>
    <t xml:space="preserve">Coolant</t>
  </si>
  <si>
    <t xml:space="preserve">سائل تبريد</t>
  </si>
  <si>
    <t xml:space="preserve">冷却液</t>
  </si>
  <si>
    <t xml:space="preserve">FLD-011</t>
  </si>
  <si>
    <t xml:space="preserve">SKU1171</t>
  </si>
  <si>
    <t xml:space="preserve">FLD-012</t>
  </si>
  <si>
    <t xml:space="preserve">SKU1172</t>
  </si>
  <si>
    <t xml:space="preserve">EV Coolant</t>
  </si>
  <si>
    <t xml:space="preserve">سائل تبريد السيارات الكهربائية</t>
  </si>
  <si>
    <t xml:space="preserve">电动车冷却液</t>
  </si>
  <si>
    <t xml:space="preserve">FLD-013</t>
  </si>
  <si>
    <t xml:space="preserve">SKU1173</t>
  </si>
  <si>
    <t xml:space="preserve">Steering Fluid</t>
  </si>
  <si>
    <t xml:space="preserve">زيت باور</t>
  </si>
  <si>
    <t xml:space="preserve">转向助力油</t>
  </si>
  <si>
    <t xml:space="preserve">FLD-014</t>
  </si>
  <si>
    <t xml:space="preserve">SKU1174</t>
  </si>
  <si>
    <t xml:space="preserve">Washer Fluid</t>
  </si>
  <si>
    <t xml:space="preserve">سائل مسح الزجاج</t>
  </si>
  <si>
    <t xml:space="preserve">玻璃水</t>
  </si>
  <si>
    <t xml:space="preserve">FLD-015</t>
  </si>
  <si>
    <t xml:space="preserve">SKU1175</t>
  </si>
  <si>
    <t xml:space="preserve">AdBlue</t>
  </si>
  <si>
    <t xml:space="preserve">محلول أدبلو</t>
  </si>
  <si>
    <t xml:space="preserve">尿素溶液</t>
  </si>
  <si>
    <t xml:space="preserve">FLD-016</t>
  </si>
  <si>
    <t xml:space="preserve">SKU1176</t>
  </si>
  <si>
    <t xml:space="preserve">Chemicals</t>
  </si>
  <si>
    <t xml:space="preserve">Multipurpose Grease</t>
  </si>
  <si>
    <t xml:space="preserve">الكيماويات</t>
  </si>
  <si>
    <t xml:space="preserve">شحم متعدد الاستخدامات</t>
  </si>
  <si>
    <t xml:space="preserve">化学品</t>
  </si>
  <si>
    <t xml:space="preserve">多用途润滑脂</t>
  </si>
  <si>
    <t xml:space="preserve">CHM</t>
  </si>
  <si>
    <t xml:space="preserve">CHM-001</t>
  </si>
  <si>
    <t xml:space="preserve">SKU1177</t>
  </si>
  <si>
    <t xml:space="preserve">Bearing Grease</t>
  </si>
  <si>
    <t xml:space="preserve">شحم رولمان</t>
  </si>
  <si>
    <t xml:space="preserve">轴承润滑脂</t>
  </si>
  <si>
    <t xml:space="preserve">CHM-002</t>
  </si>
  <si>
    <t xml:space="preserve">SKU1178</t>
  </si>
  <si>
    <t xml:space="preserve">Brake Cleaner</t>
  </si>
  <si>
    <t xml:space="preserve">منظف فرامل</t>
  </si>
  <si>
    <t xml:space="preserve">制动器清洁剂</t>
  </si>
  <si>
    <t xml:space="preserve">CHM-003</t>
  </si>
  <si>
    <t xml:space="preserve">SKU1179</t>
  </si>
  <si>
    <t xml:space="preserve">Throttle Cleaner</t>
  </si>
  <si>
    <t xml:space="preserve">منظف الثروتل</t>
  </si>
  <si>
    <t xml:space="preserve">节气门清洗剂</t>
  </si>
  <si>
    <t xml:space="preserve">CHM-004</t>
  </si>
  <si>
    <t xml:space="preserve">SKU1180</t>
  </si>
  <si>
    <t xml:space="preserve">Fuel Cleaner</t>
  </si>
  <si>
    <t xml:space="preserve">منظف نظام الوقود</t>
  </si>
  <si>
    <t xml:space="preserve">燃油系统清洗剂</t>
  </si>
  <si>
    <t xml:space="preserve">CHM-005</t>
  </si>
  <si>
    <t xml:space="preserve">SKU1181</t>
  </si>
  <si>
    <t xml:space="preserve">Engine Flush</t>
  </si>
  <si>
    <t xml:space="preserve">منظف داخلي للمحرك</t>
  </si>
  <si>
    <t xml:space="preserve">发动机内部清洗剂</t>
  </si>
  <si>
    <t xml:space="preserve">CHM-006</t>
  </si>
  <si>
    <t xml:space="preserve">SKU1182</t>
  </si>
  <si>
    <t xml:space="preserve">Radiator Stop Leak</t>
  </si>
  <si>
    <t xml:space="preserve">سد تسريب الرديتر</t>
  </si>
  <si>
    <t xml:space="preserve">水箱堵漏剂</t>
  </si>
  <si>
    <t xml:space="preserve">CHM-007</t>
  </si>
  <si>
    <t xml:space="preserve">SKU1183</t>
  </si>
  <si>
    <t xml:space="preserve">Thread Locker</t>
  </si>
  <si>
    <t xml:space="preserve">لاصق براغي</t>
  </si>
  <si>
    <t xml:space="preserve">螺纹锁固胶</t>
  </si>
  <si>
    <t xml:space="preserve">CHM-008</t>
  </si>
  <si>
    <t xml:space="preserve">SKU1184</t>
  </si>
  <si>
    <t xml:space="preserve">Silicone Sealant</t>
  </si>
  <si>
    <t xml:space="preserve">سيليكون مانع تسرب</t>
  </si>
  <si>
    <t xml:space="preserve">硅酮密封胶</t>
  </si>
  <si>
    <t xml:space="preserve">CHM-009</t>
  </si>
  <si>
    <t xml:space="preserve">SKU1185</t>
  </si>
  <si>
    <t xml:space="preserve">Anti-Seize Compound</t>
  </si>
  <si>
    <t xml:space="preserve">معجون منع الالتصاق</t>
  </si>
  <si>
    <t xml:space="preserve">防卡剂</t>
  </si>
  <si>
    <t xml:space="preserve">CHM-010</t>
  </si>
  <si>
    <t xml:space="preserve">SKU1186</t>
  </si>
  <si>
    <t xml:space="preserve">Battery Terminal Protector</t>
  </si>
  <si>
    <t xml:space="preserve">حماية أقطاب البطارية</t>
  </si>
  <si>
    <t xml:space="preserve">电瓶接线柱保护剂</t>
  </si>
  <si>
    <t xml:space="preserve">CHM-011</t>
  </si>
  <si>
    <t xml:space="preserve">SKU1187</t>
  </si>
  <si>
    <t xml:space="preserve">Refrigerant</t>
  </si>
  <si>
    <t xml:space="preserve">غاز تكييف</t>
  </si>
  <si>
    <t xml:space="preserve">制冷剂</t>
  </si>
  <si>
    <t xml:space="preserve">CHM-012</t>
  </si>
  <si>
    <t xml:space="preserve">SKU1188</t>
  </si>
  <si>
    <t xml:space="preserve">CHM-013</t>
  </si>
  <si>
    <t xml:space="preserve">SKU1189</t>
  </si>
  <si>
    <t xml:space="preserve">Compressor Oil</t>
  </si>
  <si>
    <t xml:space="preserve">زيت كمبروسر التكييف</t>
  </si>
  <si>
    <t xml:space="preserve">空调压缩机油</t>
  </si>
  <si>
    <t xml:space="preserve">CHM-014</t>
  </si>
  <si>
    <t xml:space="preserve">SKU1190</t>
  </si>
  <si>
    <t xml:space="preserve">Tire Sealant</t>
  </si>
  <si>
    <t xml:space="preserve">معجون إصلاح الإطارات</t>
  </si>
  <si>
    <t xml:space="preserve">轮胎密封剂</t>
  </si>
  <si>
    <t xml:space="preserve">CHM-015</t>
  </si>
  <si>
    <t xml:space="preserve">SKU1191</t>
  </si>
  <si>
    <t xml:space="preserve">Automatic Transmission Assembly</t>
  </si>
  <si>
    <t xml:space="preserve">ناقل حركة أوتوماتيك كامل</t>
  </si>
  <si>
    <t xml:space="preserve">自动变速箱总成</t>
  </si>
  <si>
    <t xml:space="preserve">TRN</t>
  </si>
  <si>
    <t xml:space="preserve">TRN-001</t>
  </si>
  <si>
    <t xml:space="preserve">SKU1192</t>
  </si>
  <si>
    <t xml:space="preserve">Manual Transmission Assembly</t>
  </si>
  <si>
    <t xml:space="preserve">ناقل حركة عادي كامل</t>
  </si>
  <si>
    <t xml:space="preserve">手动变速箱总成</t>
  </si>
  <si>
    <t xml:space="preserve">TRN-002</t>
  </si>
  <si>
    <t xml:space="preserve">SKU1193</t>
  </si>
  <si>
    <t xml:space="preserve">Transmission Mount</t>
  </si>
  <si>
    <t xml:space="preserve">قاعدة ناقل الحركة</t>
  </si>
  <si>
    <t xml:space="preserve">变速箱脚垫</t>
  </si>
  <si>
    <t xml:space="preserve">TRN-003</t>
  </si>
  <si>
    <t xml:space="preserve">SKU1194</t>
  </si>
  <si>
    <t xml:space="preserve">Transmission Oil Pan</t>
  </si>
  <si>
    <t xml:space="preserve">حوض زيت ناقل الحركة</t>
  </si>
  <si>
    <t xml:space="preserve">变速箱油底壳</t>
  </si>
  <si>
    <t xml:space="preserve">TRN-004</t>
  </si>
  <si>
    <t xml:space="preserve">SKU1195</t>
  </si>
  <si>
    <t xml:space="preserve">Transmission Pan Gasket</t>
  </si>
  <si>
    <t xml:space="preserve">جوان حوض ناقل الحركة</t>
  </si>
  <si>
    <t xml:space="preserve">变速箱油底壳垫</t>
  </si>
  <si>
    <t xml:space="preserve">TRN-005</t>
  </si>
  <si>
    <t xml:space="preserve">SKU1196</t>
  </si>
  <si>
    <t xml:space="preserve">Transmission Valve Body</t>
  </si>
  <si>
    <t xml:space="preserve">وحدة الصمامات</t>
  </si>
  <si>
    <t xml:space="preserve">变速箱阀体</t>
  </si>
  <si>
    <t xml:space="preserve">TRN-006</t>
  </si>
  <si>
    <t xml:space="preserve">SKU1197</t>
  </si>
  <si>
    <t xml:space="preserve">Transmission Shift Solenoid</t>
  </si>
  <si>
    <t xml:space="preserve">سولينويد تغيير السرعات</t>
  </si>
  <si>
    <t xml:space="preserve">变速箱换挡电磁阀</t>
  </si>
  <si>
    <t xml:space="preserve">TRN-007</t>
  </si>
  <si>
    <t xml:space="preserve">SKU1198</t>
  </si>
  <si>
    <t xml:space="preserve">Mechatronic Unit</t>
  </si>
  <si>
    <t xml:space="preserve">وحدة الميكاترونيك</t>
  </si>
  <si>
    <t xml:space="preserve">机电单元</t>
  </si>
  <si>
    <t xml:space="preserve">TRN-008</t>
  </si>
  <si>
    <t xml:space="preserve">SKU1199</t>
  </si>
  <si>
    <t xml:space="preserve">CVT Belt</t>
  </si>
  <si>
    <t xml:space="preserve">سير ناقل CVT</t>
  </si>
  <si>
    <r>
      <rPr>
        <sz val="10"/>
        <rFont val="Arial"/>
        <family val="0"/>
        <charset val="1"/>
      </rPr>
      <t xml:space="preserve">CVT</t>
    </r>
    <r>
      <rPr>
        <sz val="10"/>
        <rFont val="Noto Sans CJK SC"/>
        <family val="2"/>
      </rPr>
      <t xml:space="preserve">钢带</t>
    </r>
  </si>
  <si>
    <t xml:space="preserve">TRN-009</t>
  </si>
  <si>
    <t xml:space="preserve">SKU1200</t>
  </si>
  <si>
    <t xml:space="preserve">CVT Pulley Set</t>
  </si>
  <si>
    <t xml:space="preserve">طقم بكرات CVT</t>
  </si>
  <si>
    <r>
      <rPr>
        <sz val="10"/>
        <rFont val="Arial"/>
        <family val="0"/>
        <charset val="1"/>
      </rPr>
      <t xml:space="preserve">CVT</t>
    </r>
    <r>
      <rPr>
        <sz val="10"/>
        <rFont val="Noto Sans CJK SC"/>
        <family val="2"/>
      </rPr>
      <t xml:space="preserve">锥轮套装</t>
    </r>
  </si>
  <si>
    <t xml:space="preserve">TRN-010</t>
  </si>
  <si>
    <t xml:space="preserve">SKU1201</t>
  </si>
  <si>
    <t xml:space="preserve">Gear Shift Cable</t>
  </si>
  <si>
    <t xml:space="preserve">كابل تعشيق السرعات</t>
  </si>
  <si>
    <t xml:space="preserve">换挡拉索</t>
  </si>
  <si>
    <t xml:space="preserve">TRN-011</t>
  </si>
  <si>
    <t xml:space="preserve">SKU1202</t>
  </si>
  <si>
    <t xml:space="preserve">Gear Shift Lever</t>
  </si>
  <si>
    <t xml:space="preserve">Center Console</t>
  </si>
  <si>
    <t xml:space="preserve">ذراع تعشيق السرعات</t>
  </si>
  <si>
    <t xml:space="preserve">الكونسول الأوسط</t>
  </si>
  <si>
    <t xml:space="preserve">换挡杆</t>
  </si>
  <si>
    <t xml:space="preserve">中控台</t>
  </si>
  <si>
    <t xml:space="preserve">TRN-012</t>
  </si>
  <si>
    <t xml:space="preserve">SKU1203</t>
  </si>
  <si>
    <t xml:space="preserve">Auto Gear Selector</t>
  </si>
  <si>
    <t xml:space="preserve">مجموعة اختيار السرعات</t>
  </si>
  <si>
    <t xml:space="preserve">自动挡换挡器总成</t>
  </si>
  <si>
    <t xml:space="preserve">TRN-013</t>
  </si>
  <si>
    <t xml:space="preserve">SKU1204</t>
  </si>
  <si>
    <t xml:space="preserve">Output Shaft Seal</t>
  </si>
  <si>
    <t xml:space="preserve">سيل عمود خرج ناقل الحركة</t>
  </si>
  <si>
    <t xml:space="preserve">变速箱输出轴油封</t>
  </si>
  <si>
    <t xml:space="preserve">TRN-014</t>
  </si>
  <si>
    <t xml:space="preserve">SKU1205</t>
  </si>
  <si>
    <t xml:space="preserve">SKU1206</t>
  </si>
  <si>
    <t xml:space="preserve">Input Shaft Seal</t>
  </si>
  <si>
    <t xml:space="preserve">سيل عمود دخل ناقل الحركة</t>
  </si>
  <si>
    <t xml:space="preserve">变速箱输入轴油封</t>
  </si>
  <si>
    <t xml:space="preserve">TRN-015</t>
  </si>
  <si>
    <t xml:space="preserve">SKU1207</t>
  </si>
  <si>
    <t xml:space="preserve">Transmission Bearing Kit</t>
  </si>
  <si>
    <t xml:space="preserve">طقم رولمانات ناقل الحركة</t>
  </si>
  <si>
    <t xml:space="preserve">变速箱轴承套装</t>
  </si>
  <si>
    <t xml:space="preserve">TRN-016</t>
  </si>
  <si>
    <t xml:space="preserve">SKU1208</t>
  </si>
  <si>
    <t xml:space="preserve">Synchronizer Ring Set</t>
  </si>
  <si>
    <t xml:space="preserve">طقم حلقات التزامن</t>
  </si>
  <si>
    <t xml:space="preserve">同步器环套装</t>
  </si>
  <si>
    <t xml:space="preserve">TRN-017</t>
  </si>
  <si>
    <t xml:space="preserve">SKU1209</t>
  </si>
  <si>
    <t xml:space="preserve">Transmission Breather</t>
  </si>
  <si>
    <t xml:space="preserve">منفذ تهوية ناقل الحركة</t>
  </si>
  <si>
    <t xml:space="preserve">变速箱呼吸器</t>
  </si>
  <si>
    <t xml:space="preserve">TRN-018</t>
  </si>
  <si>
    <t xml:space="preserve">SKU1210</t>
  </si>
  <si>
    <t xml:space="preserve">Cooler Line Set</t>
  </si>
  <si>
    <t xml:space="preserve">طقم مواسير مبرد ناقل الحركة</t>
  </si>
  <si>
    <t xml:space="preserve">变速箱冷却管套装</t>
  </si>
  <si>
    <t xml:space="preserve">TRN-019</t>
  </si>
  <si>
    <t xml:space="preserve">SKU1211</t>
  </si>
  <si>
    <t xml:space="preserve">Clutch</t>
  </si>
  <si>
    <t xml:space="preserve">Clutch Kit</t>
  </si>
  <si>
    <t xml:space="preserve">Clutch Housing</t>
  </si>
  <si>
    <t xml:space="preserve">الدبرياج</t>
  </si>
  <si>
    <t xml:space="preserve">طقم دبرياج</t>
  </si>
  <si>
    <t xml:space="preserve">بيت القابض</t>
  </si>
  <si>
    <t xml:space="preserve">离合器</t>
  </si>
  <si>
    <t xml:space="preserve">离合器套装</t>
  </si>
  <si>
    <t xml:space="preserve">离合器壳</t>
  </si>
  <si>
    <t xml:space="preserve">CLU</t>
  </si>
  <si>
    <t xml:space="preserve">CLU-001</t>
  </si>
  <si>
    <t xml:space="preserve">SKU1212</t>
  </si>
  <si>
    <t xml:space="preserve">Clutch Disc</t>
  </si>
  <si>
    <t xml:space="preserve">قرص الدبرياج</t>
  </si>
  <si>
    <t xml:space="preserve">离合器片</t>
  </si>
  <si>
    <t xml:space="preserve">CLU-002</t>
  </si>
  <si>
    <t xml:space="preserve">SKU1213</t>
  </si>
  <si>
    <t xml:space="preserve">Clutch Pressure Plate</t>
  </si>
  <si>
    <t xml:space="preserve">صحن الدبرياج</t>
  </si>
  <si>
    <t xml:space="preserve">离合器压盘</t>
  </si>
  <si>
    <t xml:space="preserve">CLU-003</t>
  </si>
  <si>
    <t xml:space="preserve">SKU1214</t>
  </si>
  <si>
    <t xml:space="preserve">Clutch Release Bearing</t>
  </si>
  <si>
    <t xml:space="preserve">رولمان الدبرياج</t>
  </si>
  <si>
    <t xml:space="preserve">离合器分离轴承</t>
  </si>
  <si>
    <t xml:space="preserve">CLU-004</t>
  </si>
  <si>
    <t xml:space="preserve">SKU1215</t>
  </si>
  <si>
    <t xml:space="preserve">Clutch Master Cylinder</t>
  </si>
  <si>
    <t xml:space="preserve">طلمبة الدبرياج الرئيسية</t>
  </si>
  <si>
    <t xml:space="preserve">离合器总泵</t>
  </si>
  <si>
    <t xml:space="preserve">CLU-005</t>
  </si>
  <si>
    <t xml:space="preserve">SKU1216</t>
  </si>
  <si>
    <t xml:space="preserve">Clutch Slave Cylinder</t>
  </si>
  <si>
    <t xml:space="preserve">طلمبة الدبرياج الفرعية</t>
  </si>
  <si>
    <t xml:space="preserve">离合器分泵</t>
  </si>
  <si>
    <t xml:space="preserve">CLU-006</t>
  </si>
  <si>
    <t xml:space="preserve">SKU1217</t>
  </si>
  <si>
    <t xml:space="preserve">Clutch Hose</t>
  </si>
  <si>
    <t xml:space="preserve">خرطوم الدبرياج</t>
  </si>
  <si>
    <t xml:space="preserve">离合器油管</t>
  </si>
  <si>
    <t xml:space="preserve">CLU-007</t>
  </si>
  <si>
    <t xml:space="preserve">SKU1218</t>
  </si>
  <si>
    <t xml:space="preserve">Clutch Cable</t>
  </si>
  <si>
    <t xml:space="preserve">كابل الدبرياج</t>
  </si>
  <si>
    <t xml:space="preserve">离合器拉线</t>
  </si>
  <si>
    <t xml:space="preserve">CLU-008</t>
  </si>
  <si>
    <t xml:space="preserve">SKU1219</t>
  </si>
  <si>
    <t xml:space="preserve">Flywheel</t>
  </si>
  <si>
    <t xml:space="preserve">الفولان</t>
  </si>
  <si>
    <t xml:space="preserve">飞轮</t>
  </si>
  <si>
    <t xml:space="preserve">CLU-009</t>
  </si>
  <si>
    <t xml:space="preserve">SKU1220</t>
  </si>
  <si>
    <t xml:space="preserve">Dual Mass Flywheel</t>
  </si>
  <si>
    <t xml:space="preserve">فولان مزدوج الكتلة</t>
  </si>
  <si>
    <t xml:space="preserve">双质量飞轮</t>
  </si>
  <si>
    <t xml:space="preserve">CLU-010</t>
  </si>
  <si>
    <t xml:space="preserve">SKU1221</t>
  </si>
  <si>
    <t xml:space="preserve">Flexplate</t>
  </si>
  <si>
    <t xml:space="preserve">قرص الدفع المرن</t>
  </si>
  <si>
    <t xml:space="preserve">柔性飞轮盘</t>
  </si>
  <si>
    <t xml:space="preserve">CLU-011</t>
  </si>
  <si>
    <t xml:space="preserve">SKU1222</t>
  </si>
  <si>
    <t xml:space="preserve">Torque Converter</t>
  </si>
  <si>
    <t xml:space="preserve">محول العزم</t>
  </si>
  <si>
    <t xml:space="preserve">液力变矩器</t>
  </si>
  <si>
    <t xml:space="preserve">CLU-012</t>
  </si>
  <si>
    <t xml:space="preserve">SKU1223</t>
  </si>
  <si>
    <t xml:space="preserve">DCT Clutch Pack</t>
  </si>
  <si>
    <t xml:space="preserve">طقم قابض DCT المزدوج</t>
  </si>
  <si>
    <t xml:space="preserve">双离合器总成</t>
  </si>
  <si>
    <t xml:space="preserve">CLU-013</t>
  </si>
  <si>
    <t xml:space="preserve">SKU1224</t>
  </si>
  <si>
    <t xml:space="preserve">Driveline</t>
  </si>
  <si>
    <t xml:space="preserve">Drive Shaft</t>
  </si>
  <si>
    <t xml:space="preserve">نقل الحركة</t>
  </si>
  <si>
    <t xml:space="preserve">عمود الكردان</t>
  </si>
  <si>
    <t xml:space="preserve">نظام نقل الحركة</t>
  </si>
  <si>
    <t xml:space="preserve">传动</t>
  </si>
  <si>
    <t xml:space="preserve">传动轴</t>
  </si>
  <si>
    <t xml:space="preserve">传动系统</t>
  </si>
  <si>
    <t xml:space="preserve">DRV</t>
  </si>
  <si>
    <t xml:space="preserve">DRV-001</t>
  </si>
  <si>
    <t xml:space="preserve">SKU1225</t>
  </si>
  <si>
    <t xml:space="preserve">Shaft Center Bearing</t>
  </si>
  <si>
    <t xml:space="preserve">رولمان الكردان الأوسط</t>
  </si>
  <si>
    <t xml:space="preserve">传动轴中间支撑轴承</t>
  </si>
  <si>
    <t xml:space="preserve">DRV-002</t>
  </si>
  <si>
    <t xml:space="preserve">SKU1226</t>
  </si>
  <si>
    <t xml:space="preserve">Universal Joint</t>
  </si>
  <si>
    <t xml:space="preserve">وصلة كردان</t>
  </si>
  <si>
    <t xml:space="preserve">万向节</t>
  </si>
  <si>
    <t xml:space="preserve">DRV-003</t>
  </si>
  <si>
    <t xml:space="preserve">SKU1227</t>
  </si>
  <si>
    <t xml:space="preserve">Differential Assembly</t>
  </si>
  <si>
    <t xml:space="preserve">دفرنس كامل</t>
  </si>
  <si>
    <t xml:space="preserve">差速器总成</t>
  </si>
  <si>
    <t xml:space="preserve">DRV-004</t>
  </si>
  <si>
    <t xml:space="preserve">SKU1228</t>
  </si>
  <si>
    <t xml:space="preserve">SKU1229</t>
  </si>
  <si>
    <t xml:space="preserve">Differential Pinion Seal</t>
  </si>
  <si>
    <t xml:space="preserve">سيل بنيون الدفرنس</t>
  </si>
  <si>
    <t xml:space="preserve">差速器主减速器油封</t>
  </si>
  <si>
    <t xml:space="preserve">DRV-005</t>
  </si>
  <si>
    <t xml:space="preserve">SKU1230</t>
  </si>
  <si>
    <t xml:space="preserve">SKU1231</t>
  </si>
  <si>
    <t xml:space="preserve">Ring Pinion Set</t>
  </si>
  <si>
    <t xml:space="preserve">طقم تروس الدفرنس</t>
  </si>
  <si>
    <t xml:space="preserve">差速器主从动齿轮套装</t>
  </si>
  <si>
    <t xml:space="preserve">DRV-006</t>
  </si>
  <si>
    <t xml:space="preserve">SKU1232</t>
  </si>
  <si>
    <t xml:space="preserve">SKU1233</t>
  </si>
  <si>
    <t xml:space="preserve">Differential Cover Gasket</t>
  </si>
  <si>
    <t xml:space="preserve">جوان غطاء الدفرنس</t>
  </si>
  <si>
    <t xml:space="preserve">差速器盖垫</t>
  </si>
  <si>
    <t xml:space="preserve">DRV-007</t>
  </si>
  <si>
    <t xml:space="preserve">SKU1234</t>
  </si>
  <si>
    <t xml:space="preserve">SKU1235</t>
  </si>
  <si>
    <t xml:space="preserve">Differential Bearing Kit</t>
  </si>
  <si>
    <t xml:space="preserve">طقم رولمانات الدفرنس</t>
  </si>
  <si>
    <t xml:space="preserve">差速器轴承套装</t>
  </si>
  <si>
    <t xml:space="preserve">DRV-008</t>
  </si>
  <si>
    <t xml:space="preserve">SKU1236</t>
  </si>
  <si>
    <t xml:space="preserve">SKU1237</t>
  </si>
  <si>
    <t xml:space="preserve">Transfer Case</t>
  </si>
  <si>
    <t xml:space="preserve">علبة نقل الحركة</t>
  </si>
  <si>
    <t xml:space="preserve">分动箱</t>
  </si>
  <si>
    <t xml:space="preserve">DRV-009</t>
  </si>
  <si>
    <t xml:space="preserve">SKU1238</t>
  </si>
  <si>
    <t xml:space="preserve">Transfer Output Seal</t>
  </si>
  <si>
    <t xml:space="preserve">سيل خرج علبة نقل الحركة</t>
  </si>
  <si>
    <t xml:space="preserve">分动箱输出油封</t>
  </si>
  <si>
    <t xml:space="preserve">DRV-010</t>
  </si>
  <si>
    <t xml:space="preserve">SKU1239</t>
  </si>
  <si>
    <t xml:space="preserve">SKU1240</t>
  </si>
  <si>
    <t xml:space="preserve">Transfer Actuator Motor</t>
  </si>
  <si>
    <t xml:space="preserve">موتور تعشيق علبة نقل الحركة</t>
  </si>
  <si>
    <t xml:space="preserve">分动箱执行电机</t>
  </si>
  <si>
    <t xml:space="preserve">DRV-011</t>
  </si>
  <si>
    <t xml:space="preserve">SKU1241</t>
  </si>
  <si>
    <t xml:space="preserve">Axles</t>
  </si>
  <si>
    <t xml:space="preserve">CV Axle Shaft</t>
  </si>
  <si>
    <t xml:space="preserve">Front-Left</t>
  </si>
  <si>
    <t xml:space="preserve">المحاور</t>
  </si>
  <si>
    <t xml:space="preserve">عمود الدفع</t>
  </si>
  <si>
    <t xml:space="preserve">أمامي يسار</t>
  </si>
  <si>
    <t xml:space="preserve">车桥</t>
  </si>
  <si>
    <t xml:space="preserve">驱动半轴</t>
  </si>
  <si>
    <t xml:space="preserve">前左</t>
  </si>
  <si>
    <t xml:space="preserve">AXL</t>
  </si>
  <si>
    <t xml:space="preserve">AXL-001</t>
  </si>
  <si>
    <t xml:space="preserve">SKU1242</t>
  </si>
  <si>
    <t xml:space="preserve">Front-Right</t>
  </si>
  <si>
    <t xml:space="preserve">أمامي يمين</t>
  </si>
  <si>
    <t xml:space="preserve">前右</t>
  </si>
  <si>
    <t xml:space="preserve">SKU1243</t>
  </si>
  <si>
    <t xml:space="preserve">Rear-Left</t>
  </si>
  <si>
    <t xml:space="preserve">خلفي يسار</t>
  </si>
  <si>
    <t xml:space="preserve">后左</t>
  </si>
  <si>
    <t xml:space="preserve">SKU1244</t>
  </si>
  <si>
    <t xml:space="preserve">Rear-Right</t>
  </si>
  <si>
    <t xml:space="preserve">خلفي يمين</t>
  </si>
  <si>
    <t xml:space="preserve">后右</t>
  </si>
  <si>
    <t xml:space="preserve">SKU1245</t>
  </si>
  <si>
    <t xml:space="preserve">CV Joint</t>
  </si>
  <si>
    <t xml:space="preserve">وصلة CV</t>
  </si>
  <si>
    <t xml:space="preserve">等速万向节</t>
  </si>
  <si>
    <t xml:space="preserve">AXL-002</t>
  </si>
  <si>
    <t xml:space="preserve">SKU1246</t>
  </si>
  <si>
    <t xml:space="preserve">SKU1247</t>
  </si>
  <si>
    <t xml:space="preserve">SKU1248</t>
  </si>
  <si>
    <t xml:space="preserve">SKU1249</t>
  </si>
  <si>
    <t xml:space="preserve">CV Boot Kit</t>
  </si>
  <si>
    <t xml:space="preserve">طقم كاوتش جوزة العمود</t>
  </si>
  <si>
    <t xml:space="preserve">等速节防尘套套装</t>
  </si>
  <si>
    <t xml:space="preserve">AXL-003</t>
  </si>
  <si>
    <t xml:space="preserve">SKU1250</t>
  </si>
  <si>
    <t xml:space="preserve">SKU1251</t>
  </si>
  <si>
    <t xml:space="preserve">SKU1252</t>
  </si>
  <si>
    <t xml:space="preserve">SKU1253</t>
  </si>
  <si>
    <t xml:space="preserve">Axle Nut</t>
  </si>
  <si>
    <t xml:space="preserve">Wheel Hub</t>
  </si>
  <si>
    <t xml:space="preserve">صامولة المحور</t>
  </si>
  <si>
    <t xml:space="preserve">صرة العجلة</t>
  </si>
  <si>
    <t xml:space="preserve">半轴螺母</t>
  </si>
  <si>
    <t xml:space="preserve">轮毂</t>
  </si>
  <si>
    <t xml:space="preserve">AXL-004</t>
  </si>
  <si>
    <t xml:space="preserve">SKU1254</t>
  </si>
  <si>
    <t xml:space="preserve">SKU1255</t>
  </si>
  <si>
    <t xml:space="preserve">SKU1256</t>
  </si>
  <si>
    <t xml:space="preserve">SKU1257</t>
  </si>
  <si>
    <t xml:space="preserve">Axle Shaft Seal</t>
  </si>
  <si>
    <t xml:space="preserve">سيل عمود المحور</t>
  </si>
  <si>
    <t xml:space="preserve">半轴油封</t>
  </si>
  <si>
    <t xml:space="preserve">AXL-005</t>
  </si>
  <si>
    <t xml:space="preserve">SKU1258</t>
  </si>
  <si>
    <t xml:space="preserve">SKU1259</t>
  </si>
  <si>
    <t xml:space="preserve">SKU1260</t>
  </si>
  <si>
    <t xml:space="preserve">SKU1261</t>
  </si>
  <si>
    <t xml:space="preserve">Axle Housing</t>
  </si>
  <si>
    <t xml:space="preserve">بيت المحور</t>
  </si>
  <si>
    <t xml:space="preserve">桥壳</t>
  </si>
  <si>
    <t xml:space="preserve">AXL-006</t>
  </si>
  <si>
    <t xml:space="preserve">SKU1262</t>
  </si>
  <si>
    <t xml:space="preserve">SKU1263</t>
  </si>
  <si>
    <t xml:space="preserve">Brakes</t>
  </si>
  <si>
    <t xml:space="preserve">Brake Pad Set</t>
  </si>
  <si>
    <t xml:space="preserve">Brake System</t>
  </si>
  <si>
    <t xml:space="preserve">الفرامل</t>
  </si>
  <si>
    <t xml:space="preserve">طقم تيل فرامل</t>
  </si>
  <si>
    <t xml:space="preserve">نظام الفرامل</t>
  </si>
  <si>
    <t xml:space="preserve">制动</t>
  </si>
  <si>
    <t xml:space="preserve">刹车片套装</t>
  </si>
  <si>
    <t xml:space="preserve">制动系统</t>
  </si>
  <si>
    <t xml:space="preserve">BRK</t>
  </si>
  <si>
    <t xml:space="preserve">BRK-001</t>
  </si>
  <si>
    <t xml:space="preserve">SKU1264</t>
  </si>
  <si>
    <t xml:space="preserve">SKU1265</t>
  </si>
  <si>
    <t xml:space="preserve">Brake Disc</t>
  </si>
  <si>
    <t xml:space="preserve">ديسك فرامل</t>
  </si>
  <si>
    <t xml:space="preserve">制动盘</t>
  </si>
  <si>
    <t xml:space="preserve">BRK-002</t>
  </si>
  <si>
    <t xml:space="preserve">SKU1266</t>
  </si>
  <si>
    <t xml:space="preserve">SKU1267</t>
  </si>
  <si>
    <t xml:space="preserve">Disc Pad Kit</t>
  </si>
  <si>
    <t xml:space="preserve">طقم ديسك وتيل فرامل</t>
  </si>
  <si>
    <t xml:space="preserve">制动盘与刹车片套装</t>
  </si>
  <si>
    <t xml:space="preserve">BRK-003</t>
  </si>
  <si>
    <t xml:space="preserve">SKU1268</t>
  </si>
  <si>
    <t xml:space="preserve">SKU1269</t>
  </si>
  <si>
    <t xml:space="preserve">Brake Drum</t>
  </si>
  <si>
    <t xml:space="preserve">Rear Brake</t>
  </si>
  <si>
    <t xml:space="preserve">طنبور فرامل</t>
  </si>
  <si>
    <t xml:space="preserve">الفرامل الخلفية</t>
  </si>
  <si>
    <t xml:space="preserve">制动鼓</t>
  </si>
  <si>
    <t xml:space="preserve">后制动器</t>
  </si>
  <si>
    <t xml:space="preserve">BRK-004</t>
  </si>
  <si>
    <t xml:space="preserve">SKU1270</t>
  </si>
  <si>
    <t xml:space="preserve">Brake Shoe Set</t>
  </si>
  <si>
    <t xml:space="preserve">طقم أحذية فرامل</t>
  </si>
  <si>
    <t xml:space="preserve">制动蹄套装</t>
  </si>
  <si>
    <t xml:space="preserve">BRK-005</t>
  </si>
  <si>
    <t xml:space="preserve">SKU1271</t>
  </si>
  <si>
    <t xml:space="preserve">Brake Caliper</t>
  </si>
  <si>
    <t xml:space="preserve">كاليبر فرامل</t>
  </si>
  <si>
    <t xml:space="preserve">制动卡钳</t>
  </si>
  <si>
    <t xml:space="preserve">BRK-006</t>
  </si>
  <si>
    <t xml:space="preserve">SKU1272</t>
  </si>
  <si>
    <t xml:space="preserve">SKU1273</t>
  </si>
  <si>
    <t xml:space="preserve">SKU1274</t>
  </si>
  <si>
    <t xml:space="preserve">SKU1275</t>
  </si>
  <si>
    <t xml:space="preserve">Brake Caliper Bracket</t>
  </si>
  <si>
    <t xml:space="preserve">حامل كاليبر الفرامل</t>
  </si>
  <si>
    <t xml:space="preserve">制动卡钳支架</t>
  </si>
  <si>
    <t xml:space="preserve">BRK-007</t>
  </si>
  <si>
    <t xml:space="preserve">SKU1276</t>
  </si>
  <si>
    <t xml:space="preserve">SKU1277</t>
  </si>
  <si>
    <t xml:space="preserve">SKU1278</t>
  </si>
  <si>
    <t xml:space="preserve">SKU1279</t>
  </si>
  <si>
    <t xml:space="preserve">Caliper Repair Kit</t>
  </si>
  <si>
    <t xml:space="preserve">طقم إصلاح كاليبر الفرامل</t>
  </si>
  <si>
    <t xml:space="preserve">制动卡钳修理包</t>
  </si>
  <si>
    <t xml:space="preserve">BRK-008</t>
  </si>
  <si>
    <t xml:space="preserve">SKU1280</t>
  </si>
  <si>
    <t xml:space="preserve">SKU1281</t>
  </si>
  <si>
    <t xml:space="preserve">Caliper Pin Kit</t>
  </si>
  <si>
    <t xml:space="preserve">طقم مسامير انزلاق الكاليبر</t>
  </si>
  <si>
    <t xml:space="preserve">制动卡钳导向销套装</t>
  </si>
  <si>
    <t xml:space="preserve">BRK-009</t>
  </si>
  <si>
    <t xml:space="preserve">SKU1282</t>
  </si>
  <si>
    <t xml:space="preserve">SKU1283</t>
  </si>
  <si>
    <t xml:space="preserve">Brake Hardware Kit</t>
  </si>
  <si>
    <t xml:space="preserve">طقم زنبركات ومشابك الفرامل</t>
  </si>
  <si>
    <t xml:space="preserve">制动片弹簧卡扣套装</t>
  </si>
  <si>
    <t xml:space="preserve">BRK-010</t>
  </si>
  <si>
    <t xml:space="preserve">SKU1284</t>
  </si>
  <si>
    <t xml:space="preserve">SKU1285</t>
  </si>
  <si>
    <t xml:space="preserve">Pad Wear Sensor</t>
  </si>
  <si>
    <t xml:space="preserve">حساس تآكل تيل الفرامل</t>
  </si>
  <si>
    <t xml:space="preserve">刹车片磨损传感器</t>
  </si>
  <si>
    <t xml:space="preserve">BRK-011</t>
  </si>
  <si>
    <t xml:space="preserve">SKU1286</t>
  </si>
  <si>
    <t xml:space="preserve">SKU1287</t>
  </si>
  <si>
    <t xml:space="preserve">Parking Brake Cable</t>
  </si>
  <si>
    <t xml:space="preserve">كابل الفرامل اليدوية</t>
  </si>
  <si>
    <t xml:space="preserve">驻车制动拉索</t>
  </si>
  <si>
    <t xml:space="preserve">BRK-012</t>
  </si>
  <si>
    <t xml:space="preserve">SKU1288</t>
  </si>
  <si>
    <t xml:space="preserve">SKU1289</t>
  </si>
  <si>
    <t xml:space="preserve">Parking Brake Lever</t>
  </si>
  <si>
    <t xml:space="preserve">ذراع الفرامل اليدوية</t>
  </si>
  <si>
    <t xml:space="preserve">手刹拉杆</t>
  </si>
  <si>
    <t xml:space="preserve">BRK-013</t>
  </si>
  <si>
    <t xml:space="preserve">SKU1290</t>
  </si>
  <si>
    <t xml:space="preserve">Parking Brake Actuator</t>
  </si>
  <si>
    <t xml:space="preserve">مشغل الفرامل الإلكترونية</t>
  </si>
  <si>
    <t xml:space="preserve">电子驻车制动执行器</t>
  </si>
  <si>
    <t xml:space="preserve">BRK-014</t>
  </si>
  <si>
    <t xml:space="preserve">SKU1291</t>
  </si>
  <si>
    <t xml:space="preserve">SKU1292</t>
  </si>
  <si>
    <t xml:space="preserve">Parking Brake Switch</t>
  </si>
  <si>
    <t xml:space="preserve">مفتاح الفرامل الإلكترونية</t>
  </si>
  <si>
    <t xml:space="preserve">电子驻车制动开关</t>
  </si>
  <si>
    <t xml:space="preserve">BRK-015</t>
  </si>
  <si>
    <t xml:space="preserve">SKU1293</t>
  </si>
  <si>
    <t xml:space="preserve">Brake Backing Plate</t>
  </si>
  <si>
    <t xml:space="preserve">Wheel Area</t>
  </si>
  <si>
    <t xml:space="preserve">لوحة خلفية للفرامل</t>
  </si>
  <si>
    <t xml:space="preserve">منطقة العجلة</t>
  </si>
  <si>
    <t xml:space="preserve">制动底板</t>
  </si>
  <si>
    <t xml:space="preserve">车轮区域</t>
  </si>
  <si>
    <t xml:space="preserve">BRK-016</t>
  </si>
  <si>
    <t xml:space="preserve">SKU1294</t>
  </si>
  <si>
    <t xml:space="preserve">SKU1295</t>
  </si>
  <si>
    <t xml:space="preserve">SKU1296</t>
  </si>
  <si>
    <t xml:space="preserve">SKU1297</t>
  </si>
  <si>
    <t xml:space="preserve">Brake Dust Shield</t>
  </si>
  <si>
    <t xml:space="preserve">درع غبار الفرامل</t>
  </si>
  <si>
    <t xml:space="preserve">制动盘防尘罩</t>
  </si>
  <si>
    <t xml:space="preserve">BRK-017</t>
  </si>
  <si>
    <t xml:space="preserve">SKU1298</t>
  </si>
  <si>
    <t xml:space="preserve">SKU1299</t>
  </si>
  <si>
    <t xml:space="preserve">SKU1300</t>
  </si>
  <si>
    <t xml:space="preserve">SKU1301</t>
  </si>
  <si>
    <t xml:space="preserve">Hydraulics</t>
  </si>
  <si>
    <t xml:space="preserve">Brake Master Cylinder</t>
  </si>
  <si>
    <t xml:space="preserve">هيدروليك الفرامل</t>
  </si>
  <si>
    <t xml:space="preserve">طلمبة الفرامل الرئيسية</t>
  </si>
  <si>
    <t xml:space="preserve">制动液压</t>
  </si>
  <si>
    <t xml:space="preserve">制动总泵</t>
  </si>
  <si>
    <t xml:space="preserve">HYD</t>
  </si>
  <si>
    <t xml:space="preserve">HYD-001</t>
  </si>
  <si>
    <t xml:space="preserve">SKU1302</t>
  </si>
  <si>
    <t xml:space="preserve">Brake Booster</t>
  </si>
  <si>
    <t xml:space="preserve">مساعد الفرامل</t>
  </si>
  <si>
    <t xml:space="preserve">制动助力器</t>
  </si>
  <si>
    <t xml:space="preserve">HYD-002</t>
  </si>
  <si>
    <t xml:space="preserve">SKU1303</t>
  </si>
  <si>
    <t xml:space="preserve">Booster Check Valve</t>
  </si>
  <si>
    <t xml:space="preserve">صمام عدم رجوع مساعد الفرامل</t>
  </si>
  <si>
    <t xml:space="preserve">制动助力器单向阀</t>
  </si>
  <si>
    <t xml:space="preserve">HYD-003</t>
  </si>
  <si>
    <t xml:space="preserve">SKU1304</t>
  </si>
  <si>
    <t xml:space="preserve">Brake Vacuum Hose</t>
  </si>
  <si>
    <t xml:space="preserve">خرطوم تفريغ الفرامل</t>
  </si>
  <si>
    <t xml:space="preserve">制动真空管</t>
  </si>
  <si>
    <t xml:space="preserve">HYD-004</t>
  </si>
  <si>
    <t xml:space="preserve">SKU1305</t>
  </si>
  <si>
    <t xml:space="preserve">Brake Fluid Reservoir</t>
  </si>
  <si>
    <t xml:space="preserve">خزان زيت الفرامل</t>
  </si>
  <si>
    <t xml:space="preserve">制动液壶</t>
  </si>
  <si>
    <t xml:space="preserve">HYD-005</t>
  </si>
  <si>
    <t xml:space="preserve">SKU1306</t>
  </si>
  <si>
    <t xml:space="preserve">Brake Reservoir Cap</t>
  </si>
  <si>
    <t xml:space="preserve">غطاء خزان زيت الفرامل</t>
  </si>
  <si>
    <t xml:space="preserve">制动液壶盖</t>
  </si>
  <si>
    <t xml:space="preserve">HYD-006</t>
  </si>
  <si>
    <t xml:space="preserve">SKU1307</t>
  </si>
  <si>
    <t xml:space="preserve">Brake Hose</t>
  </si>
  <si>
    <t xml:space="preserve">خرطوم الفرامل المطاطي</t>
  </si>
  <si>
    <t xml:space="preserve">制动软管</t>
  </si>
  <si>
    <t xml:space="preserve">HYD-007</t>
  </si>
  <si>
    <t xml:space="preserve">SKU1308</t>
  </si>
  <si>
    <t xml:space="preserve">SKU1309</t>
  </si>
  <si>
    <t xml:space="preserve">SKU1310</t>
  </si>
  <si>
    <t xml:space="preserve">SKU1311</t>
  </si>
  <si>
    <t xml:space="preserve">Brake Line</t>
  </si>
  <si>
    <t xml:space="preserve">ماسورة فرامل معدنية</t>
  </si>
  <si>
    <t xml:space="preserve">制动硬管</t>
  </si>
  <si>
    <t xml:space="preserve">HYD-008</t>
  </si>
  <si>
    <t xml:space="preserve">SKU1312</t>
  </si>
  <si>
    <t xml:space="preserve">SKU1313</t>
  </si>
  <si>
    <t xml:space="preserve">Brake Proportioning Valve</t>
  </si>
  <si>
    <t xml:space="preserve">صمام توزيع قوة الفرامل</t>
  </si>
  <si>
    <t xml:space="preserve">制动力分配阀</t>
  </si>
  <si>
    <t xml:space="preserve">HYD-009</t>
  </si>
  <si>
    <t xml:space="preserve">SKU1314</t>
  </si>
  <si>
    <t xml:space="preserve">ABS Hydraulic Unit</t>
  </si>
  <si>
    <t xml:space="preserve">وحدة ABS الهيدروليكية</t>
  </si>
  <si>
    <r>
      <rPr>
        <sz val="10"/>
        <rFont val="Arial"/>
        <family val="0"/>
        <charset val="1"/>
      </rPr>
      <t xml:space="preserve">ABS</t>
    </r>
    <r>
      <rPr>
        <sz val="10"/>
        <rFont val="Noto Sans CJK SC"/>
        <family val="2"/>
      </rPr>
      <t xml:space="preserve">液压单元</t>
    </r>
  </si>
  <si>
    <t xml:space="preserve">HYD-010</t>
  </si>
  <si>
    <t xml:space="preserve">SKU1315</t>
  </si>
  <si>
    <t xml:space="preserve">ABS Speed Sensor</t>
  </si>
  <si>
    <t xml:space="preserve">حساس سرعة العجلة</t>
  </si>
  <si>
    <r>
      <rPr>
        <sz val="10"/>
        <rFont val="Arial"/>
        <family val="0"/>
        <charset val="1"/>
      </rPr>
      <t xml:space="preserve">ABS</t>
    </r>
    <r>
      <rPr>
        <sz val="10"/>
        <rFont val="Noto Sans CJK SC"/>
        <family val="2"/>
      </rPr>
      <t xml:space="preserve">轮速传感器</t>
    </r>
  </si>
  <si>
    <t xml:space="preserve">HYD-011</t>
  </si>
  <si>
    <t xml:space="preserve">SKU1316</t>
  </si>
  <si>
    <t xml:space="preserve">SKU1317</t>
  </si>
  <si>
    <t xml:space="preserve">SKU1318</t>
  </si>
  <si>
    <t xml:space="preserve">SKU1319</t>
  </si>
  <si>
    <t xml:space="preserve">ABS Tone Ring</t>
  </si>
  <si>
    <t xml:space="preserve">حلقة حساس ABS</t>
  </si>
  <si>
    <r>
      <rPr>
        <sz val="10"/>
        <rFont val="Arial"/>
        <family val="0"/>
        <charset val="1"/>
      </rPr>
      <t xml:space="preserve">ABS</t>
    </r>
    <r>
      <rPr>
        <sz val="10"/>
        <rFont val="Noto Sans CJK SC"/>
        <family val="2"/>
      </rPr>
      <t xml:space="preserve">齿圈</t>
    </r>
  </si>
  <si>
    <t xml:space="preserve">HYD-012</t>
  </si>
  <si>
    <t xml:space="preserve">SKU1320</t>
  </si>
  <si>
    <t xml:space="preserve">SKU1321</t>
  </si>
  <si>
    <t xml:space="preserve">SKU1322</t>
  </si>
  <si>
    <t xml:space="preserve">SKU1323</t>
  </si>
  <si>
    <t xml:space="preserve">Brake Bleeder Screw</t>
  </si>
  <si>
    <t xml:space="preserve">برغي تهوية الفرامل</t>
  </si>
  <si>
    <t xml:space="preserve">制动放气螺丝</t>
  </si>
  <si>
    <t xml:space="preserve">HYD-013</t>
  </si>
  <si>
    <t xml:space="preserve">SKU1324</t>
  </si>
  <si>
    <t xml:space="preserve">SKU1325</t>
  </si>
  <si>
    <t xml:space="preserve">SKU1326</t>
  </si>
  <si>
    <t xml:space="preserve">SKU1327</t>
  </si>
  <si>
    <t xml:space="preserve">Suspension</t>
  </si>
  <si>
    <t xml:space="preserve">Shock Absorber</t>
  </si>
  <si>
    <t xml:space="preserve">Suspension System</t>
  </si>
  <si>
    <t xml:space="preserve">التعليق</t>
  </si>
  <si>
    <t xml:space="preserve">ممتص صدمات</t>
  </si>
  <si>
    <t xml:space="preserve">نظام التعليق</t>
  </si>
  <si>
    <t xml:space="preserve">悬架</t>
  </si>
  <si>
    <t xml:space="preserve">减震器</t>
  </si>
  <si>
    <t xml:space="preserve">悬架系统</t>
  </si>
  <si>
    <t xml:space="preserve">SUS</t>
  </si>
  <si>
    <t xml:space="preserve">SUS-001</t>
  </si>
  <si>
    <t xml:space="preserve">SKU1328</t>
  </si>
  <si>
    <t xml:space="preserve">SKU1329</t>
  </si>
  <si>
    <t xml:space="preserve">SKU1330</t>
  </si>
  <si>
    <t xml:space="preserve">SKU1331</t>
  </si>
  <si>
    <t xml:space="preserve">Strut Assembly</t>
  </si>
  <si>
    <t xml:space="preserve">مجموعة الستروت</t>
  </si>
  <si>
    <t xml:space="preserve">减震支柱总成</t>
  </si>
  <si>
    <t xml:space="preserve">SUS-002</t>
  </si>
  <si>
    <t xml:space="preserve">SKU1332</t>
  </si>
  <si>
    <t xml:space="preserve">SKU1333</t>
  </si>
  <si>
    <t xml:space="preserve">SKU1334</t>
  </si>
  <si>
    <t xml:space="preserve">SKU1335</t>
  </si>
  <si>
    <t xml:space="preserve">Coil Spring</t>
  </si>
  <si>
    <t xml:space="preserve">زنبرك لولبي</t>
  </si>
  <si>
    <t xml:space="preserve">螺旋弹簧</t>
  </si>
  <si>
    <t xml:space="preserve">SUS-003</t>
  </si>
  <si>
    <t xml:space="preserve">SKU1336</t>
  </si>
  <si>
    <t xml:space="preserve">SKU1337</t>
  </si>
  <si>
    <t xml:space="preserve">SKU1338</t>
  </si>
  <si>
    <t xml:space="preserve">SKU1339</t>
  </si>
  <si>
    <t xml:space="preserve">Leaf Spring</t>
  </si>
  <si>
    <t xml:space="preserve">Rear Suspension</t>
  </si>
  <si>
    <t xml:space="preserve">سوستة ورقية</t>
  </si>
  <si>
    <t xml:space="preserve">التعليق الخلفي</t>
  </si>
  <si>
    <t xml:space="preserve">钢板弹簧</t>
  </si>
  <si>
    <t xml:space="preserve">后悬架</t>
  </si>
  <si>
    <t xml:space="preserve">SUS-004</t>
  </si>
  <si>
    <t xml:space="preserve">SKU1340</t>
  </si>
  <si>
    <t xml:space="preserve">SKU1341</t>
  </si>
  <si>
    <t xml:space="preserve">Strut Mount</t>
  </si>
  <si>
    <t xml:space="preserve">قاعدة الستروت</t>
  </si>
  <si>
    <t xml:space="preserve">减震器上支座</t>
  </si>
  <si>
    <t xml:space="preserve">SUS-005</t>
  </si>
  <si>
    <t xml:space="preserve">SKU1342</t>
  </si>
  <si>
    <t xml:space="preserve">SKU1343</t>
  </si>
  <si>
    <t xml:space="preserve">SKU1344</t>
  </si>
  <si>
    <t xml:space="preserve">SKU1345</t>
  </si>
  <si>
    <t xml:space="preserve">Strut Mount Bearing</t>
  </si>
  <si>
    <t xml:space="preserve">Front Suspension</t>
  </si>
  <si>
    <t xml:space="preserve">رولمان قاعدة الستروت</t>
  </si>
  <si>
    <t xml:space="preserve">التعليق الأمامي</t>
  </si>
  <si>
    <t xml:space="preserve">减震器支座轴承</t>
  </si>
  <si>
    <t xml:space="preserve">前悬架</t>
  </si>
  <si>
    <t xml:space="preserve">SUS-006</t>
  </si>
  <si>
    <t xml:space="preserve">SKU1346</t>
  </si>
  <si>
    <t xml:space="preserve">SKU1347</t>
  </si>
  <si>
    <t xml:space="preserve">Strut Boot Kit</t>
  </si>
  <si>
    <t xml:space="preserve">طقم مطاط وحماية الستروت</t>
  </si>
  <si>
    <t xml:space="preserve">减震器防尘套缓冲块套装</t>
  </si>
  <si>
    <t xml:space="preserve">SUS-007</t>
  </si>
  <si>
    <t xml:space="preserve">SKU1348</t>
  </si>
  <si>
    <t xml:space="preserve">SKU1349</t>
  </si>
  <si>
    <t xml:space="preserve">SKU1350</t>
  </si>
  <si>
    <t xml:space="preserve">SKU1351</t>
  </si>
  <si>
    <t xml:space="preserve">Spring Seat</t>
  </si>
  <si>
    <t xml:space="preserve">قاعدة الزنبرك</t>
  </si>
  <si>
    <t xml:space="preserve">弹簧座</t>
  </si>
  <si>
    <t xml:space="preserve">SUS-008</t>
  </si>
  <si>
    <t xml:space="preserve">SKU1352</t>
  </si>
  <si>
    <t xml:space="preserve">SKU1353</t>
  </si>
  <si>
    <t xml:space="preserve">SKU1354</t>
  </si>
  <si>
    <t xml:space="preserve">SKU1355</t>
  </si>
  <si>
    <t xml:space="preserve">Air Suspension Strut</t>
  </si>
  <si>
    <t xml:space="preserve">مساعد هوائي</t>
  </si>
  <si>
    <t xml:space="preserve">空气悬架减震器</t>
  </si>
  <si>
    <t xml:space="preserve">SUS-009</t>
  </si>
  <si>
    <t xml:space="preserve">SKU1356</t>
  </si>
  <si>
    <t xml:space="preserve">SKU1357</t>
  </si>
  <si>
    <t xml:space="preserve">SKU1358</t>
  </si>
  <si>
    <t xml:space="preserve">SKU1359</t>
  </si>
  <si>
    <t xml:space="preserve">Air Suspension Compressor</t>
  </si>
  <si>
    <t xml:space="preserve">كمبروسر التعليق الهوائي</t>
  </si>
  <si>
    <t xml:space="preserve">空气悬架压缩机</t>
  </si>
  <si>
    <t xml:space="preserve">SUS-010</t>
  </si>
  <si>
    <t xml:space="preserve">SKU1360</t>
  </si>
  <si>
    <t xml:space="preserve">Air Spring Bag</t>
  </si>
  <si>
    <t xml:space="preserve">كيس هواء التعليق</t>
  </si>
  <si>
    <t xml:space="preserve">空气弹簧</t>
  </si>
  <si>
    <t xml:space="preserve">SUS-011</t>
  </si>
  <si>
    <t xml:space="preserve">SKU1361</t>
  </si>
  <si>
    <t xml:space="preserve">SKU1362</t>
  </si>
  <si>
    <t xml:space="preserve">SKU1363</t>
  </si>
  <si>
    <t xml:space="preserve">SKU1364</t>
  </si>
  <si>
    <t xml:space="preserve">Suspension Height Sensor</t>
  </si>
  <si>
    <t xml:space="preserve">حساس ارتفاع التعليق</t>
  </si>
  <si>
    <t xml:space="preserve">悬架高度传感器</t>
  </si>
  <si>
    <t xml:space="preserve">SUS-012</t>
  </si>
  <si>
    <t xml:space="preserve">SKU1365</t>
  </si>
  <si>
    <t xml:space="preserve">SKU1366</t>
  </si>
  <si>
    <t xml:space="preserve">SKU1367</t>
  </si>
  <si>
    <t xml:space="preserve">SKU1368</t>
  </si>
  <si>
    <t xml:space="preserve">Bump Stop</t>
  </si>
  <si>
    <t xml:space="preserve">مطاط صدمات التعليق</t>
  </si>
  <si>
    <t xml:space="preserve">缓冲块</t>
  </si>
  <si>
    <t xml:space="preserve">SUS-013</t>
  </si>
  <si>
    <t xml:space="preserve">SKU1369</t>
  </si>
  <si>
    <t xml:space="preserve">SKU1370</t>
  </si>
  <si>
    <t xml:space="preserve">SKU1371</t>
  </si>
  <si>
    <t xml:space="preserve">SKU1372</t>
  </si>
  <si>
    <t xml:space="preserve">Chassis</t>
  </si>
  <si>
    <t xml:space="preserve">Lower Control Arm</t>
  </si>
  <si>
    <t xml:space="preserve">الشاسيه</t>
  </si>
  <si>
    <t xml:space="preserve">ذراع التحكم السفلي</t>
  </si>
  <si>
    <t xml:space="preserve">底盘</t>
  </si>
  <si>
    <t xml:space="preserve">下控制臂</t>
  </si>
  <si>
    <t xml:space="preserve">CHS</t>
  </si>
  <si>
    <t xml:space="preserve">CHS-001</t>
  </si>
  <si>
    <t xml:space="preserve">SKU1373</t>
  </si>
  <si>
    <t xml:space="preserve">SKU1374</t>
  </si>
  <si>
    <t xml:space="preserve">SKU1375</t>
  </si>
  <si>
    <t xml:space="preserve">SKU1376</t>
  </si>
  <si>
    <t xml:space="preserve">Upper Control Arm</t>
  </si>
  <si>
    <t xml:space="preserve">ذراع التحكم العلوي</t>
  </si>
  <si>
    <t xml:space="preserve">上控制臂</t>
  </si>
  <si>
    <t xml:space="preserve">CHS-002</t>
  </si>
  <si>
    <t xml:space="preserve">SKU1377</t>
  </si>
  <si>
    <t xml:space="preserve">SKU1378</t>
  </si>
  <si>
    <t xml:space="preserve">SKU1379</t>
  </si>
  <si>
    <t xml:space="preserve">SKU1380</t>
  </si>
  <si>
    <t xml:space="preserve">Trailing Arm</t>
  </si>
  <si>
    <t xml:space="preserve">ذراع خلفي طولي</t>
  </si>
  <si>
    <t xml:space="preserve">纵臂</t>
  </si>
  <si>
    <t xml:space="preserve">CHS-003</t>
  </si>
  <si>
    <t xml:space="preserve">SKU1381</t>
  </si>
  <si>
    <t xml:space="preserve">SKU1382</t>
  </si>
  <si>
    <t xml:space="preserve">Lateral Arm</t>
  </si>
  <si>
    <t xml:space="preserve">ذراع الانحراف الجانبي</t>
  </si>
  <si>
    <t xml:space="preserve">横拉臂</t>
  </si>
  <si>
    <t xml:space="preserve">CHS-004</t>
  </si>
  <si>
    <t xml:space="preserve">SKU1383</t>
  </si>
  <si>
    <t xml:space="preserve">SKU1384</t>
  </si>
  <si>
    <t xml:space="preserve">Control Arm Bushing</t>
  </si>
  <si>
    <t xml:space="preserve">جلدة ذراع التحكم</t>
  </si>
  <si>
    <t xml:space="preserve">控制臂衬套</t>
  </si>
  <si>
    <t xml:space="preserve">CHS-005</t>
  </si>
  <si>
    <t xml:space="preserve">SKU1385</t>
  </si>
  <si>
    <t xml:space="preserve">SKU1386</t>
  </si>
  <si>
    <t xml:space="preserve">SKU1387</t>
  </si>
  <si>
    <t xml:space="preserve">SKU1388</t>
  </si>
  <si>
    <t xml:space="preserve">Ball Joint</t>
  </si>
  <si>
    <t xml:space="preserve">رأس ذراع</t>
  </si>
  <si>
    <t xml:space="preserve">球头</t>
  </si>
  <si>
    <t xml:space="preserve">CHS-006</t>
  </si>
  <si>
    <t xml:space="preserve">SKU1389</t>
  </si>
  <si>
    <t xml:space="preserve">SKU1390</t>
  </si>
  <si>
    <t xml:space="preserve">SKU1391</t>
  </si>
  <si>
    <t xml:space="preserve">SKU1392</t>
  </si>
  <si>
    <t xml:space="preserve">Stabilizer Bar</t>
  </si>
  <si>
    <t xml:space="preserve">بار التوازن</t>
  </si>
  <si>
    <t xml:space="preserve">稳定杆</t>
  </si>
  <si>
    <t xml:space="preserve">CHS-007</t>
  </si>
  <si>
    <t xml:space="preserve">SKU1393</t>
  </si>
  <si>
    <t xml:space="preserve">SKU1394</t>
  </si>
  <si>
    <t xml:space="preserve">Stabilizer Bar Link</t>
  </si>
  <si>
    <t xml:space="preserve">وصلة بار التوازن</t>
  </si>
  <si>
    <t xml:space="preserve">稳定杆连杆</t>
  </si>
  <si>
    <t xml:space="preserve">CHS-008</t>
  </si>
  <si>
    <t xml:space="preserve">SKU1395</t>
  </si>
  <si>
    <t xml:space="preserve">SKU1396</t>
  </si>
  <si>
    <t xml:space="preserve">SKU1397</t>
  </si>
  <si>
    <t xml:space="preserve">SKU1398</t>
  </si>
  <si>
    <t xml:space="preserve">Stabilizer Bar Bushing</t>
  </si>
  <si>
    <t xml:space="preserve">بوشة بار التوازن</t>
  </si>
  <si>
    <t xml:space="preserve">稳定杆衬套</t>
  </si>
  <si>
    <t xml:space="preserve">CHS-009</t>
  </si>
  <si>
    <t xml:space="preserve">SKU1399</t>
  </si>
  <si>
    <t xml:space="preserve">SKU1400</t>
  </si>
  <si>
    <t xml:space="preserve">Subframe</t>
  </si>
  <si>
    <t xml:space="preserve">الشاسيه الفرعي</t>
  </si>
  <si>
    <t xml:space="preserve">副车架</t>
  </si>
  <si>
    <t xml:space="preserve">CHS-010</t>
  </si>
  <si>
    <t xml:space="preserve">SKU1401</t>
  </si>
  <si>
    <t xml:space="preserve">SKU1402</t>
  </si>
  <si>
    <t xml:space="preserve">Subframe Bushing</t>
  </si>
  <si>
    <t xml:space="preserve">بوشة الشاسيه الفرعي</t>
  </si>
  <si>
    <t xml:space="preserve">副车架衬套</t>
  </si>
  <si>
    <t xml:space="preserve">CHS-011</t>
  </si>
  <si>
    <t xml:space="preserve">SKU1403</t>
  </si>
  <si>
    <t xml:space="preserve">SKU1404</t>
  </si>
  <si>
    <t xml:space="preserve">Panhard Rod</t>
  </si>
  <si>
    <t xml:space="preserve">ذراع بانهارد</t>
  </si>
  <si>
    <t xml:space="preserve">横向推力杆</t>
  </si>
  <si>
    <t xml:space="preserve">CHS-012</t>
  </si>
  <si>
    <t xml:space="preserve">SKU1405</t>
  </si>
  <si>
    <t xml:space="preserve">Torsion Bar</t>
  </si>
  <si>
    <t xml:space="preserve">قضيب الالتواء</t>
  </si>
  <si>
    <t xml:space="preserve">扭杆</t>
  </si>
  <si>
    <t xml:space="preserve">CHS-013</t>
  </si>
  <si>
    <t xml:space="preserve">SKU1406</t>
  </si>
  <si>
    <t xml:space="preserve">SKU1407</t>
  </si>
  <si>
    <t xml:space="preserve">Torsion Beam</t>
  </si>
  <si>
    <t xml:space="preserve">كمرة المحور الخلفي</t>
  </si>
  <si>
    <t xml:space="preserve">扭力梁</t>
  </si>
  <si>
    <t xml:space="preserve">CHS-014</t>
  </si>
  <si>
    <t xml:space="preserve">SKU1408</t>
  </si>
  <si>
    <t xml:space="preserve">Strut Tower Brace</t>
  </si>
  <si>
    <t xml:space="preserve">دعامة أبراج التعليق</t>
  </si>
  <si>
    <t xml:space="preserve">避震塔顶吧</t>
  </si>
  <si>
    <t xml:space="preserve">CHS-015</t>
  </si>
  <si>
    <t xml:space="preserve">SKU1409</t>
  </si>
  <si>
    <t xml:space="preserve">Steering</t>
  </si>
  <si>
    <t xml:space="preserve">Steering Rack</t>
  </si>
  <si>
    <t xml:space="preserve">التوجيه</t>
  </si>
  <si>
    <t xml:space="preserve">جير التوجيه</t>
  </si>
  <si>
    <t xml:space="preserve">转向</t>
  </si>
  <si>
    <t xml:space="preserve">转向机</t>
  </si>
  <si>
    <t xml:space="preserve">STR</t>
  </si>
  <si>
    <t xml:space="preserve">STR-001</t>
  </si>
  <si>
    <t xml:space="preserve">SKU1410</t>
  </si>
  <si>
    <t xml:space="preserve">Steering Gearbox</t>
  </si>
  <si>
    <t xml:space="preserve">علبة التوجيه</t>
  </si>
  <si>
    <t xml:space="preserve">循环球转向器</t>
  </si>
  <si>
    <t xml:space="preserve">STR-002</t>
  </si>
  <si>
    <t xml:space="preserve">SKU1411</t>
  </si>
  <si>
    <t xml:space="preserve">Power Steering Pump</t>
  </si>
  <si>
    <t xml:space="preserve">طلمبة الباور</t>
  </si>
  <si>
    <t xml:space="preserve">转向助力泵</t>
  </si>
  <si>
    <t xml:space="preserve">STR-003</t>
  </si>
  <si>
    <t xml:space="preserve">SKU1412</t>
  </si>
  <si>
    <t xml:space="preserve">Steering Assist Motor</t>
  </si>
  <si>
    <t xml:space="preserve">موتور التوجيه الكهربائي</t>
  </si>
  <si>
    <t xml:space="preserve">电动助力转向电机</t>
  </si>
  <si>
    <t xml:space="preserve">STR-004</t>
  </si>
  <si>
    <t xml:space="preserve">SKU1413</t>
  </si>
  <si>
    <t xml:space="preserve">Rack Boot Kit</t>
  </si>
  <si>
    <t xml:space="preserve">طقم كاوتش الجير</t>
  </si>
  <si>
    <t xml:space="preserve">转向机防尘套套装</t>
  </si>
  <si>
    <t xml:space="preserve">STR-005</t>
  </si>
  <si>
    <t xml:space="preserve">SKU1414</t>
  </si>
  <si>
    <t xml:space="preserve">SKU1415</t>
  </si>
  <si>
    <t xml:space="preserve">Outer Tie Rod</t>
  </si>
  <si>
    <t xml:space="preserve">رأس سيخ التوجيه الخارجي</t>
  </si>
  <si>
    <t xml:space="preserve">转向横拉杆外球头</t>
  </si>
  <si>
    <t xml:space="preserve">STR-006</t>
  </si>
  <si>
    <t xml:space="preserve">SKU1416</t>
  </si>
  <si>
    <t xml:space="preserve">SKU1417</t>
  </si>
  <si>
    <t xml:space="preserve">Inner Tie Rod</t>
  </si>
  <si>
    <t xml:space="preserve">سيخ التوجيه الداخلي</t>
  </si>
  <si>
    <t xml:space="preserve">转向横拉杆内球头</t>
  </si>
  <si>
    <t xml:space="preserve">STR-007</t>
  </si>
  <si>
    <t xml:space="preserve">SKU1418</t>
  </si>
  <si>
    <t xml:space="preserve">SKU1419</t>
  </si>
  <si>
    <t xml:space="preserve">Steering Column</t>
  </si>
  <si>
    <t xml:space="preserve">عمود التوجيه</t>
  </si>
  <si>
    <t xml:space="preserve">转向柱</t>
  </si>
  <si>
    <t xml:space="preserve">STR-008</t>
  </si>
  <si>
    <t xml:space="preserve">SKU1420</t>
  </si>
  <si>
    <t xml:space="preserve">Steering Intermediate Shaft</t>
  </si>
  <si>
    <t xml:space="preserve">عمود التوجيه الأوسط</t>
  </si>
  <si>
    <t xml:space="preserve">转向中间轴</t>
  </si>
  <si>
    <t xml:space="preserve">STR-009</t>
  </si>
  <si>
    <t xml:space="preserve">SKU1421</t>
  </si>
  <si>
    <t xml:space="preserve">Steering Wheel</t>
  </si>
  <si>
    <t xml:space="preserve">عجلة القيادة</t>
  </si>
  <si>
    <t xml:space="preserve">方向盘</t>
  </si>
  <si>
    <t xml:space="preserve">STR-010</t>
  </si>
  <si>
    <t xml:space="preserve">SKU1422</t>
  </si>
  <si>
    <t xml:space="preserve">Steering Wheel Switch</t>
  </si>
  <si>
    <t xml:space="preserve">مفاتيح عجلة القيادة</t>
  </si>
  <si>
    <t xml:space="preserve">方向盘按键</t>
  </si>
  <si>
    <t xml:space="preserve">STR-011</t>
  </si>
  <si>
    <t xml:space="preserve">SKU1423</t>
  </si>
  <si>
    <t xml:space="preserve">SKU1424</t>
  </si>
  <si>
    <t xml:space="preserve">Clock Spring</t>
  </si>
  <si>
    <t xml:space="preserve">كلوك سبرينغ</t>
  </si>
  <si>
    <t xml:space="preserve">方向盘游丝</t>
  </si>
  <si>
    <t xml:space="preserve">STR-012</t>
  </si>
  <si>
    <t xml:space="preserve">SKU1425</t>
  </si>
  <si>
    <t xml:space="preserve">Steering Column Cover</t>
  </si>
  <si>
    <t xml:space="preserve">غطاء عمود التوجيه</t>
  </si>
  <si>
    <t xml:space="preserve">转向柱护罩</t>
  </si>
  <si>
    <t xml:space="preserve">STR-013</t>
  </si>
  <si>
    <t xml:space="preserve">SKU1426</t>
  </si>
  <si>
    <t xml:space="preserve">Steering Lock Cylinder</t>
  </si>
  <si>
    <t xml:space="preserve">قفل التوجيه</t>
  </si>
  <si>
    <t xml:space="preserve">转向锁</t>
  </si>
  <si>
    <t xml:space="preserve">STR-014</t>
  </si>
  <si>
    <t xml:space="preserve">SKU1427</t>
  </si>
  <si>
    <t xml:space="preserve">Steering Pressure Hose</t>
  </si>
  <si>
    <t xml:space="preserve">خرطوم الباور عالي الضغط</t>
  </si>
  <si>
    <t xml:space="preserve">转向助力高压软管</t>
  </si>
  <si>
    <t xml:space="preserve">STR-015</t>
  </si>
  <si>
    <t xml:space="preserve">SKU1428</t>
  </si>
  <si>
    <t xml:space="preserve">Steering Return Hose</t>
  </si>
  <si>
    <t xml:space="preserve">خرطوم رجوع الباور</t>
  </si>
  <si>
    <t xml:space="preserve">转向助力回油软管</t>
  </si>
  <si>
    <t xml:space="preserve">STR-016</t>
  </si>
  <si>
    <t xml:space="preserve">SKU1429</t>
  </si>
  <si>
    <t xml:space="preserve">Power Steering Reservoir</t>
  </si>
  <si>
    <t xml:space="preserve">خزان زيت الباور</t>
  </si>
  <si>
    <t xml:space="preserve">转向助力油壶</t>
  </si>
  <si>
    <t xml:space="preserve">STR-017</t>
  </si>
  <si>
    <t xml:space="preserve">SKU1430</t>
  </si>
  <si>
    <t xml:space="preserve">Steering Reservoir Cap</t>
  </si>
  <si>
    <t xml:space="preserve">غطاء خزان الباور</t>
  </si>
  <si>
    <t xml:space="preserve">转向助力油壶盖</t>
  </si>
  <si>
    <t xml:space="preserve">STR-018</t>
  </si>
  <si>
    <t xml:space="preserve">SKU1431</t>
  </si>
  <si>
    <t xml:space="preserve">Steering Damper</t>
  </si>
  <si>
    <t xml:space="preserve">ممتص صدمات التوجيه</t>
  </si>
  <si>
    <t xml:space="preserve">转向减震器</t>
  </si>
  <si>
    <t xml:space="preserve">STR-019</t>
  </si>
  <si>
    <t xml:space="preserve">SKU1432</t>
  </si>
  <si>
    <t xml:space="preserve">Pitman Arm</t>
  </si>
  <si>
    <t xml:space="preserve">ذراع بيتمان</t>
  </si>
  <si>
    <t xml:space="preserve">转向摇臂</t>
  </si>
  <si>
    <t xml:space="preserve">STR-020</t>
  </si>
  <si>
    <t xml:space="preserve">SKU1433</t>
  </si>
  <si>
    <t xml:space="preserve">Idler Arm</t>
  </si>
  <si>
    <t xml:space="preserve">ذراع التوجيه المساعد</t>
  </si>
  <si>
    <t xml:space="preserve">转向惰臂</t>
  </si>
  <si>
    <t xml:space="preserve">STR-021</t>
  </si>
  <si>
    <t xml:space="preserve">SKU1434</t>
  </si>
  <si>
    <t xml:space="preserve">Drag Link</t>
  </si>
  <si>
    <t xml:space="preserve">سيخ السحب</t>
  </si>
  <si>
    <t xml:space="preserve">转向直拉杆</t>
  </si>
  <si>
    <t xml:space="preserve">STR-022</t>
  </si>
  <si>
    <t xml:space="preserve">SKU1435</t>
  </si>
  <si>
    <t xml:space="preserve">Wheels</t>
  </si>
  <si>
    <t xml:space="preserve">Hub Bearing Assembly</t>
  </si>
  <si>
    <t xml:space="preserve">الجنوط</t>
  </si>
  <si>
    <t xml:space="preserve">رولمان العجلة مع الصرة</t>
  </si>
  <si>
    <t xml:space="preserve">车轮</t>
  </si>
  <si>
    <t xml:space="preserve">轮毂轴承总成</t>
  </si>
  <si>
    <t xml:space="preserve">WHL</t>
  </si>
  <si>
    <t xml:space="preserve">WHL-001</t>
  </si>
  <si>
    <t xml:space="preserve">SKU1436</t>
  </si>
  <si>
    <t xml:space="preserve">SKU1437</t>
  </si>
  <si>
    <t xml:space="preserve">SKU1438</t>
  </si>
  <si>
    <t xml:space="preserve">SKU1439</t>
  </si>
  <si>
    <t xml:space="preserve">Wheel Bearing</t>
  </si>
  <si>
    <t xml:space="preserve">رولمان عجلة</t>
  </si>
  <si>
    <t xml:space="preserve">轮毂轴承</t>
  </si>
  <si>
    <t xml:space="preserve">WHL-002</t>
  </si>
  <si>
    <t xml:space="preserve">SKU1440</t>
  </si>
  <si>
    <t xml:space="preserve">SKU1441</t>
  </si>
  <si>
    <t xml:space="preserve">SKU1442</t>
  </si>
  <si>
    <t xml:space="preserve">SKU1443</t>
  </si>
  <si>
    <t xml:space="preserve">Steering Knuckle</t>
  </si>
  <si>
    <t xml:space="preserve">مفصل العجلة</t>
  </si>
  <si>
    <t xml:space="preserve">转向节</t>
  </si>
  <si>
    <t xml:space="preserve">WHL-003</t>
  </si>
  <si>
    <t xml:space="preserve">SKU1444</t>
  </si>
  <si>
    <t xml:space="preserve">SKU1445</t>
  </si>
  <si>
    <t xml:space="preserve">SKU1446</t>
  </si>
  <si>
    <t xml:space="preserve">SKU1447</t>
  </si>
  <si>
    <t xml:space="preserve">Alloy Wheel</t>
  </si>
  <si>
    <t xml:space="preserve">Wheel</t>
  </si>
  <si>
    <t xml:space="preserve">جنط ألمنيوم</t>
  </si>
  <si>
    <t xml:space="preserve">العجلة</t>
  </si>
  <si>
    <t xml:space="preserve">铝合金轮毂</t>
  </si>
  <si>
    <t xml:space="preserve">WHL-004</t>
  </si>
  <si>
    <t xml:space="preserve">SKU1448</t>
  </si>
  <si>
    <t xml:space="preserve">SKU1449</t>
  </si>
  <si>
    <t xml:space="preserve">SKU1450</t>
  </si>
  <si>
    <t xml:space="preserve">SKU1451</t>
  </si>
  <si>
    <t xml:space="preserve">Steel Wheel</t>
  </si>
  <si>
    <t xml:space="preserve">جنط حديد</t>
  </si>
  <si>
    <t xml:space="preserve">钢制轮毂</t>
  </si>
  <si>
    <t xml:space="preserve">WHL-005</t>
  </si>
  <si>
    <t xml:space="preserve">SKU1452</t>
  </si>
  <si>
    <t xml:space="preserve">SKU1453</t>
  </si>
  <si>
    <t xml:space="preserve">SKU1454</t>
  </si>
  <si>
    <t xml:space="preserve">SKU1455</t>
  </si>
  <si>
    <t xml:space="preserve">Wheel Center Cap</t>
  </si>
  <si>
    <t xml:space="preserve">غطاء مركز الجنط</t>
  </si>
  <si>
    <t xml:space="preserve">轮毂中心盖</t>
  </si>
  <si>
    <t xml:space="preserve">WHL-006</t>
  </si>
  <si>
    <t xml:space="preserve">SKU1456</t>
  </si>
  <si>
    <t xml:space="preserve">SKU1457</t>
  </si>
  <si>
    <t xml:space="preserve">SKU1458</t>
  </si>
  <si>
    <t xml:space="preserve">SKU1459</t>
  </si>
  <si>
    <t xml:space="preserve">Wheel Cover</t>
  </si>
  <si>
    <t xml:space="preserve">طاسة الجنط</t>
  </si>
  <si>
    <t xml:space="preserve">轮毂罩</t>
  </si>
  <si>
    <t xml:space="preserve">WHL-007</t>
  </si>
  <si>
    <t xml:space="preserve">SKU1460</t>
  </si>
  <si>
    <t xml:space="preserve">SKU1461</t>
  </si>
  <si>
    <t xml:space="preserve">SKU1462</t>
  </si>
  <si>
    <t xml:space="preserve">SKU1463</t>
  </si>
  <si>
    <t xml:space="preserve">Wheel Lug Nut</t>
  </si>
  <si>
    <t xml:space="preserve">صامولة العجلة</t>
  </si>
  <si>
    <t xml:space="preserve">轮毂螺母</t>
  </si>
  <si>
    <t xml:space="preserve">WHL-008</t>
  </si>
  <si>
    <t xml:space="preserve">SKU1464</t>
  </si>
  <si>
    <t xml:space="preserve">SKU1465</t>
  </si>
  <si>
    <t xml:space="preserve">SKU1466</t>
  </si>
  <si>
    <t xml:space="preserve">SKU1467</t>
  </si>
  <si>
    <t xml:space="preserve">Wheel Lug Bolt</t>
  </si>
  <si>
    <t xml:space="preserve">مسمار العجلة</t>
  </si>
  <si>
    <t xml:space="preserve">轮毂螺栓</t>
  </si>
  <si>
    <t xml:space="preserve">WHL-009</t>
  </si>
  <si>
    <t xml:space="preserve">SKU1468</t>
  </si>
  <si>
    <t xml:space="preserve">SKU1469</t>
  </si>
  <si>
    <t xml:space="preserve">SKU1470</t>
  </si>
  <si>
    <t xml:space="preserve">SKU1471</t>
  </si>
  <si>
    <t xml:space="preserve">Wheel Stud</t>
  </si>
  <si>
    <t xml:space="preserve">مسمار تثبيت العجلة</t>
  </si>
  <si>
    <t xml:space="preserve">车轮螺柱</t>
  </si>
  <si>
    <t xml:space="preserve">WHL-010</t>
  </si>
  <si>
    <t xml:space="preserve">SKU1472</t>
  </si>
  <si>
    <t xml:space="preserve">SKU1473</t>
  </si>
  <si>
    <t xml:space="preserve">SKU1474</t>
  </si>
  <si>
    <t xml:space="preserve">SKU1475</t>
  </si>
  <si>
    <t xml:space="preserve">Wheel Lock Set</t>
  </si>
  <si>
    <t xml:space="preserve">طقم أقفال العجلات</t>
  </si>
  <si>
    <t xml:space="preserve">防盗轮毂螺丝套装</t>
  </si>
  <si>
    <t xml:space="preserve">WHL-011</t>
  </si>
  <si>
    <t xml:space="preserve">SKU1476</t>
  </si>
  <si>
    <t xml:space="preserve">Wheel Spacer</t>
  </si>
  <si>
    <t xml:space="preserve">فاصل العجلة</t>
  </si>
  <si>
    <t xml:space="preserve">轮毂垫片</t>
  </si>
  <si>
    <t xml:space="preserve">WHL-012</t>
  </si>
  <si>
    <t xml:space="preserve">SKU1477</t>
  </si>
  <si>
    <t xml:space="preserve">SKU1478</t>
  </si>
  <si>
    <t xml:space="preserve">SKU1479</t>
  </si>
  <si>
    <t xml:space="preserve">SKU1480</t>
  </si>
  <si>
    <t xml:space="preserve">Balancing Weight Set</t>
  </si>
  <si>
    <t xml:space="preserve">طقم أثقال ترصيص العجلات</t>
  </si>
  <si>
    <t xml:space="preserve">平衡块套装</t>
  </si>
  <si>
    <t xml:space="preserve">WHL-013</t>
  </si>
  <si>
    <t xml:space="preserve">SKU1481</t>
  </si>
  <si>
    <t xml:space="preserve">Tires</t>
  </si>
  <si>
    <t xml:space="preserve">Passenger Tire</t>
  </si>
  <si>
    <t xml:space="preserve">Tire</t>
  </si>
  <si>
    <t xml:space="preserve">الإطارات</t>
  </si>
  <si>
    <t xml:space="preserve">إطار سيارة ركاب</t>
  </si>
  <si>
    <t xml:space="preserve">الإطار</t>
  </si>
  <si>
    <t xml:space="preserve">轮胎</t>
  </si>
  <si>
    <t xml:space="preserve">轿车轮胎</t>
  </si>
  <si>
    <t xml:space="preserve">TIR</t>
  </si>
  <si>
    <t xml:space="preserve">TIR-001</t>
  </si>
  <si>
    <t xml:space="preserve">SKU1482</t>
  </si>
  <si>
    <t xml:space="preserve">SKU1483</t>
  </si>
  <si>
    <t xml:space="preserve">SKU1484</t>
  </si>
  <si>
    <t xml:space="preserve">SKU1485</t>
  </si>
  <si>
    <t xml:space="preserve">SUV Tire</t>
  </si>
  <si>
    <t xml:space="preserve">إطار دفع رباعي</t>
  </si>
  <si>
    <r>
      <rPr>
        <sz val="10"/>
        <rFont val="Arial"/>
        <family val="0"/>
        <charset val="1"/>
      </rPr>
      <t xml:space="preserve">SUV</t>
    </r>
    <r>
      <rPr>
        <sz val="10"/>
        <rFont val="Noto Sans CJK SC"/>
        <family val="2"/>
      </rPr>
      <t xml:space="preserve">轮胎</t>
    </r>
  </si>
  <si>
    <t xml:space="preserve">TIR-002</t>
  </si>
  <si>
    <t xml:space="preserve">SKU1486</t>
  </si>
  <si>
    <t xml:space="preserve">SKU1487</t>
  </si>
  <si>
    <t xml:space="preserve">SKU1488</t>
  </si>
  <si>
    <t xml:space="preserve">SKU1489</t>
  </si>
  <si>
    <t xml:space="preserve">Light Truck Tire</t>
  </si>
  <si>
    <t xml:space="preserve">إطار شاحنة خفيفة</t>
  </si>
  <si>
    <t xml:space="preserve">轻型卡车轮胎</t>
  </si>
  <si>
    <t xml:space="preserve">TIR-003</t>
  </si>
  <si>
    <t xml:space="preserve">SKU1490</t>
  </si>
  <si>
    <t xml:space="preserve">SKU1491</t>
  </si>
  <si>
    <t xml:space="preserve">SKU1492</t>
  </si>
  <si>
    <t xml:space="preserve">SKU1493</t>
  </si>
  <si>
    <t xml:space="preserve">Winter Tire</t>
  </si>
  <si>
    <t xml:space="preserve">إطار شتوي</t>
  </si>
  <si>
    <t xml:space="preserve">冬季轮胎</t>
  </si>
  <si>
    <t xml:space="preserve">TIR-004</t>
  </si>
  <si>
    <t xml:space="preserve">SKU1494</t>
  </si>
  <si>
    <t xml:space="preserve">SKU1495</t>
  </si>
  <si>
    <t xml:space="preserve">SKU1496</t>
  </si>
  <si>
    <t xml:space="preserve">SKU1497</t>
  </si>
  <si>
    <t xml:space="preserve">Run-Flat Tire</t>
  </si>
  <si>
    <t xml:space="preserve">إطار رن فلات</t>
  </si>
  <si>
    <t xml:space="preserve">缺气保用轮胎</t>
  </si>
  <si>
    <t xml:space="preserve">TIR-005</t>
  </si>
  <si>
    <t xml:space="preserve">SKU1498</t>
  </si>
  <si>
    <t xml:space="preserve">SKU1499</t>
  </si>
  <si>
    <t xml:space="preserve">SKU1500</t>
  </si>
  <si>
    <t xml:space="preserve">SKU1501</t>
  </si>
  <si>
    <t xml:space="preserve">Tire Valve Stem</t>
  </si>
  <si>
    <t xml:space="preserve">فتحة هواء الإطار</t>
  </si>
  <si>
    <t xml:space="preserve">气门嘴</t>
  </si>
  <si>
    <t xml:space="preserve">TIR-006</t>
  </si>
  <si>
    <t xml:space="preserve">SKU1502</t>
  </si>
  <si>
    <t xml:space="preserve">SKU1503</t>
  </si>
  <si>
    <t xml:space="preserve">SKU1504</t>
  </si>
  <si>
    <t xml:space="preserve">SKU1505</t>
  </si>
  <si>
    <t xml:space="preserve">TPMS Sensor</t>
  </si>
  <si>
    <t xml:space="preserve">حساس ضغط الإطارات</t>
  </si>
  <si>
    <t xml:space="preserve">胎压传感器</t>
  </si>
  <si>
    <t xml:space="preserve">TIR-007</t>
  </si>
  <si>
    <t xml:space="preserve">SKU1506</t>
  </si>
  <si>
    <t xml:space="preserve">SKU1507</t>
  </si>
  <si>
    <t xml:space="preserve">SKU1508</t>
  </si>
  <si>
    <t xml:space="preserve">SKU1509</t>
  </si>
  <si>
    <t xml:space="preserve">Spare Tire</t>
  </si>
  <si>
    <t xml:space="preserve">Trunk</t>
  </si>
  <si>
    <t xml:space="preserve">إطار احتياطي صغير</t>
  </si>
  <si>
    <t xml:space="preserve">الصندوق الخلفي</t>
  </si>
  <si>
    <t xml:space="preserve">备胎</t>
  </si>
  <si>
    <t xml:space="preserve">行李箱</t>
  </si>
  <si>
    <t xml:space="preserve">TIR-008</t>
  </si>
  <si>
    <t xml:space="preserve">SKU1510</t>
  </si>
  <si>
    <t xml:space="preserve">Spare Tire Carrier</t>
  </si>
  <si>
    <t xml:space="preserve">حامل الإطار الاحتياطي</t>
  </si>
  <si>
    <t xml:space="preserve">备胎架</t>
  </si>
  <si>
    <t xml:space="preserve">TIR-009</t>
  </si>
  <si>
    <t xml:space="preserve">SKU1511</t>
  </si>
  <si>
    <t xml:space="preserve">Spare Wheel Cover</t>
  </si>
  <si>
    <t xml:space="preserve">غطاء الإطار الاحتياطي</t>
  </si>
  <si>
    <t xml:space="preserve">备胎罩</t>
  </si>
  <si>
    <t xml:space="preserve">TIR-010</t>
  </si>
  <si>
    <t xml:space="preserve">SKU1512</t>
  </si>
  <si>
    <t xml:space="preserve">Snow Chain Set</t>
  </si>
  <si>
    <t xml:space="preserve">طقم جنازير الثلج</t>
  </si>
  <si>
    <t xml:space="preserve">防滑链套装</t>
  </si>
  <si>
    <t xml:space="preserve">TIR-011</t>
  </si>
  <si>
    <t xml:space="preserve">SKU1513</t>
  </si>
  <si>
    <t xml:space="preserve">Tire Repair Kit</t>
  </si>
  <si>
    <t xml:space="preserve">طقم إصلاح الإطارات</t>
  </si>
  <si>
    <t xml:space="preserve">补胎工具套装</t>
  </si>
  <si>
    <t xml:space="preserve">TIR-012</t>
  </si>
  <si>
    <t xml:space="preserve">SKU1514</t>
  </si>
  <si>
    <t xml:space="preserve">Tire Inflator</t>
  </si>
  <si>
    <t xml:space="preserve">منفاخ إطارات</t>
  </si>
  <si>
    <t xml:space="preserve">车载充气泵</t>
  </si>
  <si>
    <t xml:space="preserve">TIR-013</t>
  </si>
  <si>
    <t xml:space="preserve">SKU1515</t>
  </si>
  <si>
    <t xml:space="preserve">Battery</t>
  </si>
  <si>
    <t xml:space="preserve">Starter Battery</t>
  </si>
  <si>
    <t xml:space="preserve">Battery Compartment</t>
  </si>
  <si>
    <t xml:space="preserve">البطارية</t>
  </si>
  <si>
    <t xml:space="preserve">بطارية سيارة 12 فولت</t>
  </si>
  <si>
    <t xml:space="preserve">حجرة البطارية</t>
  </si>
  <si>
    <t xml:space="preserve">电瓶</t>
  </si>
  <si>
    <r>
      <rPr>
        <sz val="10"/>
        <rFont val="Arial"/>
        <family val="0"/>
        <charset val="1"/>
      </rPr>
      <t xml:space="preserve">12V</t>
    </r>
    <r>
      <rPr>
        <sz val="10"/>
        <rFont val="Noto Sans CJK SC"/>
        <family val="2"/>
      </rPr>
      <t xml:space="preserve">铅酸蓄电池</t>
    </r>
  </si>
  <si>
    <t xml:space="preserve">电池舱</t>
  </si>
  <si>
    <t xml:space="preserve">BAT</t>
  </si>
  <si>
    <t xml:space="preserve">BAT-001</t>
  </si>
  <si>
    <t xml:space="preserve">SKU1516</t>
  </si>
  <si>
    <t xml:space="preserve">AGM Battery</t>
  </si>
  <si>
    <t xml:space="preserve">بطارية AGM 12 فولت</t>
  </si>
  <si>
    <r>
      <rPr>
        <sz val="10"/>
        <rFont val="Arial"/>
        <family val="0"/>
        <charset val="1"/>
      </rPr>
      <t xml:space="preserve">12V AGM</t>
    </r>
    <r>
      <rPr>
        <sz val="10"/>
        <rFont val="Noto Sans CJK SC"/>
        <family val="2"/>
      </rPr>
      <t xml:space="preserve">蓄电池</t>
    </r>
  </si>
  <si>
    <t xml:space="preserve">BAT-002</t>
  </si>
  <si>
    <t xml:space="preserve">SKU1517</t>
  </si>
  <si>
    <t xml:space="preserve">Auxiliary Battery</t>
  </si>
  <si>
    <t xml:space="preserve">بطارية مساعدة 12 فولت للسيارات الكهربائية</t>
  </si>
  <si>
    <r>
      <rPr>
        <sz val="10"/>
        <rFont val="Noto Sans CJK SC"/>
        <family val="2"/>
      </rPr>
      <t xml:space="preserve">电动车</t>
    </r>
    <r>
      <rPr>
        <sz val="10"/>
        <rFont val="Arial"/>
        <family val="0"/>
        <charset val="1"/>
      </rPr>
      <t xml:space="preserve">12V</t>
    </r>
    <r>
      <rPr>
        <sz val="10"/>
        <rFont val="Noto Sans CJK SC"/>
        <family val="2"/>
      </rPr>
      <t xml:space="preserve">辅助电池</t>
    </r>
  </si>
  <si>
    <t xml:space="preserve">BAT-003</t>
  </si>
  <si>
    <t xml:space="preserve">SKU1518</t>
  </si>
  <si>
    <t xml:space="preserve">Terminal Clamp Set</t>
  </si>
  <si>
    <t xml:space="preserve">طقم أقطاب البطارية</t>
  </si>
  <si>
    <t xml:space="preserve">电瓶接线夹套装</t>
  </si>
  <si>
    <t xml:space="preserve">BAT-004</t>
  </si>
  <si>
    <t xml:space="preserve">SKU1519</t>
  </si>
  <si>
    <t xml:space="preserve">Positive Battery Cable</t>
  </si>
  <si>
    <t xml:space="preserve">كابل البطارية الموجب</t>
  </si>
  <si>
    <t xml:space="preserve">电瓶正极线</t>
  </si>
  <si>
    <t xml:space="preserve">BAT-005</t>
  </si>
  <si>
    <t xml:space="preserve">SKU1520</t>
  </si>
  <si>
    <t xml:space="preserve">Negative Battery Cable</t>
  </si>
  <si>
    <t xml:space="preserve">كابل البطارية السالب</t>
  </si>
  <si>
    <t xml:space="preserve">电瓶负极线</t>
  </si>
  <si>
    <t xml:space="preserve">BAT-006</t>
  </si>
  <si>
    <t xml:space="preserve">SKU1521</t>
  </si>
  <si>
    <t xml:space="preserve">Battery Hold-Down Bracket</t>
  </si>
  <si>
    <t xml:space="preserve">حامل تثبيت البطارية</t>
  </si>
  <si>
    <t xml:space="preserve">电瓶固定架</t>
  </si>
  <si>
    <t xml:space="preserve">BAT-007</t>
  </si>
  <si>
    <t xml:space="preserve">SKU1522</t>
  </si>
  <si>
    <t xml:space="preserve">Battery Tray</t>
  </si>
  <si>
    <t xml:space="preserve">صينية البطارية</t>
  </si>
  <si>
    <t xml:space="preserve">电瓶托盘</t>
  </si>
  <si>
    <t xml:space="preserve">BAT-008</t>
  </si>
  <si>
    <t xml:space="preserve">SKU1523</t>
  </si>
  <si>
    <t xml:space="preserve">Ignition</t>
  </si>
  <si>
    <t xml:space="preserve">Starter Motor</t>
  </si>
  <si>
    <t xml:space="preserve">الإشعال والتشغيل</t>
  </si>
  <si>
    <t xml:space="preserve">سلف</t>
  </si>
  <si>
    <t xml:space="preserve">点火与启动</t>
  </si>
  <si>
    <t xml:space="preserve">起动机</t>
  </si>
  <si>
    <t xml:space="preserve">IGN</t>
  </si>
  <si>
    <t xml:space="preserve">IGN-001</t>
  </si>
  <si>
    <t xml:space="preserve">SKU1524</t>
  </si>
  <si>
    <t xml:space="preserve">Starter Solenoid</t>
  </si>
  <si>
    <t xml:space="preserve">سولينويد السلف</t>
  </si>
  <si>
    <t xml:space="preserve">起动机电磁开关</t>
  </si>
  <si>
    <t xml:space="preserve">IGN-002</t>
  </si>
  <si>
    <t xml:space="preserve">SKU1525</t>
  </si>
  <si>
    <t xml:space="preserve">Starter Drive Gear</t>
  </si>
  <si>
    <t xml:space="preserve">بندكس السلف</t>
  </si>
  <si>
    <t xml:space="preserve">起动机齿轮</t>
  </si>
  <si>
    <t xml:space="preserve">IGN-003</t>
  </si>
  <si>
    <t xml:space="preserve">SKU1526</t>
  </si>
  <si>
    <t xml:space="preserve">Ignition Coil</t>
  </si>
  <si>
    <t xml:space="preserve">كويل الإشعال</t>
  </si>
  <si>
    <t xml:space="preserve">点火线圈</t>
  </si>
  <si>
    <t xml:space="preserve">IGN-004</t>
  </si>
  <si>
    <t xml:space="preserve">SKU1527</t>
  </si>
  <si>
    <t xml:space="preserve">Ignition Coil Set</t>
  </si>
  <si>
    <t xml:space="preserve">طقم كويلات الإشعال</t>
  </si>
  <si>
    <t xml:space="preserve">点火线圈套装</t>
  </si>
  <si>
    <t xml:space="preserve">IGN-005</t>
  </si>
  <si>
    <t xml:space="preserve">SKU1528</t>
  </si>
  <si>
    <t xml:space="preserve">Spark Plug</t>
  </si>
  <si>
    <t xml:space="preserve">شمعة إشعال</t>
  </si>
  <si>
    <t xml:space="preserve">火花塞</t>
  </si>
  <si>
    <t xml:space="preserve">IGN-006</t>
  </si>
  <si>
    <t xml:space="preserve">SKU1529</t>
  </si>
  <si>
    <t xml:space="preserve">Spark Plug Set</t>
  </si>
  <si>
    <t xml:space="preserve">طقم شمعات إشعال</t>
  </si>
  <si>
    <t xml:space="preserve">火花塞套装</t>
  </si>
  <si>
    <t xml:space="preserve">IGN-007</t>
  </si>
  <si>
    <t xml:space="preserve">SKU1530</t>
  </si>
  <si>
    <t xml:space="preserve">Plug Wire Set</t>
  </si>
  <si>
    <t xml:space="preserve">طقم أسلاك الشمعات</t>
  </si>
  <si>
    <t xml:space="preserve">火花塞高压线套装</t>
  </si>
  <si>
    <t xml:space="preserve">IGN-008</t>
  </si>
  <si>
    <t xml:space="preserve">SKU1531</t>
  </si>
  <si>
    <t xml:space="preserve">Distributor</t>
  </si>
  <si>
    <t xml:space="preserve">موزع الشرارة</t>
  </si>
  <si>
    <t xml:space="preserve">分电器</t>
  </si>
  <si>
    <t xml:space="preserve">IGN-009</t>
  </si>
  <si>
    <t xml:space="preserve">SKU1532</t>
  </si>
  <si>
    <t xml:space="preserve">Distributor Cap</t>
  </si>
  <si>
    <t xml:space="preserve">غطاء الموزع</t>
  </si>
  <si>
    <t xml:space="preserve">分电器盖</t>
  </si>
  <si>
    <t xml:space="preserve">IGN-010</t>
  </si>
  <si>
    <t xml:space="preserve">SKU1533</t>
  </si>
  <si>
    <t xml:space="preserve">Ignition Rotor</t>
  </si>
  <si>
    <t xml:space="preserve">دوار الموزع</t>
  </si>
  <si>
    <t xml:space="preserve">分火头</t>
  </si>
  <si>
    <t xml:space="preserve">IGN-011</t>
  </si>
  <si>
    <t xml:space="preserve">SKU1534</t>
  </si>
  <si>
    <t xml:space="preserve">Ignition Module</t>
  </si>
  <si>
    <t xml:space="preserve">وحدة الإشعال</t>
  </si>
  <si>
    <t xml:space="preserve">点火模块</t>
  </si>
  <si>
    <t xml:space="preserve">IGN-012</t>
  </si>
  <si>
    <t xml:space="preserve">SKU1535</t>
  </si>
  <si>
    <t xml:space="preserve">Ignition Switch</t>
  </si>
  <si>
    <t xml:space="preserve">مفتاح الإشعال</t>
  </si>
  <si>
    <t xml:space="preserve">点火开关</t>
  </si>
  <si>
    <t xml:space="preserve">IGN-013</t>
  </si>
  <si>
    <t xml:space="preserve">SKU1536</t>
  </si>
  <si>
    <t xml:space="preserve">Ignition Lock Cylinder</t>
  </si>
  <si>
    <t xml:space="preserve">اسطوانة قفل الإشعال</t>
  </si>
  <si>
    <t xml:space="preserve">点火锁芯</t>
  </si>
  <si>
    <t xml:space="preserve">IGN-014</t>
  </si>
  <si>
    <t xml:space="preserve">SKU1537</t>
  </si>
  <si>
    <t xml:space="preserve">Key Fob</t>
  </si>
  <si>
    <t xml:space="preserve">Cabin Interior</t>
  </si>
  <si>
    <t xml:space="preserve">ريموت المفتاح</t>
  </si>
  <si>
    <t xml:space="preserve">داخل المقصورة</t>
  </si>
  <si>
    <t xml:space="preserve">遥控钥匙</t>
  </si>
  <si>
    <t xml:space="preserve">车内</t>
  </si>
  <si>
    <t xml:space="preserve">IGN-015</t>
  </si>
  <si>
    <t xml:space="preserve">SKU1538</t>
  </si>
  <si>
    <t xml:space="preserve">Key Blank</t>
  </si>
  <si>
    <t xml:space="preserve">مفتاح خام</t>
  </si>
  <si>
    <t xml:space="preserve">钥匙胚</t>
  </si>
  <si>
    <t xml:space="preserve">IGN-016</t>
  </si>
  <si>
    <t xml:space="preserve">SKU1539</t>
  </si>
  <si>
    <t xml:space="preserve">Immobilizer Antenna Ring</t>
  </si>
  <si>
    <t xml:space="preserve">حلقة هوائي الإمميوبيلايزر</t>
  </si>
  <si>
    <t xml:space="preserve">防盗天线线圈</t>
  </si>
  <si>
    <t xml:space="preserve">IGN-017</t>
  </si>
  <si>
    <t xml:space="preserve">SKU1540</t>
  </si>
  <si>
    <t xml:space="preserve">Charging</t>
  </si>
  <si>
    <t xml:space="preserve">Alternator</t>
  </si>
  <si>
    <t xml:space="preserve">الشحن</t>
  </si>
  <si>
    <t xml:space="preserve">دينمو</t>
  </si>
  <si>
    <t xml:space="preserve">充电</t>
  </si>
  <si>
    <t xml:space="preserve">发电机</t>
  </si>
  <si>
    <t xml:space="preserve">CHG</t>
  </si>
  <si>
    <t xml:space="preserve">CHG-001</t>
  </si>
  <si>
    <t xml:space="preserve">SKU1541</t>
  </si>
  <si>
    <t xml:space="preserve">Alternator Pulley</t>
  </si>
  <si>
    <t xml:space="preserve">بكرة الدينمو</t>
  </si>
  <si>
    <t xml:space="preserve">发电机皮带轮</t>
  </si>
  <si>
    <t xml:space="preserve">CHG-002</t>
  </si>
  <si>
    <t xml:space="preserve">SKU1542</t>
  </si>
  <si>
    <t xml:space="preserve">Alternator Voltage Regulator</t>
  </si>
  <si>
    <t xml:space="preserve">منظم شحن الدينمو</t>
  </si>
  <si>
    <t xml:space="preserve">发电机调节器</t>
  </si>
  <si>
    <t xml:space="preserve">CHG-003</t>
  </si>
  <si>
    <t xml:space="preserve">SKU1543</t>
  </si>
  <si>
    <t xml:space="preserve">AC Charging Port</t>
  </si>
  <si>
    <t xml:space="preserve">Charging Port</t>
  </si>
  <si>
    <t xml:space="preserve">منفذ شحن AC</t>
  </si>
  <si>
    <t xml:space="preserve">منفذ الشحن</t>
  </si>
  <si>
    <t xml:space="preserve">交流充电口</t>
  </si>
  <si>
    <t xml:space="preserve">充电口</t>
  </si>
  <si>
    <t xml:space="preserve">CHG-004</t>
  </si>
  <si>
    <t xml:space="preserve">SKU1544</t>
  </si>
  <si>
    <t xml:space="preserve">DC Charging Port</t>
  </si>
  <si>
    <t xml:space="preserve">منفذ شحن سريع DC</t>
  </si>
  <si>
    <t xml:space="preserve">直流快充口</t>
  </si>
  <si>
    <t xml:space="preserve">CHG-005</t>
  </si>
  <si>
    <t xml:space="preserve">SKU1545</t>
  </si>
  <si>
    <t xml:space="preserve">Charging Port Door</t>
  </si>
  <si>
    <t xml:space="preserve">غطاء منفذ الشحن</t>
  </si>
  <si>
    <t xml:space="preserve">充电口盖板</t>
  </si>
  <si>
    <t xml:space="preserve">CHG-006</t>
  </si>
  <si>
    <t xml:space="preserve">SKU1546</t>
  </si>
  <si>
    <t xml:space="preserve">Port Lock Actuator</t>
  </si>
  <si>
    <t xml:space="preserve">مشغل قفل منفذ الشحن</t>
  </si>
  <si>
    <t xml:space="preserve">充电口锁止执行器</t>
  </si>
  <si>
    <t xml:space="preserve">CHG-007</t>
  </si>
  <si>
    <t xml:space="preserve">SKU1547</t>
  </si>
  <si>
    <t xml:space="preserve">Portable Charging Cable</t>
  </si>
  <si>
    <t xml:space="preserve">Charging Cable</t>
  </si>
  <si>
    <t xml:space="preserve">كابل شحن محمول</t>
  </si>
  <si>
    <t xml:space="preserve">كابل الشحن</t>
  </si>
  <si>
    <t xml:space="preserve">便携式充电线</t>
  </si>
  <si>
    <t xml:space="preserve">充电线</t>
  </si>
  <si>
    <t xml:space="preserve">CHG-008</t>
  </si>
  <si>
    <t xml:space="preserve">SKU1548</t>
  </si>
  <si>
    <t xml:space="preserve">كابل شحن</t>
  </si>
  <si>
    <t xml:space="preserve">充电桩连接线</t>
  </si>
  <si>
    <t xml:space="preserve">CHG-009</t>
  </si>
  <si>
    <t xml:space="preserve">SKU1549</t>
  </si>
  <si>
    <t xml:space="preserve">Wall Charger</t>
  </si>
  <si>
    <t xml:space="preserve">شاحن جداري</t>
  </si>
  <si>
    <t xml:space="preserve">壁挂式充电桩</t>
  </si>
  <si>
    <t xml:space="preserve">CHG-010</t>
  </si>
  <si>
    <t xml:space="preserve">SKU1550</t>
  </si>
  <si>
    <t xml:space="preserve">Wiring</t>
  </si>
  <si>
    <t xml:space="preserve">Fuse</t>
  </si>
  <si>
    <t xml:space="preserve">Fuse Box Area</t>
  </si>
  <si>
    <t xml:space="preserve">الأسلاك والفيوزات</t>
  </si>
  <si>
    <t xml:space="preserve">فيوز</t>
  </si>
  <si>
    <t xml:space="preserve">منطقة صندوق الفيوزات</t>
  </si>
  <si>
    <t xml:space="preserve">线束与保险丝</t>
  </si>
  <si>
    <t xml:space="preserve">保险丝</t>
  </si>
  <si>
    <t xml:space="preserve">保险丝盒区域</t>
  </si>
  <si>
    <t xml:space="preserve">WIR</t>
  </si>
  <si>
    <t xml:space="preserve">WIR-001</t>
  </si>
  <si>
    <t xml:space="preserve">SKU1551</t>
  </si>
  <si>
    <t xml:space="preserve">Fuse Assortment Kit</t>
  </si>
  <si>
    <t xml:space="preserve">طقم فيوزات متنوعة</t>
  </si>
  <si>
    <t xml:space="preserve">保险丝套装</t>
  </si>
  <si>
    <t xml:space="preserve">WIR-002</t>
  </si>
  <si>
    <t xml:space="preserve">SKU1552</t>
  </si>
  <si>
    <t xml:space="preserve">Fuse Box</t>
  </si>
  <si>
    <t xml:space="preserve">صندوق الفيوزات</t>
  </si>
  <si>
    <t xml:space="preserve">保险丝盒</t>
  </si>
  <si>
    <t xml:space="preserve">WIR-003</t>
  </si>
  <si>
    <t xml:space="preserve">SKU1553</t>
  </si>
  <si>
    <t xml:space="preserve">Relay</t>
  </si>
  <si>
    <t xml:space="preserve">ريليه</t>
  </si>
  <si>
    <t xml:space="preserve">继电器</t>
  </si>
  <si>
    <t xml:space="preserve">WIR-004</t>
  </si>
  <si>
    <t xml:space="preserve">SKU1554</t>
  </si>
  <si>
    <t xml:space="preserve">Relay Socket</t>
  </si>
  <si>
    <t xml:space="preserve">قاعدة الريليه</t>
  </si>
  <si>
    <t xml:space="preserve">继电器底座</t>
  </si>
  <si>
    <t xml:space="preserve">WIR-005</t>
  </si>
  <si>
    <t xml:space="preserve">SKU1555</t>
  </si>
  <si>
    <t xml:space="preserve">Flasher Relay</t>
  </si>
  <si>
    <t xml:space="preserve">فلاشر الإشارات</t>
  </si>
  <si>
    <t xml:space="preserve">闪光继电器</t>
  </si>
  <si>
    <t xml:space="preserve">WIR-006</t>
  </si>
  <si>
    <t xml:space="preserve">SKU1556</t>
  </si>
  <si>
    <t xml:space="preserve">Engine Wiring Harness</t>
  </si>
  <si>
    <t xml:space="preserve">ضفيرة أسلاك المحرك</t>
  </si>
  <si>
    <t xml:space="preserve">التمديدات الكهربائية</t>
  </si>
  <si>
    <t xml:space="preserve">发动机线束</t>
  </si>
  <si>
    <t xml:space="preserve">线束</t>
  </si>
  <si>
    <t xml:space="preserve">WIR-007</t>
  </si>
  <si>
    <t xml:space="preserve">SKU1557</t>
  </si>
  <si>
    <t xml:space="preserve">Dashboard Wiring Harness</t>
  </si>
  <si>
    <t xml:space="preserve">ضفيرة أسلاك لوحة القيادة</t>
  </si>
  <si>
    <t xml:space="preserve">仪表台线束</t>
  </si>
  <si>
    <t xml:space="preserve">WIR-008</t>
  </si>
  <si>
    <t xml:space="preserve">SKU1558</t>
  </si>
  <si>
    <t xml:space="preserve">Door Wiring Harness</t>
  </si>
  <si>
    <t xml:space="preserve">ضفيرة أسلاك الباب</t>
  </si>
  <si>
    <t xml:space="preserve">车门线束</t>
  </si>
  <si>
    <t xml:space="preserve">WIR-009</t>
  </si>
  <si>
    <t xml:space="preserve">SKU1559</t>
  </si>
  <si>
    <t xml:space="preserve">SKU1560</t>
  </si>
  <si>
    <t xml:space="preserve">SKU1561</t>
  </si>
  <si>
    <t xml:space="preserve">SKU1562</t>
  </si>
  <si>
    <t xml:space="preserve">Body Wiring Harness</t>
  </si>
  <si>
    <t xml:space="preserve">ضفيرة أسلاك الهيكل</t>
  </si>
  <si>
    <t xml:space="preserve">车身线束</t>
  </si>
  <si>
    <t xml:space="preserve">WIR-010</t>
  </si>
  <si>
    <t xml:space="preserve">SKU1563</t>
  </si>
  <si>
    <t xml:space="preserve">Wiring Connector Kit</t>
  </si>
  <si>
    <t xml:space="preserve">طقم وصلات كهربائية</t>
  </si>
  <si>
    <t xml:space="preserve">线束连接器套装</t>
  </si>
  <si>
    <t xml:space="preserve">WIR-011</t>
  </si>
  <si>
    <t xml:space="preserve">SKU1564</t>
  </si>
  <si>
    <t xml:space="preserve">Switches</t>
  </si>
  <si>
    <t xml:space="preserve">Power Window Switch</t>
  </si>
  <si>
    <t xml:space="preserve">Door Interior</t>
  </si>
  <si>
    <t xml:space="preserve">المفاتيح والمقابس</t>
  </si>
  <si>
    <t xml:space="preserve">مفتاح رافع الزجاج</t>
  </si>
  <si>
    <t xml:space="preserve">الباب من الداخل</t>
  </si>
  <si>
    <t xml:space="preserve">开关与插座</t>
  </si>
  <si>
    <t xml:space="preserve">玻璃升降开关</t>
  </si>
  <si>
    <t xml:space="preserve">车门内部</t>
  </si>
  <si>
    <t xml:space="preserve">SWT</t>
  </si>
  <si>
    <t xml:space="preserve">SWT-001</t>
  </si>
  <si>
    <t xml:space="preserve">SKU1565</t>
  </si>
  <si>
    <t xml:space="preserve">SKU1566</t>
  </si>
  <si>
    <t xml:space="preserve">SKU1567</t>
  </si>
  <si>
    <t xml:space="preserve">SKU1568</t>
  </si>
  <si>
    <t xml:space="preserve">Central Locking Switch</t>
  </si>
  <si>
    <t xml:space="preserve">مفتاح القفل المركزي</t>
  </si>
  <si>
    <t xml:space="preserve">中控锁开关</t>
  </si>
  <si>
    <t xml:space="preserve">SWT-002</t>
  </si>
  <si>
    <t xml:space="preserve">SKU1569</t>
  </si>
  <si>
    <t xml:space="preserve">Power Socket</t>
  </si>
  <si>
    <t xml:space="preserve">مقبس ولاعة السيارة</t>
  </si>
  <si>
    <r>
      <rPr>
        <sz val="10"/>
        <rFont val="Arial"/>
        <family val="0"/>
        <charset val="1"/>
      </rPr>
      <t xml:space="preserve">12V</t>
    </r>
    <r>
      <rPr>
        <sz val="10"/>
        <rFont val="Noto Sans CJK SC"/>
        <family val="2"/>
      </rPr>
      <t xml:space="preserve">点烟器插座</t>
    </r>
  </si>
  <si>
    <t xml:space="preserve">SWT-003</t>
  </si>
  <si>
    <t xml:space="preserve">SKU1570</t>
  </si>
  <si>
    <t xml:space="preserve">USB Charging Socket</t>
  </si>
  <si>
    <t xml:space="preserve">مقبس شحن USB</t>
  </si>
  <si>
    <r>
      <rPr>
        <sz val="10"/>
        <rFont val="Arial"/>
        <family val="0"/>
        <charset val="1"/>
      </rPr>
      <t xml:space="preserve">USB</t>
    </r>
    <r>
      <rPr>
        <sz val="10"/>
        <rFont val="Noto Sans CJK SC"/>
        <family val="2"/>
      </rPr>
      <t xml:space="preserve">充电接口</t>
    </r>
  </si>
  <si>
    <t xml:space="preserve">SWT-004</t>
  </si>
  <si>
    <t xml:space="preserve">SKU1571</t>
  </si>
  <si>
    <t xml:space="preserve">Combination Switch</t>
  </si>
  <si>
    <t xml:space="preserve">مفتاح الإشارات</t>
  </si>
  <si>
    <t xml:space="preserve">转向灯组合开关</t>
  </si>
  <si>
    <t xml:space="preserve">SWT-005</t>
  </si>
  <si>
    <t xml:space="preserve">SKU1572</t>
  </si>
  <si>
    <t xml:space="preserve">Headlight Switch</t>
  </si>
  <si>
    <t xml:space="preserve">Dashboard</t>
  </si>
  <si>
    <t xml:space="preserve">مفتاح الأنوار</t>
  </si>
  <si>
    <t xml:space="preserve">لوحة القيادة</t>
  </si>
  <si>
    <t xml:space="preserve">大灯开关</t>
  </si>
  <si>
    <t xml:space="preserve">仪表台</t>
  </si>
  <si>
    <t xml:space="preserve">SWT-006</t>
  </si>
  <si>
    <t xml:space="preserve">SKU1573</t>
  </si>
  <si>
    <t xml:space="preserve">Hazard Warning Switch</t>
  </si>
  <si>
    <t xml:space="preserve">مفتاح الطوارئ</t>
  </si>
  <si>
    <t xml:space="preserve">双闪警示开关</t>
  </si>
  <si>
    <t xml:space="preserve">SWT-007</t>
  </si>
  <si>
    <t xml:space="preserve">SKU1574</t>
  </si>
  <si>
    <t xml:space="preserve">Sensors</t>
  </si>
  <si>
    <t xml:space="preserve">Upstream Oxygen Sensor</t>
  </si>
  <si>
    <t xml:space="preserve">الحساسات</t>
  </si>
  <si>
    <t xml:space="preserve">حساس أكسجين قبل الكتاليزر</t>
  </si>
  <si>
    <t xml:space="preserve">传感器</t>
  </si>
  <si>
    <t xml:space="preserve">前氧传感器</t>
  </si>
  <si>
    <t xml:space="preserve">SEN</t>
  </si>
  <si>
    <t xml:space="preserve">SEN-001</t>
  </si>
  <si>
    <t xml:space="preserve">SKU1575</t>
  </si>
  <si>
    <t xml:space="preserve">Downstream Oxygen Sensor</t>
  </si>
  <si>
    <t xml:space="preserve">حساس أكسجين بعد الكتاليزر</t>
  </si>
  <si>
    <t xml:space="preserve">后氧传感器</t>
  </si>
  <si>
    <t xml:space="preserve">SEN-002</t>
  </si>
  <si>
    <t xml:space="preserve">SKU1576</t>
  </si>
  <si>
    <t xml:space="preserve">Air-Fuel Ratio Sensor</t>
  </si>
  <si>
    <t xml:space="preserve">حساس نسبة الهواء والوقود</t>
  </si>
  <si>
    <t xml:space="preserve">空燃比传感器</t>
  </si>
  <si>
    <t xml:space="preserve">SEN-003</t>
  </si>
  <si>
    <t xml:space="preserve">SKU1577</t>
  </si>
  <si>
    <t xml:space="preserve">NOx Sensor</t>
  </si>
  <si>
    <t xml:space="preserve">حساس أكاسيد النيتروجين</t>
  </si>
  <si>
    <t xml:space="preserve">氮氧化物传感器</t>
  </si>
  <si>
    <t xml:space="preserve">SEN-004</t>
  </si>
  <si>
    <t xml:space="preserve">SKU1578</t>
  </si>
  <si>
    <t xml:space="preserve">Mass Airflow Sensor</t>
  </si>
  <si>
    <t xml:space="preserve">حساس كمية الهواء</t>
  </si>
  <si>
    <t xml:space="preserve">空气流量传感器</t>
  </si>
  <si>
    <t xml:space="preserve">SEN-005</t>
  </si>
  <si>
    <t xml:space="preserve">SKU1579</t>
  </si>
  <si>
    <t xml:space="preserve">Manifold Pressure Sensor</t>
  </si>
  <si>
    <t xml:space="preserve">حساس ضغط المشعب</t>
  </si>
  <si>
    <t xml:space="preserve">进气歧管压力传感器</t>
  </si>
  <si>
    <t xml:space="preserve">SEN-006</t>
  </si>
  <si>
    <t xml:space="preserve">SKU1580</t>
  </si>
  <si>
    <t xml:space="preserve">Intake Temperature Sensor</t>
  </si>
  <si>
    <t xml:space="preserve">حساس حرارة هواء السحب</t>
  </si>
  <si>
    <t xml:space="preserve">进气温度传感器</t>
  </si>
  <si>
    <t xml:space="preserve">SEN-007</t>
  </si>
  <si>
    <t xml:space="preserve">SKU1581</t>
  </si>
  <si>
    <t xml:space="preserve">Throttle Position Sensor</t>
  </si>
  <si>
    <t xml:space="preserve">حساس وضع الخانق</t>
  </si>
  <si>
    <t xml:space="preserve">节气门位置传感器</t>
  </si>
  <si>
    <t xml:space="preserve">SEN-008</t>
  </si>
  <si>
    <t xml:space="preserve">SKU1582</t>
  </si>
  <si>
    <t xml:space="preserve">Pedal Position Sensor</t>
  </si>
  <si>
    <t xml:space="preserve">Pedals</t>
  </si>
  <si>
    <t xml:space="preserve">حساس دواسة البنزين</t>
  </si>
  <si>
    <t xml:space="preserve">الدواسات</t>
  </si>
  <si>
    <t xml:space="preserve">油门踏板位置传感器</t>
  </si>
  <si>
    <t xml:space="preserve">踏板区域</t>
  </si>
  <si>
    <t xml:space="preserve">SEN-009</t>
  </si>
  <si>
    <t xml:space="preserve">SKU1583</t>
  </si>
  <si>
    <t xml:space="preserve">Crankshaft Position Sensor</t>
  </si>
  <si>
    <t xml:space="preserve">حساس عمود المرفق</t>
  </si>
  <si>
    <t xml:space="preserve">曲轴位置传感器</t>
  </si>
  <si>
    <t xml:space="preserve">SEN-010</t>
  </si>
  <si>
    <t xml:space="preserve">SKU1584</t>
  </si>
  <si>
    <t xml:space="preserve">Camshaft Position Sensor</t>
  </si>
  <si>
    <t xml:space="preserve">حساس عمود الكامات</t>
  </si>
  <si>
    <t xml:space="preserve">凸轮轴位置传感器</t>
  </si>
  <si>
    <t xml:space="preserve">SEN-011</t>
  </si>
  <si>
    <t xml:space="preserve">SKU1585</t>
  </si>
  <si>
    <t xml:space="preserve">Knock Sensor</t>
  </si>
  <si>
    <t xml:space="preserve">حساس الطرق</t>
  </si>
  <si>
    <t xml:space="preserve">爆震传感器</t>
  </si>
  <si>
    <t xml:space="preserve">SEN-012</t>
  </si>
  <si>
    <t xml:space="preserve">SKU1586</t>
  </si>
  <si>
    <t xml:space="preserve">Coolant Temperature Sensor</t>
  </si>
  <si>
    <t xml:space="preserve">Cooling System</t>
  </si>
  <si>
    <t xml:space="preserve">حساس حرارة المياه</t>
  </si>
  <si>
    <t xml:space="preserve">نظام التبريد</t>
  </si>
  <si>
    <t xml:space="preserve">冷却液温度传感器</t>
  </si>
  <si>
    <t xml:space="preserve">冷却系统</t>
  </si>
  <si>
    <t xml:space="preserve">SEN-013</t>
  </si>
  <si>
    <t xml:space="preserve">SKU1587</t>
  </si>
  <si>
    <t xml:space="preserve">Oil Pressure Sensor</t>
  </si>
  <si>
    <t xml:space="preserve">حساس ضغط الزيت</t>
  </si>
  <si>
    <t xml:space="preserve">机油压力传感器</t>
  </si>
  <si>
    <t xml:space="preserve">SEN-014</t>
  </si>
  <si>
    <t xml:space="preserve">SKU1588</t>
  </si>
  <si>
    <t xml:space="preserve">Oil Level Sensor</t>
  </si>
  <si>
    <t xml:space="preserve">حساس مستوى الزيت</t>
  </si>
  <si>
    <t xml:space="preserve">机油液位传感器</t>
  </si>
  <si>
    <t xml:space="preserve">SEN-015</t>
  </si>
  <si>
    <t xml:space="preserve">SKU1589</t>
  </si>
  <si>
    <t xml:space="preserve">Fuel Pressure Sensor</t>
  </si>
  <si>
    <t xml:space="preserve">حساس ضغط الوقود</t>
  </si>
  <si>
    <t xml:space="preserve">燃油压力传感器</t>
  </si>
  <si>
    <t xml:space="preserve">SEN-016</t>
  </si>
  <si>
    <t xml:space="preserve">SKU1590</t>
  </si>
  <si>
    <t xml:space="preserve">Exhaust Temperature Sensor</t>
  </si>
  <si>
    <t xml:space="preserve">حساس حرارة العادم</t>
  </si>
  <si>
    <t xml:space="preserve">排气温度传感器</t>
  </si>
  <si>
    <t xml:space="preserve">SEN-017</t>
  </si>
  <si>
    <t xml:space="preserve">SKU1591</t>
  </si>
  <si>
    <t xml:space="preserve">DPF Pressure Sensor</t>
  </si>
  <si>
    <t xml:space="preserve">حساس فرق ضغط فلتر DPF</t>
  </si>
  <si>
    <r>
      <rPr>
        <sz val="10"/>
        <rFont val="Arial"/>
        <family val="0"/>
        <charset val="1"/>
      </rPr>
      <t xml:space="preserve">DPF</t>
    </r>
    <r>
      <rPr>
        <sz val="10"/>
        <rFont val="Noto Sans CJK SC"/>
        <family val="2"/>
      </rPr>
      <t xml:space="preserve">压差传感器</t>
    </r>
  </si>
  <si>
    <t xml:space="preserve">SEN-018</t>
  </si>
  <si>
    <t xml:space="preserve">SKU1592</t>
  </si>
  <si>
    <t xml:space="preserve">Transmission Speed Sensor</t>
  </si>
  <si>
    <t xml:space="preserve">حساس سرعة ناقل الحركة</t>
  </si>
  <si>
    <t xml:space="preserve">变速箱转速传感器</t>
  </si>
  <si>
    <t xml:space="preserve">SEN-019</t>
  </si>
  <si>
    <t xml:space="preserve">SKU1593</t>
  </si>
  <si>
    <t xml:space="preserve">Vehicle Speed Sensor</t>
  </si>
  <si>
    <t xml:space="preserve">حساس سرعة السيارة</t>
  </si>
  <si>
    <t xml:space="preserve">车速传感器</t>
  </si>
  <si>
    <t xml:space="preserve">SEN-020</t>
  </si>
  <si>
    <t xml:space="preserve">SKU1594</t>
  </si>
  <si>
    <t xml:space="preserve">Steering Angle Sensor</t>
  </si>
  <si>
    <t xml:space="preserve">حساس زاوية التوجيه</t>
  </si>
  <si>
    <t xml:space="preserve">转向角传感器</t>
  </si>
  <si>
    <t xml:space="preserve">SEN-021</t>
  </si>
  <si>
    <t xml:space="preserve">SKU1595</t>
  </si>
  <si>
    <t xml:space="preserve">Yaw Rate Sensor</t>
  </si>
  <si>
    <t xml:space="preserve">Cabin Floor</t>
  </si>
  <si>
    <t xml:space="preserve">حساس الانحراف</t>
  </si>
  <si>
    <t xml:space="preserve">أرضية المقصورة</t>
  </si>
  <si>
    <t xml:space="preserve">横摆角速度传感器</t>
  </si>
  <si>
    <t xml:space="preserve">车内地板</t>
  </si>
  <si>
    <t xml:space="preserve">SEN-022</t>
  </si>
  <si>
    <t xml:space="preserve">SKU1596</t>
  </si>
  <si>
    <t xml:space="preserve">Rain Light Sensor</t>
  </si>
  <si>
    <t xml:space="preserve">Windshield</t>
  </si>
  <si>
    <t xml:space="preserve">حساس المطر والضوء</t>
  </si>
  <si>
    <t xml:space="preserve">الزجاج الأمامي</t>
  </si>
  <si>
    <t xml:space="preserve">雨量光线传感器</t>
  </si>
  <si>
    <t xml:space="preserve">前挡风玻璃</t>
  </si>
  <si>
    <t xml:space="preserve">SEN-023</t>
  </si>
  <si>
    <t xml:space="preserve">SKU1597</t>
  </si>
  <si>
    <t xml:space="preserve">Ambient Temperature Sensor</t>
  </si>
  <si>
    <t xml:space="preserve">Front Fascia</t>
  </si>
  <si>
    <t xml:space="preserve">حساس حرارة الجو الخارجي</t>
  </si>
  <si>
    <t xml:space="preserve">الواجهة الأمامية</t>
  </si>
  <si>
    <t xml:space="preserve">车外温度传感器</t>
  </si>
  <si>
    <t xml:space="preserve">前脸</t>
  </si>
  <si>
    <t xml:space="preserve">SEN-024</t>
  </si>
  <si>
    <t xml:space="preserve">SKU1598</t>
  </si>
  <si>
    <t xml:space="preserve">Cabin Temperature Sensor</t>
  </si>
  <si>
    <t xml:space="preserve">حساس حرارة المقصورة</t>
  </si>
  <si>
    <t xml:space="preserve">车内温度传感器</t>
  </si>
  <si>
    <t xml:space="preserve">SEN-025</t>
  </si>
  <si>
    <t xml:space="preserve">SKU1599</t>
  </si>
  <si>
    <t xml:space="preserve">Sunload Sensor</t>
  </si>
  <si>
    <t xml:space="preserve">حساس الشمس</t>
  </si>
  <si>
    <t xml:space="preserve">阳光传感器</t>
  </si>
  <si>
    <t xml:space="preserve">SEN-026</t>
  </si>
  <si>
    <t xml:space="preserve">SKU1600</t>
  </si>
  <si>
    <t xml:space="preserve">Seat Occupancy Sensor</t>
  </si>
  <si>
    <t xml:space="preserve">Seats</t>
  </si>
  <si>
    <t xml:space="preserve">حساس وجود الراكب</t>
  </si>
  <si>
    <t xml:space="preserve">المقاعد</t>
  </si>
  <si>
    <t xml:space="preserve">座椅乘员检测传感器</t>
  </si>
  <si>
    <t xml:space="preserve">座椅</t>
  </si>
  <si>
    <t xml:space="preserve">SEN-027</t>
  </si>
  <si>
    <t xml:space="preserve">SKU1601</t>
  </si>
  <si>
    <t xml:space="preserve">Modules</t>
  </si>
  <si>
    <t xml:space="preserve">Engine Control Unit</t>
  </si>
  <si>
    <t xml:space="preserve">وحدات التحكم</t>
  </si>
  <si>
    <t xml:space="preserve">وحدة التحكم بالمحرك</t>
  </si>
  <si>
    <t xml:space="preserve">控制模块</t>
  </si>
  <si>
    <t xml:space="preserve">发动机控制单元</t>
  </si>
  <si>
    <t xml:space="preserve">MOD</t>
  </si>
  <si>
    <t xml:space="preserve">MOD-001</t>
  </si>
  <si>
    <t xml:space="preserve">SKU1602</t>
  </si>
  <si>
    <t xml:space="preserve">Body Control Module</t>
  </si>
  <si>
    <t xml:space="preserve">وحدة التحكم بالهيكل</t>
  </si>
  <si>
    <t xml:space="preserve">车身控制模块</t>
  </si>
  <si>
    <t xml:space="preserve">MOD-002</t>
  </si>
  <si>
    <t xml:space="preserve">SKU1603</t>
  </si>
  <si>
    <t xml:space="preserve">ABS ESP Module</t>
  </si>
  <si>
    <t xml:space="preserve">وحدة تحكم ABS / ESP</t>
  </si>
  <si>
    <r>
      <rPr>
        <sz val="10"/>
        <rFont val="Arial"/>
        <family val="0"/>
        <charset val="1"/>
      </rPr>
      <t xml:space="preserve">ABS/ESP</t>
    </r>
    <r>
      <rPr>
        <sz val="10"/>
        <rFont val="Noto Sans CJK SC"/>
        <family val="2"/>
      </rPr>
      <t xml:space="preserve">控制模块</t>
    </r>
  </si>
  <si>
    <t xml:space="preserve">MOD-003</t>
  </si>
  <si>
    <t xml:space="preserve">SKU1604</t>
  </si>
  <si>
    <t xml:space="preserve">Airbag Control Module</t>
  </si>
  <si>
    <t xml:space="preserve">وحدة تحكم الوسائد الهوائية</t>
  </si>
  <si>
    <t xml:space="preserve">安全气囊控制模块</t>
  </si>
  <si>
    <t xml:space="preserve">MOD-004</t>
  </si>
  <si>
    <t xml:space="preserve">SKU1605</t>
  </si>
  <si>
    <t xml:space="preserve">Instrument Cluster</t>
  </si>
  <si>
    <t xml:space="preserve">Instrument Panel</t>
  </si>
  <si>
    <t xml:space="preserve">طبلون العدادات</t>
  </si>
  <si>
    <t xml:space="preserve">لوحة العدادات</t>
  </si>
  <si>
    <t xml:space="preserve">组合仪表</t>
  </si>
  <si>
    <t xml:space="preserve">仪表盘</t>
  </si>
  <si>
    <t xml:space="preserve">MOD-005</t>
  </si>
  <si>
    <t xml:space="preserve">SKU1606</t>
  </si>
  <si>
    <t xml:space="preserve">Gateway Module</t>
  </si>
  <si>
    <t xml:space="preserve">وحدة البوابة</t>
  </si>
  <si>
    <t xml:space="preserve">网关控制模块</t>
  </si>
  <si>
    <t xml:space="preserve">MOD-006</t>
  </si>
  <si>
    <t xml:space="preserve">SKU1607</t>
  </si>
  <si>
    <t xml:space="preserve">Door Control Module</t>
  </si>
  <si>
    <t xml:space="preserve">وحدة تحكم الباب</t>
  </si>
  <si>
    <t xml:space="preserve">车门控制模块</t>
  </si>
  <si>
    <t xml:space="preserve">MOD-007</t>
  </si>
  <si>
    <t xml:space="preserve">SKU1608</t>
  </si>
  <si>
    <t xml:space="preserve">SKU1609</t>
  </si>
  <si>
    <t xml:space="preserve">SKU1610</t>
  </si>
  <si>
    <t xml:space="preserve">SKU1611</t>
  </si>
  <si>
    <t xml:space="preserve">Keyless Receiver Module</t>
  </si>
  <si>
    <t xml:space="preserve">وحدة استقبال المفتاح الذكي</t>
  </si>
  <si>
    <t xml:space="preserve">无钥匙进入接收模块</t>
  </si>
  <si>
    <t xml:space="preserve">MOD-008</t>
  </si>
  <si>
    <t xml:space="preserve">SKU1612</t>
  </si>
  <si>
    <t xml:space="preserve">ADAS</t>
  </si>
  <si>
    <t xml:space="preserve">Parking Sensor</t>
  </si>
  <si>
    <t xml:space="preserve">Exterior</t>
  </si>
  <si>
    <t xml:space="preserve">أنظمة مساعدة السائق</t>
  </si>
  <si>
    <t xml:space="preserve">حساس ركن</t>
  </si>
  <si>
    <t xml:space="preserve">الخارج</t>
  </si>
  <si>
    <t xml:space="preserve">驾驶辅助</t>
  </si>
  <si>
    <t xml:space="preserve">驻车雷达传感器</t>
  </si>
  <si>
    <t xml:space="preserve">车外</t>
  </si>
  <si>
    <t xml:space="preserve">ADS</t>
  </si>
  <si>
    <t xml:space="preserve">ADS-001</t>
  </si>
  <si>
    <t xml:space="preserve">SKU1613</t>
  </si>
  <si>
    <t xml:space="preserve">SKU1614</t>
  </si>
  <si>
    <t xml:space="preserve">Backup Camera</t>
  </si>
  <si>
    <t xml:space="preserve">كاميرا رجوع</t>
  </si>
  <si>
    <t xml:space="preserve">倒车摄像头</t>
  </si>
  <si>
    <t xml:space="preserve">ADS-002</t>
  </si>
  <si>
    <t xml:space="preserve">SKU1615</t>
  </si>
  <si>
    <t xml:space="preserve">Surround View Camera</t>
  </si>
  <si>
    <t xml:space="preserve">كاميرا محيطية 360</t>
  </si>
  <si>
    <t xml:space="preserve">环视摄像头</t>
  </si>
  <si>
    <t xml:space="preserve">ADS-003</t>
  </si>
  <si>
    <t xml:space="preserve">SKU1616</t>
  </si>
  <si>
    <t xml:space="preserve">SKU1617</t>
  </si>
  <si>
    <t xml:space="preserve">SKU1618</t>
  </si>
  <si>
    <t xml:space="preserve">SKU1619</t>
  </si>
  <si>
    <t xml:space="preserve">Adaptive Cruise Radar</t>
  </si>
  <si>
    <t xml:space="preserve">Front Bumper</t>
  </si>
  <si>
    <t xml:space="preserve">رادار التحكم التكيفي</t>
  </si>
  <si>
    <t xml:space="preserve">المصد الأمامي</t>
  </si>
  <si>
    <t xml:space="preserve">自适应巡航雷达</t>
  </si>
  <si>
    <t xml:space="preserve">前保险杠</t>
  </si>
  <si>
    <t xml:space="preserve">ADS-004</t>
  </si>
  <si>
    <t xml:space="preserve">SKU1620</t>
  </si>
  <si>
    <t xml:space="preserve">Blind Spot Radar</t>
  </si>
  <si>
    <t xml:space="preserve">رادار النقطة العمياء</t>
  </si>
  <si>
    <t xml:space="preserve">盲区监测雷达</t>
  </si>
  <si>
    <t xml:space="preserve">ADS-005</t>
  </si>
  <si>
    <t xml:space="preserve">SKU1621</t>
  </si>
  <si>
    <t xml:space="preserve">SKU1622</t>
  </si>
  <si>
    <t xml:space="preserve">Lane Departure Camera</t>
  </si>
  <si>
    <t xml:space="preserve">كاميرا الحفاظ على المسار</t>
  </si>
  <si>
    <t xml:space="preserve">车道偏离摄像头</t>
  </si>
  <si>
    <t xml:space="preserve">ADS-006</t>
  </si>
  <si>
    <t xml:space="preserve">SKU1623</t>
  </si>
  <si>
    <t xml:space="preserve">Lighting</t>
  </si>
  <si>
    <t xml:space="preserve">Headlamp Assembly</t>
  </si>
  <si>
    <t xml:space="preserve">Headlamp Area</t>
  </si>
  <si>
    <t xml:space="preserve">الإضاءة</t>
  </si>
  <si>
    <t xml:space="preserve">مصباح أمامي كامل</t>
  </si>
  <si>
    <t xml:space="preserve">منطقة المصباح الأمامي</t>
  </si>
  <si>
    <t xml:space="preserve">照明</t>
  </si>
  <si>
    <t xml:space="preserve">前大灯总成</t>
  </si>
  <si>
    <t xml:space="preserve">前灯区域</t>
  </si>
  <si>
    <t xml:space="preserve">LGT</t>
  </si>
  <si>
    <t xml:space="preserve">LGT-001</t>
  </si>
  <si>
    <t xml:space="preserve">SKU1624</t>
  </si>
  <si>
    <t xml:space="preserve">SKU1625</t>
  </si>
  <si>
    <t xml:space="preserve">Halogen Headlamp Bulb</t>
  </si>
  <si>
    <t xml:space="preserve">لمبة مصباح أمامي</t>
  </si>
  <si>
    <t xml:space="preserve">卤素大灯灯泡</t>
  </si>
  <si>
    <t xml:space="preserve">LGT-002</t>
  </si>
  <si>
    <t xml:space="preserve">SKU1626</t>
  </si>
  <si>
    <t xml:space="preserve">LED Headlamp Bulb</t>
  </si>
  <si>
    <t xml:space="preserve">لمبة LED للمصباح الأمامي</t>
  </si>
  <si>
    <r>
      <rPr>
        <sz val="10"/>
        <rFont val="Arial"/>
        <family val="0"/>
        <charset val="1"/>
      </rPr>
      <t xml:space="preserve">LED</t>
    </r>
    <r>
      <rPr>
        <sz val="10"/>
        <rFont val="Noto Sans CJK SC"/>
        <family val="2"/>
      </rPr>
      <t xml:space="preserve">大灯灯泡</t>
    </r>
  </si>
  <si>
    <t xml:space="preserve">LGT-003</t>
  </si>
  <si>
    <t xml:space="preserve">SKU1627</t>
  </si>
  <si>
    <t xml:space="preserve">Xenon Headlamp Bulb</t>
  </si>
  <si>
    <t xml:space="preserve">لمبة زينون</t>
  </si>
  <si>
    <t xml:space="preserve">氙气大灯灯泡</t>
  </si>
  <si>
    <t xml:space="preserve">LGT-004</t>
  </si>
  <si>
    <t xml:space="preserve">SKU1628</t>
  </si>
  <si>
    <t xml:space="preserve">Xenon Ballast</t>
  </si>
  <si>
    <t xml:space="preserve">بالاست الزينون</t>
  </si>
  <si>
    <t xml:space="preserve">氙气大灯镇流器</t>
  </si>
  <si>
    <t xml:space="preserve">LGT-005</t>
  </si>
  <si>
    <t xml:space="preserve">SKU1629</t>
  </si>
  <si>
    <t xml:space="preserve">SKU1630</t>
  </si>
  <si>
    <t xml:space="preserve">LED Headlamp Driver</t>
  </si>
  <si>
    <t xml:space="preserve">وحدة تشغيل مصباح LED</t>
  </si>
  <si>
    <r>
      <rPr>
        <sz val="10"/>
        <rFont val="Arial"/>
        <family val="0"/>
        <charset val="1"/>
      </rPr>
      <t xml:space="preserve">LED</t>
    </r>
    <r>
      <rPr>
        <sz val="10"/>
        <rFont val="Noto Sans CJK SC"/>
        <family val="2"/>
      </rPr>
      <t xml:space="preserve">大灯驱动模块</t>
    </r>
  </si>
  <si>
    <t xml:space="preserve">LGT-006</t>
  </si>
  <si>
    <t xml:space="preserve">SKU1631</t>
  </si>
  <si>
    <t xml:space="preserve">SKU1632</t>
  </si>
  <si>
    <t xml:space="preserve">Headlamp Lens Cover</t>
  </si>
  <si>
    <t xml:space="preserve">غطاء زجاج المصباح الأمامي</t>
  </si>
  <si>
    <t xml:space="preserve">大灯灯罩</t>
  </si>
  <si>
    <t xml:space="preserve">LGT-007</t>
  </si>
  <si>
    <t xml:space="preserve">SKU1633</t>
  </si>
  <si>
    <t xml:space="preserve">SKU1634</t>
  </si>
  <si>
    <t xml:space="preserve">Headlamp Leveling Motor</t>
  </si>
  <si>
    <t xml:space="preserve">موتور ضبط المصباح الأمامي</t>
  </si>
  <si>
    <t xml:space="preserve">大灯调节电机</t>
  </si>
  <si>
    <t xml:space="preserve">LGT-008</t>
  </si>
  <si>
    <t xml:space="preserve">SKU1635</t>
  </si>
  <si>
    <t xml:space="preserve">SKU1636</t>
  </si>
  <si>
    <t xml:space="preserve">Fog Lamp Assembly</t>
  </si>
  <si>
    <t xml:space="preserve">كشاف ضباب</t>
  </si>
  <si>
    <t xml:space="preserve">雾灯总成</t>
  </si>
  <si>
    <t xml:space="preserve">LGT-009</t>
  </si>
  <si>
    <t xml:space="preserve">SKU1637</t>
  </si>
  <si>
    <t xml:space="preserve">SKU1638</t>
  </si>
  <si>
    <t xml:space="preserve">Fog Lamp Bulb</t>
  </si>
  <si>
    <t xml:space="preserve">لمبة كشاف الضباب</t>
  </si>
  <si>
    <t xml:space="preserve">雾灯灯泡</t>
  </si>
  <si>
    <t xml:space="preserve">LGT-010</t>
  </si>
  <si>
    <t xml:space="preserve">SKU1639</t>
  </si>
  <si>
    <t xml:space="preserve">Daytime Running Light</t>
  </si>
  <si>
    <t xml:space="preserve">ضوء النهار</t>
  </si>
  <si>
    <t xml:space="preserve">日间行车灯</t>
  </si>
  <si>
    <t xml:space="preserve">LGT-011</t>
  </si>
  <si>
    <t xml:space="preserve">SKU1640</t>
  </si>
  <si>
    <t xml:space="preserve">SKU1641</t>
  </si>
  <si>
    <t xml:space="preserve">Corner Signal Lamp</t>
  </si>
  <si>
    <t xml:space="preserve">إشارة ركنية</t>
  </si>
  <si>
    <t xml:space="preserve">转角灯</t>
  </si>
  <si>
    <t xml:space="preserve">LGT-012</t>
  </si>
  <si>
    <t xml:space="preserve">SKU1642</t>
  </si>
  <si>
    <t xml:space="preserve">SKU1643</t>
  </si>
  <si>
    <t xml:space="preserve">Side Signal Lamp</t>
  </si>
  <si>
    <t xml:space="preserve">Fender</t>
  </si>
  <si>
    <t xml:space="preserve">إشارة جانبية</t>
  </si>
  <si>
    <t xml:space="preserve">الرفرف</t>
  </si>
  <si>
    <t xml:space="preserve">侧转向灯</t>
  </si>
  <si>
    <t xml:space="preserve">翼子板</t>
  </si>
  <si>
    <t xml:space="preserve">LGT-013</t>
  </si>
  <si>
    <t xml:space="preserve">SKU1644</t>
  </si>
  <si>
    <t xml:space="preserve">SKU1645</t>
  </si>
  <si>
    <t xml:space="preserve">Turn Signal Bulb</t>
  </si>
  <si>
    <t xml:space="preserve">لمبة الإشارة</t>
  </si>
  <si>
    <t xml:space="preserve">转向灯泡</t>
  </si>
  <si>
    <t xml:space="preserve">LGT-014</t>
  </si>
  <si>
    <t xml:space="preserve">SKU1646</t>
  </si>
  <si>
    <t xml:space="preserve">Tail Lamp Assembly</t>
  </si>
  <si>
    <t xml:space="preserve">Rear Lamp Area</t>
  </si>
  <si>
    <t xml:space="preserve">مصباح خلفي كامل</t>
  </si>
  <si>
    <t xml:space="preserve">منطقة المصباح الخلفي</t>
  </si>
  <si>
    <t xml:space="preserve">尾灯总成</t>
  </si>
  <si>
    <t xml:space="preserve">尾灯区域</t>
  </si>
  <si>
    <t xml:space="preserve">LGT-015</t>
  </si>
  <si>
    <t xml:space="preserve">SKU1647</t>
  </si>
  <si>
    <t xml:space="preserve">SKU1648</t>
  </si>
  <si>
    <t xml:space="preserve">Tail Lamp Bulb</t>
  </si>
  <si>
    <t xml:space="preserve">لمبة المصباح الخلفي</t>
  </si>
  <si>
    <t xml:space="preserve">尾灯灯泡</t>
  </si>
  <si>
    <t xml:space="preserve">LGT-016</t>
  </si>
  <si>
    <t xml:space="preserve">SKU1649</t>
  </si>
  <si>
    <t xml:space="preserve">Tail Bulb Holder</t>
  </si>
  <si>
    <t xml:space="preserve">قاعدة لمبة المصباح الخلفي</t>
  </si>
  <si>
    <t xml:space="preserve">尾灯灯座</t>
  </si>
  <si>
    <t xml:space="preserve">LGT-017</t>
  </si>
  <si>
    <t xml:space="preserve">SKU1650</t>
  </si>
  <si>
    <t xml:space="preserve">SKU1651</t>
  </si>
  <si>
    <t xml:space="preserve">High-Mount Brake Lamp</t>
  </si>
  <si>
    <t xml:space="preserve">Rear Window</t>
  </si>
  <si>
    <t xml:space="preserve">ضوء الفرامل العلوي</t>
  </si>
  <si>
    <t xml:space="preserve">الزجاج الخلفي</t>
  </si>
  <si>
    <t xml:space="preserve">高位刹车灯</t>
  </si>
  <si>
    <t xml:space="preserve">后挡风玻璃</t>
  </si>
  <si>
    <t xml:space="preserve">LGT-018</t>
  </si>
  <si>
    <t xml:space="preserve">SKU1652</t>
  </si>
  <si>
    <t xml:space="preserve">Reverse Lamp</t>
  </si>
  <si>
    <t xml:space="preserve">ضوء الرجوع</t>
  </si>
  <si>
    <t xml:space="preserve">倒车灯</t>
  </si>
  <si>
    <t xml:space="preserve">LGT-019</t>
  </si>
  <si>
    <t xml:space="preserve">SKU1653</t>
  </si>
  <si>
    <t xml:space="preserve">SKU1654</t>
  </si>
  <si>
    <t xml:space="preserve">Tail Fog Lamp</t>
  </si>
  <si>
    <t xml:space="preserve">كشاف ضباب خلفي</t>
  </si>
  <si>
    <t xml:space="preserve">后雾灯</t>
  </si>
  <si>
    <t xml:space="preserve">LGT-020</t>
  </si>
  <si>
    <t xml:space="preserve">SKU1655</t>
  </si>
  <si>
    <t xml:space="preserve">SKU1656</t>
  </si>
  <si>
    <t xml:space="preserve">License Plate Lamp</t>
  </si>
  <si>
    <t xml:space="preserve">لمبة إنارة اللوحة</t>
  </si>
  <si>
    <t xml:space="preserve">牌照灯</t>
  </si>
  <si>
    <t xml:space="preserve">LGT-021</t>
  </si>
  <si>
    <t xml:space="preserve">SKU1657</t>
  </si>
  <si>
    <t xml:space="preserve">SKU1658</t>
  </si>
  <si>
    <t xml:space="preserve">Side Marker Lamp</t>
  </si>
  <si>
    <t xml:space="preserve">Side Body</t>
  </si>
  <si>
    <t xml:space="preserve">ضوء جانبي</t>
  </si>
  <si>
    <t xml:space="preserve">جانب الهيكل</t>
  </si>
  <si>
    <t xml:space="preserve">侧标志灯</t>
  </si>
  <si>
    <t xml:space="preserve">车身侧面</t>
  </si>
  <si>
    <t xml:space="preserve">LGT-022</t>
  </si>
  <si>
    <t xml:space="preserve">SKU1659</t>
  </si>
  <si>
    <t xml:space="preserve">SKU1660</t>
  </si>
  <si>
    <t xml:space="preserve">Interior Dome Lamp</t>
  </si>
  <si>
    <t xml:space="preserve">Headliner</t>
  </si>
  <si>
    <t xml:space="preserve">إنارة سقف المقصورة</t>
  </si>
  <si>
    <t xml:space="preserve">سقف المقصورة الداخلي</t>
  </si>
  <si>
    <t xml:space="preserve">车内顶灯</t>
  </si>
  <si>
    <t xml:space="preserve">车顶内饰</t>
  </si>
  <si>
    <t xml:space="preserve">LGT-023</t>
  </si>
  <si>
    <t xml:space="preserve">SKU1661</t>
  </si>
  <si>
    <t xml:space="preserve">Map Reading Lamp</t>
  </si>
  <si>
    <t xml:space="preserve">لمبة قراءة الخرائط</t>
  </si>
  <si>
    <t xml:space="preserve">阅读灯</t>
  </si>
  <si>
    <t xml:space="preserve">LGT-024</t>
  </si>
  <si>
    <t xml:space="preserve">SKU1662</t>
  </si>
  <si>
    <t xml:space="preserve">SKU1663</t>
  </si>
  <si>
    <t xml:space="preserve">Trunk Lamp</t>
  </si>
  <si>
    <t xml:space="preserve">إنارة الصندوق</t>
  </si>
  <si>
    <t xml:space="preserve">行李箱灯</t>
  </si>
  <si>
    <t xml:space="preserve">LGT-025</t>
  </si>
  <si>
    <t xml:space="preserve">SKU1664</t>
  </si>
  <si>
    <t xml:space="preserve">Door Courtesy Lamp</t>
  </si>
  <si>
    <t xml:space="preserve">إنارة الباب الداخلية</t>
  </si>
  <si>
    <t xml:space="preserve">车门迎宾灯</t>
  </si>
  <si>
    <t xml:space="preserve">LGT-026</t>
  </si>
  <si>
    <t xml:space="preserve">SKU1665</t>
  </si>
  <si>
    <t xml:space="preserve">SKU1666</t>
  </si>
  <si>
    <t xml:space="preserve">SKU1667</t>
  </si>
  <si>
    <t xml:space="preserve">SKU1668</t>
  </si>
  <si>
    <t xml:space="preserve">Ambient Light Strip</t>
  </si>
  <si>
    <t xml:space="preserve">شريط إضاءة داخلية</t>
  </si>
  <si>
    <t xml:space="preserve">氛围灯条</t>
  </si>
  <si>
    <t xml:space="preserve">LGT-027</t>
  </si>
  <si>
    <t xml:space="preserve">SKU1669</t>
  </si>
  <si>
    <t xml:space="preserve">LED Bulb Kit</t>
  </si>
  <si>
    <t xml:space="preserve">طقم لمبات LED</t>
  </si>
  <si>
    <r>
      <rPr>
        <sz val="10"/>
        <rFont val="Arial"/>
        <family val="0"/>
        <charset val="1"/>
      </rPr>
      <t xml:space="preserve">LED</t>
    </r>
    <r>
      <rPr>
        <sz val="10"/>
        <rFont val="Noto Sans CJK SC"/>
        <family val="2"/>
      </rPr>
      <t xml:space="preserve">灯泡套装</t>
    </r>
  </si>
  <si>
    <t xml:space="preserve">LGT-028</t>
  </si>
  <si>
    <t xml:space="preserve">SKU1670</t>
  </si>
  <si>
    <t xml:space="preserve">Headlamp Wiring Connector</t>
  </si>
  <si>
    <t xml:space="preserve">وصلة المصباح الأمامي</t>
  </si>
  <si>
    <t xml:space="preserve">大灯连接器</t>
  </si>
  <si>
    <t xml:space="preserve">LGT-029</t>
  </si>
  <si>
    <t xml:space="preserve">SKU1671</t>
  </si>
  <si>
    <t xml:space="preserve">SKU1672</t>
  </si>
  <si>
    <t xml:space="preserve">Traction</t>
  </si>
  <si>
    <t xml:space="preserve">High-Voltage Battery Pack</t>
  </si>
  <si>
    <t xml:space="preserve">بطارية الجر (الجهد العالي)</t>
  </si>
  <si>
    <t xml:space="preserve">动力电池</t>
  </si>
  <si>
    <t xml:space="preserve">高压动力电池包</t>
  </si>
  <si>
    <t xml:space="preserve">TRC</t>
  </si>
  <si>
    <t xml:space="preserve">TRC-001</t>
  </si>
  <si>
    <t xml:space="preserve">SKU1673</t>
  </si>
  <si>
    <t xml:space="preserve">High-Voltage Battery Module</t>
  </si>
  <si>
    <t xml:space="preserve">وحدة خلايا البطارية</t>
  </si>
  <si>
    <t xml:space="preserve">动力电池模组</t>
  </si>
  <si>
    <t xml:space="preserve">TRC-002</t>
  </si>
  <si>
    <t xml:space="preserve">SKU1674</t>
  </si>
  <si>
    <t xml:space="preserve">Battery Management System</t>
  </si>
  <si>
    <t xml:space="preserve">نظام إدارة البطارية</t>
  </si>
  <si>
    <t xml:space="preserve">电池管理系统</t>
  </si>
  <si>
    <t xml:space="preserve">TRC-003</t>
  </si>
  <si>
    <t xml:space="preserve">SKU1675</t>
  </si>
  <si>
    <t xml:space="preserve">Battery Cooling Plate</t>
  </si>
  <si>
    <t xml:space="preserve">لوح تبريد البطارية</t>
  </si>
  <si>
    <t xml:space="preserve">电池冷却板</t>
  </si>
  <si>
    <t xml:space="preserve">TRC-004</t>
  </si>
  <si>
    <t xml:space="preserve">SKU1676</t>
  </si>
  <si>
    <t xml:space="preserve">Battery Pack Housing</t>
  </si>
  <si>
    <t xml:space="preserve">هيكل حزمة البطارية</t>
  </si>
  <si>
    <t xml:space="preserve">电池包壳体</t>
  </si>
  <si>
    <t xml:space="preserve">TRC-005</t>
  </si>
  <si>
    <t xml:space="preserve">SKU1677</t>
  </si>
  <si>
    <t xml:space="preserve">Pack Underbody Shield</t>
  </si>
  <si>
    <t xml:space="preserve">درع حماية البطارية السفلي</t>
  </si>
  <si>
    <t xml:space="preserve">电池包底护板</t>
  </si>
  <si>
    <t xml:space="preserve">TRC-006</t>
  </si>
  <si>
    <t xml:space="preserve">SKU1678</t>
  </si>
  <si>
    <t xml:space="preserve">Battery Thermal Pump</t>
  </si>
  <si>
    <t xml:space="preserve">مضخة التحكم الحراري للبطارية</t>
  </si>
  <si>
    <t xml:space="preserve">电池热管理水泵</t>
  </si>
  <si>
    <t xml:space="preserve">TRC-007</t>
  </si>
  <si>
    <t xml:space="preserve">SKU1679</t>
  </si>
  <si>
    <t xml:space="preserve">Battery Chiller</t>
  </si>
  <si>
    <t xml:space="preserve">مبرد البطارية</t>
  </si>
  <si>
    <t xml:space="preserve">电池冷却器</t>
  </si>
  <si>
    <t xml:space="preserve">TRC-008</t>
  </si>
  <si>
    <t xml:space="preserve">SKU1680</t>
  </si>
  <si>
    <t xml:space="preserve">Battery Heater</t>
  </si>
  <si>
    <t xml:space="preserve">سخان البطارية</t>
  </si>
  <si>
    <t xml:space="preserve">电池加热器</t>
  </si>
  <si>
    <t xml:space="preserve">TRC-009</t>
  </si>
  <si>
    <t xml:space="preserve">SKU1681</t>
  </si>
  <si>
    <t xml:space="preserve">Battery Pipe Set</t>
  </si>
  <si>
    <t xml:space="preserve">طقم مواسير تبريد البطارية</t>
  </si>
  <si>
    <t xml:space="preserve">电池冷却管套装</t>
  </si>
  <si>
    <t xml:space="preserve">TRC-010</t>
  </si>
  <si>
    <t xml:space="preserve">SKU1682</t>
  </si>
  <si>
    <t xml:space="preserve">Battery Relief Valve</t>
  </si>
  <si>
    <t xml:space="preserve">صمام تنفيس البطارية</t>
  </si>
  <si>
    <t xml:space="preserve">电池包泄压阀</t>
  </si>
  <si>
    <t xml:space="preserve">TRC-011</t>
  </si>
  <si>
    <t xml:space="preserve">SKU1683</t>
  </si>
  <si>
    <t xml:space="preserve">Service Disconnect Plug</t>
  </si>
  <si>
    <t xml:space="preserve">قاطع الخدمة اليدوي</t>
  </si>
  <si>
    <t xml:space="preserve">维修开关</t>
  </si>
  <si>
    <t xml:space="preserve">TRC-012</t>
  </si>
  <si>
    <t xml:space="preserve">SKU1684</t>
  </si>
  <si>
    <t xml:space="preserve">High-Voltage Contactor</t>
  </si>
  <si>
    <t xml:space="preserve">ريليه الجهد العالي</t>
  </si>
  <si>
    <t xml:space="preserve">高压接触器</t>
  </si>
  <si>
    <t xml:space="preserve">TRC-013</t>
  </si>
  <si>
    <t xml:space="preserve">SKU1685</t>
  </si>
  <si>
    <t xml:space="preserve">High-Voltage Fuse</t>
  </si>
  <si>
    <t xml:space="preserve">فيوز الجهد العالي</t>
  </si>
  <si>
    <t xml:space="preserve">高压保险丝</t>
  </si>
  <si>
    <t xml:space="preserve">TRC-014</t>
  </si>
  <si>
    <t xml:space="preserve">SKU1686</t>
  </si>
  <si>
    <t xml:space="preserve">Electric</t>
  </si>
  <si>
    <t xml:space="preserve">Electric Drive Motor</t>
  </si>
  <si>
    <t xml:space="preserve">Electric Drive Unit</t>
  </si>
  <si>
    <t xml:space="preserve">القيادة الكهربائية</t>
  </si>
  <si>
    <t xml:space="preserve">موتور القيادة الكهربائي</t>
  </si>
  <si>
    <t xml:space="preserve">وحدة القيادة الكهربائية</t>
  </si>
  <si>
    <t xml:space="preserve">电驱动</t>
  </si>
  <si>
    <t xml:space="preserve">驱动电机</t>
  </si>
  <si>
    <t xml:space="preserve">电驱动总成</t>
  </si>
  <si>
    <t xml:space="preserve">ELC</t>
  </si>
  <si>
    <t xml:space="preserve">ELC-001</t>
  </si>
  <si>
    <t xml:space="preserve">SKU1687</t>
  </si>
  <si>
    <t xml:space="preserve">Motor Stator</t>
  </si>
  <si>
    <t xml:space="preserve">ستاتور الموتور</t>
  </si>
  <si>
    <t xml:space="preserve">电机定子</t>
  </si>
  <si>
    <t xml:space="preserve">ELC-002</t>
  </si>
  <si>
    <t xml:space="preserve">SKU1688</t>
  </si>
  <si>
    <t xml:space="preserve">Motor Rotor</t>
  </si>
  <si>
    <t xml:space="preserve">روتور الموتور</t>
  </si>
  <si>
    <t xml:space="preserve">电机转子</t>
  </si>
  <si>
    <t xml:space="preserve">ELC-003</t>
  </si>
  <si>
    <t xml:space="preserve">SKU1689</t>
  </si>
  <si>
    <t xml:space="preserve">Motor Resolver Sensor</t>
  </si>
  <si>
    <t xml:space="preserve">حساس موضع الموتور</t>
  </si>
  <si>
    <t xml:space="preserve">电机旋变传感器</t>
  </si>
  <si>
    <t xml:space="preserve">ELC-004</t>
  </si>
  <si>
    <t xml:space="preserve">SKU1690</t>
  </si>
  <si>
    <t xml:space="preserve">Inverter</t>
  </si>
  <si>
    <t xml:space="preserve">إنفرتر</t>
  </si>
  <si>
    <t xml:space="preserve">逆变器</t>
  </si>
  <si>
    <t xml:space="preserve">ELC-005</t>
  </si>
  <si>
    <t xml:space="preserve">SKU1691</t>
  </si>
  <si>
    <t xml:space="preserve">Single-Speed Reduction Gearbox</t>
  </si>
  <si>
    <t xml:space="preserve">علبة تخفيض السرعة</t>
  </si>
  <si>
    <t xml:space="preserve">单速减速器</t>
  </si>
  <si>
    <t xml:space="preserve">ELC-006</t>
  </si>
  <si>
    <t xml:space="preserve">SKU1692</t>
  </si>
  <si>
    <t xml:space="preserve">Onboard Charger</t>
  </si>
  <si>
    <t xml:space="preserve">شاحن مدمج</t>
  </si>
  <si>
    <t xml:space="preserve">车载充电机</t>
  </si>
  <si>
    <t xml:space="preserve">ELC-007</t>
  </si>
  <si>
    <t xml:space="preserve">SKU1693</t>
  </si>
  <si>
    <t xml:space="preserve">DC-DC Converter</t>
  </si>
  <si>
    <t xml:space="preserve">محول DC-DC</t>
  </si>
  <si>
    <r>
      <rPr>
        <sz val="10"/>
        <rFont val="Arial"/>
        <family val="0"/>
        <charset val="1"/>
      </rPr>
      <t xml:space="preserve">DC-DC</t>
    </r>
    <r>
      <rPr>
        <sz val="10"/>
        <rFont val="Noto Sans CJK SC"/>
        <family val="2"/>
      </rPr>
      <t xml:space="preserve">转换器</t>
    </r>
  </si>
  <si>
    <t xml:space="preserve">ELC-008</t>
  </si>
  <si>
    <t xml:space="preserve">SKU1694</t>
  </si>
  <si>
    <t xml:space="preserve">Power Distribution Unit</t>
  </si>
  <si>
    <t xml:space="preserve">وحدة توزيع الطاقة</t>
  </si>
  <si>
    <t xml:space="preserve">高压配电盒</t>
  </si>
  <si>
    <t xml:space="preserve">ELC-009</t>
  </si>
  <si>
    <t xml:space="preserve">SKU1695</t>
  </si>
  <si>
    <t xml:space="preserve">Integrated Power Unit</t>
  </si>
  <si>
    <t xml:space="preserve">وحدة التحكم المتكاملة بالطاقة</t>
  </si>
  <si>
    <t xml:space="preserve">集成电控单元</t>
  </si>
  <si>
    <t xml:space="preserve">ELC-010</t>
  </si>
  <si>
    <t xml:space="preserve">SKU1696</t>
  </si>
  <si>
    <t xml:space="preserve">Vehicle Control Unit</t>
  </si>
  <si>
    <t xml:space="preserve">وحدة التحكم بالسيارة</t>
  </si>
  <si>
    <t xml:space="preserve">整车控制器</t>
  </si>
  <si>
    <t xml:space="preserve">ELC-011</t>
  </si>
  <si>
    <t xml:space="preserve">SKU1697</t>
  </si>
  <si>
    <t xml:space="preserve">High-Voltage Cable</t>
  </si>
  <si>
    <t xml:space="preserve">كابل الجهد العالي</t>
  </si>
  <si>
    <t xml:space="preserve">高压线缆</t>
  </si>
  <si>
    <t xml:space="preserve">ELC-012</t>
  </si>
  <si>
    <t xml:space="preserve">SKU1698</t>
  </si>
  <si>
    <t xml:space="preserve">High-Voltage Cable Connector</t>
  </si>
  <si>
    <t xml:space="preserve">وصلة كابل الجهد العالي</t>
  </si>
  <si>
    <t xml:space="preserve">高压线束连接器</t>
  </si>
  <si>
    <t xml:space="preserve">ELC-013</t>
  </si>
  <si>
    <t xml:space="preserve">SKU1699</t>
  </si>
  <si>
    <t xml:space="preserve">Electric A/C Compressor</t>
  </si>
  <si>
    <t xml:space="preserve">كمبروسر تكييف كهربائي</t>
  </si>
  <si>
    <t xml:space="preserve">电动空调压缩机</t>
  </si>
  <si>
    <t xml:space="preserve">ELC-014</t>
  </si>
  <si>
    <t xml:space="preserve">SKU1700</t>
  </si>
  <si>
    <t xml:space="preserve">HV Coolant Heater</t>
  </si>
  <si>
    <t xml:space="preserve">سخان سائل التبريد</t>
  </si>
  <si>
    <t xml:space="preserve">高压冷却液加热器</t>
  </si>
  <si>
    <t xml:space="preserve">ELC-015</t>
  </si>
  <si>
    <t xml:space="preserve">SKU1701</t>
  </si>
  <si>
    <t xml:space="preserve">Electric Coolant Pump</t>
  </si>
  <si>
    <t xml:space="preserve">مضخة تبريد كهربائية</t>
  </si>
  <si>
    <t xml:space="preserve">电子水泵</t>
  </si>
  <si>
    <t xml:space="preserve">ELC-016</t>
  </si>
  <si>
    <t xml:space="preserve">SKU1702</t>
  </si>
  <si>
    <t xml:space="preserve">Electric Vacuum Pump</t>
  </si>
  <si>
    <t xml:space="preserve">مضخة تفريغ كهربائية</t>
  </si>
  <si>
    <t xml:space="preserve">电动真空泵</t>
  </si>
  <si>
    <t xml:space="preserve">ELC-017</t>
  </si>
  <si>
    <t xml:space="preserve">SKU1703</t>
  </si>
  <si>
    <t xml:space="preserve">Electronic Brake Booster</t>
  </si>
  <si>
    <t xml:space="preserve">مساعد فرامل إلكتروني</t>
  </si>
  <si>
    <t xml:space="preserve">电子助力器</t>
  </si>
  <si>
    <t xml:space="preserve">ELC-018</t>
  </si>
  <si>
    <t xml:space="preserve">SKU1704</t>
  </si>
  <si>
    <t xml:space="preserve">Heat Pump Unit</t>
  </si>
  <si>
    <t xml:space="preserve">وحدة مضخة حرارية</t>
  </si>
  <si>
    <t xml:space="preserve">热泵总成</t>
  </si>
  <si>
    <t xml:space="preserve">ELC-019</t>
  </si>
  <si>
    <t xml:space="preserve">SKU1705</t>
  </si>
  <si>
    <t xml:space="preserve">Hybrid</t>
  </si>
  <si>
    <t xml:space="preserve">Range Extender Engine</t>
  </si>
  <si>
    <t xml:space="preserve">Range Extender</t>
  </si>
  <si>
    <t xml:space="preserve">الهجين ومولد المدى</t>
  </si>
  <si>
    <t xml:space="preserve">محرك مولد المدى</t>
  </si>
  <si>
    <t xml:space="preserve">مولد مدى الشحن</t>
  </si>
  <si>
    <t xml:space="preserve">混动与增程</t>
  </si>
  <si>
    <t xml:space="preserve">增程器发动机</t>
  </si>
  <si>
    <t xml:space="preserve">增程器</t>
  </si>
  <si>
    <t xml:space="preserve">HYB</t>
  </si>
  <si>
    <t xml:space="preserve">HYB-001</t>
  </si>
  <si>
    <t xml:space="preserve">SKU1706</t>
  </si>
  <si>
    <t xml:space="preserve">Range Extender Generator</t>
  </si>
  <si>
    <t xml:space="preserve">增程器发电机</t>
  </si>
  <si>
    <t xml:space="preserve">HYB-002</t>
  </si>
  <si>
    <t xml:space="preserve">SKU1707</t>
  </si>
  <si>
    <t xml:space="preserve">Range Extender Mount</t>
  </si>
  <si>
    <t xml:space="preserve">قاعدة مولد المدى</t>
  </si>
  <si>
    <t xml:space="preserve">增程器悬置</t>
  </si>
  <si>
    <t xml:space="preserve">HYB-003</t>
  </si>
  <si>
    <t xml:space="preserve">SKU1708</t>
  </si>
  <si>
    <t xml:space="preserve">Hybrid Transmission</t>
  </si>
  <si>
    <t xml:space="preserve">ناقل حركة هجين</t>
  </si>
  <si>
    <t xml:space="preserve">混动变速箱</t>
  </si>
  <si>
    <t xml:space="preserve">HYB-004</t>
  </si>
  <si>
    <t xml:space="preserve">SKU1709</t>
  </si>
  <si>
    <t xml:space="preserve">Starter Generator</t>
  </si>
  <si>
    <t xml:space="preserve">مولد ومارش مدمج</t>
  </si>
  <si>
    <t xml:space="preserve">启动发电一体机</t>
  </si>
  <si>
    <t xml:space="preserve">HYB-005</t>
  </si>
  <si>
    <t xml:space="preserve">SKU1710</t>
  </si>
  <si>
    <t xml:space="preserve">Mild Hybrid Battery</t>
  </si>
  <si>
    <t xml:space="preserve">بطارية هجين خفيف 48 فولت</t>
  </si>
  <si>
    <r>
      <rPr>
        <sz val="10"/>
        <rFont val="Arial"/>
        <family val="0"/>
        <charset val="1"/>
      </rPr>
      <t xml:space="preserve">48V</t>
    </r>
    <r>
      <rPr>
        <sz val="10"/>
        <rFont val="Noto Sans CJK SC"/>
        <family val="2"/>
      </rPr>
      <t xml:space="preserve">轻混电池</t>
    </r>
  </si>
  <si>
    <t xml:space="preserve">HYB-006</t>
  </si>
  <si>
    <t xml:space="preserve">SKU1711</t>
  </si>
  <si>
    <t xml:space="preserve">Climate</t>
  </si>
  <si>
    <t xml:space="preserve">A/C Compressor</t>
  </si>
  <si>
    <t xml:space="preserve">التكييف والتدفئة</t>
  </si>
  <si>
    <t xml:space="preserve">كمبروسر التكييف</t>
  </si>
  <si>
    <t xml:space="preserve">空调与暖风</t>
  </si>
  <si>
    <t xml:space="preserve">空调压缩机</t>
  </si>
  <si>
    <t xml:space="preserve">CLM</t>
  </si>
  <si>
    <t xml:space="preserve">CLM-001</t>
  </si>
  <si>
    <t xml:space="preserve">SKU1712</t>
  </si>
  <si>
    <t xml:space="preserve">A/C Compressor Clutch</t>
  </si>
  <si>
    <t xml:space="preserve">قابض كمبروسر التكييف</t>
  </si>
  <si>
    <t xml:space="preserve">空调压缩机离合器</t>
  </si>
  <si>
    <t xml:space="preserve">CLM-002</t>
  </si>
  <si>
    <t xml:space="preserve">SKU1713</t>
  </si>
  <si>
    <t xml:space="preserve">A/C Condenser</t>
  </si>
  <si>
    <t xml:space="preserve">مكثف التكييف</t>
  </si>
  <si>
    <t xml:space="preserve">空调冷凝器</t>
  </si>
  <si>
    <t xml:space="preserve">CLM-003</t>
  </si>
  <si>
    <t xml:space="preserve">SKU1714</t>
  </si>
  <si>
    <t xml:space="preserve">A/C Evaporator</t>
  </si>
  <si>
    <t xml:space="preserve">مبخر التكييف</t>
  </si>
  <si>
    <t xml:space="preserve">空调蒸发器</t>
  </si>
  <si>
    <t xml:space="preserve">CLM-004</t>
  </si>
  <si>
    <t xml:space="preserve">SKU1715</t>
  </si>
  <si>
    <t xml:space="preserve">A/C Expansion Valve</t>
  </si>
  <si>
    <t xml:space="preserve">صمام تمدد التكييف</t>
  </si>
  <si>
    <t xml:space="preserve">空调膨胀阀</t>
  </si>
  <si>
    <t xml:space="preserve">CLM-005</t>
  </si>
  <si>
    <t xml:space="preserve">SKU1716</t>
  </si>
  <si>
    <t xml:space="preserve">A/C Receiver Drier</t>
  </si>
  <si>
    <t xml:space="preserve">مجفف التكييف</t>
  </si>
  <si>
    <t xml:space="preserve">空调储液干燥器</t>
  </si>
  <si>
    <t xml:space="preserve">CLM-006</t>
  </si>
  <si>
    <t xml:space="preserve">SKU1717</t>
  </si>
  <si>
    <t xml:space="preserve">A/C Accumulator</t>
  </si>
  <si>
    <t xml:space="preserve">مجمع غاز التكييف</t>
  </si>
  <si>
    <t xml:space="preserve">空调气液分离器</t>
  </si>
  <si>
    <t xml:space="preserve">CLM-007</t>
  </si>
  <si>
    <t xml:space="preserve">SKU1718</t>
  </si>
  <si>
    <t xml:space="preserve">AC High-Pressure Hose</t>
  </si>
  <si>
    <t xml:space="preserve">خرطوم تكييف عالي الضغط</t>
  </si>
  <si>
    <t xml:space="preserve">空调高压管</t>
  </si>
  <si>
    <t xml:space="preserve">CLM-008</t>
  </si>
  <si>
    <t xml:space="preserve">SKU1719</t>
  </si>
  <si>
    <t xml:space="preserve">AC Low-Pressure Hose</t>
  </si>
  <si>
    <t xml:space="preserve">خرطوم تكييف منخفض الضغط</t>
  </si>
  <si>
    <t xml:space="preserve">空调低压管</t>
  </si>
  <si>
    <t xml:space="preserve">CLM-009</t>
  </si>
  <si>
    <t xml:space="preserve">SKU1720</t>
  </si>
  <si>
    <t xml:space="preserve">A/C Pressure Switch</t>
  </si>
  <si>
    <t xml:space="preserve">مفتاح ضغط التكييف</t>
  </si>
  <si>
    <t xml:space="preserve">空调压力开关</t>
  </si>
  <si>
    <t xml:space="preserve">CLM-010</t>
  </si>
  <si>
    <t xml:space="preserve">SKU1721</t>
  </si>
  <si>
    <t xml:space="preserve">AC O-Ring Kit</t>
  </si>
  <si>
    <t xml:space="preserve">Climate System</t>
  </si>
  <si>
    <t xml:space="preserve">طقم أورنج التكييف</t>
  </si>
  <si>
    <t xml:space="preserve">نظام التكييف</t>
  </si>
  <si>
    <r>
      <rPr>
        <sz val="10"/>
        <rFont val="Noto Sans CJK SC"/>
        <family val="2"/>
      </rPr>
      <t xml:space="preserve">空调</t>
    </r>
    <r>
      <rPr>
        <sz val="10"/>
        <rFont val="Arial"/>
        <family val="0"/>
        <charset val="1"/>
      </rPr>
      <t xml:space="preserve">O</t>
    </r>
    <r>
      <rPr>
        <sz val="10"/>
        <rFont val="Noto Sans CJK SC"/>
        <family val="2"/>
      </rPr>
      <t xml:space="preserve">型圈套装</t>
    </r>
  </si>
  <si>
    <t xml:space="preserve">空调系统</t>
  </si>
  <si>
    <t xml:space="preserve">CLM-011</t>
  </si>
  <si>
    <t xml:space="preserve">SKU1722</t>
  </si>
  <si>
    <t xml:space="preserve">Condenser Fan Motor</t>
  </si>
  <si>
    <t xml:space="preserve">موتور مروحة المكثف</t>
  </si>
  <si>
    <t xml:space="preserve">冷凝器风扇电机</t>
  </si>
  <si>
    <t xml:space="preserve">CLM-012</t>
  </si>
  <si>
    <t xml:space="preserve">SKU1723</t>
  </si>
  <si>
    <t xml:space="preserve">Blower Motor</t>
  </si>
  <si>
    <t xml:space="preserve">موتور مروحة التكييف</t>
  </si>
  <si>
    <t xml:space="preserve">鼓风机电机</t>
  </si>
  <si>
    <t xml:space="preserve">CLM-013</t>
  </si>
  <si>
    <t xml:space="preserve">SKU1724</t>
  </si>
  <si>
    <t xml:space="preserve">Blower Motor Resistor</t>
  </si>
  <si>
    <t xml:space="preserve">مقاومة مروحة التكييف</t>
  </si>
  <si>
    <t xml:space="preserve">鼓风机调速电阻</t>
  </si>
  <si>
    <t xml:space="preserve">CLM-014</t>
  </si>
  <si>
    <t xml:space="preserve">SKU1725</t>
  </si>
  <si>
    <t xml:space="preserve">Blower Fan Wheel</t>
  </si>
  <si>
    <t xml:space="preserve">ريشة مروحة التكييف</t>
  </si>
  <si>
    <t xml:space="preserve">鼓风机风扇叶轮</t>
  </si>
  <si>
    <t xml:space="preserve">CLM-015</t>
  </si>
  <si>
    <t xml:space="preserve">SKU1726</t>
  </si>
  <si>
    <t xml:space="preserve">Heater Core</t>
  </si>
  <si>
    <t xml:space="preserve">رديتر الهيتر</t>
  </si>
  <si>
    <t xml:space="preserve">暖风水箱</t>
  </si>
  <si>
    <t xml:space="preserve">CLM-016</t>
  </si>
  <si>
    <t xml:space="preserve">SKU1727</t>
  </si>
  <si>
    <t xml:space="preserve">空调箱总成</t>
  </si>
  <si>
    <t xml:space="preserve">CLM-017</t>
  </si>
  <si>
    <t xml:space="preserve">SKU1728</t>
  </si>
  <si>
    <t xml:space="preserve">Blend Door Actuator</t>
  </si>
  <si>
    <t xml:space="preserve">مشغل ريشة التكييف</t>
  </si>
  <si>
    <t xml:space="preserve">空调风门执行器</t>
  </si>
  <si>
    <t xml:space="preserve">CLM-018</t>
  </si>
  <si>
    <t xml:space="preserve">SKU1729</t>
  </si>
  <si>
    <t xml:space="preserve">HVAC Control Panel</t>
  </si>
  <si>
    <t xml:space="preserve">لوحة تحكم التكييف</t>
  </si>
  <si>
    <t xml:space="preserve">空调控制面板</t>
  </si>
  <si>
    <t xml:space="preserve">CLM-019</t>
  </si>
  <si>
    <t xml:space="preserve">SKU1730</t>
  </si>
  <si>
    <t xml:space="preserve">Climate Control Module</t>
  </si>
  <si>
    <t xml:space="preserve">وحدة التحكم بالتكييف</t>
  </si>
  <si>
    <t xml:space="preserve">空调控制器</t>
  </si>
  <si>
    <t xml:space="preserve">CLM-020</t>
  </si>
  <si>
    <t xml:space="preserve">SKU1731</t>
  </si>
  <si>
    <t xml:space="preserve">Dashboard Air Vent</t>
  </si>
  <si>
    <t xml:space="preserve">فتحة هواء لوحة القيادة</t>
  </si>
  <si>
    <t xml:space="preserve">仪表台出风口</t>
  </si>
  <si>
    <t xml:space="preserve">CLM-021</t>
  </si>
  <si>
    <t xml:space="preserve">SKU1732</t>
  </si>
  <si>
    <t xml:space="preserve">SKU1733</t>
  </si>
  <si>
    <t xml:space="preserve">Console Air Vent</t>
  </si>
  <si>
    <t xml:space="preserve">فتحة هواء الكونسول</t>
  </si>
  <si>
    <t xml:space="preserve">中控台出风口</t>
  </si>
  <si>
    <t xml:space="preserve">CLM-022</t>
  </si>
  <si>
    <t xml:space="preserve">SKU1734</t>
  </si>
  <si>
    <t xml:space="preserve">Wipers</t>
  </si>
  <si>
    <t xml:space="preserve">Wiper Blade Set</t>
  </si>
  <si>
    <t xml:space="preserve">Wiper System</t>
  </si>
  <si>
    <t xml:space="preserve">المساحات</t>
  </si>
  <si>
    <t xml:space="preserve">طقم مساحات</t>
  </si>
  <si>
    <t xml:space="preserve">نظام المساحات</t>
  </si>
  <si>
    <t xml:space="preserve">雨刮</t>
  </si>
  <si>
    <t xml:space="preserve">雨刮片套装</t>
  </si>
  <si>
    <t xml:space="preserve">雨刮系统</t>
  </si>
  <si>
    <t xml:space="preserve">WIP</t>
  </si>
  <si>
    <t xml:space="preserve">WIP-001</t>
  </si>
  <si>
    <t xml:space="preserve">SKU1735</t>
  </si>
  <si>
    <t xml:space="preserve">Wiper Blade</t>
  </si>
  <si>
    <t xml:space="preserve">شفرة مساحة</t>
  </si>
  <si>
    <t xml:space="preserve">雨刮片</t>
  </si>
  <si>
    <t xml:space="preserve">WIP-002</t>
  </si>
  <si>
    <t xml:space="preserve">SKU1736</t>
  </si>
  <si>
    <t xml:space="preserve">Blade Refill Rubber</t>
  </si>
  <si>
    <t xml:space="preserve">مطاط مساحة</t>
  </si>
  <si>
    <t xml:space="preserve">雨刮胶条</t>
  </si>
  <si>
    <t xml:space="preserve">WIP-003</t>
  </si>
  <si>
    <t xml:space="preserve">SKU1737</t>
  </si>
  <si>
    <t xml:space="preserve">SKU1738</t>
  </si>
  <si>
    <t xml:space="preserve">Wiper Arm</t>
  </si>
  <si>
    <t xml:space="preserve">ذراع المساحة</t>
  </si>
  <si>
    <t xml:space="preserve">雨刮臂</t>
  </si>
  <si>
    <t xml:space="preserve">WIP-004</t>
  </si>
  <si>
    <t xml:space="preserve">SKU1739</t>
  </si>
  <si>
    <t xml:space="preserve">SKU1740</t>
  </si>
  <si>
    <t xml:space="preserve">Tailgate Wiper Arm</t>
  </si>
  <si>
    <t xml:space="preserve">ذراع مساحة الزجاج الخلفي</t>
  </si>
  <si>
    <t xml:space="preserve">后雨刮臂</t>
  </si>
  <si>
    <t xml:space="preserve">WIP-005</t>
  </si>
  <si>
    <t xml:space="preserve">SKU1741</t>
  </si>
  <si>
    <t xml:space="preserve">Wiper Motor</t>
  </si>
  <si>
    <t xml:space="preserve">موتور المساحات</t>
  </si>
  <si>
    <t xml:space="preserve">雨刮电机</t>
  </si>
  <si>
    <t xml:space="preserve">WIP-006</t>
  </si>
  <si>
    <t xml:space="preserve">SKU1742</t>
  </si>
  <si>
    <t xml:space="preserve">Tailgate Wiper Motor</t>
  </si>
  <si>
    <t xml:space="preserve">موتور مساحة الزجاج الخلفي</t>
  </si>
  <si>
    <t xml:space="preserve">后雨刮电机</t>
  </si>
  <si>
    <t xml:space="preserve">WIP-007</t>
  </si>
  <si>
    <t xml:space="preserve">SKU1743</t>
  </si>
  <si>
    <t xml:space="preserve">Wiper Linkage</t>
  </si>
  <si>
    <t xml:space="preserve">وصلات المساحات</t>
  </si>
  <si>
    <t xml:space="preserve">雨刮连杆总成</t>
  </si>
  <si>
    <t xml:space="preserve">WIP-008</t>
  </si>
  <si>
    <t xml:space="preserve">SKU1744</t>
  </si>
  <si>
    <t xml:space="preserve">Arm Nut Cap</t>
  </si>
  <si>
    <t xml:space="preserve">غطاء صامولة ذراع المساحة</t>
  </si>
  <si>
    <t xml:space="preserve">雨刮臂螺母盖</t>
  </si>
  <si>
    <t xml:space="preserve">WIP-009</t>
  </si>
  <si>
    <t xml:space="preserve">SKU1745</t>
  </si>
  <si>
    <t xml:space="preserve">SKU1746</t>
  </si>
  <si>
    <t xml:space="preserve">Wiper Switch</t>
  </si>
  <si>
    <t xml:space="preserve">مفتاح المساحات</t>
  </si>
  <si>
    <t xml:space="preserve">雨刮开关</t>
  </si>
  <si>
    <t xml:space="preserve">WIP-010</t>
  </si>
  <si>
    <t xml:space="preserve">SKU1747</t>
  </si>
  <si>
    <t xml:space="preserve">Washers</t>
  </si>
  <si>
    <t xml:space="preserve">Washer Pump</t>
  </si>
  <si>
    <t xml:space="preserve">غسيل الزجاج</t>
  </si>
  <si>
    <t xml:space="preserve">طلمبة مياه الزجاج</t>
  </si>
  <si>
    <t xml:space="preserve">玻璃清洗</t>
  </si>
  <si>
    <t xml:space="preserve">玻璃水泵</t>
  </si>
  <si>
    <t xml:space="preserve">WSH</t>
  </si>
  <si>
    <t xml:space="preserve">WSH-001</t>
  </si>
  <si>
    <t xml:space="preserve">SKU1748</t>
  </si>
  <si>
    <t xml:space="preserve">SKU1749</t>
  </si>
  <si>
    <t xml:space="preserve">Washer Fluid Reservoir</t>
  </si>
  <si>
    <t xml:space="preserve">خزان مياه الزجاج</t>
  </si>
  <si>
    <t xml:space="preserve">玻璃水壶</t>
  </si>
  <si>
    <t xml:space="preserve">WSH-002</t>
  </si>
  <si>
    <t xml:space="preserve">SKU1750</t>
  </si>
  <si>
    <t xml:space="preserve">Washer Reservoir Cap</t>
  </si>
  <si>
    <t xml:space="preserve">غطاء خزان مياه الزجاج</t>
  </si>
  <si>
    <t xml:space="preserve">玻璃水壶盖</t>
  </si>
  <si>
    <t xml:space="preserve">WSH-003</t>
  </si>
  <si>
    <t xml:space="preserve">SKU1751</t>
  </si>
  <si>
    <t xml:space="preserve">Washer Nozzle</t>
  </si>
  <si>
    <t xml:space="preserve">بخاخ مياه الزجاج</t>
  </si>
  <si>
    <t xml:space="preserve">玻璃水喷嘴</t>
  </si>
  <si>
    <t xml:space="preserve">WSH-004</t>
  </si>
  <si>
    <t xml:space="preserve">SKU1752</t>
  </si>
  <si>
    <t xml:space="preserve">SKU1753</t>
  </si>
  <si>
    <t xml:space="preserve">Headlamp Washer Nozzle</t>
  </si>
  <si>
    <t xml:space="preserve">بخاخ غسيل المصابيح</t>
  </si>
  <si>
    <t xml:space="preserve">大灯清洗喷嘴</t>
  </si>
  <si>
    <t xml:space="preserve">WSH-005</t>
  </si>
  <si>
    <t xml:space="preserve">SKU1754</t>
  </si>
  <si>
    <t xml:space="preserve">SKU1755</t>
  </si>
  <si>
    <t xml:space="preserve">Washer Hose Set</t>
  </si>
  <si>
    <t xml:space="preserve">طقم خراطيم مياه الزجاج</t>
  </si>
  <si>
    <t xml:space="preserve">玻璃水软管套装</t>
  </si>
  <si>
    <t xml:space="preserve">WSH-006</t>
  </si>
  <si>
    <t xml:space="preserve">SKU1756</t>
  </si>
  <si>
    <t xml:space="preserve">Washer Check Valve</t>
  </si>
  <si>
    <t xml:space="preserve">صمام عدم رجوع مياه الزجاج</t>
  </si>
  <si>
    <t xml:space="preserve">玻璃水单向阀</t>
  </si>
  <si>
    <t xml:space="preserve">WSH-007</t>
  </si>
  <si>
    <t xml:space="preserve">SKU1757</t>
  </si>
  <si>
    <t xml:space="preserve">Audio</t>
  </si>
  <si>
    <t xml:space="preserve">Horn</t>
  </si>
  <si>
    <t xml:space="preserve">الصوتيات</t>
  </si>
  <si>
    <t xml:space="preserve">بوري</t>
  </si>
  <si>
    <t xml:space="preserve">音响</t>
  </si>
  <si>
    <t xml:space="preserve">喇叭</t>
  </si>
  <si>
    <t xml:space="preserve">AUD</t>
  </si>
  <si>
    <t xml:space="preserve">AUD-001</t>
  </si>
  <si>
    <t xml:space="preserve">SKU1758</t>
  </si>
  <si>
    <t xml:space="preserve">SKU1759</t>
  </si>
  <si>
    <t xml:space="preserve">Head Unit</t>
  </si>
  <si>
    <t xml:space="preserve">شاشة وراديو السيارة</t>
  </si>
  <si>
    <t xml:space="preserve">车载主机</t>
  </si>
  <si>
    <t xml:space="preserve">AUD-002</t>
  </si>
  <si>
    <t xml:space="preserve">SKU1760</t>
  </si>
  <si>
    <t xml:space="preserve">Touchscreen Display</t>
  </si>
  <si>
    <t xml:space="preserve">شاشة لمس</t>
  </si>
  <si>
    <t xml:space="preserve">触摸显示屏</t>
  </si>
  <si>
    <t xml:space="preserve">AUD-003</t>
  </si>
  <si>
    <t xml:space="preserve">SKU1761</t>
  </si>
  <si>
    <t xml:space="preserve">Door Speaker</t>
  </si>
  <si>
    <t xml:space="preserve">سماعة الباب</t>
  </si>
  <si>
    <t xml:space="preserve">车门喇叭</t>
  </si>
  <si>
    <t xml:space="preserve">AUD-004</t>
  </si>
  <si>
    <t xml:space="preserve">SKU1762</t>
  </si>
  <si>
    <t xml:space="preserve">SKU1763</t>
  </si>
  <si>
    <t xml:space="preserve">SKU1764</t>
  </si>
  <si>
    <t xml:space="preserve">SKU1765</t>
  </si>
  <si>
    <t xml:space="preserve">Tweeter</t>
  </si>
  <si>
    <t xml:space="preserve">سماعة صوت حاد</t>
  </si>
  <si>
    <t xml:space="preserve">高音喇叭</t>
  </si>
  <si>
    <t xml:space="preserve">AUD-005</t>
  </si>
  <si>
    <t xml:space="preserve">SKU1766</t>
  </si>
  <si>
    <t xml:space="preserve">SKU1767</t>
  </si>
  <si>
    <t xml:space="preserve">Subwoofer</t>
  </si>
  <si>
    <t xml:space="preserve">سماعة باص</t>
  </si>
  <si>
    <t xml:space="preserve">低音炮</t>
  </si>
  <si>
    <t xml:space="preserve">AUD-006</t>
  </si>
  <si>
    <t xml:space="preserve">SKU1768</t>
  </si>
  <si>
    <t xml:space="preserve">Amplifier</t>
  </si>
  <si>
    <t xml:space="preserve">مضخم صوت</t>
  </si>
  <si>
    <t xml:space="preserve">功放</t>
  </si>
  <si>
    <t xml:space="preserve">AUD-007</t>
  </si>
  <si>
    <t xml:space="preserve">SKU1769</t>
  </si>
  <si>
    <t xml:space="preserve">Antenna</t>
  </si>
  <si>
    <t xml:space="preserve">Roof Exterior</t>
  </si>
  <si>
    <t xml:space="preserve">هوائي</t>
  </si>
  <si>
    <t xml:space="preserve">السقف من الخارج</t>
  </si>
  <si>
    <t xml:space="preserve">天线</t>
  </si>
  <si>
    <t xml:space="preserve">车顶外部</t>
  </si>
  <si>
    <t xml:space="preserve">AUD-008</t>
  </si>
  <si>
    <t xml:space="preserve">SKU1770</t>
  </si>
  <si>
    <t xml:space="preserve">Hands-Free Microphone</t>
  </si>
  <si>
    <t xml:space="preserve">ميكروفون الاتصال بدون استخدام اليدين</t>
  </si>
  <si>
    <t xml:space="preserve">免提麦克风</t>
  </si>
  <si>
    <t xml:space="preserve">AUD-009</t>
  </si>
  <si>
    <t xml:space="preserve">SKU1771</t>
  </si>
  <si>
    <t xml:space="preserve">Bluetooth Module</t>
  </si>
  <si>
    <t xml:space="preserve">وحدة بلوتوث / USB</t>
  </si>
  <si>
    <r>
      <rPr>
        <sz val="10"/>
        <rFont val="Noto Sans CJK SC"/>
        <family val="2"/>
      </rPr>
      <t xml:space="preserve">蓝牙</t>
    </r>
    <r>
      <rPr>
        <sz val="10"/>
        <rFont val="Arial"/>
        <family val="0"/>
        <charset val="1"/>
      </rPr>
      <t xml:space="preserve">/USB</t>
    </r>
    <r>
      <rPr>
        <sz val="10"/>
        <rFont val="Noto Sans CJK SC"/>
        <family val="2"/>
      </rPr>
      <t xml:space="preserve">模块</t>
    </r>
  </si>
  <si>
    <t xml:space="preserve">AUD-010</t>
  </si>
  <si>
    <t xml:space="preserve">SKU1772</t>
  </si>
  <si>
    <t xml:space="preserve">Seat-Back Entertainment Screen</t>
  </si>
  <si>
    <t xml:space="preserve">شاشة ترفيه ظهر المقعد</t>
  </si>
  <si>
    <t xml:space="preserve">座椅靠背娱乐屏</t>
  </si>
  <si>
    <t xml:space="preserve">AUD-011</t>
  </si>
  <si>
    <t xml:space="preserve">SKU1773</t>
  </si>
  <si>
    <t xml:space="preserve">SKU1774</t>
  </si>
  <si>
    <t xml:space="preserve">Dash Camera</t>
  </si>
  <si>
    <t xml:space="preserve">كاميرا لوحة القيادة</t>
  </si>
  <si>
    <t xml:space="preserve">行车记录仪</t>
  </si>
  <si>
    <t xml:space="preserve">AUD-012</t>
  </si>
  <si>
    <t xml:space="preserve">SKU1775</t>
  </si>
  <si>
    <t xml:space="preserve">Wireless Charging Pad</t>
  </si>
  <si>
    <t xml:space="preserve">شاحن لاسلكي</t>
  </si>
  <si>
    <t xml:space="preserve">无线充电板</t>
  </si>
  <si>
    <t xml:space="preserve">AUD-013</t>
  </si>
  <si>
    <t xml:space="preserve">SKU1776</t>
  </si>
  <si>
    <t xml:space="preserve">Bumpers</t>
  </si>
  <si>
    <t xml:space="preserve">Bumper Cover</t>
  </si>
  <si>
    <t xml:space="preserve">المصدات</t>
  </si>
  <si>
    <t xml:space="preserve">غطاء المصد</t>
  </si>
  <si>
    <t xml:space="preserve">保险杠</t>
  </si>
  <si>
    <t xml:space="preserve">保险杠外壳</t>
  </si>
  <si>
    <t xml:space="preserve">BMP</t>
  </si>
  <si>
    <t xml:space="preserve">BMP-001</t>
  </si>
  <si>
    <t xml:space="preserve">SKU1777</t>
  </si>
  <si>
    <t xml:space="preserve">SKU1778</t>
  </si>
  <si>
    <t xml:space="preserve">Bumper Reinforcement Beam</t>
  </si>
  <si>
    <t xml:space="preserve">عارضة المصد الداخلية</t>
  </si>
  <si>
    <t xml:space="preserve">保险杠防撞梁</t>
  </si>
  <si>
    <t xml:space="preserve">BMP-002</t>
  </si>
  <si>
    <t xml:space="preserve">SKU1779</t>
  </si>
  <si>
    <t xml:space="preserve">SKU1780</t>
  </si>
  <si>
    <t xml:space="preserve">Bumper Energy Absorber</t>
  </si>
  <si>
    <t xml:space="preserve">إسفنج امتصاص صدمات المصد</t>
  </si>
  <si>
    <t xml:space="preserve">保险杠吸能块</t>
  </si>
  <si>
    <t xml:space="preserve">BMP-003</t>
  </si>
  <si>
    <t xml:space="preserve">SKU1781</t>
  </si>
  <si>
    <t xml:space="preserve">SKU1782</t>
  </si>
  <si>
    <t xml:space="preserve">Bumper Bracket</t>
  </si>
  <si>
    <t xml:space="preserve">حامل المصد</t>
  </si>
  <si>
    <t xml:space="preserve">保险杠支架</t>
  </si>
  <si>
    <t xml:space="preserve">BMP-004</t>
  </si>
  <si>
    <t xml:space="preserve">SKU1783</t>
  </si>
  <si>
    <t xml:space="preserve">SKU1784</t>
  </si>
  <si>
    <t xml:space="preserve">SKU1785</t>
  </si>
  <si>
    <t xml:space="preserve">SKU1786</t>
  </si>
  <si>
    <t xml:space="preserve">Bumper Lower Grille</t>
  </si>
  <si>
    <t xml:space="preserve">شبك المصد السفلي</t>
  </si>
  <si>
    <t xml:space="preserve">保险杠下格栅</t>
  </si>
  <si>
    <t xml:space="preserve">BMP-005</t>
  </si>
  <si>
    <t xml:space="preserve">SKU1787</t>
  </si>
  <si>
    <t xml:space="preserve">SKU1788</t>
  </si>
  <si>
    <t xml:space="preserve">Bumper Lip</t>
  </si>
  <si>
    <t xml:space="preserve">سبويلر المصد</t>
  </si>
  <si>
    <t xml:space="preserve">保险杠下扰流板</t>
  </si>
  <si>
    <t xml:space="preserve">BMP-006</t>
  </si>
  <si>
    <t xml:space="preserve">SKU1789</t>
  </si>
  <si>
    <t xml:space="preserve">SKU1790</t>
  </si>
  <si>
    <t xml:space="preserve">Bumper Clip Set</t>
  </si>
  <si>
    <t xml:space="preserve">طقم مشابك المصد</t>
  </si>
  <si>
    <t xml:space="preserve">保险杠卡扣套装</t>
  </si>
  <si>
    <t xml:space="preserve">BMP-007</t>
  </si>
  <si>
    <t xml:space="preserve">SKU1791</t>
  </si>
  <si>
    <t xml:space="preserve">SKU1792</t>
  </si>
  <si>
    <t xml:space="preserve">Tow Hook</t>
  </si>
  <si>
    <t xml:space="preserve">خطاف السحب</t>
  </si>
  <si>
    <t xml:space="preserve">拖车钩</t>
  </si>
  <si>
    <t xml:space="preserve">BMP-008</t>
  </si>
  <si>
    <t xml:space="preserve">SKU1793</t>
  </si>
  <si>
    <t xml:space="preserve">SKU1794</t>
  </si>
  <si>
    <t xml:space="preserve">Tow Hook Cover</t>
  </si>
  <si>
    <t xml:space="preserve">غطاء خطاف السحب</t>
  </si>
  <si>
    <t xml:space="preserve">拖车钩盖板</t>
  </si>
  <si>
    <t xml:space="preserve">BMP-009</t>
  </si>
  <si>
    <t xml:space="preserve">SKU1795</t>
  </si>
  <si>
    <t xml:space="preserve">SKU1796</t>
  </si>
  <si>
    <t xml:space="preserve">License Plate Bracket</t>
  </si>
  <si>
    <t xml:space="preserve">حامل لوحة الأرقام</t>
  </si>
  <si>
    <t xml:space="preserve">牌照架</t>
  </si>
  <si>
    <t xml:space="preserve">BMP-010</t>
  </si>
  <si>
    <t xml:space="preserve">SKU1797</t>
  </si>
  <si>
    <t xml:space="preserve">SKU1798</t>
  </si>
  <si>
    <t xml:space="preserve">Grille</t>
  </si>
  <si>
    <t xml:space="preserve">Radiator Grille</t>
  </si>
  <si>
    <t xml:space="preserve">الشبك الأمامي</t>
  </si>
  <si>
    <t xml:space="preserve">شبك الرديتر</t>
  </si>
  <si>
    <t xml:space="preserve">格栅</t>
  </si>
  <si>
    <t xml:space="preserve">散热器格栅</t>
  </si>
  <si>
    <t xml:space="preserve">GRL</t>
  </si>
  <si>
    <t xml:space="preserve">GRL-001</t>
  </si>
  <si>
    <t xml:space="preserve">SKU1799</t>
  </si>
  <si>
    <t xml:space="preserve">Radiator Support</t>
  </si>
  <si>
    <t xml:space="preserve">دعامة الرديتر</t>
  </si>
  <si>
    <t xml:space="preserve">散热器支架</t>
  </si>
  <si>
    <t xml:space="preserve">GRL-002</t>
  </si>
  <si>
    <t xml:space="preserve">SKU1800</t>
  </si>
  <si>
    <t xml:space="preserve">Grille Emblem</t>
  </si>
  <si>
    <t xml:space="preserve">شعار الشبك</t>
  </si>
  <si>
    <t xml:space="preserve">中网车标</t>
  </si>
  <si>
    <t xml:space="preserve">GRL-003</t>
  </si>
  <si>
    <t xml:space="preserve">SKU1801</t>
  </si>
  <si>
    <t xml:space="preserve">Hood</t>
  </si>
  <si>
    <t xml:space="preserve">الكبوت</t>
  </si>
  <si>
    <t xml:space="preserve">غطاء المحرك</t>
  </si>
  <si>
    <t xml:space="preserve">发动机盖</t>
  </si>
  <si>
    <t xml:space="preserve">HOD</t>
  </si>
  <si>
    <t xml:space="preserve">HOD-001</t>
  </si>
  <si>
    <t xml:space="preserve">SKU1802</t>
  </si>
  <si>
    <t xml:space="preserve">Hood Hinge</t>
  </si>
  <si>
    <t xml:space="preserve">مفصلة الكبوت</t>
  </si>
  <si>
    <t xml:space="preserve">发动机盖铰链</t>
  </si>
  <si>
    <t xml:space="preserve">HOD-002</t>
  </si>
  <si>
    <t xml:space="preserve">SKU1803</t>
  </si>
  <si>
    <t xml:space="preserve">SKU1804</t>
  </si>
  <si>
    <t xml:space="preserve">Hood Latch</t>
  </si>
  <si>
    <t xml:space="preserve">قفل الكبوت</t>
  </si>
  <si>
    <t xml:space="preserve">发动机盖锁</t>
  </si>
  <si>
    <t xml:space="preserve">HOD-003</t>
  </si>
  <si>
    <t xml:space="preserve">SKU1805</t>
  </si>
  <si>
    <t xml:space="preserve">Hood Release Cable</t>
  </si>
  <si>
    <t xml:space="preserve">كابل فتح الكبوت</t>
  </si>
  <si>
    <t xml:space="preserve">发动机盖拉索</t>
  </si>
  <si>
    <t xml:space="preserve">HOD-004</t>
  </si>
  <si>
    <t xml:space="preserve">SKU1806</t>
  </si>
  <si>
    <t xml:space="preserve">Hood Gas Strut</t>
  </si>
  <si>
    <t xml:space="preserve">ذراع دعم الكبوت</t>
  </si>
  <si>
    <t xml:space="preserve">发动机盖支撑杆</t>
  </si>
  <si>
    <t xml:space="preserve">HOD-005</t>
  </si>
  <si>
    <t xml:space="preserve">SKU1807</t>
  </si>
  <si>
    <t xml:space="preserve">SKU1808</t>
  </si>
  <si>
    <t xml:space="preserve">Hood Insulation Pad</t>
  </si>
  <si>
    <t xml:space="preserve">عازل الكبوت</t>
  </si>
  <si>
    <t xml:space="preserve">发动机盖隔音垫</t>
  </si>
  <si>
    <t xml:space="preserve">HOD-006</t>
  </si>
  <si>
    <t xml:space="preserve">SKU1809</t>
  </si>
  <si>
    <t xml:space="preserve">Fenders</t>
  </si>
  <si>
    <t xml:space="preserve">الرفارف والجوانب</t>
  </si>
  <si>
    <t xml:space="preserve">رفرف</t>
  </si>
  <si>
    <t xml:space="preserve">FND</t>
  </si>
  <si>
    <t xml:space="preserve">FND-001</t>
  </si>
  <si>
    <t xml:space="preserve">SKU1810</t>
  </si>
  <si>
    <t xml:space="preserve">SKU1811</t>
  </si>
  <si>
    <t xml:space="preserve">Fender Liner</t>
  </si>
  <si>
    <t xml:space="preserve">Wheel Arch</t>
  </si>
  <si>
    <t xml:space="preserve">بطانة الرفرف</t>
  </si>
  <si>
    <t xml:space="preserve">قوس العجلة</t>
  </si>
  <si>
    <t xml:space="preserve">轮罩内衬</t>
  </si>
  <si>
    <t xml:space="preserve">轮拱</t>
  </si>
  <si>
    <t xml:space="preserve">FND-002</t>
  </si>
  <si>
    <t xml:space="preserve">SKU1812</t>
  </si>
  <si>
    <t xml:space="preserve">SKU1813</t>
  </si>
  <si>
    <t xml:space="preserve">SKU1814</t>
  </si>
  <si>
    <t xml:space="preserve">SKU1815</t>
  </si>
  <si>
    <t xml:space="preserve">Wheel Arch Trim</t>
  </si>
  <si>
    <t xml:space="preserve">حواف قوس العجلة</t>
  </si>
  <si>
    <t xml:space="preserve">轮眉</t>
  </si>
  <si>
    <t xml:space="preserve">FND-003</t>
  </si>
  <si>
    <t xml:space="preserve">SKU1816</t>
  </si>
  <si>
    <t xml:space="preserve">SKU1817</t>
  </si>
  <si>
    <t xml:space="preserve">SKU1818</t>
  </si>
  <si>
    <t xml:space="preserve">SKU1819</t>
  </si>
  <si>
    <t xml:space="preserve">Mud Flap</t>
  </si>
  <si>
    <t xml:space="preserve">واقي الطين</t>
  </si>
  <si>
    <t xml:space="preserve">挡泥板</t>
  </si>
  <si>
    <t xml:space="preserve">FND-004</t>
  </si>
  <si>
    <t xml:space="preserve">SKU1820</t>
  </si>
  <si>
    <t xml:space="preserve">SKU1821</t>
  </si>
  <si>
    <t xml:space="preserve">SKU1822</t>
  </si>
  <si>
    <t xml:space="preserve">SKU1823</t>
  </si>
  <si>
    <t xml:space="preserve">Rocker Panel</t>
  </si>
  <si>
    <t xml:space="preserve">الجنب الجانبي</t>
  </si>
  <si>
    <t xml:space="preserve">侧裙</t>
  </si>
  <si>
    <t xml:space="preserve">FND-005</t>
  </si>
  <si>
    <t xml:space="preserve">SKU1824</t>
  </si>
  <si>
    <t xml:space="preserve">SKU1825</t>
  </si>
  <si>
    <t xml:space="preserve">Quarter Panel</t>
  </si>
  <si>
    <t xml:space="preserve">الرفرف الخلفي</t>
  </si>
  <si>
    <t xml:space="preserve">后翼子板</t>
  </si>
  <si>
    <t xml:space="preserve">FND-006</t>
  </si>
  <si>
    <t xml:space="preserve">SKU1826</t>
  </si>
  <si>
    <t xml:space="preserve">SKU1827</t>
  </si>
  <si>
    <t xml:space="preserve">Doors</t>
  </si>
  <si>
    <t xml:space="preserve">Window Regulator Motor</t>
  </si>
  <si>
    <t xml:space="preserve">الأبواب</t>
  </si>
  <si>
    <t xml:space="preserve">موتور رافع الزجاج</t>
  </si>
  <si>
    <t xml:space="preserve">车门</t>
  </si>
  <si>
    <t xml:space="preserve">玻璃升降电机</t>
  </si>
  <si>
    <t xml:space="preserve">DOR</t>
  </si>
  <si>
    <t xml:space="preserve">DOR-001</t>
  </si>
  <si>
    <t xml:space="preserve">SKU1828</t>
  </si>
  <si>
    <t xml:space="preserve">SKU1829</t>
  </si>
  <si>
    <t xml:space="preserve">SKU1830</t>
  </si>
  <si>
    <t xml:space="preserve">SKU1831</t>
  </si>
  <si>
    <t xml:space="preserve">Door Lock Actuator</t>
  </si>
  <si>
    <t xml:space="preserve">موتور قفل الباب</t>
  </si>
  <si>
    <t xml:space="preserve">门锁执行器</t>
  </si>
  <si>
    <t xml:space="preserve">DOR-002</t>
  </si>
  <si>
    <t xml:space="preserve">SKU1832</t>
  </si>
  <si>
    <t xml:space="preserve">SKU1833</t>
  </si>
  <si>
    <t xml:space="preserve">SKU1834</t>
  </si>
  <si>
    <t xml:space="preserve">SKU1835</t>
  </si>
  <si>
    <t xml:space="preserve">Door Shell</t>
  </si>
  <si>
    <t xml:space="preserve">Door Exterior</t>
  </si>
  <si>
    <t xml:space="preserve">هيكل الباب</t>
  </si>
  <si>
    <t xml:space="preserve">الباب من الخارج</t>
  </si>
  <si>
    <t xml:space="preserve">车门外壳</t>
  </si>
  <si>
    <t xml:space="preserve">车门外部</t>
  </si>
  <si>
    <t xml:space="preserve">DOR-003</t>
  </si>
  <si>
    <t xml:space="preserve">SKU1836</t>
  </si>
  <si>
    <t xml:space="preserve">SKU1837</t>
  </si>
  <si>
    <t xml:space="preserve">SKU1838</t>
  </si>
  <si>
    <t xml:space="preserve">SKU1839</t>
  </si>
  <si>
    <t xml:space="preserve">Door Assembly</t>
  </si>
  <si>
    <t xml:space="preserve">باب كامل</t>
  </si>
  <si>
    <t xml:space="preserve">车门总成</t>
  </si>
  <si>
    <t xml:space="preserve">DOR-004</t>
  </si>
  <si>
    <t xml:space="preserve">SKU1840</t>
  </si>
  <si>
    <t xml:space="preserve">SKU1841</t>
  </si>
  <si>
    <t xml:space="preserve">SKU1842</t>
  </si>
  <si>
    <t xml:space="preserve">SKU1843</t>
  </si>
  <si>
    <t xml:space="preserve">Door Hinge</t>
  </si>
  <si>
    <t xml:space="preserve">Door Frame</t>
  </si>
  <si>
    <t xml:space="preserve">مفصلة الباب</t>
  </si>
  <si>
    <t xml:space="preserve">إطار الباب</t>
  </si>
  <si>
    <t xml:space="preserve">车门铰链</t>
  </si>
  <si>
    <t xml:space="preserve">车门框</t>
  </si>
  <si>
    <t xml:space="preserve">DOR-005</t>
  </si>
  <si>
    <t xml:space="preserve">SKU1844</t>
  </si>
  <si>
    <t xml:space="preserve">SKU1845</t>
  </si>
  <si>
    <t xml:space="preserve">SKU1846</t>
  </si>
  <si>
    <t xml:space="preserve">SKU1847</t>
  </si>
  <si>
    <t xml:space="preserve">Door Check Strap</t>
  </si>
  <si>
    <t xml:space="preserve">مثبت الباب</t>
  </si>
  <si>
    <t xml:space="preserve">车门限位器</t>
  </si>
  <si>
    <t xml:space="preserve">DOR-006</t>
  </si>
  <si>
    <t xml:space="preserve">SKU1848</t>
  </si>
  <si>
    <t xml:space="preserve">SKU1849</t>
  </si>
  <si>
    <t xml:space="preserve">SKU1850</t>
  </si>
  <si>
    <t xml:space="preserve">SKU1851</t>
  </si>
  <si>
    <t xml:space="preserve">Exterior Door Handle</t>
  </si>
  <si>
    <t xml:space="preserve">مقبض الباب الخارجي</t>
  </si>
  <si>
    <t xml:space="preserve">车门外把手</t>
  </si>
  <si>
    <t xml:space="preserve">DOR-007</t>
  </si>
  <si>
    <t xml:space="preserve">SKU1852</t>
  </si>
  <si>
    <t xml:space="preserve">SKU1853</t>
  </si>
  <si>
    <t xml:space="preserve">SKU1854</t>
  </si>
  <si>
    <t xml:space="preserve">SKU1855</t>
  </si>
  <si>
    <t xml:space="preserve">Interior Door Handle</t>
  </si>
  <si>
    <t xml:space="preserve">مقبض الباب الداخلي</t>
  </si>
  <si>
    <t xml:space="preserve">车门内把手</t>
  </si>
  <si>
    <t xml:space="preserve">DOR-008</t>
  </si>
  <si>
    <t xml:space="preserve">SKU1856</t>
  </si>
  <si>
    <t xml:space="preserve">SKU1857</t>
  </si>
  <si>
    <t xml:space="preserve">SKU1858</t>
  </si>
  <si>
    <t xml:space="preserve">SKU1859</t>
  </si>
  <si>
    <t xml:space="preserve">Door Latch</t>
  </si>
  <si>
    <t xml:space="preserve">قفل الباب</t>
  </si>
  <si>
    <t xml:space="preserve">车门锁块</t>
  </si>
  <si>
    <t xml:space="preserve">DOR-009</t>
  </si>
  <si>
    <t xml:space="preserve">SKU1860</t>
  </si>
  <si>
    <t xml:space="preserve">SKU1861</t>
  </si>
  <si>
    <t xml:space="preserve">SKU1862</t>
  </si>
  <si>
    <t xml:space="preserve">SKU1863</t>
  </si>
  <si>
    <t xml:space="preserve">Door Lock Cylinder</t>
  </si>
  <si>
    <t xml:space="preserve">اسطوانة قفل الباب</t>
  </si>
  <si>
    <t xml:space="preserve">车门锁芯</t>
  </si>
  <si>
    <t xml:space="preserve">DOR-010</t>
  </si>
  <si>
    <t xml:space="preserve">SKU1864</t>
  </si>
  <si>
    <t xml:space="preserve">SKU1865</t>
  </si>
  <si>
    <t xml:space="preserve">Door Side Molding</t>
  </si>
  <si>
    <t xml:space="preserve">شريط حماية الباب الجانبي</t>
  </si>
  <si>
    <t xml:space="preserve">车门饰条</t>
  </si>
  <si>
    <t xml:space="preserve">DOR-011</t>
  </si>
  <si>
    <t xml:space="preserve">SKU1866</t>
  </si>
  <si>
    <t xml:space="preserve">SKU1867</t>
  </si>
  <si>
    <t xml:space="preserve">SKU1868</t>
  </si>
  <si>
    <t xml:space="preserve">SKU1869</t>
  </si>
  <si>
    <t xml:space="preserve">Interior Door Panel</t>
  </si>
  <si>
    <t xml:space="preserve">تابلوه الباب الداخلي</t>
  </si>
  <si>
    <t xml:space="preserve">车门内饰板</t>
  </si>
  <si>
    <t xml:space="preserve">DOR-012</t>
  </si>
  <si>
    <t xml:space="preserve">SKU1870</t>
  </si>
  <si>
    <t xml:space="preserve">SKU1871</t>
  </si>
  <si>
    <t xml:space="preserve">SKU1872</t>
  </si>
  <si>
    <t xml:space="preserve">SKU1873</t>
  </si>
  <si>
    <t xml:space="preserve">Door Armrest</t>
  </si>
  <si>
    <t xml:space="preserve">مسند ذراع الباب</t>
  </si>
  <si>
    <t xml:space="preserve">车门扶手</t>
  </si>
  <si>
    <t xml:space="preserve">DOR-013</t>
  </si>
  <si>
    <t xml:space="preserve">SKU1874</t>
  </si>
  <si>
    <t xml:space="preserve">SKU1875</t>
  </si>
  <si>
    <t xml:space="preserve">SKU1876</t>
  </si>
  <si>
    <t xml:space="preserve">SKU1877</t>
  </si>
  <si>
    <t xml:space="preserve">Door Weatherstrip Seal</t>
  </si>
  <si>
    <t xml:space="preserve">مطاط عزل الباب</t>
  </si>
  <si>
    <t xml:space="preserve">车门密封条</t>
  </si>
  <si>
    <t xml:space="preserve">DOR-014</t>
  </si>
  <si>
    <t xml:space="preserve">SKU1878</t>
  </si>
  <si>
    <t xml:space="preserve">SKU1879</t>
  </si>
  <si>
    <t xml:space="preserve">SKU1880</t>
  </si>
  <si>
    <t xml:space="preserve">SKU1881</t>
  </si>
  <si>
    <t xml:space="preserve">Door Sill Plate</t>
  </si>
  <si>
    <t xml:space="preserve">عتبة الباب</t>
  </si>
  <si>
    <t xml:space="preserve">门槛饰板</t>
  </si>
  <si>
    <t xml:space="preserve">DOR-015</t>
  </si>
  <si>
    <t xml:space="preserve">SKU1882</t>
  </si>
  <si>
    <t xml:space="preserve">SKU1883</t>
  </si>
  <si>
    <t xml:space="preserve">SKU1884</t>
  </si>
  <si>
    <t xml:space="preserve">SKU1885</t>
  </si>
  <si>
    <t xml:space="preserve">Window Belt Molding</t>
  </si>
  <si>
    <t xml:space="preserve">شريط زجاج النافذة الخارجي</t>
  </si>
  <si>
    <t xml:space="preserve">车窗饰条</t>
  </si>
  <si>
    <t xml:space="preserve">DOR-016</t>
  </si>
  <si>
    <t xml:space="preserve">SKU1886</t>
  </si>
  <si>
    <t xml:space="preserve">SKU1887</t>
  </si>
  <si>
    <t xml:space="preserve">SKU1888</t>
  </si>
  <si>
    <t xml:space="preserve">SKU1889</t>
  </si>
  <si>
    <t xml:space="preserve">Trunk Lid</t>
  </si>
  <si>
    <t xml:space="preserve">الصندوق</t>
  </si>
  <si>
    <t xml:space="preserve">غطاء الصندوق</t>
  </si>
  <si>
    <t xml:space="preserve">行李箱盖</t>
  </si>
  <si>
    <t xml:space="preserve">TRK</t>
  </si>
  <si>
    <t xml:space="preserve">TRK-001</t>
  </si>
  <si>
    <t xml:space="preserve">SKU1890</t>
  </si>
  <si>
    <t xml:space="preserve">Tailgate</t>
  </si>
  <si>
    <t xml:space="preserve">الباب الخلفي</t>
  </si>
  <si>
    <t xml:space="preserve">后背门</t>
  </si>
  <si>
    <t xml:space="preserve">TRK-002</t>
  </si>
  <si>
    <t xml:space="preserve">SKU1891</t>
  </si>
  <si>
    <t xml:space="preserve">Trunk Lid Hinge</t>
  </si>
  <si>
    <t xml:space="preserve">مفصلة غطاء الصندوق</t>
  </si>
  <si>
    <t xml:space="preserve">行李箱盖铰链</t>
  </si>
  <si>
    <t xml:space="preserve">TRK-003</t>
  </si>
  <si>
    <t xml:space="preserve">SKU1892</t>
  </si>
  <si>
    <t xml:space="preserve">SKU1893</t>
  </si>
  <si>
    <t xml:space="preserve">Trunk Gas Strut</t>
  </si>
  <si>
    <t xml:space="preserve">ذراع دعم الصندوق</t>
  </si>
  <si>
    <t xml:space="preserve">行李箱盖支撑杆</t>
  </si>
  <si>
    <t xml:space="preserve">TRK-004</t>
  </si>
  <si>
    <t xml:space="preserve">SKU1894</t>
  </si>
  <si>
    <t xml:space="preserve">SKU1895</t>
  </si>
  <si>
    <t xml:space="preserve">Tailgate Gas Strut</t>
  </si>
  <si>
    <t xml:space="preserve">ذراع دعم الباب الخلفي</t>
  </si>
  <si>
    <t xml:space="preserve">后背门支撑杆</t>
  </si>
  <si>
    <t xml:space="preserve">TRK-005</t>
  </si>
  <si>
    <t xml:space="preserve">SKU1896</t>
  </si>
  <si>
    <t xml:space="preserve">SKU1897</t>
  </si>
  <si>
    <t xml:space="preserve">Trunk Latch</t>
  </si>
  <si>
    <t xml:space="preserve">قفل الصندوق</t>
  </si>
  <si>
    <t xml:space="preserve">行李箱锁</t>
  </si>
  <si>
    <t xml:space="preserve">TRK-006</t>
  </si>
  <si>
    <t xml:space="preserve">SKU1898</t>
  </si>
  <si>
    <t xml:space="preserve">Trunk Lid Spoiler</t>
  </si>
  <si>
    <t xml:space="preserve">جناح الصندوق</t>
  </si>
  <si>
    <t xml:space="preserve">尾翼</t>
  </si>
  <si>
    <t xml:space="preserve">TRK-007</t>
  </si>
  <si>
    <t xml:space="preserve">SKU1899</t>
  </si>
  <si>
    <t xml:space="preserve">Trunk Weatherstrip Seal</t>
  </si>
  <si>
    <t xml:space="preserve">مطاط عزل الصندوق</t>
  </si>
  <si>
    <t xml:space="preserve">行李箱密封条</t>
  </si>
  <si>
    <t xml:space="preserve">TRK-008</t>
  </si>
  <si>
    <t xml:space="preserve">SKU1900</t>
  </si>
  <si>
    <t xml:space="preserve">Package Tray</t>
  </si>
  <si>
    <t xml:space="preserve">رف الشنطة الخلفي</t>
  </si>
  <si>
    <t xml:space="preserve">后搁物板</t>
  </si>
  <si>
    <t xml:space="preserve">TRK-009</t>
  </si>
  <si>
    <t xml:space="preserve">SKU1901</t>
  </si>
  <si>
    <t xml:space="preserve">Trunk Floor Mat</t>
  </si>
  <si>
    <t xml:space="preserve">دعاسة الصندوق</t>
  </si>
  <si>
    <t xml:space="preserve">行李箱垫</t>
  </si>
  <si>
    <t xml:space="preserve">TRK-010</t>
  </si>
  <si>
    <t xml:space="preserve">SKU1902</t>
  </si>
  <si>
    <t xml:space="preserve">Trunk Trim Panel</t>
  </si>
  <si>
    <t xml:space="preserve">تابلوه الصندوق</t>
  </si>
  <si>
    <t xml:space="preserve">行李箱内饰板</t>
  </si>
  <si>
    <t xml:space="preserve">TRK-011</t>
  </si>
  <si>
    <t xml:space="preserve">SKU1903</t>
  </si>
  <si>
    <t xml:space="preserve">SKU1904</t>
  </si>
  <si>
    <t xml:space="preserve">Cargo Cover</t>
  </si>
  <si>
    <t xml:space="preserve">Cargo Area</t>
  </si>
  <si>
    <t xml:space="preserve">غطاء الأمتعة</t>
  </si>
  <si>
    <t xml:space="preserve">منطقة الحمولة</t>
  </si>
  <si>
    <t xml:space="preserve">行李箱遮物帘</t>
  </si>
  <si>
    <t xml:space="preserve">货舱</t>
  </si>
  <si>
    <t xml:space="preserve">TRK-012</t>
  </si>
  <si>
    <t xml:space="preserve">SKU1905</t>
  </si>
  <si>
    <t xml:space="preserve">Cargo Net</t>
  </si>
  <si>
    <t xml:space="preserve">شبكة الأمتعة</t>
  </si>
  <si>
    <t xml:space="preserve">行李网</t>
  </si>
  <si>
    <t xml:space="preserve">TRK-013</t>
  </si>
  <si>
    <t xml:space="preserve">SKU1906</t>
  </si>
  <si>
    <t xml:space="preserve">Roof</t>
  </si>
  <si>
    <t xml:space="preserve">Roof Panel</t>
  </si>
  <si>
    <t xml:space="preserve">السقف</t>
  </si>
  <si>
    <t xml:space="preserve">سقف السيارة</t>
  </si>
  <si>
    <t xml:space="preserve">车顶</t>
  </si>
  <si>
    <t xml:space="preserve">车顶板</t>
  </si>
  <si>
    <t xml:space="preserve">ROF</t>
  </si>
  <si>
    <t xml:space="preserve">ROF-001</t>
  </si>
  <si>
    <t xml:space="preserve">SKU1907</t>
  </si>
  <si>
    <t xml:space="preserve">Roof Rail</t>
  </si>
  <si>
    <t xml:space="preserve">قضبان السقف</t>
  </si>
  <si>
    <t xml:space="preserve">车顶行李架纵梁</t>
  </si>
  <si>
    <t xml:space="preserve">ROF-002</t>
  </si>
  <si>
    <t xml:space="preserve">SKU1908</t>
  </si>
  <si>
    <t xml:space="preserve">SKU1909</t>
  </si>
  <si>
    <t xml:space="preserve">Roof Drip Molding</t>
  </si>
  <si>
    <t xml:space="preserve">شريط السقف</t>
  </si>
  <si>
    <t xml:space="preserve">车顶饰条</t>
  </si>
  <si>
    <t xml:space="preserve">ROF-003</t>
  </si>
  <si>
    <t xml:space="preserve">SKU1910</t>
  </si>
  <si>
    <t xml:space="preserve">SKU1911</t>
  </si>
  <si>
    <t xml:space="preserve">Sunroof Assembly</t>
  </si>
  <si>
    <t xml:space="preserve">Sunroof</t>
  </si>
  <si>
    <t xml:space="preserve">فتحة سقف كاملة</t>
  </si>
  <si>
    <t xml:space="preserve">فتحة السقف</t>
  </si>
  <si>
    <t xml:space="preserve">天窗总成</t>
  </si>
  <si>
    <t xml:space="preserve">天窗</t>
  </si>
  <si>
    <t xml:space="preserve">ROF-004</t>
  </si>
  <si>
    <t xml:space="preserve">SKU1912</t>
  </si>
  <si>
    <t xml:space="preserve">Sunroof Motor</t>
  </si>
  <si>
    <t xml:space="preserve">موتور فتحة السقف</t>
  </si>
  <si>
    <t xml:space="preserve">天窗电机</t>
  </si>
  <si>
    <t xml:space="preserve">ROF-005</t>
  </si>
  <si>
    <t xml:space="preserve">SKU1913</t>
  </si>
  <si>
    <t xml:space="preserve">Sunroof Glass Panel</t>
  </si>
  <si>
    <t xml:space="preserve">زجاج فتحة السقف</t>
  </si>
  <si>
    <t xml:space="preserve">天窗玻璃</t>
  </si>
  <si>
    <t xml:space="preserve">ROF-006</t>
  </si>
  <si>
    <t xml:space="preserve">SKU1914</t>
  </si>
  <si>
    <t xml:space="preserve">Trim</t>
  </si>
  <si>
    <t xml:space="preserve">Trunk Emblem</t>
  </si>
  <si>
    <t xml:space="preserve">الزينة الخارجية</t>
  </si>
  <si>
    <t xml:space="preserve">شعار الصندوق</t>
  </si>
  <si>
    <t xml:space="preserve">外饰条</t>
  </si>
  <si>
    <t xml:space="preserve">尾箱车标</t>
  </si>
  <si>
    <t xml:space="preserve">TRM</t>
  </si>
  <si>
    <t xml:space="preserve">TRM-001</t>
  </si>
  <si>
    <t xml:space="preserve">SKU1915</t>
  </si>
  <si>
    <t xml:space="preserve">Model Name Badge</t>
  </si>
  <si>
    <t xml:space="preserve">شعار اسم الطراز</t>
  </si>
  <si>
    <t xml:space="preserve">车型字标</t>
  </si>
  <si>
    <t xml:space="preserve">TRM-002</t>
  </si>
  <si>
    <t xml:space="preserve">SKU1916</t>
  </si>
  <si>
    <t xml:space="preserve">Fuel Filler Door</t>
  </si>
  <si>
    <t xml:space="preserve">غطاء فتحة الوقود</t>
  </si>
  <si>
    <t xml:space="preserve">加油口盖板</t>
  </si>
  <si>
    <t xml:space="preserve">TRM-003</t>
  </si>
  <si>
    <t xml:space="preserve">SKU1917</t>
  </si>
  <si>
    <t xml:space="preserve">Underbody Aero Panel</t>
  </si>
  <si>
    <t xml:space="preserve">لوحة حماية أسفل السيارة</t>
  </si>
  <si>
    <t xml:space="preserve">底盘导流下护板</t>
  </si>
  <si>
    <t xml:space="preserve">TRM-004</t>
  </si>
  <si>
    <t xml:space="preserve">SKU1918</t>
  </si>
  <si>
    <t xml:space="preserve">Cowl Panel</t>
  </si>
  <si>
    <t xml:space="preserve">Cowl</t>
  </si>
  <si>
    <t xml:space="preserve">غطاء قاعدة الزجاج الأمامي</t>
  </si>
  <si>
    <t xml:space="preserve">قاعدة الزجاج الأمامي</t>
  </si>
  <si>
    <t xml:space="preserve">前挡风玻璃下饰板</t>
  </si>
  <si>
    <r>
      <rPr>
        <sz val="10"/>
        <rFont val="Noto Sans CJK SC"/>
        <family val="2"/>
      </rPr>
      <t xml:space="preserve">前围板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进风口</t>
    </r>
    <r>
      <rPr>
        <sz val="10"/>
        <rFont val="Arial"/>
        <family val="0"/>
        <charset val="1"/>
      </rPr>
      <t xml:space="preserve">)</t>
    </r>
  </si>
  <si>
    <t xml:space="preserve">TRM-005</t>
  </si>
  <si>
    <t xml:space="preserve">SKU1919</t>
  </si>
  <si>
    <t xml:space="preserve">Chrome Trim Set</t>
  </si>
  <si>
    <t xml:space="preserve">طقم زينة كروم</t>
  </si>
  <si>
    <t xml:space="preserve">镀铬饰条套装</t>
  </si>
  <si>
    <t xml:space="preserve">TRM-006</t>
  </si>
  <si>
    <t xml:space="preserve">SKU1920</t>
  </si>
  <si>
    <t xml:space="preserve">Glass</t>
  </si>
  <si>
    <t xml:space="preserve">Windshield Glass</t>
  </si>
  <si>
    <t xml:space="preserve">الزجاج</t>
  </si>
  <si>
    <t xml:space="preserve">玻璃</t>
  </si>
  <si>
    <t xml:space="preserve">GLS</t>
  </si>
  <si>
    <t xml:space="preserve">GLS-001</t>
  </si>
  <si>
    <t xml:space="preserve">SKU1921</t>
  </si>
  <si>
    <t xml:space="preserve">Back Glass</t>
  </si>
  <si>
    <t xml:space="preserve">GLS-002</t>
  </si>
  <si>
    <t xml:space="preserve">SKU1922</t>
  </si>
  <si>
    <t xml:space="preserve">Door Window Glass</t>
  </si>
  <si>
    <t xml:space="preserve">Window Glass</t>
  </si>
  <si>
    <t xml:space="preserve">زجاج الباب</t>
  </si>
  <si>
    <t xml:space="preserve">زجاج النوافذ</t>
  </si>
  <si>
    <t xml:space="preserve">车门玻璃</t>
  </si>
  <si>
    <t xml:space="preserve">车窗玻璃</t>
  </si>
  <si>
    <t xml:space="preserve">GLS-003</t>
  </si>
  <si>
    <t xml:space="preserve">SKU1923</t>
  </si>
  <si>
    <t xml:space="preserve">SKU1924</t>
  </si>
  <si>
    <t xml:space="preserve">SKU1925</t>
  </si>
  <si>
    <t xml:space="preserve">SKU1926</t>
  </si>
  <si>
    <t xml:space="preserve">Quarter Window Glass</t>
  </si>
  <si>
    <t xml:space="preserve">زجاج جانبي صغير</t>
  </si>
  <si>
    <t xml:space="preserve">三角窗玻璃</t>
  </si>
  <si>
    <t xml:space="preserve">GLS-004</t>
  </si>
  <si>
    <t xml:space="preserve">SKU1927</t>
  </si>
  <si>
    <t xml:space="preserve">SKU1928</t>
  </si>
  <si>
    <t xml:space="preserve">Window Regulator</t>
  </si>
  <si>
    <t xml:space="preserve">رافع الزجاج</t>
  </si>
  <si>
    <t xml:space="preserve">玻璃升降器</t>
  </si>
  <si>
    <t xml:space="preserve">GLS-005</t>
  </si>
  <si>
    <t xml:space="preserve">SKU1929</t>
  </si>
  <si>
    <t xml:space="preserve">SKU1930</t>
  </si>
  <si>
    <t xml:space="preserve">SKU1931</t>
  </si>
  <si>
    <t xml:space="preserve">SKU1932</t>
  </si>
  <si>
    <t xml:space="preserve">Glass Run Channel</t>
  </si>
  <si>
    <t xml:space="preserve">مجرى زجاج الباب</t>
  </si>
  <si>
    <t xml:space="preserve">车窗导槽</t>
  </si>
  <si>
    <t xml:space="preserve">GLS-006</t>
  </si>
  <si>
    <t xml:space="preserve">SKU1933</t>
  </si>
  <si>
    <t xml:space="preserve">SKU1934</t>
  </si>
  <si>
    <t xml:space="preserve">SKU1935</t>
  </si>
  <si>
    <t xml:space="preserve">SKU1936</t>
  </si>
  <si>
    <t xml:space="preserve">Window Seal Strip</t>
  </si>
  <si>
    <t xml:space="preserve">مطاط حواف الزجاج</t>
  </si>
  <si>
    <t xml:space="preserve">车窗内外水切</t>
  </si>
  <si>
    <t xml:space="preserve">GLS-007</t>
  </si>
  <si>
    <t xml:space="preserve">SKU1937</t>
  </si>
  <si>
    <t xml:space="preserve">SKU1938</t>
  </si>
  <si>
    <t xml:space="preserve">SKU1939</t>
  </si>
  <si>
    <t xml:space="preserve">SKU1940</t>
  </si>
  <si>
    <t xml:space="preserve">Windshield Molding</t>
  </si>
  <si>
    <t xml:space="preserve">زينة الزجاج الأمامي</t>
  </si>
  <si>
    <t xml:space="preserve">前挡风玻璃饰条</t>
  </si>
  <si>
    <t xml:space="preserve">GLS-008</t>
  </si>
  <si>
    <t xml:space="preserve">SKU1941</t>
  </si>
  <si>
    <t xml:space="preserve">Windshield Rubber Seal</t>
  </si>
  <si>
    <t xml:space="preserve">مطاط الزجاج الأمامي</t>
  </si>
  <si>
    <t xml:space="preserve">前挡风玻璃密封胶条</t>
  </si>
  <si>
    <t xml:space="preserve">GLS-009</t>
  </si>
  <si>
    <t xml:space="preserve">SKU1942</t>
  </si>
  <si>
    <t xml:space="preserve">Tint Film Set</t>
  </si>
  <si>
    <t xml:space="preserve">طقم فيلم تظليل</t>
  </si>
  <si>
    <t xml:space="preserve">车窗贴膜</t>
  </si>
  <si>
    <t xml:space="preserve">GLS-010</t>
  </si>
  <si>
    <t xml:space="preserve">SKU1943</t>
  </si>
  <si>
    <t xml:space="preserve">Mirrors</t>
  </si>
  <si>
    <t xml:space="preserve">Side Mirror Assembly</t>
  </si>
  <si>
    <t xml:space="preserve">Mirror Area</t>
  </si>
  <si>
    <t xml:space="preserve">المرايا</t>
  </si>
  <si>
    <t xml:space="preserve">مرآة جانبية كاملة</t>
  </si>
  <si>
    <t xml:space="preserve">منطقة المرآة</t>
  </si>
  <si>
    <t xml:space="preserve">后视镜</t>
  </si>
  <si>
    <t xml:space="preserve">外后视镜总成</t>
  </si>
  <si>
    <t xml:space="preserve">后视镜区域</t>
  </si>
  <si>
    <t xml:space="preserve">MIR</t>
  </si>
  <si>
    <t xml:space="preserve">MIR-001</t>
  </si>
  <si>
    <t xml:space="preserve">SKU1944</t>
  </si>
  <si>
    <t xml:space="preserve">SKU1945</t>
  </si>
  <si>
    <t xml:space="preserve">Side Mirror Glass</t>
  </si>
  <si>
    <t xml:space="preserve">زجاج المرآة الجانبية</t>
  </si>
  <si>
    <t xml:space="preserve">外后视镜镜片</t>
  </si>
  <si>
    <t xml:space="preserve">MIR-002</t>
  </si>
  <si>
    <t xml:space="preserve">SKU1946</t>
  </si>
  <si>
    <t xml:space="preserve">SKU1947</t>
  </si>
  <si>
    <t xml:space="preserve">Side Mirror Cover</t>
  </si>
  <si>
    <t xml:space="preserve">غطاء المرآة الجانبية</t>
  </si>
  <si>
    <t xml:space="preserve">外后视镜外壳</t>
  </si>
  <si>
    <t xml:space="preserve">MIR-003</t>
  </si>
  <si>
    <t xml:space="preserve">SKU1948</t>
  </si>
  <si>
    <t xml:space="preserve">SKU1949</t>
  </si>
  <si>
    <t xml:space="preserve">Side Mirror Motor</t>
  </si>
  <si>
    <t xml:space="preserve">موتور المرآة الجانبية</t>
  </si>
  <si>
    <t xml:space="preserve">外后视镜调节电机</t>
  </si>
  <si>
    <t xml:space="preserve">MIR-004</t>
  </si>
  <si>
    <t xml:space="preserve">SKU1950</t>
  </si>
  <si>
    <t xml:space="preserve">SKU1951</t>
  </si>
  <si>
    <t xml:space="preserve">Mirror Signal Lamp</t>
  </si>
  <si>
    <t xml:space="preserve">إشارة المرآة الجانبية</t>
  </si>
  <si>
    <t xml:space="preserve">外后视镜转向灯</t>
  </si>
  <si>
    <t xml:space="preserve">MIR-005</t>
  </si>
  <si>
    <t xml:space="preserve">SKU1952</t>
  </si>
  <si>
    <t xml:space="preserve">SKU1953</t>
  </si>
  <si>
    <t xml:space="preserve">Interior Rearview Mirror</t>
  </si>
  <si>
    <t xml:space="preserve">مرآة داخلية</t>
  </si>
  <si>
    <t xml:space="preserve">车内后视镜</t>
  </si>
  <si>
    <t xml:space="preserve">MIR-006</t>
  </si>
  <si>
    <t xml:space="preserve">SKU1954</t>
  </si>
  <si>
    <t xml:space="preserve">Auto-Dimming Rearview Mirror</t>
  </si>
  <si>
    <t xml:space="preserve">مرآة داخلية أوتوماتيكية</t>
  </si>
  <si>
    <t xml:space="preserve">自动防眩目内后视镜</t>
  </si>
  <si>
    <t xml:space="preserve">MIR-007</t>
  </si>
  <si>
    <t xml:space="preserve">SKU1955</t>
  </si>
  <si>
    <t xml:space="preserve">Seat Assembly</t>
  </si>
  <si>
    <t xml:space="preserve">مقعد كامل</t>
  </si>
  <si>
    <t xml:space="preserve">座椅总成</t>
  </si>
  <si>
    <t xml:space="preserve">SET</t>
  </si>
  <si>
    <t xml:space="preserve">SET-001</t>
  </si>
  <si>
    <t xml:space="preserve">SKU1956</t>
  </si>
  <si>
    <t xml:space="preserve">SKU1957</t>
  </si>
  <si>
    <t xml:space="preserve">SKU1958</t>
  </si>
  <si>
    <t xml:space="preserve">SKU1959</t>
  </si>
  <si>
    <t xml:space="preserve">Seat Cover Set</t>
  </si>
  <si>
    <t xml:space="preserve">طقم تلبيس المقاعد</t>
  </si>
  <si>
    <t xml:space="preserve">座套套装</t>
  </si>
  <si>
    <t xml:space="preserve">SET-002</t>
  </si>
  <si>
    <t xml:space="preserve">SKU1960</t>
  </si>
  <si>
    <t xml:space="preserve">Seat Cushion</t>
  </si>
  <si>
    <t xml:space="preserve">وسادة المقعد</t>
  </si>
  <si>
    <t xml:space="preserve">座椅坐垫总成</t>
  </si>
  <si>
    <t xml:space="preserve">SET-003</t>
  </si>
  <si>
    <t xml:space="preserve">SKU1961</t>
  </si>
  <si>
    <t xml:space="preserve">SKU1962</t>
  </si>
  <si>
    <t xml:space="preserve">SKU1963</t>
  </si>
  <si>
    <t xml:space="preserve">SKU1964</t>
  </si>
  <si>
    <t xml:space="preserve">Seat Backrest Frame</t>
  </si>
  <si>
    <t xml:space="preserve">هيكل مسند ظهر المقعد</t>
  </si>
  <si>
    <t xml:space="preserve">座椅靠背骨架</t>
  </si>
  <si>
    <t xml:space="preserve">SET-004</t>
  </si>
  <si>
    <t xml:space="preserve">SKU1965</t>
  </si>
  <si>
    <t xml:space="preserve">SKU1966</t>
  </si>
  <si>
    <t xml:space="preserve">SKU1967</t>
  </si>
  <si>
    <t xml:space="preserve">SKU1968</t>
  </si>
  <si>
    <t xml:space="preserve">Seat Rail</t>
  </si>
  <si>
    <t xml:space="preserve">سكة المقعد</t>
  </si>
  <si>
    <t xml:space="preserve">座椅滑轨</t>
  </si>
  <si>
    <t xml:space="preserve">SET-005</t>
  </si>
  <si>
    <t xml:space="preserve">SKU1969</t>
  </si>
  <si>
    <t xml:space="preserve">SKU1970</t>
  </si>
  <si>
    <t xml:space="preserve">SKU1971</t>
  </si>
  <si>
    <t xml:space="preserve">SKU1972</t>
  </si>
  <si>
    <t xml:space="preserve">Seat Adjuster Motor</t>
  </si>
  <si>
    <t xml:space="preserve">موتور ضبط المقعد</t>
  </si>
  <si>
    <t xml:space="preserve">座椅调节电机</t>
  </si>
  <si>
    <t xml:space="preserve">SET-006</t>
  </si>
  <si>
    <t xml:space="preserve">SKU1973</t>
  </si>
  <si>
    <t xml:space="preserve">SKU1974</t>
  </si>
  <si>
    <t xml:space="preserve">SKU1975</t>
  </si>
  <si>
    <t xml:space="preserve">SKU1976</t>
  </si>
  <si>
    <t xml:space="preserve">Seat Heater Pad</t>
  </si>
  <si>
    <t xml:space="preserve">سخان المقعد</t>
  </si>
  <si>
    <t xml:space="preserve">座椅加热垫</t>
  </si>
  <si>
    <t xml:space="preserve">SET-007</t>
  </si>
  <si>
    <t xml:space="preserve">SKU1977</t>
  </si>
  <si>
    <t xml:space="preserve">SKU1978</t>
  </si>
  <si>
    <t xml:space="preserve">SKU1979</t>
  </si>
  <si>
    <t xml:space="preserve">SKU1980</t>
  </si>
  <si>
    <t xml:space="preserve">Headrest</t>
  </si>
  <si>
    <t xml:space="preserve">مسند الرأس</t>
  </si>
  <si>
    <t xml:space="preserve">头枕</t>
  </si>
  <si>
    <t xml:space="preserve">SET-008</t>
  </si>
  <si>
    <t xml:space="preserve">SKU1981</t>
  </si>
  <si>
    <t xml:space="preserve">SKU1982</t>
  </si>
  <si>
    <t xml:space="preserve">SKU1983</t>
  </si>
  <si>
    <t xml:space="preserve">SKU1984</t>
  </si>
  <si>
    <t xml:space="preserve">Seat Armrest</t>
  </si>
  <si>
    <t xml:space="preserve">مسند ذراع المقعد</t>
  </si>
  <si>
    <t xml:space="preserve">座椅扶手</t>
  </si>
  <si>
    <t xml:space="preserve">SET-009</t>
  </si>
  <si>
    <t xml:space="preserve">SKU1985</t>
  </si>
  <si>
    <t xml:space="preserve">SKU1986</t>
  </si>
  <si>
    <t xml:space="preserve">SKU1987</t>
  </si>
  <si>
    <t xml:space="preserve">SKU1988</t>
  </si>
  <si>
    <t xml:space="preserve">Dashboard Assembly</t>
  </si>
  <si>
    <t xml:space="preserve">الطبلون</t>
  </si>
  <si>
    <t xml:space="preserve">仪表台总成</t>
  </si>
  <si>
    <t xml:space="preserve">DSH</t>
  </si>
  <si>
    <t xml:space="preserve">DSH-001</t>
  </si>
  <si>
    <t xml:space="preserve">SKU1989</t>
  </si>
  <si>
    <t xml:space="preserve">Dashboard Trim Panel</t>
  </si>
  <si>
    <t xml:space="preserve">غطاء الطبلون</t>
  </si>
  <si>
    <t xml:space="preserve">仪表台饰板</t>
  </si>
  <si>
    <t xml:space="preserve">DSH-002</t>
  </si>
  <si>
    <t xml:space="preserve">SKU1990</t>
  </si>
  <si>
    <t xml:space="preserve">Glove Box</t>
  </si>
  <si>
    <t xml:space="preserve">صندوق التابلوه</t>
  </si>
  <si>
    <t xml:space="preserve">手套箱</t>
  </si>
  <si>
    <t xml:space="preserve">DSH-003</t>
  </si>
  <si>
    <t xml:space="preserve">SKU1991</t>
  </si>
  <si>
    <t xml:space="preserve">Glove Box Latch</t>
  </si>
  <si>
    <t xml:space="preserve">قفل صندوق التابلوه</t>
  </si>
  <si>
    <t xml:space="preserve">手套箱锁扣</t>
  </si>
  <si>
    <t xml:space="preserve">DSH-004</t>
  </si>
  <si>
    <t xml:space="preserve">SKU1992</t>
  </si>
  <si>
    <t xml:space="preserve">Console</t>
  </si>
  <si>
    <t xml:space="preserve">الكونسول</t>
  </si>
  <si>
    <r>
      <rPr>
        <sz val="10"/>
        <rFont val="Noto Sans CJK SC"/>
        <family val="2"/>
      </rPr>
      <t xml:space="preserve">中央通道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中控台</t>
    </r>
  </si>
  <si>
    <t xml:space="preserve">CON</t>
  </si>
  <si>
    <t xml:space="preserve">CON-001</t>
  </si>
  <si>
    <t xml:space="preserve">SKU1993</t>
  </si>
  <si>
    <t xml:space="preserve">Console Armrest Lid</t>
  </si>
  <si>
    <t xml:space="preserve">غطاء مسند الكونسول</t>
  </si>
  <si>
    <t xml:space="preserve">中央扶手盖</t>
  </si>
  <si>
    <t xml:space="preserve">CON-002</t>
  </si>
  <si>
    <t xml:space="preserve">SKU1994</t>
  </si>
  <si>
    <t xml:space="preserve">Cup Holder</t>
  </si>
  <si>
    <t xml:space="preserve">حامل أكواب</t>
  </si>
  <si>
    <t xml:space="preserve">杯架</t>
  </si>
  <si>
    <t xml:space="preserve">CON-003</t>
  </si>
  <si>
    <t xml:space="preserve">SKU1995</t>
  </si>
  <si>
    <t xml:space="preserve">Ashtray</t>
  </si>
  <si>
    <t xml:space="preserve">منفضة سجائر</t>
  </si>
  <si>
    <t xml:space="preserve">烟灰缸</t>
  </si>
  <si>
    <t xml:space="preserve">CON-004</t>
  </si>
  <si>
    <t xml:space="preserve">SKU1996</t>
  </si>
  <si>
    <t xml:space="preserve">Gear Shift Boot</t>
  </si>
  <si>
    <t xml:space="preserve">كاوتش ذراع القير</t>
  </si>
  <si>
    <t xml:space="preserve">换挡杆防尘套</t>
  </si>
  <si>
    <t xml:space="preserve">CON-005</t>
  </si>
  <si>
    <t xml:space="preserve">SKU1997</t>
  </si>
  <si>
    <t xml:space="preserve">Gear Shift Knob</t>
  </si>
  <si>
    <t xml:space="preserve">رأس ذراع القير</t>
  </si>
  <si>
    <t xml:space="preserve">换挡杆头</t>
  </si>
  <si>
    <t xml:space="preserve">CON-006</t>
  </si>
  <si>
    <t xml:space="preserve">SKU1998</t>
  </si>
  <si>
    <t xml:space="preserve">Parking Brake Boot</t>
  </si>
  <si>
    <t xml:space="preserve">كاوتش الفرامل اليدوية</t>
  </si>
  <si>
    <t xml:space="preserve">手刹防尘套</t>
  </si>
  <si>
    <t xml:space="preserve">CON-007</t>
  </si>
  <si>
    <t xml:space="preserve">SKU1999</t>
  </si>
  <si>
    <t xml:space="preserve">Brake Pedal Assembly</t>
  </si>
  <si>
    <t xml:space="preserve">دواسة الفرامل</t>
  </si>
  <si>
    <t xml:space="preserve">踏板</t>
  </si>
  <si>
    <t xml:space="preserve">制动踏板总成</t>
  </si>
  <si>
    <t xml:space="preserve">PDL</t>
  </si>
  <si>
    <t xml:space="preserve">PDL-001</t>
  </si>
  <si>
    <t xml:space="preserve">SKU2000</t>
  </si>
  <si>
    <t xml:space="preserve">Brake Pedal Pad</t>
  </si>
  <si>
    <t xml:space="preserve">مطاط دواسة الفرامل</t>
  </si>
  <si>
    <t xml:space="preserve">制动踏板胶垫</t>
  </si>
  <si>
    <t xml:space="preserve">PDL-002</t>
  </si>
  <si>
    <t xml:space="preserve">SKU2001</t>
  </si>
  <si>
    <t xml:space="preserve">Brake Light Switch</t>
  </si>
  <si>
    <t xml:space="preserve">مفتاح ضوء الفرامل</t>
  </si>
  <si>
    <t xml:space="preserve">制动灯开关</t>
  </si>
  <si>
    <t xml:space="preserve">PDL-003</t>
  </si>
  <si>
    <t xml:space="preserve">SKU2002</t>
  </si>
  <si>
    <t xml:space="preserve">Pedal Pad Set</t>
  </si>
  <si>
    <t xml:space="preserve">طقم مطاط الدواسات</t>
  </si>
  <si>
    <t xml:space="preserve">踏板套装</t>
  </si>
  <si>
    <t xml:space="preserve">PDL-004</t>
  </si>
  <si>
    <t xml:space="preserve">SKU2003</t>
  </si>
  <si>
    <t xml:space="preserve">Accelerator Pedal</t>
  </si>
  <si>
    <t xml:space="preserve">دواسة البنزين</t>
  </si>
  <si>
    <t xml:space="preserve">油门踏板</t>
  </si>
  <si>
    <t xml:space="preserve">PDL-005</t>
  </si>
  <si>
    <t xml:space="preserve">SKU2004</t>
  </si>
  <si>
    <t xml:space="preserve">Clutch Pedal Assembly</t>
  </si>
  <si>
    <t xml:space="preserve">دواسة الدبرياج</t>
  </si>
  <si>
    <t xml:space="preserve">离合器踏板总成</t>
  </si>
  <si>
    <t xml:space="preserve">PDL-006</t>
  </si>
  <si>
    <t xml:space="preserve">SKU2005</t>
  </si>
  <si>
    <t xml:space="preserve">Mats</t>
  </si>
  <si>
    <t xml:space="preserve">Floor Carpet Set</t>
  </si>
  <si>
    <t xml:space="preserve">السجاد والدعاسات</t>
  </si>
  <si>
    <t xml:space="preserve">طقم سجاد الأرضية</t>
  </si>
  <si>
    <t xml:space="preserve">脚垫</t>
  </si>
  <si>
    <t xml:space="preserve">地毯套装</t>
  </si>
  <si>
    <t xml:space="preserve">MAT</t>
  </si>
  <si>
    <t xml:space="preserve">MAT-001</t>
  </si>
  <si>
    <t xml:space="preserve">SKU2006</t>
  </si>
  <si>
    <t xml:space="preserve">Rubber Mat Set</t>
  </si>
  <si>
    <t xml:space="preserve">طقم دعاسات مطاط</t>
  </si>
  <si>
    <t xml:space="preserve">橡胶脚垫套装</t>
  </si>
  <si>
    <t xml:space="preserve">MAT-002</t>
  </si>
  <si>
    <t xml:space="preserve">SKU2007</t>
  </si>
  <si>
    <t xml:space="preserve">Carpet Mat Set</t>
  </si>
  <si>
    <t xml:space="preserve">طقم دعاسات سجاد</t>
  </si>
  <si>
    <t xml:space="preserve">地毯脚垫套装</t>
  </si>
  <si>
    <t xml:space="preserve">MAT-003</t>
  </si>
  <si>
    <t xml:space="preserve">SKU2008</t>
  </si>
  <si>
    <t xml:space="preserve">تنجيد السقف</t>
  </si>
  <si>
    <t xml:space="preserve">سقف المقصورة</t>
  </si>
  <si>
    <t xml:space="preserve">车顶内衬</t>
  </si>
  <si>
    <t xml:space="preserve">HDL</t>
  </si>
  <si>
    <t xml:space="preserve">HDL-001</t>
  </si>
  <si>
    <t xml:space="preserve">SKU2009</t>
  </si>
  <si>
    <t xml:space="preserve">Sun Visor</t>
  </si>
  <si>
    <t xml:space="preserve">واقي الشمس</t>
  </si>
  <si>
    <t xml:space="preserve">遮阳板</t>
  </si>
  <si>
    <t xml:space="preserve">HDL-002</t>
  </si>
  <si>
    <t xml:space="preserve">SKU2010</t>
  </si>
  <si>
    <t xml:space="preserve">SKU2011</t>
  </si>
  <si>
    <t xml:space="preserve">Vanity Mirror</t>
  </si>
  <si>
    <t xml:space="preserve">مرآة التجميل</t>
  </si>
  <si>
    <t xml:space="preserve">化妆镜</t>
  </si>
  <si>
    <t xml:space="preserve">HDL-003</t>
  </si>
  <si>
    <t xml:space="preserve">SKU2012</t>
  </si>
  <si>
    <t xml:space="preserve">SKU2013</t>
  </si>
  <si>
    <t xml:space="preserve">Grab Handle</t>
  </si>
  <si>
    <t xml:space="preserve">مقبض سقف</t>
  </si>
  <si>
    <t xml:space="preserve">车顶扶手</t>
  </si>
  <si>
    <t xml:space="preserve">HDL-004</t>
  </si>
  <si>
    <t xml:space="preserve">SKU2014</t>
  </si>
  <si>
    <t xml:space="preserve">SKU2015</t>
  </si>
  <si>
    <t xml:space="preserve">SKU2016</t>
  </si>
  <si>
    <t xml:space="preserve">SKU2017</t>
  </si>
  <si>
    <t xml:space="preserve">Pillar Trim</t>
  </si>
  <si>
    <t xml:space="preserve">غطاء العمود</t>
  </si>
  <si>
    <t xml:space="preserve">立柱饰板</t>
  </si>
  <si>
    <t xml:space="preserve">HDL-005</t>
  </si>
  <si>
    <t xml:space="preserve">SKU2018</t>
  </si>
  <si>
    <t xml:space="preserve">SKU2019</t>
  </si>
  <si>
    <t xml:space="preserve">SKU2020</t>
  </si>
  <si>
    <t xml:space="preserve">SKU2021</t>
  </si>
  <si>
    <t xml:space="preserve">Airbags</t>
  </si>
  <si>
    <t xml:space="preserve">Driver Airbag</t>
  </si>
  <si>
    <t xml:space="preserve">الوسائد الهوائية</t>
  </si>
  <si>
    <t xml:space="preserve">وسادة هوائية للسائق</t>
  </si>
  <si>
    <t xml:space="preserve">安全气囊</t>
  </si>
  <si>
    <t xml:space="preserve">驾驶员安全气囊</t>
  </si>
  <si>
    <t xml:space="preserve">ABG</t>
  </si>
  <si>
    <t xml:space="preserve">ABG-001</t>
  </si>
  <si>
    <t xml:space="preserve">SKU2022</t>
  </si>
  <si>
    <t xml:space="preserve">Passenger Airbag</t>
  </si>
  <si>
    <t xml:space="preserve">وسادة هوائية للراكب</t>
  </si>
  <si>
    <t xml:space="preserve">副驾驶安全气囊</t>
  </si>
  <si>
    <t xml:space="preserve">ABG-002</t>
  </si>
  <si>
    <t xml:space="preserve">SKU2023</t>
  </si>
  <si>
    <t xml:space="preserve">Side Airbag</t>
  </si>
  <si>
    <t xml:space="preserve">وسادة هوائية جانبية</t>
  </si>
  <si>
    <t xml:space="preserve">侧安全气囊</t>
  </si>
  <si>
    <t xml:space="preserve">ABG-003</t>
  </si>
  <si>
    <t xml:space="preserve">SKU2024</t>
  </si>
  <si>
    <t xml:space="preserve">SKU2025</t>
  </si>
  <si>
    <t xml:space="preserve">Curtain Airbag</t>
  </si>
  <si>
    <t xml:space="preserve">وسادة هوائية ستارية</t>
  </si>
  <si>
    <t xml:space="preserve">侧气帘</t>
  </si>
  <si>
    <t xml:space="preserve">ABG-004</t>
  </si>
  <si>
    <t xml:space="preserve">SKU2026</t>
  </si>
  <si>
    <t xml:space="preserve">SKU2027</t>
  </si>
  <si>
    <t xml:space="preserve">Knee Airbag</t>
  </si>
  <si>
    <t xml:space="preserve">وسادة هوائية للركبة</t>
  </si>
  <si>
    <t xml:space="preserve">膝部安全气囊</t>
  </si>
  <si>
    <t xml:space="preserve">ABG-005</t>
  </si>
  <si>
    <t xml:space="preserve">SKU2028</t>
  </si>
  <si>
    <t xml:space="preserve">Belts</t>
  </si>
  <si>
    <t xml:space="preserve">Seat Belt</t>
  </si>
  <si>
    <t xml:space="preserve">أحزمة الأمان</t>
  </si>
  <si>
    <t xml:space="preserve">حزام أمان</t>
  </si>
  <si>
    <t xml:space="preserve">安全带</t>
  </si>
  <si>
    <t xml:space="preserve">BLT</t>
  </si>
  <si>
    <t xml:space="preserve">BLT-001</t>
  </si>
  <si>
    <t xml:space="preserve">SKU2029</t>
  </si>
  <si>
    <t xml:space="preserve">SKU2030</t>
  </si>
  <si>
    <t xml:space="preserve">SKU2031</t>
  </si>
  <si>
    <t xml:space="preserve">SKU2032</t>
  </si>
  <si>
    <t xml:space="preserve">Seat Belt Pretensioner</t>
  </si>
  <si>
    <t xml:space="preserve">مشد حزام الأمان</t>
  </si>
  <si>
    <t xml:space="preserve">安全带预紧器</t>
  </si>
  <si>
    <t xml:space="preserve">BLT-002</t>
  </si>
  <si>
    <t xml:space="preserve">SKU2033</t>
  </si>
  <si>
    <t xml:space="preserve">SKU2034</t>
  </si>
  <si>
    <t xml:space="preserve">Seat Belt Buckle</t>
  </si>
  <si>
    <t xml:space="preserve">قفل حزام الأمان</t>
  </si>
  <si>
    <t xml:space="preserve">安全带锁扣</t>
  </si>
  <si>
    <t xml:space="preserve">BLT-003</t>
  </si>
  <si>
    <t xml:space="preserve">SKU2035</t>
  </si>
  <si>
    <t xml:space="preserve">SKU2036</t>
  </si>
  <si>
    <t xml:space="preserve">SKU2037</t>
  </si>
  <si>
    <t xml:space="preserve">SKU2038</t>
  </si>
  <si>
    <t xml:space="preserve">Child Seat Anchor</t>
  </si>
  <si>
    <t xml:space="preserve">مرساة كرسي الأطفال</t>
  </si>
  <si>
    <r>
      <rPr>
        <sz val="10"/>
        <rFont val="Noto Sans CJK SC"/>
        <family val="2"/>
      </rPr>
      <t xml:space="preserve">儿童座椅</t>
    </r>
    <r>
      <rPr>
        <sz val="10"/>
        <rFont val="Arial"/>
        <family val="0"/>
        <charset val="1"/>
      </rPr>
      <t xml:space="preserve">ISOFIX</t>
    </r>
    <r>
      <rPr>
        <sz val="10"/>
        <rFont val="Noto Sans CJK SC"/>
        <family val="2"/>
      </rPr>
      <t xml:space="preserve">接口</t>
    </r>
  </si>
  <si>
    <t xml:space="preserve">BLT-004</t>
  </si>
  <si>
    <t xml:space="preserve">SKU2039</t>
  </si>
  <si>
    <t xml:space="preserve">SKU2040</t>
  </si>
  <si>
    <t xml:space="preserve">Safety</t>
  </si>
  <si>
    <t xml:space="preserve">Crash Sensor</t>
  </si>
  <si>
    <t xml:space="preserve">السلامة</t>
  </si>
  <si>
    <t xml:space="preserve">حساس الصدمات</t>
  </si>
  <si>
    <t xml:space="preserve">安全装备</t>
  </si>
  <si>
    <t xml:space="preserve">碰撞传感器</t>
  </si>
  <si>
    <t xml:space="preserve">SAF</t>
  </si>
  <si>
    <t xml:space="preserve">SAF-001</t>
  </si>
  <si>
    <t xml:space="preserve">SKU2041</t>
  </si>
  <si>
    <t xml:space="preserve">SKU2042</t>
  </si>
  <si>
    <t xml:space="preserve">Warning Triangle</t>
  </si>
  <si>
    <t xml:space="preserve">مثلث تحذير</t>
  </si>
  <si>
    <t xml:space="preserve">警示三角牌</t>
  </si>
  <si>
    <t xml:space="preserve">SAF-002</t>
  </si>
  <si>
    <t xml:space="preserve">SKU2043</t>
  </si>
  <si>
    <t xml:space="preserve">Fire Extinguisher</t>
  </si>
  <si>
    <t xml:space="preserve">طفاية حريق</t>
  </si>
  <si>
    <t xml:space="preserve">灭火器</t>
  </si>
  <si>
    <t xml:space="preserve">SAF-003</t>
  </si>
  <si>
    <t xml:space="preserve">SKU2044</t>
  </si>
  <si>
    <t xml:space="preserve">First Aid Kit</t>
  </si>
  <si>
    <t xml:space="preserve">حقيبة إسعافات أولية</t>
  </si>
  <si>
    <t xml:space="preserve">急救包</t>
  </si>
  <si>
    <t xml:space="preserve">SAF-004</t>
  </si>
  <si>
    <t xml:space="preserve">SKU2045</t>
  </si>
  <si>
    <t xml:space="preserve">Safety Vest</t>
  </si>
  <si>
    <t xml:space="preserve">سترة عاكسة</t>
  </si>
  <si>
    <t xml:space="preserve">反光背心</t>
  </si>
  <si>
    <t xml:space="preserve">SAF-005</t>
  </si>
  <si>
    <t xml:space="preserve">SKU2046</t>
  </si>
  <si>
    <t xml:space="preserve">Emergency Escape Hammer</t>
  </si>
  <si>
    <t xml:space="preserve">مطرقة الطوارئ</t>
  </si>
  <si>
    <t xml:space="preserve">安全锤</t>
  </si>
  <si>
    <t xml:space="preserve">SAF-006</t>
  </si>
  <si>
    <t xml:space="preserve">SKU2047</t>
  </si>
  <si>
    <t xml:space="preserve">Fasteners</t>
  </si>
  <si>
    <t xml:space="preserve">Oil Drain Plug</t>
  </si>
  <si>
    <t xml:space="preserve">البراغي والمشابك</t>
  </si>
  <si>
    <t xml:space="preserve">سدادة تصريف الزيت</t>
  </si>
  <si>
    <t xml:space="preserve">紧固件</t>
  </si>
  <si>
    <t xml:space="preserve">放油螺塞</t>
  </si>
  <si>
    <t xml:space="preserve">FST</t>
  </si>
  <si>
    <t xml:space="preserve">FST-001</t>
  </si>
  <si>
    <t xml:space="preserve">SKU2048</t>
  </si>
  <si>
    <t xml:space="preserve">Hose Clamp Kit</t>
  </si>
  <si>
    <t xml:space="preserve">طقم مشابك خراطيم متنوع</t>
  </si>
  <si>
    <t xml:space="preserve">软管卡箍套装</t>
  </si>
  <si>
    <t xml:space="preserve">FST-002</t>
  </si>
  <si>
    <t xml:space="preserve">SKU2049</t>
  </si>
  <si>
    <t xml:space="preserve">Cable Tie Assortment</t>
  </si>
  <si>
    <t xml:space="preserve">طقم أربطة بلاستيك</t>
  </si>
  <si>
    <t xml:space="preserve">扎带套装</t>
  </si>
  <si>
    <t xml:space="preserve">FST-003</t>
  </si>
  <si>
    <t xml:space="preserve">SKU2050</t>
  </si>
  <si>
    <t xml:space="preserve">Body Clip Kit</t>
  </si>
  <si>
    <t xml:space="preserve">طقم مشابك الهيكل</t>
  </si>
  <si>
    <t xml:space="preserve">车身卡扣套装</t>
  </si>
  <si>
    <t xml:space="preserve">FST-004</t>
  </si>
  <si>
    <t xml:space="preserve">SKU2051</t>
  </si>
  <si>
    <t xml:space="preserve">Trim Clip Set</t>
  </si>
  <si>
    <t xml:space="preserve">طقم مشابك زينة بلاستيك</t>
  </si>
  <si>
    <t xml:space="preserve">内饰卡扣套装</t>
  </si>
  <si>
    <t xml:space="preserve">FST-005</t>
  </si>
  <si>
    <t xml:space="preserve">SKU2052</t>
  </si>
  <si>
    <t xml:space="preserve">Push-Pin Retainer Set</t>
  </si>
  <si>
    <t xml:space="preserve">طقم دبابيس تثبيت</t>
  </si>
  <si>
    <t xml:space="preserve">膨胀卡扣套装</t>
  </si>
  <si>
    <t xml:space="preserve">FST-006</t>
  </si>
  <si>
    <t xml:space="preserve">SKU2053</t>
  </si>
  <si>
    <t xml:space="preserve">Liner Screw Set</t>
  </si>
  <si>
    <t xml:space="preserve">طقم براغي بطانة الرفرف</t>
  </si>
  <si>
    <t xml:space="preserve">轮罩螺丝套装</t>
  </si>
  <si>
    <t xml:space="preserve">FST-007</t>
  </si>
  <si>
    <t xml:space="preserve">SKU2054</t>
  </si>
  <si>
    <t xml:space="preserve">Bolt Nut Kit</t>
  </si>
  <si>
    <t xml:space="preserve">طقم براغي وصواميل متنوع</t>
  </si>
  <si>
    <t xml:space="preserve">螺栓螺母套装</t>
  </si>
  <si>
    <t xml:space="preserve">FST-008</t>
  </si>
  <si>
    <t xml:space="preserve">SKU2055</t>
  </si>
  <si>
    <t xml:space="preserve">Hose Connector Set</t>
  </si>
  <si>
    <t xml:space="preserve">طقم وصلات خراطيم</t>
  </si>
  <si>
    <t xml:space="preserve">软管接头套装</t>
  </si>
  <si>
    <t xml:space="preserve">FST-009</t>
  </si>
  <si>
    <t xml:space="preserve">SKU2056</t>
  </si>
  <si>
    <t xml:space="preserve">Pipe Line Clamp</t>
  </si>
  <si>
    <t xml:space="preserve">مشبك مواسير</t>
  </si>
  <si>
    <t xml:space="preserve">管路卡夹</t>
  </si>
  <si>
    <t xml:space="preserve">FST-010</t>
  </si>
  <si>
    <t xml:space="preserve">SKU2057</t>
  </si>
  <si>
    <t xml:space="preserve">Heat Shield Bolt</t>
  </si>
  <si>
    <t xml:space="preserve">براغي درع الحرارة</t>
  </si>
  <si>
    <t xml:space="preserve">隔热罩螺栓</t>
  </si>
  <si>
    <t xml:space="preserve">FST-011</t>
  </si>
  <si>
    <t xml:space="preserve">SKU2058</t>
  </si>
  <si>
    <t xml:space="preserve">Seals</t>
  </si>
  <si>
    <t xml:space="preserve">O-Ring Kit</t>
  </si>
  <si>
    <t xml:space="preserve">السيلات والمانعات</t>
  </si>
  <si>
    <t xml:space="preserve">طقم أورنج متنوع</t>
  </si>
  <si>
    <t xml:space="preserve">密封件</t>
  </si>
  <si>
    <r>
      <rPr>
        <sz val="10"/>
        <rFont val="Arial"/>
        <family val="0"/>
        <charset val="1"/>
      </rPr>
      <t xml:space="preserve">O</t>
    </r>
    <r>
      <rPr>
        <sz val="10"/>
        <rFont val="Noto Sans CJK SC"/>
        <family val="2"/>
      </rPr>
      <t xml:space="preserve">型圈套装</t>
    </r>
  </si>
  <si>
    <t xml:space="preserve">SEL</t>
  </si>
  <si>
    <t xml:space="preserve">SEL-001</t>
  </si>
  <si>
    <t xml:space="preserve">SKU2059</t>
  </si>
  <si>
    <t xml:space="preserve">Oil Seal Kit</t>
  </si>
  <si>
    <t xml:space="preserve">طقم سيلات زيت متنوع</t>
  </si>
  <si>
    <t xml:space="preserve">油封套装</t>
  </si>
  <si>
    <t xml:space="preserve">SEL-002</t>
  </si>
  <si>
    <t xml:space="preserve">SKU2060</t>
  </si>
  <si>
    <t xml:space="preserve">Copper Washer Set</t>
  </si>
  <si>
    <t xml:space="preserve">طقم وردات نحاس</t>
  </si>
  <si>
    <t xml:space="preserve">铜垫圈套装</t>
  </si>
  <si>
    <t xml:space="preserve">SEL-003</t>
  </si>
  <si>
    <t xml:space="preserve">SKU2061</t>
  </si>
  <si>
    <t xml:space="preserve">Rubber Grommet Set</t>
  </si>
  <si>
    <t xml:space="preserve">طقم حلقات مطاط</t>
  </si>
  <si>
    <t xml:space="preserve">橡胶护线圈套装</t>
  </si>
  <si>
    <t xml:space="preserve">SEL-004</t>
  </si>
  <si>
    <t xml:space="preserve">SKU2062</t>
  </si>
  <si>
    <t xml:space="preserve">Hole Plug Set</t>
  </si>
  <si>
    <t xml:space="preserve">طقم سدادات مطاط للهيكل</t>
  </si>
  <si>
    <t xml:space="preserve">车身堵头套装</t>
  </si>
  <si>
    <t xml:space="preserve">SEL-005</t>
  </si>
  <si>
    <t xml:space="preserve">SKU2063</t>
  </si>
  <si>
    <t xml:space="preserve">Weatherstrip Adhesive</t>
  </si>
  <si>
    <t xml:space="preserve">لاصق مطاط العزل</t>
  </si>
  <si>
    <t xml:space="preserve">密封条胶</t>
  </si>
  <si>
    <t xml:space="preserve">SEL-006</t>
  </si>
  <si>
    <t xml:space="preserve">SKU2064</t>
  </si>
  <si>
    <t xml:space="preserve">Thread Seal Tape</t>
  </si>
  <si>
    <t xml:space="preserve">شريط تفلون</t>
  </si>
  <si>
    <t xml:space="preserve">生料带</t>
  </si>
  <si>
    <t xml:space="preserve">SEL-007</t>
  </si>
  <si>
    <t xml:space="preserve">SKU2065</t>
  </si>
  <si>
    <t xml:space="preserve">Vacuum Cap Set</t>
  </si>
  <si>
    <t xml:space="preserve">طقم سدادات تفريغ</t>
  </si>
  <si>
    <t xml:space="preserve">真空帽套装</t>
  </si>
  <si>
    <t xml:space="preserve">SEL-008</t>
  </si>
  <si>
    <t xml:space="preserve">SKU2066</t>
  </si>
  <si>
    <t xml:space="preserve">Accessories</t>
  </si>
  <si>
    <t xml:space="preserve">Car Cover</t>
  </si>
  <si>
    <t xml:space="preserve">الإكسسوارات</t>
  </si>
  <si>
    <t xml:space="preserve">غطاء سيارة</t>
  </si>
  <si>
    <t xml:space="preserve">配件</t>
  </si>
  <si>
    <t xml:space="preserve">车衣</t>
  </si>
  <si>
    <t xml:space="preserve">ACC</t>
  </si>
  <si>
    <t xml:space="preserve">ACC-001</t>
  </si>
  <si>
    <t xml:space="preserve">SKU2067</t>
  </si>
  <si>
    <t xml:space="preserve">Windshield Sunshade</t>
  </si>
  <si>
    <t xml:space="preserve">ستارة شمس للزجاج الأمامي</t>
  </si>
  <si>
    <t xml:space="preserve">前挡遮阳帘</t>
  </si>
  <si>
    <t xml:space="preserve">ACC-002</t>
  </si>
  <si>
    <t xml:space="preserve">SKU2068</t>
  </si>
  <si>
    <t xml:space="preserve">Side Window Sunshade</t>
  </si>
  <si>
    <t xml:space="preserve">ستارة شمس جانبية</t>
  </si>
  <si>
    <t xml:space="preserve">侧窗遮阳帘</t>
  </si>
  <si>
    <t xml:space="preserve">ACC-003</t>
  </si>
  <si>
    <t xml:space="preserve">SKU2069</t>
  </si>
  <si>
    <t xml:space="preserve">SKU2070</t>
  </si>
  <si>
    <t xml:space="preserve">SKU2071</t>
  </si>
  <si>
    <t xml:space="preserve">SKU2072</t>
  </si>
  <si>
    <t xml:space="preserve">Steering Wheel Cover</t>
  </si>
  <si>
    <t xml:space="preserve">غطاء عجلة القيادة</t>
  </si>
  <si>
    <t xml:space="preserve">方向盘套</t>
  </si>
  <si>
    <t xml:space="preserve">ACC-004</t>
  </si>
  <si>
    <t xml:space="preserve">SKU2073</t>
  </si>
  <si>
    <t xml:space="preserve">Seat Cushion Pad</t>
  </si>
  <si>
    <t xml:space="preserve">وسادة مقعد</t>
  </si>
  <si>
    <t xml:space="preserve">座垫</t>
  </si>
  <si>
    <t xml:space="preserve">ACC-005</t>
  </si>
  <si>
    <t xml:space="preserve">SKU2074</t>
  </si>
  <si>
    <t xml:space="preserve">Seat Back Organizer</t>
  </si>
  <si>
    <t xml:space="preserve">منظم خلف المقعد</t>
  </si>
  <si>
    <t xml:space="preserve">座椅靠背收纳袋</t>
  </si>
  <si>
    <t xml:space="preserve">ACC-006</t>
  </si>
  <si>
    <t xml:space="preserve">SKU2075</t>
  </si>
  <si>
    <t xml:space="preserve">Trunk Organizer</t>
  </si>
  <si>
    <t xml:space="preserve">منظم الصندوق</t>
  </si>
  <si>
    <t xml:space="preserve">后备箱收纳箱</t>
  </si>
  <si>
    <t xml:space="preserve">ACC-007</t>
  </si>
  <si>
    <t xml:space="preserve">SKU2076</t>
  </si>
  <si>
    <t xml:space="preserve">Phone Holder</t>
  </si>
  <si>
    <t xml:space="preserve">حامل جوال</t>
  </si>
  <si>
    <t xml:space="preserve">手机支架</t>
  </si>
  <si>
    <t xml:space="preserve">ACC-008</t>
  </si>
  <si>
    <t xml:space="preserve">SKU2077</t>
  </si>
  <si>
    <t xml:space="preserve">Roof Crossbar Set</t>
  </si>
  <si>
    <t xml:space="preserve">طقم عوارض السقف</t>
  </si>
  <si>
    <t xml:space="preserve">车顶横杆套装</t>
  </si>
  <si>
    <t xml:space="preserve">ACC-009</t>
  </si>
  <si>
    <t xml:space="preserve">SKU2078</t>
  </si>
  <si>
    <t xml:space="preserve">Roof Box</t>
  </si>
  <si>
    <t xml:space="preserve">صندوق سقف</t>
  </si>
  <si>
    <t xml:space="preserve">车顶行李箱</t>
  </si>
  <si>
    <t xml:space="preserve">ACC-010</t>
  </si>
  <si>
    <t xml:space="preserve">SKU2079</t>
  </si>
  <si>
    <t xml:space="preserve">Bike Carrier</t>
  </si>
  <si>
    <t xml:space="preserve">حامل دراجات</t>
  </si>
  <si>
    <t xml:space="preserve">自行车架</t>
  </si>
  <si>
    <t xml:space="preserve">ACC-011</t>
  </si>
  <si>
    <t xml:space="preserve">SKU2080</t>
  </si>
  <si>
    <t xml:space="preserve">Tow Bar</t>
  </si>
  <si>
    <t xml:space="preserve">وصلة سحب</t>
  </si>
  <si>
    <t xml:space="preserve">拖车钩牵引杆</t>
  </si>
  <si>
    <t xml:space="preserve">ACC-012</t>
  </si>
  <si>
    <t xml:space="preserve">SKU2081</t>
  </si>
  <si>
    <t xml:space="preserve">Trailer Wiring Kit</t>
  </si>
  <si>
    <t xml:space="preserve">طقم توصيل المقطورة</t>
  </si>
  <si>
    <t xml:space="preserve">拖车线束套装</t>
  </si>
  <si>
    <t xml:space="preserve">ACC-013</t>
  </si>
  <si>
    <t xml:space="preserve">SKU2082</t>
  </si>
  <si>
    <t xml:space="preserve">Door Edge Guard</t>
  </si>
  <si>
    <t xml:space="preserve">واقي حواف الأبواب</t>
  </si>
  <si>
    <t xml:space="preserve">车门防撞条</t>
  </si>
  <si>
    <t xml:space="preserve">ACC-014</t>
  </si>
  <si>
    <t xml:space="preserve">SKU2083</t>
  </si>
  <si>
    <t xml:space="preserve">SKU2084</t>
  </si>
  <si>
    <t xml:space="preserve">SKU2085</t>
  </si>
  <si>
    <t xml:space="preserve">SKU2086</t>
  </si>
  <si>
    <t xml:space="preserve">Door Sill Protector</t>
  </si>
  <si>
    <t xml:space="preserve">واقي عتبة الباب</t>
  </si>
  <si>
    <t xml:space="preserve">门槛保护条</t>
  </si>
  <si>
    <t xml:space="preserve">ACC-015</t>
  </si>
  <si>
    <t xml:space="preserve">SKU2087</t>
  </si>
  <si>
    <t xml:space="preserve">SKU2088</t>
  </si>
  <si>
    <t xml:space="preserve">SKU2089</t>
  </si>
  <si>
    <t xml:space="preserve">SKU2090</t>
  </si>
  <si>
    <t xml:space="preserve">Side Step</t>
  </si>
  <si>
    <t xml:space="preserve">درجة جانبية</t>
  </si>
  <si>
    <t xml:space="preserve">侧踏板</t>
  </si>
  <si>
    <t xml:space="preserve">ACC-016</t>
  </si>
  <si>
    <t xml:space="preserve">SKU2091</t>
  </si>
  <si>
    <t xml:space="preserve">SKU2092</t>
  </si>
  <si>
    <t xml:space="preserve">Bull Bar</t>
  </si>
  <si>
    <t xml:space="preserve">حماية أمامية</t>
  </si>
  <si>
    <t xml:space="preserve">前护杠</t>
  </si>
  <si>
    <t xml:space="preserve">ACC-017</t>
  </si>
  <si>
    <t xml:space="preserve">SKU2093</t>
  </si>
  <si>
    <t xml:space="preserve">Window Visor</t>
  </si>
  <si>
    <t xml:space="preserve">واقي مطر للنوافذ</t>
  </si>
  <si>
    <t xml:space="preserve">晴雨挡</t>
  </si>
  <si>
    <t xml:space="preserve">ACC-018</t>
  </si>
  <si>
    <t xml:space="preserve">SKU2094</t>
  </si>
  <si>
    <t xml:space="preserve">SKU2095</t>
  </si>
  <si>
    <t xml:space="preserve">SKU2096</t>
  </si>
  <si>
    <t xml:space="preserve">SKU2097</t>
  </si>
  <si>
    <t xml:space="preserve">Hood Protector</t>
  </si>
  <si>
    <t xml:space="preserve">واقي غطاء المحرك</t>
  </si>
  <si>
    <t xml:space="preserve">引擎盖防护罩</t>
  </si>
  <si>
    <t xml:space="preserve">ACC-019</t>
  </si>
  <si>
    <t xml:space="preserve">SKU2098</t>
  </si>
  <si>
    <t xml:space="preserve">Air Freshener</t>
  </si>
  <si>
    <t xml:space="preserve">معطر جو</t>
  </si>
  <si>
    <t xml:space="preserve">车载香水</t>
  </si>
  <si>
    <t xml:space="preserve">ACC-020</t>
  </si>
  <si>
    <t xml:space="preserve">SKU2099</t>
  </si>
  <si>
    <t xml:space="preserve">License Plate Frame</t>
  </si>
  <si>
    <t xml:space="preserve">إطار لوحة الأرقام</t>
  </si>
  <si>
    <t xml:space="preserve">牌照框</t>
  </si>
  <si>
    <t xml:space="preserve">ACC-021</t>
  </si>
  <si>
    <t xml:space="preserve">SKU2100</t>
  </si>
  <si>
    <t xml:space="preserve">SKU2101</t>
  </si>
  <si>
    <t xml:space="preserve">Tools</t>
  </si>
  <si>
    <t xml:space="preserve">Scissor Jack</t>
  </si>
  <si>
    <t xml:space="preserve">العدد والأدوات</t>
  </si>
  <si>
    <t xml:space="preserve">رافعة</t>
  </si>
  <si>
    <t xml:space="preserve">工具</t>
  </si>
  <si>
    <t xml:space="preserve">剪式千斤顶</t>
  </si>
  <si>
    <t xml:space="preserve">TOL</t>
  </si>
  <si>
    <t xml:space="preserve">TOL-001</t>
  </si>
  <si>
    <t xml:space="preserve">SKU2102</t>
  </si>
  <si>
    <t xml:space="preserve">Hydraulic Floor Jack</t>
  </si>
  <si>
    <t xml:space="preserve">جك هيدروليكي أرضي</t>
  </si>
  <si>
    <t xml:space="preserve">液压千斤顶</t>
  </si>
  <si>
    <t xml:space="preserve">TOL-002</t>
  </si>
  <si>
    <t xml:space="preserve">SKU2103</t>
  </si>
  <si>
    <t xml:space="preserve">Jack Stand</t>
  </si>
  <si>
    <t xml:space="preserve">حامل جك</t>
  </si>
  <si>
    <t xml:space="preserve">千斤顶支架</t>
  </si>
  <si>
    <t xml:space="preserve">TOL-003</t>
  </si>
  <si>
    <t xml:space="preserve">SKU2104</t>
  </si>
  <si>
    <t xml:space="preserve">Lug Wrench</t>
  </si>
  <si>
    <t xml:space="preserve">مفتاح عجلات</t>
  </si>
  <si>
    <t xml:space="preserve">轮胎扳手</t>
  </si>
  <si>
    <t xml:space="preserve">TOL-004</t>
  </si>
  <si>
    <t xml:space="preserve">SKU2105</t>
  </si>
  <si>
    <t xml:space="preserve">Tow Rope</t>
  </si>
  <si>
    <t xml:space="preserve">حبل سحب</t>
  </si>
  <si>
    <t xml:space="preserve">拖车绳</t>
  </si>
  <si>
    <t xml:space="preserve">TOL-005</t>
  </si>
  <si>
    <t xml:space="preserve">SKU2106</t>
  </si>
  <si>
    <t xml:space="preserve">Portable Jump Starter</t>
  </si>
  <si>
    <t xml:space="preserve">جهاز تشغيل البطارية</t>
  </si>
  <si>
    <t xml:space="preserve">应急启动电源</t>
  </si>
  <si>
    <t xml:space="preserve">TOL-006</t>
  </si>
  <si>
    <t xml:space="preserve">SKU2107</t>
  </si>
  <si>
    <t xml:space="preserve">Jumper Cables</t>
  </si>
  <si>
    <t xml:space="preserve">كابلات توصيل البطارية</t>
  </si>
  <si>
    <t xml:space="preserve">搭电线</t>
  </si>
  <si>
    <t xml:space="preserve">TOL-007</t>
  </si>
  <si>
    <t xml:space="preserve">SKU2108</t>
  </si>
  <si>
    <t xml:space="preserve">Basic Tool Kit</t>
  </si>
  <si>
    <t xml:space="preserve">طقم عدة أساسية</t>
  </si>
  <si>
    <t xml:space="preserve">基础工具套装</t>
  </si>
  <si>
    <t xml:space="preserve">TOL-008</t>
  </si>
  <si>
    <t xml:space="preserve">SKU2109</t>
  </si>
  <si>
    <t xml:space="preserve">OBD2 Diagnostic Scanner</t>
  </si>
  <si>
    <t xml:space="preserve">جهاز فحص OBD2</t>
  </si>
  <si>
    <r>
      <rPr>
        <sz val="10"/>
        <rFont val="Arial"/>
        <family val="0"/>
        <charset val="1"/>
      </rPr>
      <t xml:space="preserve">OBD2</t>
    </r>
    <r>
      <rPr>
        <sz val="10"/>
        <rFont val="Noto Sans CJK SC"/>
        <family val="2"/>
      </rPr>
      <t xml:space="preserve">诊断仪</t>
    </r>
  </si>
  <si>
    <t xml:space="preserve">TOL-009</t>
  </si>
  <si>
    <t xml:space="preserve">SKU2110</t>
  </si>
  <si>
    <t xml:space="preserve">Car Vacuum Cleaner</t>
  </si>
  <si>
    <t xml:space="preserve">مكنسة سيارة</t>
  </si>
  <si>
    <t xml:space="preserve">车载吸尘器</t>
  </si>
  <si>
    <t xml:space="preserve">TOL-010</t>
  </si>
  <si>
    <t xml:space="preserve">Main Category (English)</t>
  </si>
  <si>
    <t xml:space="preserve">Main Category (Arabic)</t>
  </si>
  <si>
    <t xml:space="preserve">Main Category (Chinese)</t>
  </si>
  <si>
    <t xml:space="preserve">Part Code</t>
  </si>
  <si>
    <t xml:space="preserve">Sub Category (English)</t>
  </si>
  <si>
    <t xml:space="preserve">Sub Category (Arabic)</t>
  </si>
  <si>
    <t xml:space="preserve">Sub Category (Chinese)</t>
  </si>
  <si>
    <t xml:space="preserve">Variant (English)</t>
  </si>
  <si>
    <t xml:space="preserve">Variant (Arabic)</t>
  </si>
  <si>
    <t xml:space="preserve">Variant (Chinese)</t>
  </si>
  <si>
    <t xml:space="preserve">Allowed Positions</t>
  </si>
  <si>
    <t xml:space="preserve">Placement (English)</t>
  </si>
  <si>
    <t xml:space="preserve">Placement (Arabic)</t>
  </si>
  <si>
    <t xml:space="preserve">Placement (Chinese)</t>
  </si>
  <si>
    <t xml:space="preserve">Combustion engine (petrol, diesel, hybrid, range extender)</t>
  </si>
  <si>
    <t xml:space="preserve">Heavy (over 30 kg)</t>
  </si>
  <si>
    <t xml:space="preserve">Estimate: item-specific</t>
  </si>
  <si>
    <t xml:space="preserve">Complete</t>
  </si>
  <si>
    <t xml:space="preserve">شورت بلوك</t>
  </si>
  <si>
    <t xml:space="preserve">Estimate: size class M</t>
  </si>
  <si>
    <t xml:space="preserve">Cylinder Head Bolt Set</t>
  </si>
  <si>
    <t xml:space="preserve">Estimate: size class L</t>
  </si>
  <si>
    <t xml:space="preserve">Estimate: size class S</t>
  </si>
  <si>
    <t xml:space="preserve">Estimate: size class XS</t>
  </si>
  <si>
    <t xml:space="preserve">بستم</t>
  </si>
  <si>
    <t xml:space="preserve">البيل</t>
  </si>
  <si>
    <t xml:space="preserve">Connecting Rod Bearing Set</t>
  </si>
  <si>
    <t xml:space="preserve">الكرنك</t>
  </si>
  <si>
    <t xml:space="preserve">Crankshaft Main Bearing Set</t>
  </si>
  <si>
    <t xml:space="preserve">Front; Rear</t>
  </si>
  <si>
    <t xml:space="preserve">Valve Stem Seal Set</t>
  </si>
  <si>
    <t xml:space="preserve">Left; Right; Front; Rear</t>
  </si>
  <si>
    <t xml:space="preserve">Estimate: size class M2</t>
  </si>
  <si>
    <t xml:space="preserve">كرسي المحرك</t>
  </si>
  <si>
    <t xml:space="preserve">悬置</t>
  </si>
  <si>
    <t xml:space="preserve">Estimate: size class XL</t>
  </si>
  <si>
    <t xml:space="preserve">Engine Full Gasket Set</t>
  </si>
  <si>
    <t xml:space="preserve">VVT</t>
  </si>
  <si>
    <t xml:space="preserve">سير الملحقات</t>
  </si>
  <si>
    <t xml:space="preserve">PCV</t>
  </si>
  <si>
    <t xml:space="preserve">Estimate: size class L2</t>
  </si>
  <si>
    <t xml:space="preserve">الثروتل</t>
  </si>
  <si>
    <t xml:space="preserve">Idle Air Control Valve</t>
  </si>
  <si>
    <t xml:space="preserve">شاحن توربيني</t>
  </si>
  <si>
    <t xml:space="preserve">Turbo Oil Feed Line</t>
  </si>
  <si>
    <t xml:space="preserve">Turbo Oil Return Pipe</t>
  </si>
  <si>
    <t xml:space="preserve">إنتركولر</t>
  </si>
  <si>
    <t xml:space="preserve">بلو أوف</t>
  </si>
  <si>
    <t xml:space="preserve">سوبر تشارجر</t>
  </si>
  <si>
    <t xml:space="preserve">داخل الخزان</t>
  </si>
  <si>
    <t xml:space="preserve">Fuel Pump Module Assembly</t>
  </si>
  <si>
    <t xml:space="preserve">إنجكتر</t>
  </si>
  <si>
    <t xml:space="preserve">Fuel Injector Seal Kit</t>
  </si>
  <si>
    <t xml:space="preserve">油轨</t>
  </si>
  <si>
    <t xml:space="preserve">Fuel Tank Filler Neck</t>
  </si>
  <si>
    <t xml:space="preserve">Left; Right</t>
  </si>
  <si>
    <t xml:space="preserve">Fuel Line Quick Connector</t>
  </si>
  <si>
    <t xml:space="preserve">كانستر</t>
  </si>
  <si>
    <t xml:space="preserve">داون بايب</t>
  </si>
  <si>
    <t xml:space="preserve">الشكمان</t>
  </si>
  <si>
    <t xml:space="preserve">زينة</t>
  </si>
  <si>
    <t xml:space="preserve">كتاليزر</t>
  </si>
  <si>
    <t xml:space="preserve">DPF</t>
  </si>
  <si>
    <t xml:space="preserve">GPF</t>
  </si>
  <si>
    <t xml:space="preserve">EGR</t>
  </si>
  <si>
    <t xml:space="preserve">Secondary Air Injection Pump</t>
  </si>
  <si>
    <t xml:space="preserve">All vehicles</t>
  </si>
  <si>
    <t xml:space="preserve">Coolant Expansion Tank Cap</t>
  </si>
  <si>
    <t xml:space="preserve">Power Steering Oil Cooler</t>
  </si>
  <si>
    <t xml:space="preserve">Engine Oil Filter Element</t>
  </si>
  <si>
    <t xml:space="preserve">قلب الفلتر</t>
  </si>
  <si>
    <t xml:space="preserve">فلتر المقصورة</t>
  </si>
  <si>
    <t xml:space="preserve">Activated Carbon Cabin Filter</t>
  </si>
  <si>
    <t xml:space="preserve">بنزين</t>
  </si>
  <si>
    <t xml:space="preserve">Power Steering Fluid Filter</t>
  </si>
  <si>
    <t xml:space="preserve">Electrified (hybrid, plug-in, range extender, EV)</t>
  </si>
  <si>
    <t xml:space="preserve">1 L</t>
  </si>
  <si>
    <t xml:space="preserve">1 لتر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</si>
  <si>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升</t>
    </r>
  </si>
  <si>
    <t xml:space="preserve">Liquid / flammable</t>
  </si>
  <si>
    <t xml:space="preserve">4 L</t>
  </si>
  <si>
    <t xml:space="preserve">4 لتر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</si>
  <si>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升</t>
    </r>
  </si>
  <si>
    <t xml:space="preserve">5 L</t>
  </si>
  <si>
    <t xml:space="preserve">5 لتر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</si>
  <si>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升</t>
    </r>
  </si>
  <si>
    <t xml:space="preserve">Automatic Transmission Fluid ATF</t>
  </si>
  <si>
    <t xml:space="preserve">Differential Gear Oil</t>
  </si>
  <si>
    <t xml:space="preserve">Reduction Gear Oil for EV</t>
  </si>
  <si>
    <t xml:space="preserve">DOT4 500 ml</t>
  </si>
  <si>
    <t xml:space="preserve">DOT4 500 مل</t>
  </si>
  <si>
    <r>
      <rPr>
        <sz val="10"/>
        <rFont val="Arial"/>
        <family val="0"/>
        <charset val="1"/>
      </rPr>
      <t xml:space="preserve">DOT4 500</t>
    </r>
    <r>
      <rPr>
        <sz val="10"/>
        <rFont val="Noto Sans CJK SC"/>
        <family val="2"/>
      </rPr>
      <t xml:space="preserve">毫升</t>
    </r>
  </si>
  <si>
    <t xml:space="preserve">Brake Fluid DOT 4</t>
  </si>
  <si>
    <t xml:space="preserve">Antifreeze 4 L</t>
  </si>
  <si>
    <t xml:space="preserve">مضاد للتجمد 4 لتر</t>
  </si>
  <si>
    <r>
      <rPr>
        <sz val="10"/>
        <rFont val="Noto Sans CJK SC"/>
        <family val="2"/>
      </rPr>
      <t xml:space="preserve">防冻液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升</t>
    </r>
  </si>
  <si>
    <t xml:space="preserve">Coolant Antifreeze</t>
  </si>
  <si>
    <t xml:space="preserve">Concentrate 1 L</t>
  </si>
  <si>
    <t xml:space="preserve">مركز 1 لتر</t>
  </si>
  <si>
    <r>
      <rPr>
        <sz val="10"/>
        <rFont val="Noto Sans CJK SC"/>
        <family val="2"/>
      </rPr>
      <t xml:space="preserve">浓缩液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升</t>
    </r>
  </si>
  <si>
    <t xml:space="preserve">Coolant Concentrate</t>
  </si>
  <si>
    <t xml:space="preserve">EV Battery Coolant</t>
  </si>
  <si>
    <t xml:space="preserve">Power Steering Fluid</t>
  </si>
  <si>
    <t xml:space="preserve">Windshield Washer Fluid</t>
  </si>
  <si>
    <t xml:space="preserve">10 L</t>
  </si>
  <si>
    <t xml:space="preserve">10 لتر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</si>
  <si>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升</t>
    </r>
  </si>
  <si>
    <t xml:space="preserve">AdBlue Urea Solution</t>
  </si>
  <si>
    <t xml:space="preserve">400 g</t>
  </si>
  <si>
    <t xml:space="preserve">400 جم</t>
  </si>
  <si>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克</t>
    </r>
  </si>
  <si>
    <t xml:space="preserve">Wheel Bearing Grease</t>
  </si>
  <si>
    <t xml:space="preserve">500 ml</t>
  </si>
  <si>
    <t xml:space="preserve">500 مل</t>
  </si>
  <si>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毫升</t>
    </r>
  </si>
  <si>
    <t xml:space="preserve">Liquid / flammable; Pressurised gas</t>
  </si>
  <si>
    <t xml:space="preserve">Brake Cleaner Spray</t>
  </si>
  <si>
    <t xml:space="preserve">400 ml</t>
  </si>
  <si>
    <t xml:space="preserve">400 مل</t>
  </si>
  <si>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毫升</t>
    </r>
  </si>
  <si>
    <t xml:space="preserve">Throttle Body Cleaner Spray</t>
  </si>
  <si>
    <t xml:space="preserve">300 ml</t>
  </si>
  <si>
    <t xml:space="preserve">300 مل</t>
  </si>
  <si>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毫升</t>
    </r>
  </si>
  <si>
    <t xml:space="preserve">Fuel System Cleaner</t>
  </si>
  <si>
    <t xml:space="preserve">250 ml</t>
  </si>
  <si>
    <t xml:space="preserve">250 مل</t>
  </si>
  <si>
    <r>
      <rPr>
        <sz val="10"/>
        <rFont val="Arial"/>
        <family val="0"/>
        <charset val="1"/>
      </rPr>
      <t xml:space="preserve">250</t>
    </r>
    <r>
      <rPr>
        <sz val="10"/>
        <rFont val="Noto Sans CJK SC"/>
        <family val="2"/>
      </rPr>
      <t xml:space="preserve">毫升</t>
    </r>
  </si>
  <si>
    <t xml:space="preserve">10 ml</t>
  </si>
  <si>
    <t xml:space="preserve">10 مل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</si>
  <si>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毫升</t>
    </r>
  </si>
  <si>
    <t xml:space="preserve">Estimate: size class T</t>
  </si>
  <si>
    <t xml:space="preserve">80 g</t>
  </si>
  <si>
    <t xml:space="preserve">80 جم</t>
  </si>
  <si>
    <r>
      <rPr>
        <sz val="10"/>
        <rFont val="Arial"/>
        <family val="0"/>
        <charset val="1"/>
      </rPr>
      <t xml:space="preserve">80</t>
    </r>
    <r>
      <rPr>
        <sz val="10"/>
        <rFont val="Noto Sans CJK SC"/>
        <family val="2"/>
      </rPr>
      <t xml:space="preserve">克</t>
    </r>
  </si>
  <si>
    <t xml:space="preserve">RTV Silicone Sealant</t>
  </si>
  <si>
    <t xml:space="preserve">100 g</t>
  </si>
  <si>
    <t xml:space="preserve">100 جم</t>
  </si>
  <si>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克</t>
    </r>
  </si>
  <si>
    <t xml:space="preserve">R134a 500 g</t>
  </si>
  <si>
    <t xml:space="preserve">R134a 500 جم</t>
  </si>
  <si>
    <r>
      <rPr>
        <sz val="10"/>
        <rFont val="Arial"/>
        <family val="0"/>
        <charset val="1"/>
      </rPr>
      <t xml:space="preserve">R134a 500</t>
    </r>
    <r>
      <rPr>
        <sz val="10"/>
        <rFont val="Noto Sans CJK SC"/>
        <family val="2"/>
      </rPr>
      <t xml:space="preserve">克</t>
    </r>
  </si>
  <si>
    <t xml:space="preserve">Refrigerant R134a</t>
  </si>
  <si>
    <t xml:space="preserve">R1234yf 500 g</t>
  </si>
  <si>
    <t xml:space="preserve">R1234yf 500 جم</t>
  </si>
  <si>
    <r>
      <rPr>
        <sz val="10"/>
        <rFont val="Arial"/>
        <family val="0"/>
        <charset val="1"/>
      </rPr>
      <t xml:space="preserve">R1234yf 500</t>
    </r>
    <r>
      <rPr>
        <sz val="10"/>
        <rFont val="Noto Sans CJK SC"/>
        <family val="2"/>
      </rPr>
      <t xml:space="preserve">克</t>
    </r>
  </si>
  <si>
    <t xml:space="preserve">Refrigerant R1234yf</t>
  </si>
  <si>
    <t xml:space="preserve">PAG 250 ml</t>
  </si>
  <si>
    <t xml:space="preserve">PAG 250 مل</t>
  </si>
  <si>
    <r>
      <rPr>
        <sz val="10"/>
        <rFont val="Arial"/>
        <family val="0"/>
        <charset val="1"/>
      </rPr>
      <t xml:space="preserve">PAG 250</t>
    </r>
    <r>
      <rPr>
        <sz val="10"/>
        <rFont val="Noto Sans CJK SC"/>
        <family val="2"/>
      </rPr>
      <t xml:space="preserve">毫升</t>
    </r>
  </si>
  <si>
    <t xml:space="preserve">A/C Compressor Oil PAG</t>
  </si>
  <si>
    <t xml:space="preserve">450 ml</t>
  </si>
  <si>
    <t xml:space="preserve">450 مل</t>
  </si>
  <si>
    <r>
      <rPr>
        <sz val="10"/>
        <rFont val="Arial"/>
        <family val="0"/>
        <charset val="1"/>
      </rPr>
      <t xml:space="preserve">450</t>
    </r>
    <r>
      <rPr>
        <sz val="10"/>
        <rFont val="Noto Sans CJK SC"/>
        <family val="2"/>
      </rPr>
      <t xml:space="preserve">毫升</t>
    </r>
  </si>
  <si>
    <t xml:space="preserve">فالف بودي</t>
  </si>
  <si>
    <t xml:space="preserve">DCT</t>
  </si>
  <si>
    <t xml:space="preserve">双离合变速箱</t>
  </si>
  <si>
    <t xml:space="preserve">Chain</t>
  </si>
  <si>
    <t xml:space="preserve">جنزير</t>
  </si>
  <si>
    <t xml:space="preserve">Gear Selector Assembly; Automatic</t>
  </si>
  <si>
    <t xml:space="preserve">أوتوماتيك</t>
  </si>
  <si>
    <t xml:space="preserve">Transmission Output Shaft Seal</t>
  </si>
  <si>
    <t xml:space="preserve">Transmission Input Shaft Seal</t>
  </si>
  <si>
    <t xml:space="preserve">سنكرو</t>
  </si>
  <si>
    <t xml:space="preserve">Transmission Cooler Line Set</t>
  </si>
  <si>
    <t xml:space="preserve">كلتش</t>
  </si>
  <si>
    <t xml:space="preserve">بريشر</t>
  </si>
  <si>
    <t xml:space="preserve">دولاب الموازنة</t>
  </si>
  <si>
    <t xml:space="preserve">فليكسبليت</t>
  </si>
  <si>
    <t xml:space="preserve">DCT Dual Clutch Pack</t>
  </si>
  <si>
    <t xml:space="preserve">Oversized (over 120 cm)</t>
  </si>
  <si>
    <t xml:space="preserve">Propeller Shaft</t>
  </si>
  <si>
    <t xml:space="preserve">Drive Shaft Center Bearing</t>
  </si>
  <si>
    <t xml:space="preserve">U-Joint</t>
  </si>
  <si>
    <t xml:space="preserve">يونيفرسال</t>
  </si>
  <si>
    <t xml:space="preserve">十字轴</t>
  </si>
  <si>
    <t xml:space="preserve">Differential Ring and Pinion Gear Set</t>
  </si>
  <si>
    <t xml:space="preserve">كرونة وبنيون</t>
  </si>
  <si>
    <t xml:space="preserve">ترانسفر</t>
  </si>
  <si>
    <t xml:space="preserve">Transfer Case Output Seal</t>
  </si>
  <si>
    <t xml:space="preserve">Transfer Case Actuator Motor</t>
  </si>
  <si>
    <t xml:space="preserve">Front-Left; Front-Right; Rear-Left; Rear-Right</t>
  </si>
  <si>
    <t xml:space="preserve">Half Shaft</t>
  </si>
  <si>
    <t xml:space="preserve">هاف شافت</t>
  </si>
  <si>
    <t xml:space="preserve">جوزة العمود</t>
  </si>
  <si>
    <t xml:space="preserve">Rotor</t>
  </si>
  <si>
    <t xml:space="preserve">Brake Disc and Pad Kit</t>
  </si>
  <si>
    <t xml:space="preserve">Drum</t>
  </si>
  <si>
    <t xml:space="preserve">طنبور</t>
  </si>
  <si>
    <t xml:space="preserve">鼓式</t>
  </si>
  <si>
    <t xml:space="preserve">Brake Caliper Repair Kit</t>
  </si>
  <si>
    <t xml:space="preserve">Brake Caliper Slide Pin Kit</t>
  </si>
  <si>
    <t xml:space="preserve">Brake Pad Wear Sensor</t>
  </si>
  <si>
    <t xml:space="preserve">Electronic Parking Brake Actuator</t>
  </si>
  <si>
    <t xml:space="preserve">Electronic Parking Brake Switch</t>
  </si>
  <si>
    <t xml:space="preserve">هيدروفاك</t>
  </si>
  <si>
    <t xml:space="preserve">Brake Booster Check Valve</t>
  </si>
  <si>
    <t xml:space="preserve">Brake Fluid Reservoir Cap</t>
  </si>
  <si>
    <t xml:space="preserve">Hard Pipe</t>
  </si>
  <si>
    <t xml:space="preserve">ABS Wheel Speed Sensor</t>
  </si>
  <si>
    <t xml:space="preserve">ABS</t>
  </si>
  <si>
    <t xml:space="preserve">مساعد</t>
  </si>
  <si>
    <t xml:space="preserve">سوستة</t>
  </si>
  <si>
    <t xml:space="preserve">Front-Left; Front-Right</t>
  </si>
  <si>
    <t xml:space="preserve">Strut Bump Stop and Boot Kit</t>
  </si>
  <si>
    <t xml:space="preserve">تعليق هوائي</t>
  </si>
  <si>
    <t xml:space="preserve">气囊</t>
  </si>
  <si>
    <t xml:space="preserve">Rear-Left; Rear-Right</t>
  </si>
  <si>
    <t xml:space="preserve">Toe</t>
  </si>
  <si>
    <t xml:space="preserve">束臂</t>
  </si>
  <si>
    <t xml:space="preserve">بوشة</t>
  </si>
  <si>
    <t xml:space="preserve">بول جوينت</t>
  </si>
  <si>
    <t xml:space="preserve">Sway Bar</t>
  </si>
  <si>
    <t xml:space="preserve">ستابلايزر</t>
  </si>
  <si>
    <t xml:space="preserve">سيخ</t>
  </si>
  <si>
    <t xml:space="preserve">Crossmember</t>
  </si>
  <si>
    <t xml:space="preserve">Twist Axle</t>
  </si>
  <si>
    <t xml:space="preserve">الدركسيون</t>
  </si>
  <si>
    <t xml:space="preserve">齿条</t>
  </si>
  <si>
    <t xml:space="preserve">Recirculating Ball</t>
  </si>
  <si>
    <t xml:space="preserve">جير</t>
  </si>
  <si>
    <t xml:space="preserve">Electric Power Steering Motor</t>
  </si>
  <si>
    <t xml:space="preserve">EPS</t>
  </si>
  <si>
    <t xml:space="preserve">Steering Rack Boot Kit</t>
  </si>
  <si>
    <t xml:space="preserve">Tie Rod End</t>
  </si>
  <si>
    <t xml:space="preserve">سلك العجلة اللولبي</t>
  </si>
  <si>
    <t xml:space="preserve">气囊弹簧线</t>
  </si>
  <si>
    <t xml:space="preserve">Power Steering Hose; High Pressure</t>
  </si>
  <si>
    <t xml:space="preserve">Power Steering Return Hose</t>
  </si>
  <si>
    <t xml:space="preserve">Power Steering Reservoir Cap</t>
  </si>
  <si>
    <t xml:space="preserve">آيدلر</t>
  </si>
  <si>
    <t xml:space="preserve">درج لينك</t>
  </si>
  <si>
    <t xml:space="preserve">Wheel Hub Bearing Assembly</t>
  </si>
  <si>
    <t xml:space="preserve">دسك التوجيه</t>
  </si>
  <si>
    <t xml:space="preserve">Hub Cap</t>
  </si>
  <si>
    <t xml:space="preserve">间隔环</t>
  </si>
  <si>
    <t xml:space="preserve">Wheel Balancing Weight Set</t>
  </si>
  <si>
    <t xml:space="preserve">Tire; Passenger Car</t>
  </si>
  <si>
    <t xml:space="preserve">Tire; SUV / 4x4</t>
  </si>
  <si>
    <t xml:space="preserve">SUV</t>
  </si>
  <si>
    <t xml:space="preserve">Tire; Light Truck / Van</t>
  </si>
  <si>
    <t xml:space="preserve">مقاوم للثقب</t>
  </si>
  <si>
    <t xml:space="preserve">صرة</t>
  </si>
  <si>
    <t xml:space="preserve">TPMS</t>
  </si>
  <si>
    <t xml:space="preserve">Compact</t>
  </si>
  <si>
    <t xml:space="preserve">非全尺寸</t>
  </si>
  <si>
    <t xml:space="preserve">12 V</t>
  </si>
  <si>
    <t xml:space="preserve">12 فولت</t>
  </si>
  <si>
    <t xml:space="preserve">12V</t>
  </si>
  <si>
    <t xml:space="preserve">Battery (restricted)</t>
  </si>
  <si>
    <t xml:space="preserve">Starter Battery 12 V; Lead-Acid</t>
  </si>
  <si>
    <t xml:space="preserve">رصاص حمضي</t>
  </si>
  <si>
    <t xml:space="preserve">AGM Battery 12 V</t>
  </si>
  <si>
    <t xml:space="preserve">Auxiliary Battery 12 V; EV</t>
  </si>
  <si>
    <t xml:space="preserve">Battery Terminal Clamp Set</t>
  </si>
  <si>
    <t xml:space="preserve">Battery Cable</t>
  </si>
  <si>
    <t xml:space="preserve">مارش</t>
  </si>
  <si>
    <t xml:space="preserve">ملف</t>
  </si>
  <si>
    <t xml:space="preserve">بوجيه</t>
  </si>
  <si>
    <t xml:space="preserve">Spark Plug Wire Set</t>
  </si>
  <si>
    <t xml:space="preserve">دستربيوتر</t>
  </si>
  <si>
    <t xml:space="preserve">روتر</t>
  </si>
  <si>
    <t xml:space="preserve">Remote</t>
  </si>
  <si>
    <t xml:space="preserve">ألترنيتر</t>
  </si>
  <si>
    <t xml:space="preserve">DC Fast Charging Port</t>
  </si>
  <si>
    <t xml:space="preserve">Charging Port Lock Actuator</t>
  </si>
  <si>
    <t xml:space="preserve">Mode 2</t>
  </si>
  <si>
    <t xml:space="preserve">Mode 3</t>
  </si>
  <si>
    <t xml:space="preserve">7 kW</t>
  </si>
  <si>
    <t xml:space="preserve">7 كيلوواط</t>
  </si>
  <si>
    <t xml:space="preserve">7kW</t>
  </si>
  <si>
    <t xml:space="preserve">12 V Power Socket</t>
  </si>
  <si>
    <t xml:space="preserve">Turn Signal</t>
  </si>
  <si>
    <t xml:space="preserve">كومبي سويتش</t>
  </si>
  <si>
    <t xml:space="preserve">Oxygen Sensor</t>
  </si>
  <si>
    <t xml:space="preserve">NOx</t>
  </si>
  <si>
    <t xml:space="preserve">Mass Air Flow Sensor; MAF</t>
  </si>
  <si>
    <t xml:space="preserve">MAF</t>
  </si>
  <si>
    <t xml:space="preserve">MAP</t>
  </si>
  <si>
    <t xml:space="preserve">Intake Air Temperature Sensor</t>
  </si>
  <si>
    <t xml:space="preserve">TPS</t>
  </si>
  <si>
    <t xml:space="preserve">Accelerator Pedal Position Sensor</t>
  </si>
  <si>
    <t xml:space="preserve">كرنك</t>
  </si>
  <si>
    <t xml:space="preserve">كام</t>
  </si>
  <si>
    <t xml:space="preserve">نوك</t>
  </si>
  <si>
    <t xml:space="preserve">Engine Oil Pressure Sensor</t>
  </si>
  <si>
    <t xml:space="preserve">Engine Oil Level Sensor</t>
  </si>
  <si>
    <t xml:space="preserve">Exhaust Gas Temperature Sensor</t>
  </si>
  <si>
    <t xml:space="preserve">DPF Differential Pressure Sensor</t>
  </si>
  <si>
    <t xml:space="preserve">ESP</t>
  </si>
  <si>
    <t xml:space="preserve">Rain and Light Sensor</t>
  </si>
  <si>
    <t xml:space="preserve">المقعد</t>
  </si>
  <si>
    <t xml:space="preserve">ECU</t>
  </si>
  <si>
    <t xml:space="preserve">BCM</t>
  </si>
  <si>
    <t xml:space="preserve">ABS / ESP Control Module</t>
  </si>
  <si>
    <t xml:space="preserve">SRS</t>
  </si>
  <si>
    <t xml:space="preserve">Gateway</t>
  </si>
  <si>
    <t xml:space="preserve">Keyless Entry Receiver Module</t>
  </si>
  <si>
    <t xml:space="preserve">Ultrasonic</t>
  </si>
  <si>
    <t xml:space="preserve">ألتراسونيك</t>
  </si>
  <si>
    <t xml:space="preserve">超声波</t>
  </si>
  <si>
    <t xml:space="preserve">ACC / AEB</t>
  </si>
  <si>
    <t xml:space="preserve">ACC/AEB</t>
  </si>
  <si>
    <t xml:space="preserve">Fragile</t>
  </si>
  <si>
    <t xml:space="preserve">Headlamp Bulb</t>
  </si>
  <si>
    <t xml:space="preserve">هالوجين</t>
  </si>
  <si>
    <t xml:space="preserve">Headlamp Bulb; Xenon HID</t>
  </si>
  <si>
    <t xml:space="preserve">LED Headlamp Driver Module</t>
  </si>
  <si>
    <t xml:space="preserve">DRL</t>
  </si>
  <si>
    <t xml:space="preserve">Corner Turn Signal Lamp</t>
  </si>
  <si>
    <t xml:space="preserve">Side Turn Signal Lamp</t>
  </si>
  <si>
    <t xml:space="preserve">على الرفرف</t>
  </si>
  <si>
    <t xml:space="preserve">Tail Lamp Bulb Holder</t>
  </si>
  <si>
    <t xml:space="preserve">الثالث</t>
  </si>
  <si>
    <t xml:space="preserve">ماركر</t>
  </si>
  <si>
    <t xml:space="preserve">أمبينت</t>
  </si>
  <si>
    <t xml:space="preserve">Battery (restricted); Oversized (over 120 cm); Heavy (over 30 kg)</t>
  </si>
  <si>
    <t xml:space="preserve">موديول</t>
  </si>
  <si>
    <t xml:space="preserve">BMS</t>
  </si>
  <si>
    <t xml:space="preserve">Oversized (over 120 cm); Heavy (over 30 kg)</t>
  </si>
  <si>
    <t xml:space="preserve">Estimate: size class XXL</t>
  </si>
  <si>
    <t xml:space="preserve">Battery Pack Underbody Shield</t>
  </si>
  <si>
    <t xml:space="preserve">Battery Thermal Management Pump</t>
  </si>
  <si>
    <t xml:space="preserve">شيلر</t>
  </si>
  <si>
    <t xml:space="preserve">Chiller</t>
  </si>
  <si>
    <t xml:space="preserve">PTC</t>
  </si>
  <si>
    <t xml:space="preserve">Battery Coolant Pipe Set</t>
  </si>
  <si>
    <t xml:space="preserve">Battery Pressure Relief Valve</t>
  </si>
  <si>
    <t xml:space="preserve">كونتاكتور</t>
  </si>
  <si>
    <t xml:space="preserve">EV only</t>
  </si>
  <si>
    <t xml:space="preserve">ريزولفر</t>
  </si>
  <si>
    <t xml:space="preserve">Motor Controller</t>
  </si>
  <si>
    <t xml:space="preserve">وحدة التحكم بالموتور</t>
  </si>
  <si>
    <t xml:space="preserve">电机控制器</t>
  </si>
  <si>
    <t xml:space="preserve">سرعة واحدة</t>
  </si>
  <si>
    <t xml:space="preserve">OBC</t>
  </si>
  <si>
    <t xml:space="preserve">PDU</t>
  </si>
  <si>
    <t xml:space="preserve">Integrated Power Control Unit</t>
  </si>
  <si>
    <t xml:space="preserve">VCU</t>
  </si>
  <si>
    <t xml:space="preserve">iBooster</t>
  </si>
  <si>
    <t xml:space="preserve">جنراتور</t>
  </si>
  <si>
    <t xml:space="preserve">e-CVT</t>
  </si>
  <si>
    <t xml:space="preserve">BSG / ISG</t>
  </si>
  <si>
    <t xml:space="preserve">BSG/ISG</t>
  </si>
  <si>
    <t xml:space="preserve">Mild Hybrid Battery 48 V</t>
  </si>
  <si>
    <t xml:space="preserve">كوندنسر</t>
  </si>
  <si>
    <t xml:space="preserve">إيفابوريتر</t>
  </si>
  <si>
    <t xml:space="preserve">دراير</t>
  </si>
  <si>
    <t xml:space="preserve">A/C Hose</t>
  </si>
  <si>
    <t xml:space="preserve">A/C O-Ring Seal Kit</t>
  </si>
  <si>
    <t xml:space="preserve">بلور</t>
  </si>
  <si>
    <t xml:space="preserve">مبرد التدفئة</t>
  </si>
  <si>
    <t xml:space="preserve">HVAC Blend Door Actuator</t>
  </si>
  <si>
    <t xml:space="preserve">Pair</t>
  </si>
  <si>
    <t xml:space="preserve">زوج</t>
  </si>
  <si>
    <t xml:space="preserve">一对</t>
  </si>
  <si>
    <t xml:space="preserve">ريشة</t>
  </si>
  <si>
    <t xml:space="preserve">Wiper Blade Refill Rubber</t>
  </si>
  <si>
    <t xml:space="preserve">ريفيل</t>
  </si>
  <si>
    <t xml:space="preserve">Wiper Arm Nut Cap</t>
  </si>
  <si>
    <t xml:space="preserve">Stalk</t>
  </si>
  <si>
    <t xml:space="preserve">拨杆</t>
  </si>
  <si>
    <t xml:space="preserve">كلاكس</t>
  </si>
  <si>
    <t xml:space="preserve">Radio / Multimedia</t>
  </si>
  <si>
    <r>
      <rPr>
        <sz val="10"/>
        <rFont val="Noto Sans CJK SC"/>
        <family val="2"/>
      </rPr>
      <t xml:space="preserve">收音机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多媒体</t>
    </r>
  </si>
  <si>
    <t xml:space="preserve">扬声器</t>
  </si>
  <si>
    <t xml:space="preserve">تويتر</t>
  </si>
  <si>
    <t xml:space="preserve">ساب ووفر</t>
  </si>
  <si>
    <t xml:space="preserve">أمبليفاير</t>
  </si>
  <si>
    <t xml:space="preserve">أنتينا</t>
  </si>
  <si>
    <t xml:space="preserve">Bluetooth / USB Module</t>
  </si>
  <si>
    <t xml:space="preserve">داش كام</t>
  </si>
  <si>
    <t xml:space="preserve">Spoiler</t>
  </si>
  <si>
    <t xml:space="preserve">中网</t>
  </si>
  <si>
    <t xml:space="preserve">Core Support</t>
  </si>
  <si>
    <t xml:space="preserve">كور سابورت</t>
  </si>
  <si>
    <t xml:space="preserve">Bonnet</t>
  </si>
  <si>
    <t xml:space="preserve">كبوت</t>
  </si>
  <si>
    <t xml:space="preserve">غاز</t>
  </si>
  <si>
    <t xml:space="preserve">جناح</t>
  </si>
  <si>
    <t xml:space="preserve">Wheel Arch Liner</t>
  </si>
  <si>
    <t xml:space="preserve">حماية قوس العجلة</t>
  </si>
  <si>
    <t xml:space="preserve">Fender Flare</t>
  </si>
  <si>
    <t xml:space="preserve">挡泥皮</t>
  </si>
  <si>
    <t xml:space="preserve">Side Skirt</t>
  </si>
  <si>
    <t xml:space="preserve">سكرت</t>
  </si>
  <si>
    <t xml:space="preserve">كوارتر</t>
  </si>
  <si>
    <t xml:space="preserve">ستوبر</t>
  </si>
  <si>
    <t xml:space="preserve">كالون</t>
  </si>
  <si>
    <t xml:space="preserve">Scuff Plate</t>
  </si>
  <si>
    <t xml:space="preserve">سكف</t>
  </si>
  <si>
    <t xml:space="preserve">窗框条</t>
  </si>
  <si>
    <t xml:space="preserve">Liftgate</t>
  </si>
  <si>
    <t xml:space="preserve">هاتشباك</t>
  </si>
  <si>
    <t xml:space="preserve">Trunk Lid Gas Strut</t>
  </si>
  <si>
    <t xml:space="preserve">سبويلر</t>
  </si>
  <si>
    <t xml:space="preserve">Parcel Shelf</t>
  </si>
  <si>
    <t xml:space="preserve">مجرى المياه</t>
  </si>
  <si>
    <t xml:space="preserve">排水槽</t>
  </si>
  <si>
    <t xml:space="preserve">Fragile; Oversized (over 120 cm)</t>
  </si>
  <si>
    <t xml:space="preserve">الشباك الأمامي</t>
  </si>
  <si>
    <t xml:space="preserve">ميكانيزم</t>
  </si>
  <si>
    <t xml:space="preserve">Window Glass Run Channel</t>
  </si>
  <si>
    <t xml:space="preserve">مطاط</t>
  </si>
  <si>
    <t xml:space="preserve">Window Inner and Outer Seal Strip</t>
  </si>
  <si>
    <t xml:space="preserve">Window Tint Film Set</t>
  </si>
  <si>
    <t xml:space="preserve">套装</t>
  </si>
  <si>
    <t xml:space="preserve">Side Mirror Turn Signal</t>
  </si>
  <si>
    <t xml:space="preserve">القاعدة</t>
  </si>
  <si>
    <t xml:space="preserve">Slide Track</t>
  </si>
  <si>
    <t xml:space="preserve">طبلون</t>
  </si>
  <si>
    <t xml:space="preserve">الدرج</t>
  </si>
  <si>
    <t xml:space="preserve">Rubber Floor Mat Set</t>
  </si>
  <si>
    <t xml:space="preserve">Carpet Floor Mat Set</t>
  </si>
  <si>
    <t xml:space="preserve">ظلالة</t>
  </si>
  <si>
    <t xml:space="preserve">يد مساعدة</t>
  </si>
  <si>
    <t xml:space="preserve">A / B / C</t>
  </si>
  <si>
    <t xml:space="preserve">Explosive device (restricted)</t>
  </si>
  <si>
    <t xml:space="preserve">Explosive device (restricted); Oversized (over 120 cm)</t>
  </si>
  <si>
    <t xml:space="preserve">ISOFIX</t>
  </si>
  <si>
    <t xml:space="preserve">Impact</t>
  </si>
  <si>
    <t xml:space="preserve">Pressurised gas</t>
  </si>
  <si>
    <t xml:space="preserve">Hose Clamp Assortment Kit</t>
  </si>
  <si>
    <t xml:space="preserve">Body Clip Assortment Kit</t>
  </si>
  <si>
    <t xml:space="preserve">كليبس</t>
  </si>
  <si>
    <t xml:space="preserve">Plastic Rivets</t>
  </si>
  <si>
    <t xml:space="preserve">Fender Liner Screw Set</t>
  </si>
  <si>
    <t xml:space="preserve">Bolt and Nut Assortment Kit</t>
  </si>
  <si>
    <t xml:space="preserve">O-Ring Assortment Kit</t>
  </si>
  <si>
    <t xml:space="preserve">Oil Seal Assortment Kit</t>
  </si>
  <si>
    <t xml:space="preserve">Body Hole Plug Set</t>
  </si>
  <si>
    <t xml:space="preserve">Vacuum Cap Assortment</t>
  </si>
  <si>
    <t xml:space="preserve">坐垫</t>
  </si>
  <si>
    <t xml:space="preserve">Roof Rack Crossbar Set</t>
  </si>
  <si>
    <t xml:space="preserve">Hitch</t>
  </si>
  <si>
    <t xml:space="preserve">تاو بار</t>
  </si>
  <si>
    <t xml:space="preserve">Running Board</t>
  </si>
  <si>
    <t xml:space="preserve">بول بار</t>
  </si>
  <si>
    <t xml:space="preserve">Rain Guard</t>
  </si>
  <si>
    <t xml:space="preserve">Bug Shield</t>
  </si>
  <si>
    <t xml:space="preserve">جك مقص</t>
  </si>
  <si>
    <t xml:space="preserve">ستاند</t>
  </si>
  <si>
    <t xml:space="preserve">جامبر</t>
  </si>
  <si>
    <t xml:space="preserve">Code</t>
  </si>
  <si>
    <t xml:space="preserve">Main Category (one word)</t>
  </si>
  <si>
    <t xml:space="preserve">Arabic</t>
  </si>
  <si>
    <t xml:space="preserve">Chinese</t>
  </si>
  <si>
    <t xml:space="preserve">Sub-categories</t>
  </si>
  <si>
    <t xml:space="preserve">Part types</t>
  </si>
  <si>
    <t xml:space="preserve">Catalog rows</t>
  </si>
  <si>
    <t xml:space="preserve">TOTAL</t>
  </si>
  <si>
    <t xml:space="preserve">Accepted by the marketplace</t>
  </si>
  <si>
    <t xml:space="preserve">Yes</t>
  </si>
  <si>
    <t xml:space="preserve">Placement (where on the vehicle)</t>
  </si>
  <si>
    <t xml:space="preserve">Part types using it</t>
  </si>
  <si>
    <t xml:space="preserve">Engine Rear</t>
  </si>
  <si>
    <t xml:space="preserve">مؤخرة المحرك</t>
  </si>
  <si>
    <t xml:space="preserve">发动机后端</t>
  </si>
  <si>
    <t xml:space="preserve">Front Axle</t>
  </si>
  <si>
    <t xml:space="preserve">المحور الأمامي</t>
  </si>
  <si>
    <t xml:space="preserve">前桥</t>
  </si>
  <si>
    <t xml:space="preserve">Rear Axle</t>
  </si>
  <si>
    <t xml:space="preserve">المحور الخلفي</t>
  </si>
  <si>
    <t xml:space="preserve">后桥</t>
  </si>
  <si>
    <t xml:space="preserve">Front Brake</t>
  </si>
  <si>
    <t xml:space="preserve">الفرامل الأمامية</t>
  </si>
  <si>
    <t xml:space="preserve">前制动器</t>
  </si>
  <si>
    <t xml:space="preserve">Electrical System</t>
  </si>
  <si>
    <t xml:space="preserve">النظام الكهربائي</t>
  </si>
  <si>
    <t xml:space="preserve">电气系统</t>
  </si>
  <si>
    <t xml:space="preserve">Infotainment Area</t>
  </si>
  <si>
    <t xml:space="preserve">منطقة الترفيه والمعلومات</t>
  </si>
  <si>
    <t xml:space="preserve">娱乐信息系统区域</t>
  </si>
  <si>
    <t xml:space="preserve">Size class</t>
  </si>
  <si>
    <t xml:space="preserve">T</t>
  </si>
  <si>
    <t xml:space="preserve">XS</t>
  </si>
  <si>
    <t xml:space="preserve">S</t>
  </si>
  <si>
    <t xml:space="preserve">M</t>
  </si>
  <si>
    <t xml:space="preserve">M2</t>
  </si>
  <si>
    <t xml:space="preserve">L</t>
  </si>
  <si>
    <t xml:space="preserve">L2</t>
  </si>
  <si>
    <t xml:space="preserve">XL</t>
  </si>
  <si>
    <t xml:space="preserve">XXL</t>
  </si>
  <si>
    <t xml:space="preserve">XXXL</t>
  </si>
  <si>
    <t xml:space="preserve">Item-specific</t>
  </si>
  <si>
    <t xml:space="preserve">ASSUMPTIONS (read this before using the numbers)</t>
  </si>
  <si>
    <t xml:space="preserve">1. Every length, width, height and weight is an ESTIMATE of the PACKED size and weight of a typical part, from the size scale above or, for larger or special parts, an item-specific figure. Nothing was measured.</t>
  </si>
  <si>
    <t xml:space="preserve">2. They are shipping DEFAULTS for planning. Replace an estimate with a measured value (change it once, in 'Part types'); a product's real weight and box should still come from the supplier.</t>
  </si>
  <si>
    <t xml:space="preserve">3. Packed size means the box the part ships in. Fluids are one retail container; sets and kits the packed set.</t>
  </si>
  <si>
    <t xml:space="preserve">4. 'Applies To' and 'Special Shipping' are guides for filtering and carrier checks: confirm dangerous-goods and battery rules with your carrier and the destination country.</t>
  </si>
  <si>
    <t xml:space="preserve">Check</t>
  </si>
  <si>
    <t xml:space="preserve">Result</t>
  </si>
  <si>
    <t xml:space="preserve">Expected</t>
  </si>
  <si>
    <t xml:space="preserve">Status</t>
  </si>
  <si>
    <t xml:space="preserve">Rows in the Catalog</t>
  </si>
  <si>
    <t xml:space="preserve">Part types in the master sheet</t>
  </si>
  <si>
    <t xml:space="preserve">NAMING RULE: main categories that are not exactly one word</t>
  </si>
  <si>
    <t xml:space="preserve">NAMING RULE: sub-categories with more than 3 words</t>
  </si>
  <si>
    <t xml:space="preserve">NAMING RULE: part names with more than 5 words</t>
  </si>
  <si>
    <t xml:space="preserve">NAMING RULE: part names that do not start with their sub-category</t>
  </si>
  <si>
    <t xml:space="preserve">Catalog rows whose part code is not in the master sheet</t>
  </si>
  <si>
    <t xml:space="preserve">Duplicate SKUs</t>
  </si>
  <si>
    <t xml:space="preserve">Duplicate English part names</t>
  </si>
  <si>
    <t xml:space="preserve">Duplicate Arabic part names</t>
  </si>
  <si>
    <t xml:space="preserve">Duplicate Chinese part names</t>
  </si>
  <si>
    <t xml:space="preserve">Rows with a position the marketplace does not accept</t>
  </si>
  <si>
    <t xml:space="preserve">Rows with a placement that is not in the Placements list</t>
  </si>
  <si>
    <t xml:space="preserve">Rows with a length, width, height or weight that is missing or not above zero</t>
  </si>
  <si>
    <t xml:space="preserve">Part types missing an Arabic or a Chinese sub-category name</t>
  </si>
  <si>
    <t xml:space="preserve">Part types with a weight above 500 kg or a side above 250 cm (typing mistakes)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</si>
</sst>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#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sz val="10"/>
      <name val="Arial"/>
      <family val="2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3146"/>
        <bgColor rgb="FF333333"/>
      </patternFill>
    </fill>
    <fill>
      <patternFill patternType="solid">
        <fgColor rgb="FFB45309"/>
        <bgColor rgb="FF8A2C2C"/>
      </patternFill>
    </fill>
    <fill>
      <patternFill patternType="solid">
        <fgColor rgb="FF1F6F5C"/>
        <bgColor rgb="FF008080"/>
      </patternFill>
    </fill>
    <fill>
      <patternFill patternType="solid">
        <fgColor rgb="FF8A2C2C"/>
        <bgColor rgb="FF993366"/>
      </patternFill>
    </fill>
    <fill>
      <patternFill patternType="solid">
        <fgColor rgb="FF4B5563"/>
        <bgColor rgb="FF1F6F5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B314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1F6F5C"/>
          <bgColor rgb="FF000000"/>
        </patternFill>
      </fill>
    </dxf>
    <dxf>
      <fill>
        <patternFill patternType="solid">
          <fgColor rgb="FF8A2C2C"/>
          <bgColor rgb="FF000000"/>
        </patternFill>
      </fill>
    </dxf>
    <dxf>
      <fill>
        <patternFill patternType="solid">
          <fgColor rgb="FF4B5563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C"/>
      <rgbColor rgb="FFC0C0C0"/>
      <rgbColor rgb="FF808080"/>
      <rgbColor rgb="FF9999FF"/>
      <rgbColor rgb="FFB45309"/>
      <rgbColor rgb="FFFFFFCC"/>
      <rgbColor rgb="FFCCFFFF"/>
      <rgbColor rgb="FF660066"/>
      <rgbColor rgb="FFFF8080"/>
      <rgbColor rgb="FF0066CC"/>
      <rgbColor rgb="FFD9DE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B3146"/>
      <rgbColor rgb="FF339966"/>
      <rgbColor rgb="FF003300"/>
      <rgbColor rgb="FF333300"/>
      <rgbColor rgb="FF8A2C2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6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26.85" hidden="false" customHeight="false" outlineLevel="0" collapsed="false">
      <c r="A7" s="2" t="s">
        <v>4</v>
      </c>
    </row>
    <row r="8" customFormat="false" ht="26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26.85" hidden="false" customHeight="false" outlineLevel="0" collapsed="false">
      <c r="A11" s="2" t="s">
        <v>7</v>
      </c>
    </row>
    <row r="12" customFormat="false" ht="26.8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26.8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14</v>
      </c>
    </row>
    <row r="21" customFormat="false" ht="26.8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17</v>
      </c>
    </row>
    <row r="25" customFormat="false" ht="26.85" hidden="false" customHeight="false" outlineLevel="0" collapsed="false">
      <c r="A25" s="2" t="s">
        <v>18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19</v>
      </c>
    </row>
    <row r="28" customFormat="false" ht="15" hidden="false" customHeight="false" outlineLevel="0" collapsed="false">
      <c r="A28" s="2" t="s">
        <v>20</v>
      </c>
    </row>
    <row r="29" customFormat="false" ht="15" hidden="false" customHeight="false" outlineLevel="0" collapsed="false">
      <c r="A29" s="2" t="s">
        <v>21</v>
      </c>
    </row>
    <row r="30" customFormat="false" ht="15" hidden="false" customHeight="false" outlineLevel="0" collapsed="false">
      <c r="A30" s="2" t="s">
        <v>22</v>
      </c>
    </row>
    <row r="31" customFormat="false" ht="15" hidden="false" customHeight="false" outlineLevel="0" collapsed="false">
      <c r="A31" s="2" t="s">
        <v>23</v>
      </c>
    </row>
    <row r="32" customFormat="false" ht="26.85" hidden="false" customHeight="false" outlineLevel="0" collapsed="false">
      <c r="A32" s="2" t="s">
        <v>24</v>
      </c>
    </row>
    <row r="33" customFormat="false" ht="26.85" hidden="false" customHeight="false" outlineLevel="0" collapsed="false">
      <c r="A33" s="2" t="s">
        <v>25</v>
      </c>
    </row>
    <row r="34" customFormat="false" ht="15" hidden="false" customHeight="false" outlineLevel="0" collapsed="false">
      <c r="A34" s="2" t="s">
        <v>26</v>
      </c>
    </row>
    <row r="35" customFormat="false" ht="15" hidden="false" customHeight="false" outlineLevel="0" collapsed="false">
      <c r="A35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10" min="7" style="0" width="10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38"/>
    <col collapsed="false" customWidth="true" hidden="false" outlineLevel="0" max="14" min="14" style="0" width="12"/>
    <col collapsed="false" customWidth="true" hidden="false" outlineLevel="0" max="15" min="15" style="0" width="20"/>
    <col collapsed="false" customWidth="true" hidden="false" outlineLevel="0" max="19" min="16" style="0" width="10"/>
    <col collapsed="false" customWidth="true" hidden="false" outlineLevel="0" max="20" min="20" style="0" width="14"/>
    <col collapsed="false" customWidth="true" hidden="false" outlineLevel="0" max="21" min="21" style="0" width="20"/>
    <col collapsed="false" customWidth="true" hidden="false" outlineLevel="0" max="22" min="22" style="0" width="28"/>
    <col collapsed="false" customWidth="true" hidden="false" outlineLevel="0" max="23" min="23" style="0" width="8"/>
    <col collapsed="false" customWidth="true" hidden="false" outlineLevel="0" max="24" min="24" style="0" width="18"/>
    <col collapsed="false" customWidth="true" hidden="false" outlineLevel="0" max="29" min="25" style="0" width="10"/>
    <col collapsed="false" customWidth="true" hidden="false" outlineLevel="0" max="30" min="30" style="0" width="11"/>
    <col collapsed="false" customWidth="true" hidden="false" outlineLevel="0" max="31" min="31" style="0" width="34"/>
    <col collapsed="false" customWidth="true" hidden="false" outlineLevel="0" max="32" min="32" style="0" width="32"/>
    <col collapsed="false" customWidth="true" hidden="false" outlineLevel="0" max="33" min="33" style="0" width="24"/>
    <col collapsed="false" customWidth="true" hidden="false" outlineLevel="0" max="34" min="34" style="0" width="34"/>
    <col collapsed="false" customWidth="true" hidden="false" outlineLevel="0" max="35" min="35" style="0" width="30"/>
    <col collapsed="false" customWidth="true" hidden="false" outlineLevel="0" max="36" min="36" style="0" width="26"/>
    <col collapsed="false" customWidth="true" hidden="false" outlineLevel="0" max="37" min="37" style="0" width="10"/>
  </cols>
  <sheetData>
    <row r="1" customFormat="false" ht="30" hidden="false" customHeight="tru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5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7" t="s">
        <v>47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 t="s">
        <v>63</v>
      </c>
      <c r="AK1" s="8" t="s">
        <v>64</v>
      </c>
    </row>
    <row r="2" customFormat="false" ht="15" hidden="false" customHeight="false" outlineLevel="0" collapsed="false">
      <c r="A2" s="9" t="s">
        <v>65</v>
      </c>
      <c r="B2" s="9" t="s">
        <v>66</v>
      </c>
      <c r="C2" s="9" t="s">
        <v>67</v>
      </c>
      <c r="D2" s="9" t="str">
        <f aca="false">C2&amp;" - "&amp;E2</f>
        <v>Engine Assembly - Universal</v>
      </c>
      <c r="E2" s="9" t="s">
        <v>68</v>
      </c>
      <c r="F2" s="9" t="s">
        <v>69</v>
      </c>
      <c r="G2" s="10" t="n">
        <f aca="false">IF($AK2=0,"",INDEX('Part types'!$P:$P,$AK2))</f>
        <v>110</v>
      </c>
      <c r="H2" s="10" t="n">
        <f aca="false">IF($AK2=0,"",INDEX('Part types'!$Q:$Q,$AK2))</f>
        <v>75</v>
      </c>
      <c r="I2" s="10" t="n">
        <f aca="false">IF($AK2=0,"",INDEX('Part types'!$R:$R,$AK2))</f>
        <v>75</v>
      </c>
      <c r="J2" s="10" t="n">
        <f aca="false">IF($AK2=0,"",INDEX('Part types'!$S:$S,$AK2))</f>
        <v>150</v>
      </c>
      <c r="K2" s="11" t="s">
        <v>70</v>
      </c>
      <c r="L2" s="11" t="s">
        <v>71</v>
      </c>
      <c r="M2" s="11" t="str">
        <f aca="false">L2&amp;" - "&amp;N2</f>
        <v>محرك كامل - عام</v>
      </c>
      <c r="N2" s="11" t="s">
        <v>72</v>
      </c>
      <c r="O2" s="11" t="s">
        <v>73</v>
      </c>
      <c r="P2" s="10" t="n">
        <f aca="false">G2</f>
        <v>110</v>
      </c>
      <c r="Q2" s="10" t="n">
        <f aca="false">H2</f>
        <v>75</v>
      </c>
      <c r="R2" s="10" t="n">
        <f aca="false">I2</f>
        <v>75</v>
      </c>
      <c r="S2" s="10" t="n">
        <f aca="false">J2</f>
        <v>150</v>
      </c>
      <c r="T2" s="12" t="s">
        <v>74</v>
      </c>
      <c r="U2" s="12" t="s">
        <v>75</v>
      </c>
      <c r="V2" s="9" t="str">
        <f aca="false">U2&amp;" - "&amp;W2</f>
        <v>发动机总成 - 通用</v>
      </c>
      <c r="W2" s="12" t="s">
        <v>76</v>
      </c>
      <c r="X2" s="12" t="s">
        <v>77</v>
      </c>
      <c r="Y2" s="10" t="n">
        <f aca="false">G2</f>
        <v>110</v>
      </c>
      <c r="Z2" s="10" t="n">
        <f aca="false">H2</f>
        <v>75</v>
      </c>
      <c r="AA2" s="10" t="n">
        <f aca="false">I2</f>
        <v>75</v>
      </c>
      <c r="AB2" s="10" t="n">
        <f aca="false">J2</f>
        <v>150</v>
      </c>
      <c r="AC2" s="9" t="s">
        <v>78</v>
      </c>
      <c r="AD2" s="9" t="s">
        <v>79</v>
      </c>
      <c r="AE2" s="9" t="str">
        <f aca="false">IF($AK2=0,"",INDEX('Part types'!$T:$T,$AK2)&amp;"")</f>
        <v>Combustion engine (petrol, diesel, hybrid, range extender)</v>
      </c>
      <c r="AF2" s="9" t="str">
        <f aca="false">IF($AK2=0,"",INDEX('Part types'!$U:$U,$AK2)&amp;"")</f>
        <v>Heavy (over 30 kg)</v>
      </c>
      <c r="AG2" s="9" t="str">
        <f aca="false">IF($AK2=0,"",INDEX('Part types'!$V:$V,$AK2)&amp;"")</f>
        <v>Estimate: item-specific</v>
      </c>
      <c r="AH2" s="9" t="str">
        <f aca="false">IF($AK2=0,"",INDEX('Part types'!$W:$W,$AK2)&amp;"")</f>
        <v>Complete</v>
      </c>
      <c r="AI2" s="11" t="str">
        <f aca="false">IF($AK2=0,"",INDEX('Part types'!$X:$X,$AK2)&amp;"")</f>
        <v/>
      </c>
      <c r="AJ2" s="9" t="str">
        <f aca="false">IF($AK2=0,"",INDEX('Part types'!$Y:$Y,$AK2)&amp;"")</f>
        <v/>
      </c>
      <c r="AK2" s="9" t="n">
        <f aca="false">IFERROR(MATCH($AD2,'Part types'!$E:$E,0),0)</f>
        <v>2</v>
      </c>
    </row>
    <row r="3" customFormat="false" ht="15" hidden="false" customHeight="false" outlineLevel="0" collapsed="false">
      <c r="A3" s="9" t="s">
        <v>80</v>
      </c>
      <c r="B3" s="9" t="s">
        <v>66</v>
      </c>
      <c r="C3" s="9" t="s">
        <v>81</v>
      </c>
      <c r="D3" s="9" t="str">
        <f aca="false">C3&amp;" - "&amp;E3</f>
        <v>Short Block - Universal</v>
      </c>
      <c r="E3" s="9" t="s">
        <v>68</v>
      </c>
      <c r="F3" s="9" t="s">
        <v>69</v>
      </c>
      <c r="G3" s="10" t="n">
        <f aca="false">IF($AK3=0,"",INDEX('Part types'!$P:$P,$AK3))</f>
        <v>80</v>
      </c>
      <c r="H3" s="10" t="n">
        <f aca="false">IF($AK3=0,"",INDEX('Part types'!$Q:$Q,$AK3))</f>
        <v>60</v>
      </c>
      <c r="I3" s="10" t="n">
        <f aca="false">IF($AK3=0,"",INDEX('Part types'!$R:$R,$AK3))</f>
        <v>60</v>
      </c>
      <c r="J3" s="10" t="n">
        <f aca="false">IF($AK3=0,"",INDEX('Part types'!$S:$S,$AK3))</f>
        <v>80</v>
      </c>
      <c r="K3" s="11" t="s">
        <v>70</v>
      </c>
      <c r="L3" s="11" t="s">
        <v>82</v>
      </c>
      <c r="M3" s="11" t="str">
        <f aca="false">L3&amp;" - "&amp;N3</f>
        <v>هيكل المحرك - عام</v>
      </c>
      <c r="N3" s="11" t="s">
        <v>72</v>
      </c>
      <c r="O3" s="11" t="s">
        <v>73</v>
      </c>
      <c r="P3" s="10" t="n">
        <f aca="false">G3</f>
        <v>80</v>
      </c>
      <c r="Q3" s="10" t="n">
        <f aca="false">H3</f>
        <v>60</v>
      </c>
      <c r="R3" s="10" t="n">
        <f aca="false">I3</f>
        <v>60</v>
      </c>
      <c r="S3" s="10" t="n">
        <f aca="false">J3</f>
        <v>80</v>
      </c>
      <c r="T3" s="12" t="s">
        <v>74</v>
      </c>
      <c r="U3" s="12" t="s">
        <v>83</v>
      </c>
      <c r="V3" s="9" t="str">
        <f aca="false">U3&amp;" - "&amp;W3</f>
        <v>发动机短缸体总成 - 通用</v>
      </c>
      <c r="W3" s="12" t="s">
        <v>76</v>
      </c>
      <c r="X3" s="12" t="s">
        <v>77</v>
      </c>
      <c r="Y3" s="10" t="n">
        <f aca="false">G3</f>
        <v>80</v>
      </c>
      <c r="Z3" s="10" t="n">
        <f aca="false">H3</f>
        <v>60</v>
      </c>
      <c r="AA3" s="10" t="n">
        <f aca="false">I3</f>
        <v>60</v>
      </c>
      <c r="AB3" s="10" t="n">
        <f aca="false">J3</f>
        <v>80</v>
      </c>
      <c r="AC3" s="9" t="s">
        <v>78</v>
      </c>
      <c r="AD3" s="9" t="s">
        <v>84</v>
      </c>
      <c r="AE3" s="9" t="str">
        <f aca="false">IF($AK3=0,"",INDEX('Part types'!$T:$T,$AK3)&amp;"")</f>
        <v>Combustion engine (petrol, diesel, hybrid, range extender)</v>
      </c>
      <c r="AF3" s="9" t="str">
        <f aca="false">IF($AK3=0,"",INDEX('Part types'!$U:$U,$AK3)&amp;"")</f>
        <v>Heavy (over 30 kg)</v>
      </c>
      <c r="AG3" s="9" t="str">
        <f aca="false">IF($AK3=0,"",INDEX('Part types'!$V:$V,$AK3)&amp;"")</f>
        <v>Estimate: item-specific</v>
      </c>
      <c r="AH3" s="9" t="str">
        <f aca="false">IF($AK3=0,"",INDEX('Part types'!$W:$W,$AK3)&amp;"")</f>
        <v/>
      </c>
      <c r="AI3" s="11" t="str">
        <f aca="false">IF($AK3=0,"",INDEX('Part types'!$X:$X,$AK3)&amp;"")</f>
        <v>شورت بلوك</v>
      </c>
      <c r="AJ3" s="9" t="str">
        <f aca="false">IF($AK3=0,"",INDEX('Part types'!$Y:$Y,$AK3)&amp;"")</f>
        <v/>
      </c>
      <c r="AK3" s="9" t="n">
        <f aca="false">IFERROR(MATCH($AD3,'Part types'!$E:$E,0),0)</f>
        <v>3</v>
      </c>
    </row>
    <row r="4" customFormat="false" ht="15" hidden="false" customHeight="false" outlineLevel="0" collapsed="false">
      <c r="A4" s="9" t="s">
        <v>85</v>
      </c>
      <c r="B4" s="9" t="s">
        <v>66</v>
      </c>
      <c r="C4" s="9" t="s">
        <v>86</v>
      </c>
      <c r="D4" s="9" t="str">
        <f aca="false">C4&amp;" - "&amp;E4</f>
        <v>Cylinder Block - Universal</v>
      </c>
      <c r="E4" s="9" t="s">
        <v>68</v>
      </c>
      <c r="F4" s="9" t="s">
        <v>87</v>
      </c>
      <c r="G4" s="10" t="n">
        <f aca="false">IF($AK4=0,"",INDEX('Part types'!$P:$P,$AK4))</f>
        <v>60</v>
      </c>
      <c r="H4" s="10" t="n">
        <f aca="false">IF($AK4=0,"",INDEX('Part types'!$Q:$Q,$AK4))</f>
        <v>45</v>
      </c>
      <c r="I4" s="10" t="n">
        <f aca="false">IF($AK4=0,"",INDEX('Part types'!$R:$R,$AK4))</f>
        <v>40</v>
      </c>
      <c r="J4" s="10" t="n">
        <f aca="false">IF($AK4=0,"",INDEX('Part types'!$S:$S,$AK4))</f>
        <v>35</v>
      </c>
      <c r="K4" s="11" t="s">
        <v>70</v>
      </c>
      <c r="L4" s="11" t="s">
        <v>88</v>
      </c>
      <c r="M4" s="11" t="str">
        <f aca="false">L4&amp;" - "&amp;N4</f>
        <v>كتلة الأسطوانات - عام</v>
      </c>
      <c r="N4" s="11" t="s">
        <v>72</v>
      </c>
      <c r="O4" s="11" t="s">
        <v>89</v>
      </c>
      <c r="P4" s="10" t="n">
        <f aca="false">G4</f>
        <v>60</v>
      </c>
      <c r="Q4" s="10" t="n">
        <f aca="false">H4</f>
        <v>45</v>
      </c>
      <c r="R4" s="10" t="n">
        <f aca="false">I4</f>
        <v>40</v>
      </c>
      <c r="S4" s="10" t="n">
        <f aca="false">J4</f>
        <v>35</v>
      </c>
      <c r="T4" s="12" t="s">
        <v>74</v>
      </c>
      <c r="U4" s="12" t="s">
        <v>90</v>
      </c>
      <c r="V4" s="9" t="str">
        <f aca="false">U4&amp;" - "&amp;W4</f>
        <v>气缸体 - 通用</v>
      </c>
      <c r="W4" s="12" t="s">
        <v>76</v>
      </c>
      <c r="X4" s="12" t="s">
        <v>91</v>
      </c>
      <c r="Y4" s="10" t="n">
        <f aca="false">G4</f>
        <v>60</v>
      </c>
      <c r="Z4" s="10" t="n">
        <f aca="false">H4</f>
        <v>45</v>
      </c>
      <c r="AA4" s="10" t="n">
        <f aca="false">I4</f>
        <v>40</v>
      </c>
      <c r="AB4" s="10" t="n">
        <f aca="false">J4</f>
        <v>35</v>
      </c>
      <c r="AC4" s="9" t="s">
        <v>78</v>
      </c>
      <c r="AD4" s="9" t="s">
        <v>92</v>
      </c>
      <c r="AE4" s="9" t="str">
        <f aca="false">IF($AK4=0,"",INDEX('Part types'!$T:$T,$AK4)&amp;"")</f>
        <v>Combustion engine (petrol, diesel, hybrid, range extender)</v>
      </c>
      <c r="AF4" s="9" t="str">
        <f aca="false">IF($AK4=0,"",INDEX('Part types'!$U:$U,$AK4)&amp;"")</f>
        <v>Heavy (over 30 kg)</v>
      </c>
      <c r="AG4" s="9" t="str">
        <f aca="false">IF($AK4=0,"",INDEX('Part types'!$V:$V,$AK4)&amp;"")</f>
        <v>Estimate: item-specific</v>
      </c>
      <c r="AH4" s="9" t="str">
        <f aca="false">IF($AK4=0,"",INDEX('Part types'!$W:$W,$AK4)&amp;"")</f>
        <v/>
      </c>
      <c r="AI4" s="11" t="str">
        <f aca="false">IF($AK4=0,"",INDEX('Part types'!$X:$X,$AK4)&amp;"")</f>
        <v/>
      </c>
      <c r="AJ4" s="9" t="str">
        <f aca="false">IF($AK4=0,"",INDEX('Part types'!$Y:$Y,$AK4)&amp;"")</f>
        <v/>
      </c>
      <c r="AK4" s="9" t="n">
        <f aca="false">IFERROR(MATCH($AD4,'Part types'!$E:$E,0),0)</f>
        <v>4</v>
      </c>
    </row>
    <row r="5" customFormat="false" ht="15" hidden="false" customHeight="false" outlineLevel="0" collapsed="false">
      <c r="A5" s="9" t="s">
        <v>93</v>
      </c>
      <c r="B5" s="9" t="s">
        <v>66</v>
      </c>
      <c r="C5" s="9" t="s">
        <v>94</v>
      </c>
      <c r="D5" s="9" t="str">
        <f aca="false">C5&amp;" - "&amp;E5</f>
        <v>Cylinder Head - Universal</v>
      </c>
      <c r="E5" s="9" t="s">
        <v>68</v>
      </c>
      <c r="F5" s="9" t="s">
        <v>94</v>
      </c>
      <c r="G5" s="10" t="n">
        <f aca="false">IF($AK5=0,"",INDEX('Part types'!$P:$P,$AK5))</f>
        <v>60</v>
      </c>
      <c r="H5" s="10" t="n">
        <f aca="false">IF($AK5=0,"",INDEX('Part types'!$Q:$Q,$AK5))</f>
        <v>30</v>
      </c>
      <c r="I5" s="10" t="n">
        <f aca="false">IF($AK5=0,"",INDEX('Part types'!$R:$R,$AK5))</f>
        <v>25</v>
      </c>
      <c r="J5" s="10" t="n">
        <f aca="false">IF($AK5=0,"",INDEX('Part types'!$S:$S,$AK5))</f>
        <v>18</v>
      </c>
      <c r="K5" s="11" t="s">
        <v>70</v>
      </c>
      <c r="L5" s="11" t="s">
        <v>95</v>
      </c>
      <c r="M5" s="11" t="str">
        <f aca="false">L5&amp;" - "&amp;N5</f>
        <v>رأس الأسطوانات - عام</v>
      </c>
      <c r="N5" s="11" t="s">
        <v>72</v>
      </c>
      <c r="O5" s="11" t="s">
        <v>95</v>
      </c>
      <c r="P5" s="10" t="n">
        <f aca="false">G5</f>
        <v>60</v>
      </c>
      <c r="Q5" s="10" t="n">
        <f aca="false">H5</f>
        <v>30</v>
      </c>
      <c r="R5" s="10" t="n">
        <f aca="false">I5</f>
        <v>25</v>
      </c>
      <c r="S5" s="10" t="n">
        <f aca="false">J5</f>
        <v>18</v>
      </c>
      <c r="T5" s="12" t="s">
        <v>74</v>
      </c>
      <c r="U5" s="12" t="s">
        <v>96</v>
      </c>
      <c r="V5" s="9" t="str">
        <f aca="false">U5&amp;" - "&amp;W5</f>
        <v>气缸盖 - 通用</v>
      </c>
      <c r="W5" s="12" t="s">
        <v>76</v>
      </c>
      <c r="X5" s="12" t="s">
        <v>96</v>
      </c>
      <c r="Y5" s="10" t="n">
        <f aca="false">G5</f>
        <v>60</v>
      </c>
      <c r="Z5" s="10" t="n">
        <f aca="false">H5</f>
        <v>30</v>
      </c>
      <c r="AA5" s="10" t="n">
        <f aca="false">I5</f>
        <v>25</v>
      </c>
      <c r="AB5" s="10" t="n">
        <f aca="false">J5</f>
        <v>18</v>
      </c>
      <c r="AC5" s="9" t="s">
        <v>78</v>
      </c>
      <c r="AD5" s="9" t="s">
        <v>97</v>
      </c>
      <c r="AE5" s="9" t="str">
        <f aca="false">IF($AK5=0,"",INDEX('Part types'!$T:$T,$AK5)&amp;"")</f>
        <v>Combustion engine (petrol, diesel, hybrid, range extender)</v>
      </c>
      <c r="AF5" s="9" t="str">
        <f aca="false">IF($AK5=0,"",INDEX('Part types'!$U:$U,$AK5)&amp;"")</f>
        <v/>
      </c>
      <c r="AG5" s="9" t="str">
        <f aca="false">IF($AK5=0,"",INDEX('Part types'!$V:$V,$AK5)&amp;"")</f>
        <v>Estimate: item-specific</v>
      </c>
      <c r="AH5" s="9" t="str">
        <f aca="false">IF($AK5=0,"",INDEX('Part types'!$W:$W,$AK5)&amp;"")</f>
        <v/>
      </c>
      <c r="AI5" s="11" t="str">
        <f aca="false">IF($AK5=0,"",INDEX('Part types'!$X:$X,$AK5)&amp;"")</f>
        <v/>
      </c>
      <c r="AJ5" s="9" t="str">
        <f aca="false">IF($AK5=0,"",INDEX('Part types'!$Y:$Y,$AK5)&amp;"")</f>
        <v/>
      </c>
      <c r="AK5" s="9" t="n">
        <f aca="false">IFERROR(MATCH($AD5,'Part types'!$E:$E,0),0)</f>
        <v>5</v>
      </c>
    </row>
    <row r="6" customFormat="false" ht="15" hidden="false" customHeight="false" outlineLevel="0" collapsed="false">
      <c r="A6" s="9" t="s">
        <v>98</v>
      </c>
      <c r="B6" s="9" t="s">
        <v>66</v>
      </c>
      <c r="C6" s="9" t="s">
        <v>99</v>
      </c>
      <c r="D6" s="9" t="str">
        <f aca="false">C6&amp;" - "&amp;E6</f>
        <v>Cylinder Head Gasket - Universal</v>
      </c>
      <c r="E6" s="9" t="s">
        <v>68</v>
      </c>
      <c r="F6" s="9" t="s">
        <v>94</v>
      </c>
      <c r="G6" s="10" t="n">
        <f aca="false">IF($AK6=0,"",INDEX('Part types'!$P:$P,$AK6))</f>
        <v>50</v>
      </c>
      <c r="H6" s="10" t="n">
        <f aca="false">IF($AK6=0,"",INDEX('Part types'!$Q:$Q,$AK6))</f>
        <v>30</v>
      </c>
      <c r="I6" s="10" t="n">
        <f aca="false">IF($AK6=0,"",INDEX('Part types'!$R:$R,$AK6))</f>
        <v>3</v>
      </c>
      <c r="J6" s="10" t="n">
        <f aca="false">IF($AK6=0,"",INDEX('Part types'!$S:$S,$AK6))</f>
        <v>0.4</v>
      </c>
      <c r="K6" s="11" t="s">
        <v>70</v>
      </c>
      <c r="L6" s="11" t="s">
        <v>100</v>
      </c>
      <c r="M6" s="11" t="str">
        <f aca="false">L6&amp;" - "&amp;N6</f>
        <v>جوان رأس الأسطوانات - عام</v>
      </c>
      <c r="N6" s="11" t="s">
        <v>72</v>
      </c>
      <c r="O6" s="11" t="s">
        <v>95</v>
      </c>
      <c r="P6" s="10" t="n">
        <f aca="false">G6</f>
        <v>50</v>
      </c>
      <c r="Q6" s="10" t="n">
        <f aca="false">H6</f>
        <v>30</v>
      </c>
      <c r="R6" s="10" t="n">
        <f aca="false">I6</f>
        <v>3</v>
      </c>
      <c r="S6" s="10" t="n">
        <f aca="false">J6</f>
        <v>0.4</v>
      </c>
      <c r="T6" s="12" t="s">
        <v>74</v>
      </c>
      <c r="U6" s="12" t="s">
        <v>101</v>
      </c>
      <c r="V6" s="9" t="str">
        <f aca="false">U6&amp;" - "&amp;W6</f>
        <v>气缸垫 - 通用</v>
      </c>
      <c r="W6" s="12" t="s">
        <v>76</v>
      </c>
      <c r="X6" s="12" t="s">
        <v>96</v>
      </c>
      <c r="Y6" s="10" t="n">
        <f aca="false">G6</f>
        <v>50</v>
      </c>
      <c r="Z6" s="10" t="n">
        <f aca="false">H6</f>
        <v>30</v>
      </c>
      <c r="AA6" s="10" t="n">
        <f aca="false">I6</f>
        <v>3</v>
      </c>
      <c r="AB6" s="10" t="n">
        <f aca="false">J6</f>
        <v>0.4</v>
      </c>
      <c r="AC6" s="9" t="s">
        <v>78</v>
      </c>
      <c r="AD6" s="9" t="s">
        <v>102</v>
      </c>
      <c r="AE6" s="9" t="str">
        <f aca="false">IF($AK6=0,"",INDEX('Part types'!$T:$T,$AK6)&amp;"")</f>
        <v>Combustion engine (petrol, diesel, hybrid, range extender)</v>
      </c>
      <c r="AF6" s="9" t="str">
        <f aca="false">IF($AK6=0,"",INDEX('Part types'!$U:$U,$AK6)&amp;"")</f>
        <v/>
      </c>
      <c r="AG6" s="9" t="str">
        <f aca="false">IF($AK6=0,"",INDEX('Part types'!$V:$V,$AK6)&amp;"")</f>
        <v>Estimate: item-specific</v>
      </c>
      <c r="AH6" s="9" t="str">
        <f aca="false">IF($AK6=0,"",INDEX('Part types'!$W:$W,$AK6)&amp;"")</f>
        <v/>
      </c>
      <c r="AI6" s="11" t="str">
        <f aca="false">IF($AK6=0,"",INDEX('Part types'!$X:$X,$AK6)&amp;"")</f>
        <v/>
      </c>
      <c r="AJ6" s="9" t="str">
        <f aca="false">IF($AK6=0,"",INDEX('Part types'!$Y:$Y,$AK6)&amp;"")</f>
        <v/>
      </c>
      <c r="AK6" s="9" t="n">
        <f aca="false">IFERROR(MATCH($AD6,'Part types'!$E:$E,0),0)</f>
        <v>6</v>
      </c>
    </row>
    <row r="7" customFormat="false" ht="15" hidden="false" customHeight="false" outlineLevel="0" collapsed="false">
      <c r="A7" s="9" t="s">
        <v>103</v>
      </c>
      <c r="B7" s="9" t="s">
        <v>66</v>
      </c>
      <c r="C7" s="9" t="s">
        <v>104</v>
      </c>
      <c r="D7" s="9" t="str">
        <f aca="false">C7&amp;" - "&amp;E7</f>
        <v>Head Bolt Set - Universal</v>
      </c>
      <c r="E7" s="9" t="s">
        <v>68</v>
      </c>
      <c r="F7" s="9" t="s">
        <v>94</v>
      </c>
      <c r="G7" s="10" t="n">
        <f aca="false">IF($AK7=0,"",INDEX('Part types'!$P:$P,$AK7))</f>
        <v>25</v>
      </c>
      <c r="H7" s="10" t="n">
        <f aca="false">IF($AK7=0,"",INDEX('Part types'!$Q:$Q,$AK7))</f>
        <v>15</v>
      </c>
      <c r="I7" s="10" t="n">
        <f aca="false">IF($AK7=0,"",INDEX('Part types'!$R:$R,$AK7))</f>
        <v>10</v>
      </c>
      <c r="J7" s="10" t="n">
        <f aca="false">IF($AK7=0,"",INDEX('Part types'!$S:$S,$AK7))</f>
        <v>0.9</v>
      </c>
      <c r="K7" s="11" t="s">
        <v>70</v>
      </c>
      <c r="L7" s="11" t="s">
        <v>105</v>
      </c>
      <c r="M7" s="11" t="str">
        <f aca="false">L7&amp;" - "&amp;N7</f>
        <v>طقم براغي رأس الأسطوانات - عام</v>
      </c>
      <c r="N7" s="11" t="s">
        <v>72</v>
      </c>
      <c r="O7" s="11" t="s">
        <v>95</v>
      </c>
      <c r="P7" s="10" t="n">
        <f aca="false">G7</f>
        <v>25</v>
      </c>
      <c r="Q7" s="10" t="n">
        <f aca="false">H7</f>
        <v>15</v>
      </c>
      <c r="R7" s="10" t="n">
        <f aca="false">I7</f>
        <v>10</v>
      </c>
      <c r="S7" s="10" t="n">
        <f aca="false">J7</f>
        <v>0.9</v>
      </c>
      <c r="T7" s="12" t="s">
        <v>74</v>
      </c>
      <c r="U7" s="12" t="s">
        <v>106</v>
      </c>
      <c r="V7" s="9" t="str">
        <f aca="false">U7&amp;" - "&amp;W7</f>
        <v>缸盖螺栓套装 - 通用</v>
      </c>
      <c r="W7" s="12" t="s">
        <v>76</v>
      </c>
      <c r="X7" s="12" t="s">
        <v>96</v>
      </c>
      <c r="Y7" s="10" t="n">
        <f aca="false">G7</f>
        <v>25</v>
      </c>
      <c r="Z7" s="10" t="n">
        <f aca="false">H7</f>
        <v>15</v>
      </c>
      <c r="AA7" s="10" t="n">
        <f aca="false">I7</f>
        <v>10</v>
      </c>
      <c r="AB7" s="10" t="n">
        <f aca="false">J7</f>
        <v>0.9</v>
      </c>
      <c r="AC7" s="9" t="s">
        <v>78</v>
      </c>
      <c r="AD7" s="9" t="s">
        <v>107</v>
      </c>
      <c r="AE7" s="9" t="str">
        <f aca="false">IF($AK7=0,"",INDEX('Part types'!$T:$T,$AK7)&amp;"")</f>
        <v>Combustion engine (petrol, diesel, hybrid, range extender)</v>
      </c>
      <c r="AF7" s="9" t="str">
        <f aca="false">IF($AK7=0,"",INDEX('Part types'!$U:$U,$AK7)&amp;"")</f>
        <v/>
      </c>
      <c r="AG7" s="9" t="str">
        <f aca="false">IF($AK7=0,"",INDEX('Part types'!$V:$V,$AK7)&amp;"")</f>
        <v>Estimate: size class M</v>
      </c>
      <c r="AH7" s="9" t="str">
        <f aca="false">IF($AK7=0,"",INDEX('Part types'!$W:$W,$AK7)&amp;"")</f>
        <v>Cylinder Head Bolt Set</v>
      </c>
      <c r="AI7" s="11" t="str">
        <f aca="false">IF($AK7=0,"",INDEX('Part types'!$X:$X,$AK7)&amp;"")</f>
        <v/>
      </c>
      <c r="AJ7" s="9" t="str">
        <f aca="false">IF($AK7=0,"",INDEX('Part types'!$Y:$Y,$AK7)&amp;"")</f>
        <v/>
      </c>
      <c r="AK7" s="9" t="n">
        <f aca="false">IFERROR(MATCH($AD7,'Part types'!$E:$E,0),0)</f>
        <v>7</v>
      </c>
    </row>
    <row r="8" customFormat="false" ht="15" hidden="false" customHeight="false" outlineLevel="0" collapsed="false">
      <c r="A8" s="9" t="s">
        <v>108</v>
      </c>
      <c r="B8" s="9" t="s">
        <v>66</v>
      </c>
      <c r="C8" s="9" t="s">
        <v>109</v>
      </c>
      <c r="D8" s="9" t="str">
        <f aca="false">C8&amp;" - "&amp;E8</f>
        <v>Valve Cover - Universal</v>
      </c>
      <c r="E8" s="9" t="s">
        <v>68</v>
      </c>
      <c r="F8" s="9" t="s">
        <v>110</v>
      </c>
      <c r="G8" s="10" t="n">
        <f aca="false">IF($AK8=0,"",INDEX('Part types'!$P:$P,$AK8))</f>
        <v>40</v>
      </c>
      <c r="H8" s="10" t="n">
        <f aca="false">IF($AK8=0,"",INDEX('Part types'!$Q:$Q,$AK8))</f>
        <v>25</v>
      </c>
      <c r="I8" s="10" t="n">
        <f aca="false">IF($AK8=0,"",INDEX('Part types'!$R:$R,$AK8))</f>
        <v>15</v>
      </c>
      <c r="J8" s="10" t="n">
        <f aca="false">IF($AK8=0,"",INDEX('Part types'!$S:$S,$AK8))</f>
        <v>3</v>
      </c>
      <c r="K8" s="11" t="s">
        <v>70</v>
      </c>
      <c r="L8" s="11" t="s">
        <v>111</v>
      </c>
      <c r="M8" s="11" t="str">
        <f aca="false">L8&amp;" - "&amp;N8</f>
        <v>غطاء الصمامات - عام</v>
      </c>
      <c r="N8" s="11" t="s">
        <v>72</v>
      </c>
      <c r="O8" s="11" t="s">
        <v>112</v>
      </c>
      <c r="P8" s="10" t="n">
        <f aca="false">G8</f>
        <v>40</v>
      </c>
      <c r="Q8" s="10" t="n">
        <f aca="false">H8</f>
        <v>25</v>
      </c>
      <c r="R8" s="10" t="n">
        <f aca="false">I8</f>
        <v>15</v>
      </c>
      <c r="S8" s="10" t="n">
        <f aca="false">J8</f>
        <v>3</v>
      </c>
      <c r="T8" s="12" t="s">
        <v>74</v>
      </c>
      <c r="U8" s="12" t="s">
        <v>113</v>
      </c>
      <c r="V8" s="9" t="str">
        <f aca="false">U8&amp;" - "&amp;W8</f>
        <v>气门室盖 - 通用</v>
      </c>
      <c r="W8" s="12" t="s">
        <v>76</v>
      </c>
      <c r="X8" s="12" t="s">
        <v>114</v>
      </c>
      <c r="Y8" s="10" t="n">
        <f aca="false">G8</f>
        <v>40</v>
      </c>
      <c r="Z8" s="10" t="n">
        <f aca="false">H8</f>
        <v>25</v>
      </c>
      <c r="AA8" s="10" t="n">
        <f aca="false">I8</f>
        <v>15</v>
      </c>
      <c r="AB8" s="10" t="n">
        <f aca="false">J8</f>
        <v>3</v>
      </c>
      <c r="AC8" s="9" t="s">
        <v>78</v>
      </c>
      <c r="AD8" s="9" t="s">
        <v>115</v>
      </c>
      <c r="AE8" s="9" t="str">
        <f aca="false">IF($AK8=0,"",INDEX('Part types'!$T:$T,$AK8)&amp;"")</f>
        <v>Combustion engine (petrol, diesel, hybrid, range extender)</v>
      </c>
      <c r="AF8" s="9" t="str">
        <f aca="false">IF($AK8=0,"",INDEX('Part types'!$U:$U,$AK8)&amp;"")</f>
        <v/>
      </c>
      <c r="AG8" s="9" t="str">
        <f aca="false">IF($AK8=0,"",INDEX('Part types'!$V:$V,$AK8)&amp;"")</f>
        <v>Estimate: size class L</v>
      </c>
      <c r="AH8" s="9" t="str">
        <f aca="false">IF($AK8=0,"",INDEX('Part types'!$W:$W,$AK8)&amp;"")</f>
        <v/>
      </c>
      <c r="AI8" s="11" t="str">
        <f aca="false">IF($AK8=0,"",INDEX('Part types'!$X:$X,$AK8)&amp;"")</f>
        <v/>
      </c>
      <c r="AJ8" s="9" t="str">
        <f aca="false">IF($AK8=0,"",INDEX('Part types'!$Y:$Y,$AK8)&amp;"")</f>
        <v/>
      </c>
      <c r="AK8" s="9" t="n">
        <f aca="false">IFERROR(MATCH($AD8,'Part types'!$E:$E,0),0)</f>
        <v>8</v>
      </c>
    </row>
    <row r="9" customFormat="false" ht="15" hidden="false" customHeight="false" outlineLevel="0" collapsed="false">
      <c r="A9" s="9" t="s">
        <v>116</v>
      </c>
      <c r="B9" s="9" t="s">
        <v>66</v>
      </c>
      <c r="C9" s="9" t="s">
        <v>117</v>
      </c>
      <c r="D9" s="9" t="str">
        <f aca="false">C9&amp;" - "&amp;E9</f>
        <v>Valve Cover Gasket - Universal</v>
      </c>
      <c r="E9" s="9" t="s">
        <v>68</v>
      </c>
      <c r="F9" s="9" t="s">
        <v>110</v>
      </c>
      <c r="G9" s="10" t="n">
        <f aca="false">IF($AK9=0,"",INDEX('Part types'!$P:$P,$AK9))</f>
        <v>15</v>
      </c>
      <c r="H9" s="10" t="n">
        <f aca="false">IF($AK9=0,"",INDEX('Part types'!$Q:$Q,$AK9))</f>
        <v>10</v>
      </c>
      <c r="I9" s="10" t="n">
        <f aca="false">IF($AK9=0,"",INDEX('Part types'!$R:$R,$AK9))</f>
        <v>8</v>
      </c>
      <c r="J9" s="10" t="n">
        <f aca="false">IF($AK9=0,"",INDEX('Part types'!$S:$S,$AK9))</f>
        <v>0.3</v>
      </c>
      <c r="K9" s="11" t="s">
        <v>70</v>
      </c>
      <c r="L9" s="11" t="s">
        <v>118</v>
      </c>
      <c r="M9" s="11" t="str">
        <f aca="false">L9&amp;" - "&amp;N9</f>
        <v>جوان غطاء الصمامات - عام</v>
      </c>
      <c r="N9" s="11" t="s">
        <v>72</v>
      </c>
      <c r="O9" s="11" t="s">
        <v>112</v>
      </c>
      <c r="P9" s="10" t="n">
        <f aca="false">G9</f>
        <v>15</v>
      </c>
      <c r="Q9" s="10" t="n">
        <f aca="false">H9</f>
        <v>10</v>
      </c>
      <c r="R9" s="10" t="n">
        <f aca="false">I9</f>
        <v>8</v>
      </c>
      <c r="S9" s="10" t="n">
        <f aca="false">J9</f>
        <v>0.3</v>
      </c>
      <c r="T9" s="12" t="s">
        <v>74</v>
      </c>
      <c r="U9" s="12" t="s">
        <v>119</v>
      </c>
      <c r="V9" s="9" t="str">
        <f aca="false">U9&amp;" - "&amp;W9</f>
        <v>气门室盖垫 - 通用</v>
      </c>
      <c r="W9" s="12" t="s">
        <v>76</v>
      </c>
      <c r="X9" s="12" t="s">
        <v>114</v>
      </c>
      <c r="Y9" s="10" t="n">
        <f aca="false">G9</f>
        <v>15</v>
      </c>
      <c r="Z9" s="10" t="n">
        <f aca="false">H9</f>
        <v>10</v>
      </c>
      <c r="AA9" s="10" t="n">
        <f aca="false">I9</f>
        <v>8</v>
      </c>
      <c r="AB9" s="10" t="n">
        <f aca="false">J9</f>
        <v>0.3</v>
      </c>
      <c r="AC9" s="9" t="s">
        <v>78</v>
      </c>
      <c r="AD9" s="9" t="s">
        <v>120</v>
      </c>
      <c r="AE9" s="9" t="str">
        <f aca="false">IF($AK9=0,"",INDEX('Part types'!$T:$T,$AK9)&amp;"")</f>
        <v>Combustion engine (petrol, diesel, hybrid, range extender)</v>
      </c>
      <c r="AF9" s="9" t="str">
        <f aca="false">IF($AK9=0,"",INDEX('Part types'!$U:$U,$AK9)&amp;"")</f>
        <v/>
      </c>
      <c r="AG9" s="9" t="str">
        <f aca="false">IF($AK9=0,"",INDEX('Part types'!$V:$V,$AK9)&amp;"")</f>
        <v>Estimate: size class S</v>
      </c>
      <c r="AH9" s="9" t="str">
        <f aca="false">IF($AK9=0,"",INDEX('Part types'!$W:$W,$AK9)&amp;"")</f>
        <v/>
      </c>
      <c r="AI9" s="11" t="str">
        <f aca="false">IF($AK9=0,"",INDEX('Part types'!$X:$X,$AK9)&amp;"")</f>
        <v/>
      </c>
      <c r="AJ9" s="9" t="str">
        <f aca="false">IF($AK9=0,"",INDEX('Part types'!$Y:$Y,$AK9)&amp;"")</f>
        <v/>
      </c>
      <c r="AK9" s="9" t="n">
        <f aca="false">IFERROR(MATCH($AD9,'Part types'!$E:$E,0),0)</f>
        <v>9</v>
      </c>
    </row>
    <row r="10" customFormat="false" ht="15" hidden="false" customHeight="false" outlineLevel="0" collapsed="false">
      <c r="A10" s="9" t="s">
        <v>121</v>
      </c>
      <c r="B10" s="9" t="s">
        <v>66</v>
      </c>
      <c r="C10" s="9" t="s">
        <v>122</v>
      </c>
      <c r="D10" s="9" t="str">
        <f aca="false">C10&amp;" - "&amp;E10</f>
        <v>Piston - Universal</v>
      </c>
      <c r="E10" s="9" t="s">
        <v>68</v>
      </c>
      <c r="F10" s="9" t="s">
        <v>123</v>
      </c>
      <c r="G10" s="10" t="n">
        <f aca="false">IF($AK10=0,"",INDEX('Part types'!$P:$P,$AK10))</f>
        <v>10</v>
      </c>
      <c r="H10" s="10" t="n">
        <f aca="false">IF($AK10=0,"",INDEX('Part types'!$Q:$Q,$AK10))</f>
        <v>8</v>
      </c>
      <c r="I10" s="10" t="n">
        <f aca="false">IF($AK10=0,"",INDEX('Part types'!$R:$R,$AK10))</f>
        <v>6</v>
      </c>
      <c r="J10" s="10" t="n">
        <f aca="false">IF($AK10=0,"",INDEX('Part types'!$S:$S,$AK10))</f>
        <v>0.1</v>
      </c>
      <c r="K10" s="11" t="s">
        <v>70</v>
      </c>
      <c r="L10" s="11" t="s">
        <v>124</v>
      </c>
      <c r="M10" s="11" t="str">
        <f aca="false">L10&amp;" - "&amp;N10</f>
        <v>مكبس - عام</v>
      </c>
      <c r="N10" s="11" t="s">
        <v>72</v>
      </c>
      <c r="O10" s="11" t="s">
        <v>125</v>
      </c>
      <c r="P10" s="10" t="n">
        <f aca="false">G10</f>
        <v>10</v>
      </c>
      <c r="Q10" s="10" t="n">
        <f aca="false">H10</f>
        <v>8</v>
      </c>
      <c r="R10" s="10" t="n">
        <f aca="false">I10</f>
        <v>6</v>
      </c>
      <c r="S10" s="10" t="n">
        <f aca="false">J10</f>
        <v>0.1</v>
      </c>
      <c r="T10" s="12" t="s">
        <v>74</v>
      </c>
      <c r="U10" s="12" t="s">
        <v>126</v>
      </c>
      <c r="V10" s="9" t="str">
        <f aca="false">U10&amp;" - "&amp;W10</f>
        <v>活塞 - 通用</v>
      </c>
      <c r="W10" s="12" t="s">
        <v>76</v>
      </c>
      <c r="X10" s="12" t="s">
        <v>127</v>
      </c>
      <c r="Y10" s="10" t="n">
        <f aca="false">G10</f>
        <v>10</v>
      </c>
      <c r="Z10" s="10" t="n">
        <f aca="false">H10</f>
        <v>8</v>
      </c>
      <c r="AA10" s="10" t="n">
        <f aca="false">I10</f>
        <v>6</v>
      </c>
      <c r="AB10" s="10" t="n">
        <f aca="false">J10</f>
        <v>0.1</v>
      </c>
      <c r="AC10" s="9" t="s">
        <v>78</v>
      </c>
      <c r="AD10" s="9" t="s">
        <v>128</v>
      </c>
      <c r="AE10" s="9" t="str">
        <f aca="false">IF($AK10=0,"",INDEX('Part types'!$T:$T,$AK10)&amp;"")</f>
        <v>Combustion engine (petrol, diesel, hybrid, range extender)</v>
      </c>
      <c r="AF10" s="9" t="str">
        <f aca="false">IF($AK10=0,"",INDEX('Part types'!$U:$U,$AK10)&amp;"")</f>
        <v/>
      </c>
      <c r="AG10" s="9" t="str">
        <f aca="false">IF($AK10=0,"",INDEX('Part types'!$V:$V,$AK10)&amp;"")</f>
        <v>Estimate: size class XS</v>
      </c>
      <c r="AH10" s="9" t="str">
        <f aca="false">IF($AK10=0,"",INDEX('Part types'!$W:$W,$AK10)&amp;"")</f>
        <v/>
      </c>
      <c r="AI10" s="11" t="str">
        <f aca="false">IF($AK10=0,"",INDEX('Part types'!$X:$X,$AK10)&amp;"")</f>
        <v>بستم</v>
      </c>
      <c r="AJ10" s="9" t="str">
        <f aca="false">IF($AK10=0,"",INDEX('Part types'!$Y:$Y,$AK10)&amp;"")</f>
        <v/>
      </c>
      <c r="AK10" s="9" t="n">
        <f aca="false">IFERROR(MATCH($AD10,'Part types'!$E:$E,0),0)</f>
        <v>10</v>
      </c>
    </row>
    <row r="11" customFormat="false" ht="15" hidden="false" customHeight="false" outlineLevel="0" collapsed="false">
      <c r="A11" s="9" t="s">
        <v>129</v>
      </c>
      <c r="B11" s="9" t="s">
        <v>66</v>
      </c>
      <c r="C11" s="9" t="s">
        <v>130</v>
      </c>
      <c r="D11" s="9" t="str">
        <f aca="false">C11&amp;" - "&amp;E11</f>
        <v>Piston Ring Set - Universal</v>
      </c>
      <c r="E11" s="9" t="s">
        <v>68</v>
      </c>
      <c r="F11" s="9" t="s">
        <v>123</v>
      </c>
      <c r="G11" s="10" t="n">
        <f aca="false">IF($AK11=0,"",INDEX('Part types'!$P:$P,$AK11))</f>
        <v>15</v>
      </c>
      <c r="H11" s="10" t="n">
        <f aca="false">IF($AK11=0,"",INDEX('Part types'!$Q:$Q,$AK11))</f>
        <v>10</v>
      </c>
      <c r="I11" s="10" t="n">
        <f aca="false">IF($AK11=0,"",INDEX('Part types'!$R:$R,$AK11))</f>
        <v>8</v>
      </c>
      <c r="J11" s="10" t="n">
        <f aca="false">IF($AK11=0,"",INDEX('Part types'!$S:$S,$AK11))</f>
        <v>0.3</v>
      </c>
      <c r="K11" s="11" t="s">
        <v>70</v>
      </c>
      <c r="L11" s="11" t="s">
        <v>131</v>
      </c>
      <c r="M11" s="11" t="str">
        <f aca="false">L11&amp;" - "&amp;N11</f>
        <v>طقم شنابر المكبس - عام</v>
      </c>
      <c r="N11" s="11" t="s">
        <v>72</v>
      </c>
      <c r="O11" s="11" t="s">
        <v>125</v>
      </c>
      <c r="P11" s="10" t="n">
        <f aca="false">G11</f>
        <v>15</v>
      </c>
      <c r="Q11" s="10" t="n">
        <f aca="false">H11</f>
        <v>10</v>
      </c>
      <c r="R11" s="10" t="n">
        <f aca="false">I11</f>
        <v>8</v>
      </c>
      <c r="S11" s="10" t="n">
        <f aca="false">J11</f>
        <v>0.3</v>
      </c>
      <c r="T11" s="12" t="s">
        <v>74</v>
      </c>
      <c r="U11" s="12" t="s">
        <v>132</v>
      </c>
      <c r="V11" s="9" t="str">
        <f aca="false">U11&amp;" - "&amp;W11</f>
        <v>活塞环套装 - 通用</v>
      </c>
      <c r="W11" s="12" t="s">
        <v>76</v>
      </c>
      <c r="X11" s="12" t="s">
        <v>127</v>
      </c>
      <c r="Y11" s="10" t="n">
        <f aca="false">G11</f>
        <v>15</v>
      </c>
      <c r="Z11" s="10" t="n">
        <f aca="false">H11</f>
        <v>10</v>
      </c>
      <c r="AA11" s="10" t="n">
        <f aca="false">I11</f>
        <v>8</v>
      </c>
      <c r="AB11" s="10" t="n">
        <f aca="false">J11</f>
        <v>0.3</v>
      </c>
      <c r="AC11" s="9" t="s">
        <v>78</v>
      </c>
      <c r="AD11" s="9" t="s">
        <v>133</v>
      </c>
      <c r="AE11" s="9" t="str">
        <f aca="false">IF($AK11=0,"",INDEX('Part types'!$T:$T,$AK11)&amp;"")</f>
        <v>Combustion engine (petrol, diesel, hybrid, range extender)</v>
      </c>
      <c r="AF11" s="9" t="str">
        <f aca="false">IF($AK11=0,"",INDEX('Part types'!$U:$U,$AK11)&amp;"")</f>
        <v/>
      </c>
      <c r="AG11" s="9" t="str">
        <f aca="false">IF($AK11=0,"",INDEX('Part types'!$V:$V,$AK11)&amp;"")</f>
        <v>Estimate: size class S</v>
      </c>
      <c r="AH11" s="9" t="str">
        <f aca="false">IF($AK11=0,"",INDEX('Part types'!$W:$W,$AK11)&amp;"")</f>
        <v/>
      </c>
      <c r="AI11" s="11" t="str">
        <f aca="false">IF($AK11=0,"",INDEX('Part types'!$X:$X,$AK11)&amp;"")</f>
        <v/>
      </c>
      <c r="AJ11" s="9" t="str">
        <f aca="false">IF($AK11=0,"",INDEX('Part types'!$Y:$Y,$AK11)&amp;"")</f>
        <v/>
      </c>
      <c r="AK11" s="9" t="n">
        <f aca="false">IFERROR(MATCH($AD11,'Part types'!$E:$E,0),0)</f>
        <v>11</v>
      </c>
    </row>
    <row r="12" customFormat="false" ht="15" hidden="false" customHeight="false" outlineLevel="0" collapsed="false">
      <c r="A12" s="9" t="s">
        <v>134</v>
      </c>
      <c r="B12" s="9" t="s">
        <v>66</v>
      </c>
      <c r="C12" s="9" t="s">
        <v>135</v>
      </c>
      <c r="D12" s="9" t="str">
        <f aca="false">C12&amp;" - "&amp;E12</f>
        <v>Piston Pin - Universal</v>
      </c>
      <c r="E12" s="9" t="s">
        <v>68</v>
      </c>
      <c r="F12" s="9" t="s">
        <v>123</v>
      </c>
      <c r="G12" s="10" t="n">
        <f aca="false">IF($AK12=0,"",INDEX('Part types'!$P:$P,$AK12))</f>
        <v>10</v>
      </c>
      <c r="H12" s="10" t="n">
        <f aca="false">IF($AK12=0,"",INDEX('Part types'!$Q:$Q,$AK12))</f>
        <v>8</v>
      </c>
      <c r="I12" s="10" t="n">
        <f aca="false">IF($AK12=0,"",INDEX('Part types'!$R:$R,$AK12))</f>
        <v>6</v>
      </c>
      <c r="J12" s="10" t="n">
        <f aca="false">IF($AK12=0,"",INDEX('Part types'!$S:$S,$AK12))</f>
        <v>0.1</v>
      </c>
      <c r="K12" s="11" t="s">
        <v>70</v>
      </c>
      <c r="L12" s="11" t="s">
        <v>136</v>
      </c>
      <c r="M12" s="11" t="str">
        <f aca="false">L12&amp;" - "&amp;N12</f>
        <v>مسمار المكبس - عام</v>
      </c>
      <c r="N12" s="11" t="s">
        <v>72</v>
      </c>
      <c r="O12" s="11" t="s">
        <v>125</v>
      </c>
      <c r="P12" s="10" t="n">
        <f aca="false">G12</f>
        <v>10</v>
      </c>
      <c r="Q12" s="10" t="n">
        <f aca="false">H12</f>
        <v>8</v>
      </c>
      <c r="R12" s="10" t="n">
        <f aca="false">I12</f>
        <v>6</v>
      </c>
      <c r="S12" s="10" t="n">
        <f aca="false">J12</f>
        <v>0.1</v>
      </c>
      <c r="T12" s="12" t="s">
        <v>74</v>
      </c>
      <c r="U12" s="12" t="s">
        <v>137</v>
      </c>
      <c r="V12" s="9" t="str">
        <f aca="false">U12&amp;" - "&amp;W12</f>
        <v>活塞销 - 通用</v>
      </c>
      <c r="W12" s="12" t="s">
        <v>76</v>
      </c>
      <c r="X12" s="12" t="s">
        <v>127</v>
      </c>
      <c r="Y12" s="10" t="n">
        <f aca="false">G12</f>
        <v>10</v>
      </c>
      <c r="Z12" s="10" t="n">
        <f aca="false">H12</f>
        <v>8</v>
      </c>
      <c r="AA12" s="10" t="n">
        <f aca="false">I12</f>
        <v>6</v>
      </c>
      <c r="AB12" s="10" t="n">
        <f aca="false">J12</f>
        <v>0.1</v>
      </c>
      <c r="AC12" s="9" t="s">
        <v>78</v>
      </c>
      <c r="AD12" s="9" t="s">
        <v>138</v>
      </c>
      <c r="AE12" s="9" t="str">
        <f aca="false">IF($AK12=0,"",INDEX('Part types'!$T:$T,$AK12)&amp;"")</f>
        <v>Combustion engine (petrol, diesel, hybrid, range extender)</v>
      </c>
      <c r="AF12" s="9" t="str">
        <f aca="false">IF($AK12=0,"",INDEX('Part types'!$U:$U,$AK12)&amp;"")</f>
        <v/>
      </c>
      <c r="AG12" s="9" t="str">
        <f aca="false">IF($AK12=0,"",INDEX('Part types'!$V:$V,$AK12)&amp;"")</f>
        <v>Estimate: size class XS</v>
      </c>
      <c r="AH12" s="9" t="str">
        <f aca="false">IF($AK12=0,"",INDEX('Part types'!$W:$W,$AK12)&amp;"")</f>
        <v/>
      </c>
      <c r="AI12" s="11" t="str">
        <f aca="false">IF($AK12=0,"",INDEX('Part types'!$X:$X,$AK12)&amp;"")</f>
        <v/>
      </c>
      <c r="AJ12" s="9" t="str">
        <f aca="false">IF($AK12=0,"",INDEX('Part types'!$Y:$Y,$AK12)&amp;"")</f>
        <v/>
      </c>
      <c r="AK12" s="9" t="n">
        <f aca="false">IFERROR(MATCH($AD12,'Part types'!$E:$E,0),0)</f>
        <v>12</v>
      </c>
    </row>
    <row r="13" customFormat="false" ht="15" hidden="false" customHeight="false" outlineLevel="0" collapsed="false">
      <c r="A13" s="9" t="s">
        <v>139</v>
      </c>
      <c r="B13" s="9" t="s">
        <v>66</v>
      </c>
      <c r="C13" s="9" t="s">
        <v>140</v>
      </c>
      <c r="D13" s="9" t="str">
        <f aca="false">C13&amp;" - "&amp;E13</f>
        <v>Connecting Rod - Universal</v>
      </c>
      <c r="E13" s="9" t="s">
        <v>68</v>
      </c>
      <c r="F13" s="9" t="s">
        <v>123</v>
      </c>
      <c r="G13" s="10" t="n">
        <f aca="false">IF($AK13=0,"",INDEX('Part types'!$P:$P,$AK13))</f>
        <v>15</v>
      </c>
      <c r="H13" s="10" t="n">
        <f aca="false">IF($AK13=0,"",INDEX('Part types'!$Q:$Q,$AK13))</f>
        <v>10</v>
      </c>
      <c r="I13" s="10" t="n">
        <f aca="false">IF($AK13=0,"",INDEX('Part types'!$R:$R,$AK13))</f>
        <v>8</v>
      </c>
      <c r="J13" s="10" t="n">
        <f aca="false">IF($AK13=0,"",INDEX('Part types'!$S:$S,$AK13))</f>
        <v>0.3</v>
      </c>
      <c r="K13" s="11" t="s">
        <v>70</v>
      </c>
      <c r="L13" s="11" t="s">
        <v>141</v>
      </c>
      <c r="M13" s="11" t="str">
        <f aca="false">L13&amp;" - "&amp;N13</f>
        <v>ذراع التوصيل - عام</v>
      </c>
      <c r="N13" s="11" t="s">
        <v>72</v>
      </c>
      <c r="O13" s="11" t="s">
        <v>125</v>
      </c>
      <c r="P13" s="10" t="n">
        <f aca="false">G13</f>
        <v>15</v>
      </c>
      <c r="Q13" s="10" t="n">
        <f aca="false">H13</f>
        <v>10</v>
      </c>
      <c r="R13" s="10" t="n">
        <f aca="false">I13</f>
        <v>8</v>
      </c>
      <c r="S13" s="10" t="n">
        <f aca="false">J13</f>
        <v>0.3</v>
      </c>
      <c r="T13" s="12" t="s">
        <v>74</v>
      </c>
      <c r="U13" s="12" t="s">
        <v>142</v>
      </c>
      <c r="V13" s="9" t="str">
        <f aca="false">U13&amp;" - "&amp;W13</f>
        <v>连杆 - 通用</v>
      </c>
      <c r="W13" s="12" t="s">
        <v>76</v>
      </c>
      <c r="X13" s="12" t="s">
        <v>127</v>
      </c>
      <c r="Y13" s="10" t="n">
        <f aca="false">G13</f>
        <v>15</v>
      </c>
      <c r="Z13" s="10" t="n">
        <f aca="false">H13</f>
        <v>10</v>
      </c>
      <c r="AA13" s="10" t="n">
        <f aca="false">I13</f>
        <v>8</v>
      </c>
      <c r="AB13" s="10" t="n">
        <f aca="false">J13</f>
        <v>0.3</v>
      </c>
      <c r="AC13" s="9" t="s">
        <v>78</v>
      </c>
      <c r="AD13" s="9" t="s">
        <v>143</v>
      </c>
      <c r="AE13" s="9" t="str">
        <f aca="false">IF($AK13=0,"",INDEX('Part types'!$T:$T,$AK13)&amp;"")</f>
        <v>Combustion engine (petrol, diesel, hybrid, range extender)</v>
      </c>
      <c r="AF13" s="9" t="str">
        <f aca="false">IF($AK13=0,"",INDEX('Part types'!$U:$U,$AK13)&amp;"")</f>
        <v/>
      </c>
      <c r="AG13" s="9" t="str">
        <f aca="false">IF($AK13=0,"",INDEX('Part types'!$V:$V,$AK13)&amp;"")</f>
        <v>Estimate: size class S</v>
      </c>
      <c r="AH13" s="9" t="str">
        <f aca="false">IF($AK13=0,"",INDEX('Part types'!$W:$W,$AK13)&amp;"")</f>
        <v/>
      </c>
      <c r="AI13" s="11" t="str">
        <f aca="false">IF($AK13=0,"",INDEX('Part types'!$X:$X,$AK13)&amp;"")</f>
        <v>البيل</v>
      </c>
      <c r="AJ13" s="9" t="str">
        <f aca="false">IF($AK13=0,"",INDEX('Part types'!$Y:$Y,$AK13)&amp;"")</f>
        <v/>
      </c>
      <c r="AK13" s="9" t="n">
        <f aca="false">IFERROR(MATCH($AD13,'Part types'!$E:$E,0),0)</f>
        <v>13</v>
      </c>
    </row>
    <row r="14" customFormat="false" ht="15" hidden="false" customHeight="false" outlineLevel="0" collapsed="false">
      <c r="A14" s="9" t="s">
        <v>144</v>
      </c>
      <c r="B14" s="9" t="s">
        <v>66</v>
      </c>
      <c r="C14" s="9" t="s">
        <v>145</v>
      </c>
      <c r="D14" s="9" t="str">
        <f aca="false">C14&amp;" - "&amp;E14</f>
        <v>Rod Bearing Set - Universal</v>
      </c>
      <c r="E14" s="9" t="s">
        <v>68</v>
      </c>
      <c r="F14" s="9" t="s">
        <v>123</v>
      </c>
      <c r="G14" s="10" t="n">
        <f aca="false">IF($AK14=0,"",INDEX('Part types'!$P:$P,$AK14))</f>
        <v>15</v>
      </c>
      <c r="H14" s="10" t="n">
        <f aca="false">IF($AK14=0,"",INDEX('Part types'!$Q:$Q,$AK14))</f>
        <v>10</v>
      </c>
      <c r="I14" s="10" t="n">
        <f aca="false">IF($AK14=0,"",INDEX('Part types'!$R:$R,$AK14))</f>
        <v>8</v>
      </c>
      <c r="J14" s="10" t="n">
        <f aca="false">IF($AK14=0,"",INDEX('Part types'!$S:$S,$AK14))</f>
        <v>0.3</v>
      </c>
      <c r="K14" s="11" t="s">
        <v>70</v>
      </c>
      <c r="L14" s="11" t="s">
        <v>146</v>
      </c>
      <c r="M14" s="11" t="str">
        <f aca="false">L14&amp;" - "&amp;N14</f>
        <v>طقم كراسي ذراع التوصيل - عام</v>
      </c>
      <c r="N14" s="11" t="s">
        <v>72</v>
      </c>
      <c r="O14" s="11" t="s">
        <v>125</v>
      </c>
      <c r="P14" s="10" t="n">
        <f aca="false">G14</f>
        <v>15</v>
      </c>
      <c r="Q14" s="10" t="n">
        <f aca="false">H14</f>
        <v>10</v>
      </c>
      <c r="R14" s="10" t="n">
        <f aca="false">I14</f>
        <v>8</v>
      </c>
      <c r="S14" s="10" t="n">
        <f aca="false">J14</f>
        <v>0.3</v>
      </c>
      <c r="T14" s="12" t="s">
        <v>74</v>
      </c>
      <c r="U14" s="12" t="s">
        <v>147</v>
      </c>
      <c r="V14" s="9" t="str">
        <f aca="false">U14&amp;" - "&amp;W14</f>
        <v>连杆轴瓦套装 - 通用</v>
      </c>
      <c r="W14" s="12" t="s">
        <v>76</v>
      </c>
      <c r="X14" s="12" t="s">
        <v>127</v>
      </c>
      <c r="Y14" s="10" t="n">
        <f aca="false">G14</f>
        <v>15</v>
      </c>
      <c r="Z14" s="10" t="n">
        <f aca="false">H14</f>
        <v>10</v>
      </c>
      <c r="AA14" s="10" t="n">
        <f aca="false">I14</f>
        <v>8</v>
      </c>
      <c r="AB14" s="10" t="n">
        <f aca="false">J14</f>
        <v>0.3</v>
      </c>
      <c r="AC14" s="9" t="s">
        <v>78</v>
      </c>
      <c r="AD14" s="9" t="s">
        <v>148</v>
      </c>
      <c r="AE14" s="9" t="str">
        <f aca="false">IF($AK14=0,"",INDEX('Part types'!$T:$T,$AK14)&amp;"")</f>
        <v>Combustion engine (petrol, diesel, hybrid, range extender)</v>
      </c>
      <c r="AF14" s="9" t="str">
        <f aca="false">IF($AK14=0,"",INDEX('Part types'!$U:$U,$AK14)&amp;"")</f>
        <v/>
      </c>
      <c r="AG14" s="9" t="str">
        <f aca="false">IF($AK14=0,"",INDEX('Part types'!$V:$V,$AK14)&amp;"")</f>
        <v>Estimate: size class S</v>
      </c>
      <c r="AH14" s="9" t="str">
        <f aca="false">IF($AK14=0,"",INDEX('Part types'!$W:$W,$AK14)&amp;"")</f>
        <v>Connecting Rod Bearing Set</v>
      </c>
      <c r="AI14" s="11" t="str">
        <f aca="false">IF($AK14=0,"",INDEX('Part types'!$X:$X,$AK14)&amp;"")</f>
        <v/>
      </c>
      <c r="AJ14" s="9" t="str">
        <f aca="false">IF($AK14=0,"",INDEX('Part types'!$Y:$Y,$AK14)&amp;"")</f>
        <v/>
      </c>
      <c r="AK14" s="9" t="n">
        <f aca="false">IFERROR(MATCH($AD14,'Part types'!$E:$E,0),0)</f>
        <v>14</v>
      </c>
    </row>
    <row r="15" customFormat="false" ht="15" hidden="false" customHeight="false" outlineLevel="0" collapsed="false">
      <c r="A15" s="9" t="s">
        <v>149</v>
      </c>
      <c r="B15" s="9" t="s">
        <v>66</v>
      </c>
      <c r="C15" s="9" t="s">
        <v>150</v>
      </c>
      <c r="D15" s="9" t="str">
        <f aca="false">C15&amp;" - "&amp;E15</f>
        <v>Crankshaft - Universal</v>
      </c>
      <c r="E15" s="9" t="s">
        <v>68</v>
      </c>
      <c r="F15" s="9" t="s">
        <v>123</v>
      </c>
      <c r="G15" s="10" t="n">
        <f aca="false">IF($AK15=0,"",INDEX('Part types'!$P:$P,$AK15))</f>
        <v>70</v>
      </c>
      <c r="H15" s="10" t="n">
        <f aca="false">IF($AK15=0,"",INDEX('Part types'!$Q:$Q,$AK15))</f>
        <v>15</v>
      </c>
      <c r="I15" s="10" t="n">
        <f aca="false">IF($AK15=0,"",INDEX('Part types'!$R:$R,$AK15))</f>
        <v>15</v>
      </c>
      <c r="J15" s="10" t="n">
        <f aca="false">IF($AK15=0,"",INDEX('Part types'!$S:$S,$AK15))</f>
        <v>12</v>
      </c>
      <c r="K15" s="11" t="s">
        <v>70</v>
      </c>
      <c r="L15" s="11" t="s">
        <v>151</v>
      </c>
      <c r="M15" s="11" t="str">
        <f aca="false">L15&amp;" - "&amp;N15</f>
        <v>عمود المرفق - عام</v>
      </c>
      <c r="N15" s="11" t="s">
        <v>72</v>
      </c>
      <c r="O15" s="11" t="s">
        <v>125</v>
      </c>
      <c r="P15" s="10" t="n">
        <f aca="false">G15</f>
        <v>70</v>
      </c>
      <c r="Q15" s="10" t="n">
        <f aca="false">H15</f>
        <v>15</v>
      </c>
      <c r="R15" s="10" t="n">
        <f aca="false">I15</f>
        <v>15</v>
      </c>
      <c r="S15" s="10" t="n">
        <f aca="false">J15</f>
        <v>12</v>
      </c>
      <c r="T15" s="12" t="s">
        <v>74</v>
      </c>
      <c r="U15" s="12" t="s">
        <v>152</v>
      </c>
      <c r="V15" s="9" t="str">
        <f aca="false">U15&amp;" - "&amp;W15</f>
        <v>曲轴 - 通用</v>
      </c>
      <c r="W15" s="12" t="s">
        <v>76</v>
      </c>
      <c r="X15" s="12" t="s">
        <v>127</v>
      </c>
      <c r="Y15" s="10" t="n">
        <f aca="false">G15</f>
        <v>70</v>
      </c>
      <c r="Z15" s="10" t="n">
        <f aca="false">H15</f>
        <v>15</v>
      </c>
      <c r="AA15" s="10" t="n">
        <f aca="false">I15</f>
        <v>15</v>
      </c>
      <c r="AB15" s="10" t="n">
        <f aca="false">J15</f>
        <v>12</v>
      </c>
      <c r="AC15" s="9" t="s">
        <v>78</v>
      </c>
      <c r="AD15" s="9" t="s">
        <v>153</v>
      </c>
      <c r="AE15" s="9" t="str">
        <f aca="false">IF($AK15=0,"",INDEX('Part types'!$T:$T,$AK15)&amp;"")</f>
        <v>Combustion engine (petrol, diesel, hybrid, range extender)</v>
      </c>
      <c r="AF15" s="9" t="str">
        <f aca="false">IF($AK15=0,"",INDEX('Part types'!$U:$U,$AK15)&amp;"")</f>
        <v/>
      </c>
      <c r="AG15" s="9" t="str">
        <f aca="false">IF($AK15=0,"",INDEX('Part types'!$V:$V,$AK15)&amp;"")</f>
        <v>Estimate: item-specific</v>
      </c>
      <c r="AH15" s="9" t="str">
        <f aca="false">IF($AK15=0,"",INDEX('Part types'!$W:$W,$AK15)&amp;"")</f>
        <v/>
      </c>
      <c r="AI15" s="11" t="str">
        <f aca="false">IF($AK15=0,"",INDEX('Part types'!$X:$X,$AK15)&amp;"")</f>
        <v>الكرنك</v>
      </c>
      <c r="AJ15" s="9" t="str">
        <f aca="false">IF($AK15=0,"",INDEX('Part types'!$Y:$Y,$AK15)&amp;"")</f>
        <v/>
      </c>
      <c r="AK15" s="9" t="n">
        <f aca="false">IFERROR(MATCH($AD15,'Part types'!$E:$E,0),0)</f>
        <v>15</v>
      </c>
    </row>
    <row r="16" customFormat="false" ht="15" hidden="false" customHeight="false" outlineLevel="0" collapsed="false">
      <c r="A16" s="9" t="s">
        <v>154</v>
      </c>
      <c r="B16" s="9" t="s">
        <v>66</v>
      </c>
      <c r="C16" s="9" t="s">
        <v>155</v>
      </c>
      <c r="D16" s="9" t="str">
        <f aca="false">C16&amp;" - "&amp;E16</f>
        <v>Main Bearing Set - Universal</v>
      </c>
      <c r="E16" s="9" t="s">
        <v>68</v>
      </c>
      <c r="F16" s="9" t="s">
        <v>123</v>
      </c>
      <c r="G16" s="10" t="n">
        <f aca="false">IF($AK16=0,"",INDEX('Part types'!$P:$P,$AK16))</f>
        <v>15</v>
      </c>
      <c r="H16" s="10" t="n">
        <f aca="false">IF($AK16=0,"",INDEX('Part types'!$Q:$Q,$AK16))</f>
        <v>10</v>
      </c>
      <c r="I16" s="10" t="n">
        <f aca="false">IF($AK16=0,"",INDEX('Part types'!$R:$R,$AK16))</f>
        <v>8</v>
      </c>
      <c r="J16" s="10" t="n">
        <f aca="false">IF($AK16=0,"",INDEX('Part types'!$S:$S,$AK16))</f>
        <v>0.3</v>
      </c>
      <c r="K16" s="11" t="s">
        <v>70</v>
      </c>
      <c r="L16" s="11" t="s">
        <v>156</v>
      </c>
      <c r="M16" s="11" t="str">
        <f aca="false">L16&amp;" - "&amp;N16</f>
        <v>طقم كراسي عمود المرفق الرئيسية - عام</v>
      </c>
      <c r="N16" s="11" t="s">
        <v>72</v>
      </c>
      <c r="O16" s="11" t="s">
        <v>125</v>
      </c>
      <c r="P16" s="10" t="n">
        <f aca="false">G16</f>
        <v>15</v>
      </c>
      <c r="Q16" s="10" t="n">
        <f aca="false">H16</f>
        <v>10</v>
      </c>
      <c r="R16" s="10" t="n">
        <f aca="false">I16</f>
        <v>8</v>
      </c>
      <c r="S16" s="10" t="n">
        <f aca="false">J16</f>
        <v>0.3</v>
      </c>
      <c r="T16" s="12" t="s">
        <v>74</v>
      </c>
      <c r="U16" s="12" t="s">
        <v>157</v>
      </c>
      <c r="V16" s="9" t="str">
        <f aca="false">U16&amp;" - "&amp;W16</f>
        <v>曲轴主轴瓦套装 - 通用</v>
      </c>
      <c r="W16" s="12" t="s">
        <v>76</v>
      </c>
      <c r="X16" s="12" t="s">
        <v>127</v>
      </c>
      <c r="Y16" s="10" t="n">
        <f aca="false">G16</f>
        <v>15</v>
      </c>
      <c r="Z16" s="10" t="n">
        <f aca="false">H16</f>
        <v>10</v>
      </c>
      <c r="AA16" s="10" t="n">
        <f aca="false">I16</f>
        <v>8</v>
      </c>
      <c r="AB16" s="10" t="n">
        <f aca="false">J16</f>
        <v>0.3</v>
      </c>
      <c r="AC16" s="9" t="s">
        <v>78</v>
      </c>
      <c r="AD16" s="9" t="s">
        <v>158</v>
      </c>
      <c r="AE16" s="9" t="str">
        <f aca="false">IF($AK16=0,"",INDEX('Part types'!$T:$T,$AK16)&amp;"")</f>
        <v>Combustion engine (petrol, diesel, hybrid, range extender)</v>
      </c>
      <c r="AF16" s="9" t="str">
        <f aca="false">IF($AK16=0,"",INDEX('Part types'!$U:$U,$AK16)&amp;"")</f>
        <v/>
      </c>
      <c r="AG16" s="9" t="str">
        <f aca="false">IF($AK16=0,"",INDEX('Part types'!$V:$V,$AK16)&amp;"")</f>
        <v>Estimate: size class S</v>
      </c>
      <c r="AH16" s="9" t="str">
        <f aca="false">IF($AK16=0,"",INDEX('Part types'!$W:$W,$AK16)&amp;"")</f>
        <v>Crankshaft Main Bearing Set</v>
      </c>
      <c r="AI16" s="11" t="str">
        <f aca="false">IF($AK16=0,"",INDEX('Part types'!$X:$X,$AK16)&amp;"")</f>
        <v/>
      </c>
      <c r="AJ16" s="9" t="str">
        <f aca="false">IF($AK16=0,"",INDEX('Part types'!$Y:$Y,$AK16)&amp;"")</f>
        <v/>
      </c>
      <c r="AK16" s="9" t="n">
        <f aca="false">IFERROR(MATCH($AD16,'Part types'!$E:$E,0),0)</f>
        <v>16</v>
      </c>
    </row>
    <row r="17" customFormat="false" ht="15" hidden="false" customHeight="false" outlineLevel="0" collapsed="false">
      <c r="A17" s="9" t="s">
        <v>159</v>
      </c>
      <c r="B17" s="9" t="s">
        <v>66</v>
      </c>
      <c r="C17" s="9" t="s">
        <v>160</v>
      </c>
      <c r="D17" s="9" t="str">
        <f aca="false">C17&amp;" - "&amp;E17</f>
        <v>Crankshaft Oil Seal - Front</v>
      </c>
      <c r="E17" s="9" t="s">
        <v>161</v>
      </c>
      <c r="F17" s="9" t="s">
        <v>87</v>
      </c>
      <c r="G17" s="10" t="n">
        <f aca="false">IF($AK17=0,"",INDEX('Part types'!$P:$P,$AK17))</f>
        <v>10</v>
      </c>
      <c r="H17" s="10" t="n">
        <f aca="false">IF($AK17=0,"",INDEX('Part types'!$Q:$Q,$AK17))</f>
        <v>8</v>
      </c>
      <c r="I17" s="10" t="n">
        <f aca="false">IF($AK17=0,"",INDEX('Part types'!$R:$R,$AK17))</f>
        <v>6</v>
      </c>
      <c r="J17" s="10" t="n">
        <f aca="false">IF($AK17=0,"",INDEX('Part types'!$S:$S,$AK17))</f>
        <v>0.1</v>
      </c>
      <c r="K17" s="11" t="s">
        <v>70</v>
      </c>
      <c r="L17" s="11" t="s">
        <v>162</v>
      </c>
      <c r="M17" s="11" t="str">
        <f aca="false">L17&amp;" - "&amp;N17</f>
        <v>سيل زيت عمود المرفق - أمامي</v>
      </c>
      <c r="N17" s="11" t="s">
        <v>163</v>
      </c>
      <c r="O17" s="11" t="s">
        <v>89</v>
      </c>
      <c r="P17" s="10" t="n">
        <f aca="false">G17</f>
        <v>10</v>
      </c>
      <c r="Q17" s="10" t="n">
        <f aca="false">H17</f>
        <v>8</v>
      </c>
      <c r="R17" s="10" t="n">
        <f aca="false">I17</f>
        <v>6</v>
      </c>
      <c r="S17" s="10" t="n">
        <f aca="false">J17</f>
        <v>0.1</v>
      </c>
      <c r="T17" s="12" t="s">
        <v>74</v>
      </c>
      <c r="U17" s="12" t="s">
        <v>164</v>
      </c>
      <c r="V17" s="9" t="str">
        <f aca="false">U17&amp;" - "&amp;W17</f>
        <v>曲轴油封 - 前部</v>
      </c>
      <c r="W17" s="12" t="s">
        <v>165</v>
      </c>
      <c r="X17" s="12" t="s">
        <v>91</v>
      </c>
      <c r="Y17" s="10" t="n">
        <f aca="false">G17</f>
        <v>10</v>
      </c>
      <c r="Z17" s="10" t="n">
        <f aca="false">H17</f>
        <v>8</v>
      </c>
      <c r="AA17" s="10" t="n">
        <f aca="false">I17</f>
        <v>6</v>
      </c>
      <c r="AB17" s="10" t="n">
        <f aca="false">J17</f>
        <v>0.1</v>
      </c>
      <c r="AC17" s="9" t="s">
        <v>78</v>
      </c>
      <c r="AD17" s="9" t="s">
        <v>166</v>
      </c>
      <c r="AE17" s="9" t="str">
        <f aca="false">IF($AK17=0,"",INDEX('Part types'!$T:$T,$AK17)&amp;"")</f>
        <v>Combustion engine (petrol, diesel, hybrid, range extender)</v>
      </c>
      <c r="AF17" s="9" t="str">
        <f aca="false">IF($AK17=0,"",INDEX('Part types'!$U:$U,$AK17)&amp;"")</f>
        <v/>
      </c>
      <c r="AG17" s="9" t="str">
        <f aca="false">IF($AK17=0,"",INDEX('Part types'!$V:$V,$AK17)&amp;"")</f>
        <v>Estimate: size class XS</v>
      </c>
      <c r="AH17" s="9" t="str">
        <f aca="false">IF($AK17=0,"",INDEX('Part types'!$W:$W,$AK17)&amp;"")</f>
        <v/>
      </c>
      <c r="AI17" s="11" t="str">
        <f aca="false">IF($AK17=0,"",INDEX('Part types'!$X:$X,$AK17)&amp;"")</f>
        <v/>
      </c>
      <c r="AJ17" s="9" t="str">
        <f aca="false">IF($AK17=0,"",INDEX('Part types'!$Y:$Y,$AK17)&amp;"")</f>
        <v/>
      </c>
      <c r="AK17" s="9" t="n">
        <f aca="false">IFERROR(MATCH($AD17,'Part types'!$E:$E,0),0)</f>
        <v>17</v>
      </c>
    </row>
    <row r="18" customFormat="false" ht="15" hidden="false" customHeight="false" outlineLevel="0" collapsed="false">
      <c r="A18" s="9" t="s">
        <v>167</v>
      </c>
      <c r="B18" s="9" t="s">
        <v>66</v>
      </c>
      <c r="C18" s="9" t="s">
        <v>160</v>
      </c>
      <c r="D18" s="9" t="str">
        <f aca="false">C18&amp;" - "&amp;E18</f>
        <v>Crankshaft Oil Seal - Rear</v>
      </c>
      <c r="E18" s="9" t="s">
        <v>168</v>
      </c>
      <c r="F18" s="9" t="s">
        <v>87</v>
      </c>
      <c r="G18" s="10" t="n">
        <f aca="false">IF($AK18=0,"",INDEX('Part types'!$P:$P,$AK18))</f>
        <v>10</v>
      </c>
      <c r="H18" s="10" t="n">
        <f aca="false">IF($AK18=0,"",INDEX('Part types'!$Q:$Q,$AK18))</f>
        <v>8</v>
      </c>
      <c r="I18" s="10" t="n">
        <f aca="false">IF($AK18=0,"",INDEX('Part types'!$R:$R,$AK18))</f>
        <v>6</v>
      </c>
      <c r="J18" s="10" t="n">
        <f aca="false">IF($AK18=0,"",INDEX('Part types'!$S:$S,$AK18))</f>
        <v>0.1</v>
      </c>
      <c r="K18" s="11" t="s">
        <v>70</v>
      </c>
      <c r="L18" s="11" t="s">
        <v>162</v>
      </c>
      <c r="M18" s="11" t="str">
        <f aca="false">L18&amp;" - "&amp;N18</f>
        <v>سيل زيت عمود المرفق - خلفي</v>
      </c>
      <c r="N18" s="11" t="s">
        <v>169</v>
      </c>
      <c r="O18" s="11" t="s">
        <v>89</v>
      </c>
      <c r="P18" s="10" t="n">
        <f aca="false">G18</f>
        <v>10</v>
      </c>
      <c r="Q18" s="10" t="n">
        <f aca="false">H18</f>
        <v>8</v>
      </c>
      <c r="R18" s="10" t="n">
        <f aca="false">I18</f>
        <v>6</v>
      </c>
      <c r="S18" s="10" t="n">
        <f aca="false">J18</f>
        <v>0.1</v>
      </c>
      <c r="T18" s="12" t="s">
        <v>74</v>
      </c>
      <c r="U18" s="12" t="s">
        <v>164</v>
      </c>
      <c r="V18" s="9" t="str">
        <f aca="false">U18&amp;" - "&amp;W18</f>
        <v>曲轴油封 - 后部</v>
      </c>
      <c r="W18" s="12" t="s">
        <v>170</v>
      </c>
      <c r="X18" s="12" t="s">
        <v>91</v>
      </c>
      <c r="Y18" s="10" t="n">
        <f aca="false">G18</f>
        <v>10</v>
      </c>
      <c r="Z18" s="10" t="n">
        <f aca="false">H18</f>
        <v>8</v>
      </c>
      <c r="AA18" s="10" t="n">
        <f aca="false">I18</f>
        <v>6</v>
      </c>
      <c r="AB18" s="10" t="n">
        <f aca="false">J18</f>
        <v>0.1</v>
      </c>
      <c r="AC18" s="9" t="s">
        <v>78</v>
      </c>
      <c r="AD18" s="9" t="s">
        <v>166</v>
      </c>
      <c r="AE18" s="9" t="str">
        <f aca="false">IF($AK18=0,"",INDEX('Part types'!$T:$T,$AK18)&amp;"")</f>
        <v>Combustion engine (petrol, diesel, hybrid, range extender)</v>
      </c>
      <c r="AF18" s="9" t="str">
        <f aca="false">IF($AK18=0,"",INDEX('Part types'!$U:$U,$AK18)&amp;"")</f>
        <v/>
      </c>
      <c r="AG18" s="9" t="str">
        <f aca="false">IF($AK18=0,"",INDEX('Part types'!$V:$V,$AK18)&amp;"")</f>
        <v>Estimate: size class XS</v>
      </c>
      <c r="AH18" s="9" t="str">
        <f aca="false">IF($AK18=0,"",INDEX('Part types'!$W:$W,$AK18)&amp;"")</f>
        <v/>
      </c>
      <c r="AI18" s="11" t="str">
        <f aca="false">IF($AK18=0,"",INDEX('Part types'!$X:$X,$AK18)&amp;"")</f>
        <v/>
      </c>
      <c r="AJ18" s="9" t="str">
        <f aca="false">IF($AK18=0,"",INDEX('Part types'!$Y:$Y,$AK18)&amp;"")</f>
        <v/>
      </c>
      <c r="AK18" s="9" t="n">
        <f aca="false">IFERROR(MATCH($AD18,'Part types'!$E:$E,0),0)</f>
        <v>17</v>
      </c>
    </row>
    <row r="19" customFormat="false" ht="15" hidden="false" customHeight="false" outlineLevel="0" collapsed="false">
      <c r="A19" s="9" t="s">
        <v>171</v>
      </c>
      <c r="B19" s="9" t="s">
        <v>66</v>
      </c>
      <c r="C19" s="9" t="s">
        <v>172</v>
      </c>
      <c r="D19" s="9" t="str">
        <f aca="false">C19&amp;" - "&amp;E19</f>
        <v>Camshaft - Universal</v>
      </c>
      <c r="E19" s="9" t="s">
        <v>68</v>
      </c>
      <c r="F19" s="9" t="s">
        <v>94</v>
      </c>
      <c r="G19" s="10" t="n">
        <f aca="false">IF($AK19=0,"",INDEX('Part types'!$P:$P,$AK19))</f>
        <v>60</v>
      </c>
      <c r="H19" s="10" t="n">
        <f aca="false">IF($AK19=0,"",INDEX('Part types'!$Q:$Q,$AK19))</f>
        <v>10</v>
      </c>
      <c r="I19" s="10" t="n">
        <f aca="false">IF($AK19=0,"",INDEX('Part types'!$R:$R,$AK19))</f>
        <v>10</v>
      </c>
      <c r="J19" s="10" t="n">
        <f aca="false">IF($AK19=0,"",INDEX('Part types'!$S:$S,$AK19))</f>
        <v>3</v>
      </c>
      <c r="K19" s="11" t="s">
        <v>70</v>
      </c>
      <c r="L19" s="11" t="s">
        <v>173</v>
      </c>
      <c r="M19" s="11" t="str">
        <f aca="false">L19&amp;" - "&amp;N19</f>
        <v>عمود الكامات - عام</v>
      </c>
      <c r="N19" s="11" t="s">
        <v>72</v>
      </c>
      <c r="O19" s="11" t="s">
        <v>95</v>
      </c>
      <c r="P19" s="10" t="n">
        <f aca="false">G19</f>
        <v>60</v>
      </c>
      <c r="Q19" s="10" t="n">
        <f aca="false">H19</f>
        <v>10</v>
      </c>
      <c r="R19" s="10" t="n">
        <f aca="false">I19</f>
        <v>10</v>
      </c>
      <c r="S19" s="10" t="n">
        <f aca="false">J19</f>
        <v>3</v>
      </c>
      <c r="T19" s="12" t="s">
        <v>74</v>
      </c>
      <c r="U19" s="12" t="s">
        <v>174</v>
      </c>
      <c r="V19" s="9" t="str">
        <f aca="false">U19&amp;" - "&amp;W19</f>
        <v>凸轮轴 - 通用</v>
      </c>
      <c r="W19" s="12" t="s">
        <v>76</v>
      </c>
      <c r="X19" s="12" t="s">
        <v>96</v>
      </c>
      <c r="Y19" s="10" t="n">
        <f aca="false">G19</f>
        <v>60</v>
      </c>
      <c r="Z19" s="10" t="n">
        <f aca="false">H19</f>
        <v>10</v>
      </c>
      <c r="AA19" s="10" t="n">
        <f aca="false">I19</f>
        <v>10</v>
      </c>
      <c r="AB19" s="10" t="n">
        <f aca="false">J19</f>
        <v>3</v>
      </c>
      <c r="AC19" s="9" t="s">
        <v>78</v>
      </c>
      <c r="AD19" s="9" t="s">
        <v>175</v>
      </c>
      <c r="AE19" s="9" t="str">
        <f aca="false">IF($AK19=0,"",INDEX('Part types'!$T:$T,$AK19)&amp;"")</f>
        <v>Combustion engine (petrol, diesel, hybrid, range extender)</v>
      </c>
      <c r="AF19" s="9" t="str">
        <f aca="false">IF($AK19=0,"",INDEX('Part types'!$U:$U,$AK19)&amp;"")</f>
        <v/>
      </c>
      <c r="AG19" s="9" t="str">
        <f aca="false">IF($AK19=0,"",INDEX('Part types'!$V:$V,$AK19)&amp;"")</f>
        <v>Estimate: item-specific</v>
      </c>
      <c r="AH19" s="9" t="str">
        <f aca="false">IF($AK19=0,"",INDEX('Part types'!$W:$W,$AK19)&amp;"")</f>
        <v/>
      </c>
      <c r="AI19" s="11" t="str">
        <f aca="false">IF($AK19=0,"",INDEX('Part types'!$X:$X,$AK19)&amp;"")</f>
        <v/>
      </c>
      <c r="AJ19" s="9" t="str">
        <f aca="false">IF($AK19=0,"",INDEX('Part types'!$Y:$Y,$AK19)&amp;"")</f>
        <v/>
      </c>
      <c r="AK19" s="9" t="n">
        <f aca="false">IFERROR(MATCH($AD19,'Part types'!$E:$E,0),0)</f>
        <v>18</v>
      </c>
    </row>
    <row r="20" customFormat="false" ht="15" hidden="false" customHeight="false" outlineLevel="0" collapsed="false">
      <c r="A20" s="9" t="s">
        <v>176</v>
      </c>
      <c r="B20" s="9" t="s">
        <v>66</v>
      </c>
      <c r="C20" s="9" t="s">
        <v>177</v>
      </c>
      <c r="D20" s="9" t="str">
        <f aca="false">C20&amp;" - "&amp;E20</f>
        <v>Camshaft Bearing Set - Universal</v>
      </c>
      <c r="E20" s="9" t="s">
        <v>68</v>
      </c>
      <c r="F20" s="9" t="s">
        <v>94</v>
      </c>
      <c r="G20" s="10" t="n">
        <f aca="false">IF($AK20=0,"",INDEX('Part types'!$P:$P,$AK20))</f>
        <v>15</v>
      </c>
      <c r="H20" s="10" t="n">
        <f aca="false">IF($AK20=0,"",INDEX('Part types'!$Q:$Q,$AK20))</f>
        <v>10</v>
      </c>
      <c r="I20" s="10" t="n">
        <f aca="false">IF($AK20=0,"",INDEX('Part types'!$R:$R,$AK20))</f>
        <v>8</v>
      </c>
      <c r="J20" s="10" t="n">
        <f aca="false">IF($AK20=0,"",INDEX('Part types'!$S:$S,$AK20))</f>
        <v>0.3</v>
      </c>
      <c r="K20" s="11" t="s">
        <v>70</v>
      </c>
      <c r="L20" s="11" t="s">
        <v>178</v>
      </c>
      <c r="M20" s="11" t="str">
        <f aca="false">L20&amp;" - "&amp;N20</f>
        <v>طقم كراسي عمود الكامات - عام</v>
      </c>
      <c r="N20" s="11" t="s">
        <v>72</v>
      </c>
      <c r="O20" s="11" t="s">
        <v>95</v>
      </c>
      <c r="P20" s="10" t="n">
        <f aca="false">G20</f>
        <v>15</v>
      </c>
      <c r="Q20" s="10" t="n">
        <f aca="false">H20</f>
        <v>10</v>
      </c>
      <c r="R20" s="10" t="n">
        <f aca="false">I20</f>
        <v>8</v>
      </c>
      <c r="S20" s="10" t="n">
        <f aca="false">J20</f>
        <v>0.3</v>
      </c>
      <c r="T20" s="12" t="s">
        <v>74</v>
      </c>
      <c r="U20" s="12" t="s">
        <v>179</v>
      </c>
      <c r="V20" s="9" t="str">
        <f aca="false">U20&amp;" - "&amp;W20</f>
        <v>凸轮轴轴瓦套装 - 通用</v>
      </c>
      <c r="W20" s="12" t="s">
        <v>76</v>
      </c>
      <c r="X20" s="12" t="s">
        <v>96</v>
      </c>
      <c r="Y20" s="10" t="n">
        <f aca="false">G20</f>
        <v>15</v>
      </c>
      <c r="Z20" s="10" t="n">
        <f aca="false">H20</f>
        <v>10</v>
      </c>
      <c r="AA20" s="10" t="n">
        <f aca="false">I20</f>
        <v>8</v>
      </c>
      <c r="AB20" s="10" t="n">
        <f aca="false">J20</f>
        <v>0.3</v>
      </c>
      <c r="AC20" s="9" t="s">
        <v>78</v>
      </c>
      <c r="AD20" s="9" t="s">
        <v>180</v>
      </c>
      <c r="AE20" s="9" t="str">
        <f aca="false">IF($AK20=0,"",INDEX('Part types'!$T:$T,$AK20)&amp;"")</f>
        <v>Combustion engine (petrol, diesel, hybrid, range extender)</v>
      </c>
      <c r="AF20" s="9" t="str">
        <f aca="false">IF($AK20=0,"",INDEX('Part types'!$U:$U,$AK20)&amp;"")</f>
        <v/>
      </c>
      <c r="AG20" s="9" t="str">
        <f aca="false">IF($AK20=0,"",INDEX('Part types'!$V:$V,$AK20)&amp;"")</f>
        <v>Estimate: size class S</v>
      </c>
      <c r="AH20" s="9" t="str">
        <f aca="false">IF($AK20=0,"",INDEX('Part types'!$W:$W,$AK20)&amp;"")</f>
        <v/>
      </c>
      <c r="AI20" s="11" t="str">
        <f aca="false">IF($AK20=0,"",INDEX('Part types'!$X:$X,$AK20)&amp;"")</f>
        <v/>
      </c>
      <c r="AJ20" s="9" t="str">
        <f aca="false">IF($AK20=0,"",INDEX('Part types'!$Y:$Y,$AK20)&amp;"")</f>
        <v/>
      </c>
      <c r="AK20" s="9" t="n">
        <f aca="false">IFERROR(MATCH($AD20,'Part types'!$E:$E,0),0)</f>
        <v>19</v>
      </c>
    </row>
    <row r="21" customFormat="false" ht="15" hidden="false" customHeight="false" outlineLevel="0" collapsed="false">
      <c r="A21" s="9" t="s">
        <v>181</v>
      </c>
      <c r="B21" s="9" t="s">
        <v>66</v>
      </c>
      <c r="C21" s="9" t="s">
        <v>182</v>
      </c>
      <c r="D21" s="9" t="str">
        <f aca="false">C21&amp;" - "&amp;E21</f>
        <v>Rocker Arm - Universal</v>
      </c>
      <c r="E21" s="9" t="s">
        <v>68</v>
      </c>
      <c r="F21" s="9" t="s">
        <v>94</v>
      </c>
      <c r="G21" s="10" t="n">
        <f aca="false">IF($AK21=0,"",INDEX('Part types'!$P:$P,$AK21))</f>
        <v>10</v>
      </c>
      <c r="H21" s="10" t="n">
        <f aca="false">IF($AK21=0,"",INDEX('Part types'!$Q:$Q,$AK21))</f>
        <v>8</v>
      </c>
      <c r="I21" s="10" t="n">
        <f aca="false">IF($AK21=0,"",INDEX('Part types'!$R:$R,$AK21))</f>
        <v>6</v>
      </c>
      <c r="J21" s="10" t="n">
        <f aca="false">IF($AK21=0,"",INDEX('Part types'!$S:$S,$AK21))</f>
        <v>0.1</v>
      </c>
      <c r="K21" s="11" t="s">
        <v>70</v>
      </c>
      <c r="L21" s="11" t="s">
        <v>183</v>
      </c>
      <c r="M21" s="11" t="str">
        <f aca="false">L21&amp;" - "&amp;N21</f>
        <v>ذراع الروكر - عام</v>
      </c>
      <c r="N21" s="11" t="s">
        <v>72</v>
      </c>
      <c r="O21" s="11" t="s">
        <v>95</v>
      </c>
      <c r="P21" s="10" t="n">
        <f aca="false">G21</f>
        <v>10</v>
      </c>
      <c r="Q21" s="10" t="n">
        <f aca="false">H21</f>
        <v>8</v>
      </c>
      <c r="R21" s="10" t="n">
        <f aca="false">I21</f>
        <v>6</v>
      </c>
      <c r="S21" s="10" t="n">
        <f aca="false">J21</f>
        <v>0.1</v>
      </c>
      <c r="T21" s="12" t="s">
        <v>74</v>
      </c>
      <c r="U21" s="12" t="s">
        <v>184</v>
      </c>
      <c r="V21" s="9" t="str">
        <f aca="false">U21&amp;" - "&amp;W21</f>
        <v>摇臂 - 通用</v>
      </c>
      <c r="W21" s="12" t="s">
        <v>76</v>
      </c>
      <c r="X21" s="12" t="s">
        <v>96</v>
      </c>
      <c r="Y21" s="10" t="n">
        <f aca="false">G21</f>
        <v>10</v>
      </c>
      <c r="Z21" s="10" t="n">
        <f aca="false">H21</f>
        <v>8</v>
      </c>
      <c r="AA21" s="10" t="n">
        <f aca="false">I21</f>
        <v>6</v>
      </c>
      <c r="AB21" s="10" t="n">
        <f aca="false">J21</f>
        <v>0.1</v>
      </c>
      <c r="AC21" s="9" t="s">
        <v>78</v>
      </c>
      <c r="AD21" s="9" t="s">
        <v>185</v>
      </c>
      <c r="AE21" s="9" t="str">
        <f aca="false">IF($AK21=0,"",INDEX('Part types'!$T:$T,$AK21)&amp;"")</f>
        <v>Combustion engine (petrol, diesel, hybrid, range extender)</v>
      </c>
      <c r="AF21" s="9" t="str">
        <f aca="false">IF($AK21=0,"",INDEX('Part types'!$U:$U,$AK21)&amp;"")</f>
        <v/>
      </c>
      <c r="AG21" s="9" t="str">
        <f aca="false">IF($AK21=0,"",INDEX('Part types'!$V:$V,$AK21)&amp;"")</f>
        <v>Estimate: size class XS</v>
      </c>
      <c r="AH21" s="9" t="str">
        <f aca="false">IF($AK21=0,"",INDEX('Part types'!$W:$W,$AK21)&amp;"")</f>
        <v/>
      </c>
      <c r="AI21" s="11" t="str">
        <f aca="false">IF($AK21=0,"",INDEX('Part types'!$X:$X,$AK21)&amp;"")</f>
        <v/>
      </c>
      <c r="AJ21" s="9" t="str">
        <f aca="false">IF($AK21=0,"",INDEX('Part types'!$Y:$Y,$AK21)&amp;"")</f>
        <v/>
      </c>
      <c r="AK21" s="9" t="n">
        <f aca="false">IFERROR(MATCH($AD21,'Part types'!$E:$E,0),0)</f>
        <v>20</v>
      </c>
    </row>
    <row r="22" customFormat="false" ht="15" hidden="false" customHeight="false" outlineLevel="0" collapsed="false">
      <c r="A22" s="9" t="s">
        <v>186</v>
      </c>
      <c r="B22" s="9" t="s">
        <v>66</v>
      </c>
      <c r="C22" s="9" t="s">
        <v>187</v>
      </c>
      <c r="D22" s="9" t="str">
        <f aca="false">C22&amp;" - "&amp;E22</f>
        <v>Hydraulic Valve Lifter - Universal</v>
      </c>
      <c r="E22" s="9" t="s">
        <v>68</v>
      </c>
      <c r="F22" s="9" t="s">
        <v>94</v>
      </c>
      <c r="G22" s="10" t="n">
        <f aca="false">IF($AK22=0,"",INDEX('Part types'!$P:$P,$AK22))</f>
        <v>10</v>
      </c>
      <c r="H22" s="10" t="n">
        <f aca="false">IF($AK22=0,"",INDEX('Part types'!$Q:$Q,$AK22))</f>
        <v>8</v>
      </c>
      <c r="I22" s="10" t="n">
        <f aca="false">IF($AK22=0,"",INDEX('Part types'!$R:$R,$AK22))</f>
        <v>6</v>
      </c>
      <c r="J22" s="10" t="n">
        <f aca="false">IF($AK22=0,"",INDEX('Part types'!$S:$S,$AK22))</f>
        <v>0.1</v>
      </c>
      <c r="K22" s="11" t="s">
        <v>70</v>
      </c>
      <c r="L22" s="11" t="s">
        <v>188</v>
      </c>
      <c r="M22" s="11" t="str">
        <f aca="false">L22&amp;" - "&amp;N22</f>
        <v>رافع صمام هيدروليكي - عام</v>
      </c>
      <c r="N22" s="11" t="s">
        <v>72</v>
      </c>
      <c r="O22" s="11" t="s">
        <v>95</v>
      </c>
      <c r="P22" s="10" t="n">
        <f aca="false">G22</f>
        <v>10</v>
      </c>
      <c r="Q22" s="10" t="n">
        <f aca="false">H22</f>
        <v>8</v>
      </c>
      <c r="R22" s="10" t="n">
        <f aca="false">I22</f>
        <v>6</v>
      </c>
      <c r="S22" s="10" t="n">
        <f aca="false">J22</f>
        <v>0.1</v>
      </c>
      <c r="T22" s="12" t="s">
        <v>74</v>
      </c>
      <c r="U22" s="12" t="s">
        <v>189</v>
      </c>
      <c r="V22" s="9" t="str">
        <f aca="false">U22&amp;" - "&amp;W22</f>
        <v>液压挺柱 - 通用</v>
      </c>
      <c r="W22" s="12" t="s">
        <v>76</v>
      </c>
      <c r="X22" s="12" t="s">
        <v>96</v>
      </c>
      <c r="Y22" s="10" t="n">
        <f aca="false">G22</f>
        <v>10</v>
      </c>
      <c r="Z22" s="10" t="n">
        <f aca="false">H22</f>
        <v>8</v>
      </c>
      <c r="AA22" s="10" t="n">
        <f aca="false">I22</f>
        <v>6</v>
      </c>
      <c r="AB22" s="10" t="n">
        <f aca="false">J22</f>
        <v>0.1</v>
      </c>
      <c r="AC22" s="9" t="s">
        <v>78</v>
      </c>
      <c r="AD22" s="9" t="s">
        <v>190</v>
      </c>
      <c r="AE22" s="9" t="str">
        <f aca="false">IF($AK22=0,"",INDEX('Part types'!$T:$T,$AK22)&amp;"")</f>
        <v>Combustion engine (petrol, diesel, hybrid, range extender)</v>
      </c>
      <c r="AF22" s="9" t="str">
        <f aca="false">IF($AK22=0,"",INDEX('Part types'!$U:$U,$AK22)&amp;"")</f>
        <v/>
      </c>
      <c r="AG22" s="9" t="str">
        <f aca="false">IF($AK22=0,"",INDEX('Part types'!$V:$V,$AK22)&amp;"")</f>
        <v>Estimate: size class XS</v>
      </c>
      <c r="AH22" s="9" t="str">
        <f aca="false">IF($AK22=0,"",INDEX('Part types'!$W:$W,$AK22)&amp;"")</f>
        <v/>
      </c>
      <c r="AI22" s="11" t="str">
        <f aca="false">IF($AK22=0,"",INDEX('Part types'!$X:$X,$AK22)&amp;"")</f>
        <v/>
      </c>
      <c r="AJ22" s="9" t="str">
        <f aca="false">IF($AK22=0,"",INDEX('Part types'!$Y:$Y,$AK22)&amp;"")</f>
        <v/>
      </c>
      <c r="AK22" s="9" t="n">
        <f aca="false">IFERROR(MATCH($AD22,'Part types'!$E:$E,0),0)</f>
        <v>21</v>
      </c>
    </row>
    <row r="23" customFormat="false" ht="15" hidden="false" customHeight="false" outlineLevel="0" collapsed="false">
      <c r="A23" s="9" t="s">
        <v>191</v>
      </c>
      <c r="B23" s="9" t="s">
        <v>66</v>
      </c>
      <c r="C23" s="9" t="s">
        <v>192</v>
      </c>
      <c r="D23" s="9" t="str">
        <f aca="false">C23&amp;" - "&amp;E23</f>
        <v>Intake Valve - Universal</v>
      </c>
      <c r="E23" s="9" t="s">
        <v>68</v>
      </c>
      <c r="F23" s="9" t="s">
        <v>94</v>
      </c>
      <c r="G23" s="10" t="n">
        <f aca="false">IF($AK23=0,"",INDEX('Part types'!$P:$P,$AK23))</f>
        <v>10</v>
      </c>
      <c r="H23" s="10" t="n">
        <f aca="false">IF($AK23=0,"",INDEX('Part types'!$Q:$Q,$AK23))</f>
        <v>8</v>
      </c>
      <c r="I23" s="10" t="n">
        <f aca="false">IF($AK23=0,"",INDEX('Part types'!$R:$R,$AK23))</f>
        <v>6</v>
      </c>
      <c r="J23" s="10" t="n">
        <f aca="false">IF($AK23=0,"",INDEX('Part types'!$S:$S,$AK23))</f>
        <v>0.1</v>
      </c>
      <c r="K23" s="11" t="s">
        <v>70</v>
      </c>
      <c r="L23" s="11" t="s">
        <v>193</v>
      </c>
      <c r="M23" s="11" t="str">
        <f aca="false">L23&amp;" - "&amp;N23</f>
        <v>صمام السحب - عام</v>
      </c>
      <c r="N23" s="11" t="s">
        <v>72</v>
      </c>
      <c r="O23" s="11" t="s">
        <v>95</v>
      </c>
      <c r="P23" s="10" t="n">
        <f aca="false">G23</f>
        <v>10</v>
      </c>
      <c r="Q23" s="10" t="n">
        <f aca="false">H23</f>
        <v>8</v>
      </c>
      <c r="R23" s="10" t="n">
        <f aca="false">I23</f>
        <v>6</v>
      </c>
      <c r="S23" s="10" t="n">
        <f aca="false">J23</f>
        <v>0.1</v>
      </c>
      <c r="T23" s="12" t="s">
        <v>74</v>
      </c>
      <c r="U23" s="12" t="s">
        <v>194</v>
      </c>
      <c r="V23" s="9" t="str">
        <f aca="false">U23&amp;" - "&amp;W23</f>
        <v>进气门 - 通用</v>
      </c>
      <c r="W23" s="12" t="s">
        <v>76</v>
      </c>
      <c r="X23" s="12" t="s">
        <v>96</v>
      </c>
      <c r="Y23" s="10" t="n">
        <f aca="false">G23</f>
        <v>10</v>
      </c>
      <c r="Z23" s="10" t="n">
        <f aca="false">H23</f>
        <v>8</v>
      </c>
      <c r="AA23" s="10" t="n">
        <f aca="false">I23</f>
        <v>6</v>
      </c>
      <c r="AB23" s="10" t="n">
        <f aca="false">J23</f>
        <v>0.1</v>
      </c>
      <c r="AC23" s="9" t="s">
        <v>78</v>
      </c>
      <c r="AD23" s="9" t="s">
        <v>195</v>
      </c>
      <c r="AE23" s="9" t="str">
        <f aca="false">IF($AK23=0,"",INDEX('Part types'!$T:$T,$AK23)&amp;"")</f>
        <v>Combustion engine (petrol, diesel, hybrid, range extender)</v>
      </c>
      <c r="AF23" s="9" t="str">
        <f aca="false">IF($AK23=0,"",INDEX('Part types'!$U:$U,$AK23)&amp;"")</f>
        <v/>
      </c>
      <c r="AG23" s="9" t="str">
        <f aca="false">IF($AK23=0,"",INDEX('Part types'!$V:$V,$AK23)&amp;"")</f>
        <v>Estimate: size class XS</v>
      </c>
      <c r="AH23" s="9" t="str">
        <f aca="false">IF($AK23=0,"",INDEX('Part types'!$W:$W,$AK23)&amp;"")</f>
        <v/>
      </c>
      <c r="AI23" s="11" t="str">
        <f aca="false">IF($AK23=0,"",INDEX('Part types'!$X:$X,$AK23)&amp;"")</f>
        <v/>
      </c>
      <c r="AJ23" s="9" t="str">
        <f aca="false">IF($AK23=0,"",INDEX('Part types'!$Y:$Y,$AK23)&amp;"")</f>
        <v/>
      </c>
      <c r="AK23" s="9" t="n">
        <f aca="false">IFERROR(MATCH($AD23,'Part types'!$E:$E,0),0)</f>
        <v>22</v>
      </c>
    </row>
    <row r="24" customFormat="false" ht="15" hidden="false" customHeight="false" outlineLevel="0" collapsed="false">
      <c r="A24" s="9" t="s">
        <v>196</v>
      </c>
      <c r="B24" s="9" t="s">
        <v>66</v>
      </c>
      <c r="C24" s="9" t="s">
        <v>197</v>
      </c>
      <c r="D24" s="9" t="str">
        <f aca="false">C24&amp;" - "&amp;E24</f>
        <v>Exhaust Valve - Universal</v>
      </c>
      <c r="E24" s="9" t="s">
        <v>68</v>
      </c>
      <c r="F24" s="9" t="s">
        <v>94</v>
      </c>
      <c r="G24" s="10" t="n">
        <f aca="false">IF($AK24=0,"",INDEX('Part types'!$P:$P,$AK24))</f>
        <v>10</v>
      </c>
      <c r="H24" s="10" t="n">
        <f aca="false">IF($AK24=0,"",INDEX('Part types'!$Q:$Q,$AK24))</f>
        <v>8</v>
      </c>
      <c r="I24" s="10" t="n">
        <f aca="false">IF($AK24=0,"",INDEX('Part types'!$R:$R,$AK24))</f>
        <v>6</v>
      </c>
      <c r="J24" s="10" t="n">
        <f aca="false">IF($AK24=0,"",INDEX('Part types'!$S:$S,$AK24))</f>
        <v>0.1</v>
      </c>
      <c r="K24" s="11" t="s">
        <v>70</v>
      </c>
      <c r="L24" s="11" t="s">
        <v>198</v>
      </c>
      <c r="M24" s="11" t="str">
        <f aca="false">L24&amp;" - "&amp;N24</f>
        <v>صمام العادم - عام</v>
      </c>
      <c r="N24" s="11" t="s">
        <v>72</v>
      </c>
      <c r="O24" s="11" t="s">
        <v>95</v>
      </c>
      <c r="P24" s="10" t="n">
        <f aca="false">G24</f>
        <v>10</v>
      </c>
      <c r="Q24" s="10" t="n">
        <f aca="false">H24</f>
        <v>8</v>
      </c>
      <c r="R24" s="10" t="n">
        <f aca="false">I24</f>
        <v>6</v>
      </c>
      <c r="S24" s="10" t="n">
        <f aca="false">J24</f>
        <v>0.1</v>
      </c>
      <c r="T24" s="12" t="s">
        <v>74</v>
      </c>
      <c r="U24" s="12" t="s">
        <v>199</v>
      </c>
      <c r="V24" s="9" t="str">
        <f aca="false">U24&amp;" - "&amp;W24</f>
        <v>排气门 - 通用</v>
      </c>
      <c r="W24" s="12" t="s">
        <v>76</v>
      </c>
      <c r="X24" s="12" t="s">
        <v>96</v>
      </c>
      <c r="Y24" s="10" t="n">
        <f aca="false">G24</f>
        <v>10</v>
      </c>
      <c r="Z24" s="10" t="n">
        <f aca="false">H24</f>
        <v>8</v>
      </c>
      <c r="AA24" s="10" t="n">
        <f aca="false">I24</f>
        <v>6</v>
      </c>
      <c r="AB24" s="10" t="n">
        <f aca="false">J24</f>
        <v>0.1</v>
      </c>
      <c r="AC24" s="9" t="s">
        <v>78</v>
      </c>
      <c r="AD24" s="9" t="s">
        <v>200</v>
      </c>
      <c r="AE24" s="9" t="str">
        <f aca="false">IF($AK24=0,"",INDEX('Part types'!$T:$T,$AK24)&amp;"")</f>
        <v>Combustion engine (petrol, diesel, hybrid, range extender)</v>
      </c>
      <c r="AF24" s="9" t="str">
        <f aca="false">IF($AK24=0,"",INDEX('Part types'!$U:$U,$AK24)&amp;"")</f>
        <v/>
      </c>
      <c r="AG24" s="9" t="str">
        <f aca="false">IF($AK24=0,"",INDEX('Part types'!$V:$V,$AK24)&amp;"")</f>
        <v>Estimate: size class XS</v>
      </c>
      <c r="AH24" s="9" t="str">
        <f aca="false">IF($AK24=0,"",INDEX('Part types'!$W:$W,$AK24)&amp;"")</f>
        <v/>
      </c>
      <c r="AI24" s="11" t="str">
        <f aca="false">IF($AK24=0,"",INDEX('Part types'!$X:$X,$AK24)&amp;"")</f>
        <v/>
      </c>
      <c r="AJ24" s="9" t="str">
        <f aca="false">IF($AK24=0,"",INDEX('Part types'!$Y:$Y,$AK24)&amp;"")</f>
        <v/>
      </c>
      <c r="AK24" s="9" t="n">
        <f aca="false">IFERROR(MATCH($AD24,'Part types'!$E:$E,0),0)</f>
        <v>23</v>
      </c>
    </row>
    <row r="25" customFormat="false" ht="15" hidden="false" customHeight="false" outlineLevel="0" collapsed="false">
      <c r="A25" s="9" t="s">
        <v>201</v>
      </c>
      <c r="B25" s="9" t="s">
        <v>66</v>
      </c>
      <c r="C25" s="9" t="s">
        <v>202</v>
      </c>
      <c r="D25" s="9" t="str">
        <f aca="false">C25&amp;" - "&amp;E25</f>
        <v>Valve Spring - Universal</v>
      </c>
      <c r="E25" s="9" t="s">
        <v>68</v>
      </c>
      <c r="F25" s="9" t="s">
        <v>94</v>
      </c>
      <c r="G25" s="10" t="n">
        <f aca="false">IF($AK25=0,"",INDEX('Part types'!$P:$P,$AK25))</f>
        <v>10</v>
      </c>
      <c r="H25" s="10" t="n">
        <f aca="false">IF($AK25=0,"",INDEX('Part types'!$Q:$Q,$AK25))</f>
        <v>8</v>
      </c>
      <c r="I25" s="10" t="n">
        <f aca="false">IF($AK25=0,"",INDEX('Part types'!$R:$R,$AK25))</f>
        <v>6</v>
      </c>
      <c r="J25" s="10" t="n">
        <f aca="false">IF($AK25=0,"",INDEX('Part types'!$S:$S,$AK25))</f>
        <v>0.1</v>
      </c>
      <c r="K25" s="11" t="s">
        <v>70</v>
      </c>
      <c r="L25" s="11" t="s">
        <v>203</v>
      </c>
      <c r="M25" s="11" t="str">
        <f aca="false">L25&amp;" - "&amp;N25</f>
        <v>زنبرك الصمام - عام</v>
      </c>
      <c r="N25" s="11" t="s">
        <v>72</v>
      </c>
      <c r="O25" s="11" t="s">
        <v>95</v>
      </c>
      <c r="P25" s="10" t="n">
        <f aca="false">G25</f>
        <v>10</v>
      </c>
      <c r="Q25" s="10" t="n">
        <f aca="false">H25</f>
        <v>8</v>
      </c>
      <c r="R25" s="10" t="n">
        <f aca="false">I25</f>
        <v>6</v>
      </c>
      <c r="S25" s="10" t="n">
        <f aca="false">J25</f>
        <v>0.1</v>
      </c>
      <c r="T25" s="12" t="s">
        <v>74</v>
      </c>
      <c r="U25" s="12" t="s">
        <v>204</v>
      </c>
      <c r="V25" s="9" t="str">
        <f aca="false">U25&amp;" - "&amp;W25</f>
        <v>气门弹簧 - 通用</v>
      </c>
      <c r="W25" s="12" t="s">
        <v>76</v>
      </c>
      <c r="X25" s="12" t="s">
        <v>96</v>
      </c>
      <c r="Y25" s="10" t="n">
        <f aca="false">G25</f>
        <v>10</v>
      </c>
      <c r="Z25" s="10" t="n">
        <f aca="false">H25</f>
        <v>8</v>
      </c>
      <c r="AA25" s="10" t="n">
        <f aca="false">I25</f>
        <v>6</v>
      </c>
      <c r="AB25" s="10" t="n">
        <f aca="false">J25</f>
        <v>0.1</v>
      </c>
      <c r="AC25" s="9" t="s">
        <v>78</v>
      </c>
      <c r="AD25" s="9" t="s">
        <v>205</v>
      </c>
      <c r="AE25" s="9" t="str">
        <f aca="false">IF($AK25=0,"",INDEX('Part types'!$T:$T,$AK25)&amp;"")</f>
        <v>Combustion engine (petrol, diesel, hybrid, range extender)</v>
      </c>
      <c r="AF25" s="9" t="str">
        <f aca="false">IF($AK25=0,"",INDEX('Part types'!$U:$U,$AK25)&amp;"")</f>
        <v/>
      </c>
      <c r="AG25" s="9" t="str">
        <f aca="false">IF($AK25=0,"",INDEX('Part types'!$V:$V,$AK25)&amp;"")</f>
        <v>Estimate: size class XS</v>
      </c>
      <c r="AH25" s="9" t="str">
        <f aca="false">IF($AK25=0,"",INDEX('Part types'!$W:$W,$AK25)&amp;"")</f>
        <v/>
      </c>
      <c r="AI25" s="11" t="str">
        <f aca="false">IF($AK25=0,"",INDEX('Part types'!$X:$X,$AK25)&amp;"")</f>
        <v/>
      </c>
      <c r="AJ25" s="9" t="str">
        <f aca="false">IF($AK25=0,"",INDEX('Part types'!$Y:$Y,$AK25)&amp;"")</f>
        <v/>
      </c>
      <c r="AK25" s="9" t="n">
        <f aca="false">IFERROR(MATCH($AD25,'Part types'!$E:$E,0),0)</f>
        <v>24</v>
      </c>
    </row>
    <row r="26" customFormat="false" ht="15" hidden="false" customHeight="false" outlineLevel="0" collapsed="false">
      <c r="A26" s="9" t="s">
        <v>206</v>
      </c>
      <c r="B26" s="9" t="s">
        <v>66</v>
      </c>
      <c r="C26" s="9" t="s">
        <v>207</v>
      </c>
      <c r="D26" s="9" t="str">
        <f aca="false">C26&amp;" - "&amp;E26</f>
        <v>Valve Seal Set - Universal</v>
      </c>
      <c r="E26" s="9" t="s">
        <v>68</v>
      </c>
      <c r="F26" s="9" t="s">
        <v>94</v>
      </c>
      <c r="G26" s="10" t="n">
        <f aca="false">IF($AK26=0,"",INDEX('Part types'!$P:$P,$AK26))</f>
        <v>10</v>
      </c>
      <c r="H26" s="10" t="n">
        <f aca="false">IF($AK26=0,"",INDEX('Part types'!$Q:$Q,$AK26))</f>
        <v>8</v>
      </c>
      <c r="I26" s="10" t="n">
        <f aca="false">IF($AK26=0,"",INDEX('Part types'!$R:$R,$AK26))</f>
        <v>6</v>
      </c>
      <c r="J26" s="10" t="n">
        <f aca="false">IF($AK26=0,"",INDEX('Part types'!$S:$S,$AK26))</f>
        <v>0.1</v>
      </c>
      <c r="K26" s="11" t="s">
        <v>70</v>
      </c>
      <c r="L26" s="11" t="s">
        <v>208</v>
      </c>
      <c r="M26" s="11" t="str">
        <f aca="false">L26&amp;" - "&amp;N26</f>
        <v>طقم سيل ساق الصمام - عام</v>
      </c>
      <c r="N26" s="11" t="s">
        <v>72</v>
      </c>
      <c r="O26" s="11" t="s">
        <v>95</v>
      </c>
      <c r="P26" s="10" t="n">
        <f aca="false">G26</f>
        <v>10</v>
      </c>
      <c r="Q26" s="10" t="n">
        <f aca="false">H26</f>
        <v>8</v>
      </c>
      <c r="R26" s="10" t="n">
        <f aca="false">I26</f>
        <v>6</v>
      </c>
      <c r="S26" s="10" t="n">
        <f aca="false">J26</f>
        <v>0.1</v>
      </c>
      <c r="T26" s="12" t="s">
        <v>74</v>
      </c>
      <c r="U26" s="12" t="s">
        <v>209</v>
      </c>
      <c r="V26" s="9" t="str">
        <f aca="false">U26&amp;" - "&amp;W26</f>
        <v>气门油封套装 - 通用</v>
      </c>
      <c r="W26" s="12" t="s">
        <v>76</v>
      </c>
      <c r="X26" s="12" t="s">
        <v>96</v>
      </c>
      <c r="Y26" s="10" t="n">
        <f aca="false">G26</f>
        <v>10</v>
      </c>
      <c r="Z26" s="10" t="n">
        <f aca="false">H26</f>
        <v>8</v>
      </c>
      <c r="AA26" s="10" t="n">
        <f aca="false">I26</f>
        <v>6</v>
      </c>
      <c r="AB26" s="10" t="n">
        <f aca="false">J26</f>
        <v>0.1</v>
      </c>
      <c r="AC26" s="9" t="s">
        <v>78</v>
      </c>
      <c r="AD26" s="9" t="s">
        <v>210</v>
      </c>
      <c r="AE26" s="9" t="str">
        <f aca="false">IF($AK26=0,"",INDEX('Part types'!$T:$T,$AK26)&amp;"")</f>
        <v>Combustion engine (petrol, diesel, hybrid, range extender)</v>
      </c>
      <c r="AF26" s="9" t="str">
        <f aca="false">IF($AK26=0,"",INDEX('Part types'!$U:$U,$AK26)&amp;"")</f>
        <v/>
      </c>
      <c r="AG26" s="9" t="str">
        <f aca="false">IF($AK26=0,"",INDEX('Part types'!$V:$V,$AK26)&amp;"")</f>
        <v>Estimate: size class XS</v>
      </c>
      <c r="AH26" s="9" t="str">
        <f aca="false">IF($AK26=0,"",INDEX('Part types'!$W:$W,$AK26)&amp;"")</f>
        <v>Valve Stem Seal Set</v>
      </c>
      <c r="AI26" s="11" t="str">
        <f aca="false">IF($AK26=0,"",INDEX('Part types'!$X:$X,$AK26)&amp;"")</f>
        <v/>
      </c>
      <c r="AJ26" s="9" t="str">
        <f aca="false">IF($AK26=0,"",INDEX('Part types'!$Y:$Y,$AK26)&amp;"")</f>
        <v/>
      </c>
      <c r="AK26" s="9" t="n">
        <f aca="false">IFERROR(MATCH($AD26,'Part types'!$E:$E,0),0)</f>
        <v>25</v>
      </c>
    </row>
    <row r="27" customFormat="false" ht="15" hidden="false" customHeight="false" outlineLevel="0" collapsed="false">
      <c r="A27" s="9" t="s">
        <v>211</v>
      </c>
      <c r="B27" s="9" t="s">
        <v>66</v>
      </c>
      <c r="C27" s="9" t="s">
        <v>212</v>
      </c>
      <c r="D27" s="9" t="str">
        <f aca="false">C27&amp;" - "&amp;E27</f>
        <v>Valve Guide - Universal</v>
      </c>
      <c r="E27" s="9" t="s">
        <v>68</v>
      </c>
      <c r="F27" s="9" t="s">
        <v>94</v>
      </c>
      <c r="G27" s="10" t="n">
        <f aca="false">IF($AK27=0,"",INDEX('Part types'!$P:$P,$AK27))</f>
        <v>10</v>
      </c>
      <c r="H27" s="10" t="n">
        <f aca="false">IF($AK27=0,"",INDEX('Part types'!$Q:$Q,$AK27))</f>
        <v>8</v>
      </c>
      <c r="I27" s="10" t="n">
        <f aca="false">IF($AK27=0,"",INDEX('Part types'!$R:$R,$AK27))</f>
        <v>6</v>
      </c>
      <c r="J27" s="10" t="n">
        <f aca="false">IF($AK27=0,"",INDEX('Part types'!$S:$S,$AK27))</f>
        <v>0.1</v>
      </c>
      <c r="K27" s="11" t="s">
        <v>70</v>
      </c>
      <c r="L27" s="11" t="s">
        <v>213</v>
      </c>
      <c r="M27" s="11" t="str">
        <f aca="false">L27&amp;" - "&amp;N27</f>
        <v>دليل الصمام - عام</v>
      </c>
      <c r="N27" s="11" t="s">
        <v>72</v>
      </c>
      <c r="O27" s="11" t="s">
        <v>95</v>
      </c>
      <c r="P27" s="10" t="n">
        <f aca="false">G27</f>
        <v>10</v>
      </c>
      <c r="Q27" s="10" t="n">
        <f aca="false">H27</f>
        <v>8</v>
      </c>
      <c r="R27" s="10" t="n">
        <f aca="false">I27</f>
        <v>6</v>
      </c>
      <c r="S27" s="10" t="n">
        <f aca="false">J27</f>
        <v>0.1</v>
      </c>
      <c r="T27" s="12" t="s">
        <v>74</v>
      </c>
      <c r="U27" s="12" t="s">
        <v>214</v>
      </c>
      <c r="V27" s="9" t="str">
        <f aca="false">U27&amp;" - "&amp;W27</f>
        <v>气门导管 - 通用</v>
      </c>
      <c r="W27" s="12" t="s">
        <v>76</v>
      </c>
      <c r="X27" s="12" t="s">
        <v>96</v>
      </c>
      <c r="Y27" s="10" t="n">
        <f aca="false">G27</f>
        <v>10</v>
      </c>
      <c r="Z27" s="10" t="n">
        <f aca="false">H27</f>
        <v>8</v>
      </c>
      <c r="AA27" s="10" t="n">
        <f aca="false">I27</f>
        <v>6</v>
      </c>
      <c r="AB27" s="10" t="n">
        <f aca="false">J27</f>
        <v>0.1</v>
      </c>
      <c r="AC27" s="9" t="s">
        <v>78</v>
      </c>
      <c r="AD27" s="9" t="s">
        <v>215</v>
      </c>
      <c r="AE27" s="9" t="str">
        <f aca="false">IF($AK27=0,"",INDEX('Part types'!$T:$T,$AK27)&amp;"")</f>
        <v>Combustion engine (petrol, diesel, hybrid, range extender)</v>
      </c>
      <c r="AF27" s="9" t="str">
        <f aca="false">IF($AK27=0,"",INDEX('Part types'!$U:$U,$AK27)&amp;"")</f>
        <v/>
      </c>
      <c r="AG27" s="9" t="str">
        <f aca="false">IF($AK27=0,"",INDEX('Part types'!$V:$V,$AK27)&amp;"")</f>
        <v>Estimate: size class XS</v>
      </c>
      <c r="AH27" s="9" t="str">
        <f aca="false">IF($AK27=0,"",INDEX('Part types'!$W:$W,$AK27)&amp;"")</f>
        <v/>
      </c>
      <c r="AI27" s="11" t="str">
        <f aca="false">IF($AK27=0,"",INDEX('Part types'!$X:$X,$AK27)&amp;"")</f>
        <v/>
      </c>
      <c r="AJ27" s="9" t="str">
        <f aca="false">IF($AK27=0,"",INDEX('Part types'!$Y:$Y,$AK27)&amp;"")</f>
        <v/>
      </c>
      <c r="AK27" s="9" t="n">
        <f aca="false">IFERROR(MATCH($AD27,'Part types'!$E:$E,0),0)</f>
        <v>26</v>
      </c>
    </row>
    <row r="28" customFormat="false" ht="15" hidden="false" customHeight="false" outlineLevel="0" collapsed="false">
      <c r="A28" s="9" t="s">
        <v>216</v>
      </c>
      <c r="B28" s="9" t="s">
        <v>66</v>
      </c>
      <c r="C28" s="9" t="s">
        <v>217</v>
      </c>
      <c r="D28" s="9" t="str">
        <f aca="false">C28&amp;" - "&amp;E28</f>
        <v>Engine Mount - Left</v>
      </c>
      <c r="E28" s="9" t="s">
        <v>218</v>
      </c>
      <c r="F28" s="9" t="s">
        <v>69</v>
      </c>
      <c r="G28" s="10" t="n">
        <f aca="false">IF($AK28=0,"",INDEX('Part types'!$P:$P,$AK28))</f>
        <v>30</v>
      </c>
      <c r="H28" s="10" t="n">
        <f aca="false">IF($AK28=0,"",INDEX('Part types'!$Q:$Q,$AK28))</f>
        <v>20</v>
      </c>
      <c r="I28" s="10" t="n">
        <f aca="false">IF($AK28=0,"",INDEX('Part types'!$R:$R,$AK28))</f>
        <v>15</v>
      </c>
      <c r="J28" s="10" t="n">
        <f aca="false">IF($AK28=0,"",INDEX('Part types'!$S:$S,$AK28))</f>
        <v>1.8</v>
      </c>
      <c r="K28" s="11" t="s">
        <v>70</v>
      </c>
      <c r="L28" s="11" t="s">
        <v>219</v>
      </c>
      <c r="M28" s="11" t="str">
        <f aca="false">L28&amp;" - "&amp;N28</f>
        <v>قاعدة المحرك - يسار</v>
      </c>
      <c r="N28" s="11" t="s">
        <v>220</v>
      </c>
      <c r="O28" s="11" t="s">
        <v>73</v>
      </c>
      <c r="P28" s="10" t="n">
        <f aca="false">G28</f>
        <v>30</v>
      </c>
      <c r="Q28" s="10" t="n">
        <f aca="false">H28</f>
        <v>20</v>
      </c>
      <c r="R28" s="10" t="n">
        <f aca="false">I28</f>
        <v>15</v>
      </c>
      <c r="S28" s="10" t="n">
        <f aca="false">J28</f>
        <v>1.8</v>
      </c>
      <c r="T28" s="12" t="s">
        <v>74</v>
      </c>
      <c r="U28" s="12" t="s">
        <v>221</v>
      </c>
      <c r="V28" s="9" t="str">
        <f aca="false">U28&amp;" - "&amp;W28</f>
        <v>发动机脚垫 - 左侧</v>
      </c>
      <c r="W28" s="12" t="s">
        <v>222</v>
      </c>
      <c r="X28" s="12" t="s">
        <v>77</v>
      </c>
      <c r="Y28" s="10" t="n">
        <f aca="false">G28</f>
        <v>30</v>
      </c>
      <c r="Z28" s="10" t="n">
        <f aca="false">H28</f>
        <v>20</v>
      </c>
      <c r="AA28" s="10" t="n">
        <f aca="false">I28</f>
        <v>15</v>
      </c>
      <c r="AB28" s="10" t="n">
        <f aca="false">J28</f>
        <v>1.8</v>
      </c>
      <c r="AC28" s="9" t="s">
        <v>78</v>
      </c>
      <c r="AD28" s="9" t="s">
        <v>223</v>
      </c>
      <c r="AE28" s="9" t="str">
        <f aca="false">IF($AK28=0,"",INDEX('Part types'!$T:$T,$AK28)&amp;"")</f>
        <v>Combustion engine (petrol, diesel, hybrid, range extender)</v>
      </c>
      <c r="AF28" s="9" t="str">
        <f aca="false">IF($AK28=0,"",INDEX('Part types'!$U:$U,$AK28)&amp;"")</f>
        <v/>
      </c>
      <c r="AG28" s="9" t="str">
        <f aca="false">IF($AK28=0,"",INDEX('Part types'!$V:$V,$AK28)&amp;"")</f>
        <v>Estimate: size class M2</v>
      </c>
      <c r="AH28" s="9" t="str">
        <f aca="false">IF($AK28=0,"",INDEX('Part types'!$W:$W,$AK28)&amp;"")</f>
        <v/>
      </c>
      <c r="AI28" s="11" t="str">
        <f aca="false">IF($AK28=0,"",INDEX('Part types'!$X:$X,$AK28)&amp;"")</f>
        <v>كرسي المحرك</v>
      </c>
      <c r="AJ28" s="9" t="str">
        <f aca="false">IF($AK28=0,"",INDEX('Part types'!$Y:$Y,$AK28)&amp;"")</f>
        <v>悬置</v>
      </c>
      <c r="AK28" s="9" t="n">
        <f aca="false">IFERROR(MATCH($AD28,'Part types'!$E:$E,0),0)</f>
        <v>27</v>
      </c>
    </row>
    <row r="29" customFormat="false" ht="15" hidden="false" customHeight="false" outlineLevel="0" collapsed="false">
      <c r="A29" s="9" t="s">
        <v>224</v>
      </c>
      <c r="B29" s="9" t="s">
        <v>66</v>
      </c>
      <c r="C29" s="9" t="s">
        <v>217</v>
      </c>
      <c r="D29" s="9" t="str">
        <f aca="false">C29&amp;" - "&amp;E29</f>
        <v>Engine Mount - Right</v>
      </c>
      <c r="E29" s="9" t="s">
        <v>225</v>
      </c>
      <c r="F29" s="9" t="s">
        <v>69</v>
      </c>
      <c r="G29" s="10" t="n">
        <f aca="false">IF($AK29=0,"",INDEX('Part types'!$P:$P,$AK29))</f>
        <v>30</v>
      </c>
      <c r="H29" s="10" t="n">
        <f aca="false">IF($AK29=0,"",INDEX('Part types'!$Q:$Q,$AK29))</f>
        <v>20</v>
      </c>
      <c r="I29" s="10" t="n">
        <f aca="false">IF($AK29=0,"",INDEX('Part types'!$R:$R,$AK29))</f>
        <v>15</v>
      </c>
      <c r="J29" s="10" t="n">
        <f aca="false">IF($AK29=0,"",INDEX('Part types'!$S:$S,$AK29))</f>
        <v>1.8</v>
      </c>
      <c r="K29" s="11" t="s">
        <v>70</v>
      </c>
      <c r="L29" s="11" t="s">
        <v>219</v>
      </c>
      <c r="M29" s="11" t="str">
        <f aca="false">L29&amp;" - "&amp;N29</f>
        <v>قاعدة المحرك - يمين</v>
      </c>
      <c r="N29" s="11" t="s">
        <v>226</v>
      </c>
      <c r="O29" s="11" t="s">
        <v>73</v>
      </c>
      <c r="P29" s="10" t="n">
        <f aca="false">G29</f>
        <v>30</v>
      </c>
      <c r="Q29" s="10" t="n">
        <f aca="false">H29</f>
        <v>20</v>
      </c>
      <c r="R29" s="10" t="n">
        <f aca="false">I29</f>
        <v>15</v>
      </c>
      <c r="S29" s="10" t="n">
        <f aca="false">J29</f>
        <v>1.8</v>
      </c>
      <c r="T29" s="12" t="s">
        <v>74</v>
      </c>
      <c r="U29" s="12" t="s">
        <v>221</v>
      </c>
      <c r="V29" s="9" t="str">
        <f aca="false">U29&amp;" - "&amp;W29</f>
        <v>发动机脚垫 - 右侧</v>
      </c>
      <c r="W29" s="12" t="s">
        <v>227</v>
      </c>
      <c r="X29" s="12" t="s">
        <v>77</v>
      </c>
      <c r="Y29" s="10" t="n">
        <f aca="false">G29</f>
        <v>30</v>
      </c>
      <c r="Z29" s="10" t="n">
        <f aca="false">H29</f>
        <v>20</v>
      </c>
      <c r="AA29" s="10" t="n">
        <f aca="false">I29</f>
        <v>15</v>
      </c>
      <c r="AB29" s="10" t="n">
        <f aca="false">J29</f>
        <v>1.8</v>
      </c>
      <c r="AC29" s="9" t="s">
        <v>78</v>
      </c>
      <c r="AD29" s="9" t="s">
        <v>223</v>
      </c>
      <c r="AE29" s="9" t="str">
        <f aca="false">IF($AK29=0,"",INDEX('Part types'!$T:$T,$AK29)&amp;"")</f>
        <v>Combustion engine (petrol, diesel, hybrid, range extender)</v>
      </c>
      <c r="AF29" s="9" t="str">
        <f aca="false">IF($AK29=0,"",INDEX('Part types'!$U:$U,$AK29)&amp;"")</f>
        <v/>
      </c>
      <c r="AG29" s="9" t="str">
        <f aca="false">IF($AK29=0,"",INDEX('Part types'!$V:$V,$AK29)&amp;"")</f>
        <v>Estimate: size class M2</v>
      </c>
      <c r="AH29" s="9" t="str">
        <f aca="false">IF($AK29=0,"",INDEX('Part types'!$W:$W,$AK29)&amp;"")</f>
        <v/>
      </c>
      <c r="AI29" s="11" t="str">
        <f aca="false">IF($AK29=0,"",INDEX('Part types'!$X:$X,$AK29)&amp;"")</f>
        <v>كرسي المحرك</v>
      </c>
      <c r="AJ29" s="9" t="str">
        <f aca="false">IF($AK29=0,"",INDEX('Part types'!$Y:$Y,$AK29)&amp;"")</f>
        <v>悬置</v>
      </c>
      <c r="AK29" s="9" t="n">
        <f aca="false">IFERROR(MATCH($AD29,'Part types'!$E:$E,0),0)</f>
        <v>27</v>
      </c>
    </row>
    <row r="30" customFormat="false" ht="15" hidden="false" customHeight="false" outlineLevel="0" collapsed="false">
      <c r="A30" s="9" t="s">
        <v>228</v>
      </c>
      <c r="B30" s="9" t="s">
        <v>66</v>
      </c>
      <c r="C30" s="9" t="s">
        <v>217</v>
      </c>
      <c r="D30" s="9" t="str">
        <f aca="false">C30&amp;" - "&amp;E30</f>
        <v>Engine Mount - Front</v>
      </c>
      <c r="E30" s="9" t="s">
        <v>161</v>
      </c>
      <c r="F30" s="9" t="s">
        <v>69</v>
      </c>
      <c r="G30" s="10" t="n">
        <f aca="false">IF($AK30=0,"",INDEX('Part types'!$P:$P,$AK30))</f>
        <v>30</v>
      </c>
      <c r="H30" s="10" t="n">
        <f aca="false">IF($AK30=0,"",INDEX('Part types'!$Q:$Q,$AK30))</f>
        <v>20</v>
      </c>
      <c r="I30" s="10" t="n">
        <f aca="false">IF($AK30=0,"",INDEX('Part types'!$R:$R,$AK30))</f>
        <v>15</v>
      </c>
      <c r="J30" s="10" t="n">
        <f aca="false">IF($AK30=0,"",INDEX('Part types'!$S:$S,$AK30))</f>
        <v>1.8</v>
      </c>
      <c r="K30" s="11" t="s">
        <v>70</v>
      </c>
      <c r="L30" s="11" t="s">
        <v>219</v>
      </c>
      <c r="M30" s="11" t="str">
        <f aca="false">L30&amp;" - "&amp;N30</f>
        <v>قاعدة المحرك - أمامي</v>
      </c>
      <c r="N30" s="11" t="s">
        <v>163</v>
      </c>
      <c r="O30" s="11" t="s">
        <v>73</v>
      </c>
      <c r="P30" s="10" t="n">
        <f aca="false">G30</f>
        <v>30</v>
      </c>
      <c r="Q30" s="10" t="n">
        <f aca="false">H30</f>
        <v>20</v>
      </c>
      <c r="R30" s="10" t="n">
        <f aca="false">I30</f>
        <v>15</v>
      </c>
      <c r="S30" s="10" t="n">
        <f aca="false">J30</f>
        <v>1.8</v>
      </c>
      <c r="T30" s="12" t="s">
        <v>74</v>
      </c>
      <c r="U30" s="12" t="s">
        <v>221</v>
      </c>
      <c r="V30" s="9" t="str">
        <f aca="false">U30&amp;" - "&amp;W30</f>
        <v>发动机脚垫 - 前部</v>
      </c>
      <c r="W30" s="12" t="s">
        <v>165</v>
      </c>
      <c r="X30" s="12" t="s">
        <v>77</v>
      </c>
      <c r="Y30" s="10" t="n">
        <f aca="false">G30</f>
        <v>30</v>
      </c>
      <c r="Z30" s="10" t="n">
        <f aca="false">H30</f>
        <v>20</v>
      </c>
      <c r="AA30" s="10" t="n">
        <f aca="false">I30</f>
        <v>15</v>
      </c>
      <c r="AB30" s="10" t="n">
        <f aca="false">J30</f>
        <v>1.8</v>
      </c>
      <c r="AC30" s="9" t="s">
        <v>78</v>
      </c>
      <c r="AD30" s="9" t="s">
        <v>223</v>
      </c>
      <c r="AE30" s="9" t="str">
        <f aca="false">IF($AK30=0,"",INDEX('Part types'!$T:$T,$AK30)&amp;"")</f>
        <v>Combustion engine (petrol, diesel, hybrid, range extender)</v>
      </c>
      <c r="AF30" s="9" t="str">
        <f aca="false">IF($AK30=0,"",INDEX('Part types'!$U:$U,$AK30)&amp;"")</f>
        <v/>
      </c>
      <c r="AG30" s="9" t="str">
        <f aca="false">IF($AK30=0,"",INDEX('Part types'!$V:$V,$AK30)&amp;"")</f>
        <v>Estimate: size class M2</v>
      </c>
      <c r="AH30" s="9" t="str">
        <f aca="false">IF($AK30=0,"",INDEX('Part types'!$W:$W,$AK30)&amp;"")</f>
        <v/>
      </c>
      <c r="AI30" s="11" t="str">
        <f aca="false">IF($AK30=0,"",INDEX('Part types'!$X:$X,$AK30)&amp;"")</f>
        <v>كرسي المحرك</v>
      </c>
      <c r="AJ30" s="9" t="str">
        <f aca="false">IF($AK30=0,"",INDEX('Part types'!$Y:$Y,$AK30)&amp;"")</f>
        <v>悬置</v>
      </c>
      <c r="AK30" s="9" t="n">
        <f aca="false">IFERROR(MATCH($AD30,'Part types'!$E:$E,0),0)</f>
        <v>27</v>
      </c>
    </row>
    <row r="31" customFormat="false" ht="15" hidden="false" customHeight="false" outlineLevel="0" collapsed="false">
      <c r="A31" s="9" t="s">
        <v>229</v>
      </c>
      <c r="B31" s="9" t="s">
        <v>66</v>
      </c>
      <c r="C31" s="9" t="s">
        <v>217</v>
      </c>
      <c r="D31" s="9" t="str">
        <f aca="false">C31&amp;" - "&amp;E31</f>
        <v>Engine Mount - Rear</v>
      </c>
      <c r="E31" s="9" t="s">
        <v>168</v>
      </c>
      <c r="F31" s="9" t="s">
        <v>69</v>
      </c>
      <c r="G31" s="10" t="n">
        <f aca="false">IF($AK31=0,"",INDEX('Part types'!$P:$P,$AK31))</f>
        <v>30</v>
      </c>
      <c r="H31" s="10" t="n">
        <f aca="false">IF($AK31=0,"",INDEX('Part types'!$Q:$Q,$AK31))</f>
        <v>20</v>
      </c>
      <c r="I31" s="10" t="n">
        <f aca="false">IF($AK31=0,"",INDEX('Part types'!$R:$R,$AK31))</f>
        <v>15</v>
      </c>
      <c r="J31" s="10" t="n">
        <f aca="false">IF($AK31=0,"",INDEX('Part types'!$S:$S,$AK31))</f>
        <v>1.8</v>
      </c>
      <c r="K31" s="11" t="s">
        <v>70</v>
      </c>
      <c r="L31" s="11" t="s">
        <v>219</v>
      </c>
      <c r="M31" s="11" t="str">
        <f aca="false">L31&amp;" - "&amp;N31</f>
        <v>قاعدة المحرك - خلفي</v>
      </c>
      <c r="N31" s="11" t="s">
        <v>169</v>
      </c>
      <c r="O31" s="11" t="s">
        <v>73</v>
      </c>
      <c r="P31" s="10" t="n">
        <f aca="false">G31</f>
        <v>30</v>
      </c>
      <c r="Q31" s="10" t="n">
        <f aca="false">H31</f>
        <v>20</v>
      </c>
      <c r="R31" s="10" t="n">
        <f aca="false">I31</f>
        <v>15</v>
      </c>
      <c r="S31" s="10" t="n">
        <f aca="false">J31</f>
        <v>1.8</v>
      </c>
      <c r="T31" s="12" t="s">
        <v>74</v>
      </c>
      <c r="U31" s="12" t="s">
        <v>221</v>
      </c>
      <c r="V31" s="9" t="str">
        <f aca="false">U31&amp;" - "&amp;W31</f>
        <v>发动机脚垫 - 后部</v>
      </c>
      <c r="W31" s="12" t="s">
        <v>170</v>
      </c>
      <c r="X31" s="12" t="s">
        <v>77</v>
      </c>
      <c r="Y31" s="10" t="n">
        <f aca="false">G31</f>
        <v>30</v>
      </c>
      <c r="Z31" s="10" t="n">
        <f aca="false">H31</f>
        <v>20</v>
      </c>
      <c r="AA31" s="10" t="n">
        <f aca="false">I31</f>
        <v>15</v>
      </c>
      <c r="AB31" s="10" t="n">
        <f aca="false">J31</f>
        <v>1.8</v>
      </c>
      <c r="AC31" s="9" t="s">
        <v>78</v>
      </c>
      <c r="AD31" s="9" t="s">
        <v>223</v>
      </c>
      <c r="AE31" s="9" t="str">
        <f aca="false">IF($AK31=0,"",INDEX('Part types'!$T:$T,$AK31)&amp;"")</f>
        <v>Combustion engine (petrol, diesel, hybrid, range extender)</v>
      </c>
      <c r="AF31" s="9" t="str">
        <f aca="false">IF($AK31=0,"",INDEX('Part types'!$U:$U,$AK31)&amp;"")</f>
        <v/>
      </c>
      <c r="AG31" s="9" t="str">
        <f aca="false">IF($AK31=0,"",INDEX('Part types'!$V:$V,$AK31)&amp;"")</f>
        <v>Estimate: size class M2</v>
      </c>
      <c r="AH31" s="9" t="str">
        <f aca="false">IF($AK31=0,"",INDEX('Part types'!$W:$W,$AK31)&amp;"")</f>
        <v/>
      </c>
      <c r="AI31" s="11" t="str">
        <f aca="false">IF($AK31=0,"",INDEX('Part types'!$X:$X,$AK31)&amp;"")</f>
        <v>كرسي المحرك</v>
      </c>
      <c r="AJ31" s="9" t="str">
        <f aca="false">IF($AK31=0,"",INDEX('Part types'!$Y:$Y,$AK31)&amp;"")</f>
        <v>悬置</v>
      </c>
      <c r="AK31" s="9" t="n">
        <f aca="false">IFERROR(MATCH($AD31,'Part types'!$E:$E,0),0)</f>
        <v>27</v>
      </c>
    </row>
    <row r="32" customFormat="false" ht="15" hidden="false" customHeight="false" outlineLevel="0" collapsed="false">
      <c r="A32" s="9" t="s">
        <v>230</v>
      </c>
      <c r="B32" s="9" t="s">
        <v>66</v>
      </c>
      <c r="C32" s="9" t="s">
        <v>231</v>
      </c>
      <c r="D32" s="9" t="str">
        <f aca="false">C32&amp;" - "&amp;E32</f>
        <v>Engine Cover - Universal</v>
      </c>
      <c r="E32" s="9" t="s">
        <v>68</v>
      </c>
      <c r="F32" s="9" t="s">
        <v>110</v>
      </c>
      <c r="G32" s="10" t="n">
        <f aca="false">IF($AK32=0,"",INDEX('Part types'!$P:$P,$AK32))</f>
        <v>40</v>
      </c>
      <c r="H32" s="10" t="n">
        <f aca="false">IF($AK32=0,"",INDEX('Part types'!$Q:$Q,$AK32))</f>
        <v>25</v>
      </c>
      <c r="I32" s="10" t="n">
        <f aca="false">IF($AK32=0,"",INDEX('Part types'!$R:$R,$AK32))</f>
        <v>15</v>
      </c>
      <c r="J32" s="10" t="n">
        <f aca="false">IF($AK32=0,"",INDEX('Part types'!$S:$S,$AK32))</f>
        <v>3</v>
      </c>
      <c r="K32" s="11" t="s">
        <v>70</v>
      </c>
      <c r="L32" s="11" t="s">
        <v>232</v>
      </c>
      <c r="M32" s="11" t="str">
        <f aca="false">L32&amp;" - "&amp;N32</f>
        <v>غطاء المحرك التجميلي - عام</v>
      </c>
      <c r="N32" s="11" t="s">
        <v>72</v>
      </c>
      <c r="O32" s="11" t="s">
        <v>112</v>
      </c>
      <c r="P32" s="10" t="n">
        <f aca="false">G32</f>
        <v>40</v>
      </c>
      <c r="Q32" s="10" t="n">
        <f aca="false">H32</f>
        <v>25</v>
      </c>
      <c r="R32" s="10" t="n">
        <f aca="false">I32</f>
        <v>15</v>
      </c>
      <c r="S32" s="10" t="n">
        <f aca="false">J32</f>
        <v>3</v>
      </c>
      <c r="T32" s="12" t="s">
        <v>74</v>
      </c>
      <c r="U32" s="12" t="s">
        <v>233</v>
      </c>
      <c r="V32" s="9" t="str">
        <f aca="false">U32&amp;" - "&amp;W32</f>
        <v>发动机装饰罩 - 通用</v>
      </c>
      <c r="W32" s="12" t="s">
        <v>76</v>
      </c>
      <c r="X32" s="12" t="s">
        <v>114</v>
      </c>
      <c r="Y32" s="10" t="n">
        <f aca="false">G32</f>
        <v>40</v>
      </c>
      <c r="Z32" s="10" t="n">
        <f aca="false">H32</f>
        <v>25</v>
      </c>
      <c r="AA32" s="10" t="n">
        <f aca="false">I32</f>
        <v>15</v>
      </c>
      <c r="AB32" s="10" t="n">
        <f aca="false">J32</f>
        <v>3</v>
      </c>
      <c r="AC32" s="9" t="s">
        <v>78</v>
      </c>
      <c r="AD32" s="9" t="s">
        <v>234</v>
      </c>
      <c r="AE32" s="9" t="str">
        <f aca="false">IF($AK32=0,"",INDEX('Part types'!$T:$T,$AK32)&amp;"")</f>
        <v>Combustion engine (petrol, diesel, hybrid, range extender)</v>
      </c>
      <c r="AF32" s="9" t="str">
        <f aca="false">IF($AK32=0,"",INDEX('Part types'!$U:$U,$AK32)&amp;"")</f>
        <v/>
      </c>
      <c r="AG32" s="9" t="str">
        <f aca="false">IF($AK32=0,"",INDEX('Part types'!$V:$V,$AK32)&amp;"")</f>
        <v>Estimate: size class L</v>
      </c>
      <c r="AH32" s="9" t="str">
        <f aca="false">IF($AK32=0,"",INDEX('Part types'!$W:$W,$AK32)&amp;"")</f>
        <v/>
      </c>
      <c r="AI32" s="11" t="str">
        <f aca="false">IF($AK32=0,"",INDEX('Part types'!$X:$X,$AK32)&amp;"")</f>
        <v/>
      </c>
      <c r="AJ32" s="9" t="str">
        <f aca="false">IF($AK32=0,"",INDEX('Part types'!$Y:$Y,$AK32)&amp;"")</f>
        <v/>
      </c>
      <c r="AK32" s="9" t="n">
        <f aca="false">IFERROR(MATCH($AD32,'Part types'!$E:$E,0),0)</f>
        <v>28</v>
      </c>
    </row>
    <row r="33" customFormat="false" ht="15" hidden="false" customHeight="false" outlineLevel="0" collapsed="false">
      <c r="A33" s="9" t="s">
        <v>235</v>
      </c>
      <c r="B33" s="9" t="s">
        <v>66</v>
      </c>
      <c r="C33" s="9" t="s">
        <v>236</v>
      </c>
      <c r="D33" s="9" t="str">
        <f aca="false">C33&amp;" - "&amp;E33</f>
        <v>Engine Under Shield - Universal</v>
      </c>
      <c r="E33" s="9" t="s">
        <v>68</v>
      </c>
      <c r="F33" s="9" t="s">
        <v>237</v>
      </c>
      <c r="G33" s="10" t="n">
        <f aca="false">IF($AK33=0,"",INDEX('Part types'!$P:$P,$AK33))</f>
        <v>70</v>
      </c>
      <c r="H33" s="10" t="n">
        <f aca="false">IF($AK33=0,"",INDEX('Part types'!$Q:$Q,$AK33))</f>
        <v>40</v>
      </c>
      <c r="I33" s="10" t="n">
        <f aca="false">IF($AK33=0,"",INDEX('Part types'!$R:$R,$AK33))</f>
        <v>25</v>
      </c>
      <c r="J33" s="10" t="n">
        <f aca="false">IF($AK33=0,"",INDEX('Part types'!$S:$S,$AK33))</f>
        <v>9</v>
      </c>
      <c r="K33" s="11" t="s">
        <v>70</v>
      </c>
      <c r="L33" s="11" t="s">
        <v>238</v>
      </c>
      <c r="M33" s="11" t="str">
        <f aca="false">L33&amp;" - "&amp;N33</f>
        <v>درع حماية أسفل المحرك - عام</v>
      </c>
      <c r="N33" s="11" t="s">
        <v>72</v>
      </c>
      <c r="O33" s="11" t="s">
        <v>239</v>
      </c>
      <c r="P33" s="10" t="n">
        <f aca="false">G33</f>
        <v>70</v>
      </c>
      <c r="Q33" s="10" t="n">
        <f aca="false">H33</f>
        <v>40</v>
      </c>
      <c r="R33" s="10" t="n">
        <f aca="false">I33</f>
        <v>25</v>
      </c>
      <c r="S33" s="10" t="n">
        <f aca="false">J33</f>
        <v>9</v>
      </c>
      <c r="T33" s="12" t="s">
        <v>74</v>
      </c>
      <c r="U33" s="12" t="s">
        <v>240</v>
      </c>
      <c r="V33" s="9" t="str">
        <f aca="false">U33&amp;" - "&amp;W33</f>
        <v>发动机下护板 - 通用</v>
      </c>
      <c r="W33" s="12" t="s">
        <v>76</v>
      </c>
      <c r="X33" s="12" t="s">
        <v>241</v>
      </c>
      <c r="Y33" s="10" t="n">
        <f aca="false">G33</f>
        <v>70</v>
      </c>
      <c r="Z33" s="10" t="n">
        <f aca="false">H33</f>
        <v>40</v>
      </c>
      <c r="AA33" s="10" t="n">
        <f aca="false">I33</f>
        <v>25</v>
      </c>
      <c r="AB33" s="10" t="n">
        <f aca="false">J33</f>
        <v>9</v>
      </c>
      <c r="AC33" s="9" t="s">
        <v>78</v>
      </c>
      <c r="AD33" s="9" t="s">
        <v>242</v>
      </c>
      <c r="AE33" s="9" t="str">
        <f aca="false">IF($AK33=0,"",INDEX('Part types'!$T:$T,$AK33)&amp;"")</f>
        <v>Combustion engine (petrol, diesel, hybrid, range extender)</v>
      </c>
      <c r="AF33" s="9" t="str">
        <f aca="false">IF($AK33=0,"",INDEX('Part types'!$U:$U,$AK33)&amp;"")</f>
        <v/>
      </c>
      <c r="AG33" s="9" t="str">
        <f aca="false">IF($AK33=0,"",INDEX('Part types'!$V:$V,$AK33)&amp;"")</f>
        <v>Estimate: size class XL</v>
      </c>
      <c r="AH33" s="9" t="str">
        <f aca="false">IF($AK33=0,"",INDEX('Part types'!$W:$W,$AK33)&amp;"")</f>
        <v/>
      </c>
      <c r="AI33" s="11" t="str">
        <f aca="false">IF($AK33=0,"",INDEX('Part types'!$X:$X,$AK33)&amp;"")</f>
        <v/>
      </c>
      <c r="AJ33" s="9" t="str">
        <f aca="false">IF($AK33=0,"",INDEX('Part types'!$Y:$Y,$AK33)&amp;"")</f>
        <v/>
      </c>
      <c r="AK33" s="9" t="n">
        <f aca="false">IFERROR(MATCH($AD33,'Part types'!$E:$E,0),0)</f>
        <v>29</v>
      </c>
    </row>
    <row r="34" customFormat="false" ht="15" hidden="false" customHeight="false" outlineLevel="0" collapsed="false">
      <c r="A34" s="9" t="s">
        <v>243</v>
      </c>
      <c r="B34" s="9" t="s">
        <v>66</v>
      </c>
      <c r="C34" s="9" t="s">
        <v>244</v>
      </c>
      <c r="D34" s="9" t="str">
        <f aca="false">C34&amp;" - "&amp;E34</f>
        <v>Balance Shaft - Universal</v>
      </c>
      <c r="E34" s="9" t="s">
        <v>68</v>
      </c>
      <c r="F34" s="9" t="s">
        <v>87</v>
      </c>
      <c r="G34" s="10" t="n">
        <f aca="false">IF($AK34=0,"",INDEX('Part types'!$P:$P,$AK34))</f>
        <v>45</v>
      </c>
      <c r="H34" s="10" t="n">
        <f aca="false">IF($AK34=0,"",INDEX('Part types'!$Q:$Q,$AK34))</f>
        <v>10</v>
      </c>
      <c r="I34" s="10" t="n">
        <f aca="false">IF($AK34=0,"",INDEX('Part types'!$R:$R,$AK34))</f>
        <v>10</v>
      </c>
      <c r="J34" s="10" t="n">
        <f aca="false">IF($AK34=0,"",INDEX('Part types'!$S:$S,$AK34))</f>
        <v>3</v>
      </c>
      <c r="K34" s="11" t="s">
        <v>70</v>
      </c>
      <c r="L34" s="11" t="s">
        <v>245</v>
      </c>
      <c r="M34" s="11" t="str">
        <f aca="false">L34&amp;" - "&amp;N34</f>
        <v>عمود الاتزان - عام</v>
      </c>
      <c r="N34" s="11" t="s">
        <v>72</v>
      </c>
      <c r="O34" s="11" t="s">
        <v>89</v>
      </c>
      <c r="P34" s="10" t="n">
        <f aca="false">G34</f>
        <v>45</v>
      </c>
      <c r="Q34" s="10" t="n">
        <f aca="false">H34</f>
        <v>10</v>
      </c>
      <c r="R34" s="10" t="n">
        <f aca="false">I34</f>
        <v>10</v>
      </c>
      <c r="S34" s="10" t="n">
        <f aca="false">J34</f>
        <v>3</v>
      </c>
      <c r="T34" s="12" t="s">
        <v>74</v>
      </c>
      <c r="U34" s="12" t="s">
        <v>246</v>
      </c>
      <c r="V34" s="9" t="str">
        <f aca="false">U34&amp;" - "&amp;W34</f>
        <v>平衡轴 - 通用</v>
      </c>
      <c r="W34" s="12" t="s">
        <v>76</v>
      </c>
      <c r="X34" s="12" t="s">
        <v>91</v>
      </c>
      <c r="Y34" s="10" t="n">
        <f aca="false">G34</f>
        <v>45</v>
      </c>
      <c r="Z34" s="10" t="n">
        <f aca="false">H34</f>
        <v>10</v>
      </c>
      <c r="AA34" s="10" t="n">
        <f aca="false">I34</f>
        <v>10</v>
      </c>
      <c r="AB34" s="10" t="n">
        <f aca="false">J34</f>
        <v>3</v>
      </c>
      <c r="AC34" s="9" t="s">
        <v>78</v>
      </c>
      <c r="AD34" s="9" t="s">
        <v>247</v>
      </c>
      <c r="AE34" s="9" t="str">
        <f aca="false">IF($AK34=0,"",INDEX('Part types'!$T:$T,$AK34)&amp;"")</f>
        <v>Combustion engine (petrol, diesel, hybrid, range extender)</v>
      </c>
      <c r="AF34" s="9" t="str">
        <f aca="false">IF($AK34=0,"",INDEX('Part types'!$U:$U,$AK34)&amp;"")</f>
        <v/>
      </c>
      <c r="AG34" s="9" t="str">
        <f aca="false">IF($AK34=0,"",INDEX('Part types'!$V:$V,$AK34)&amp;"")</f>
        <v>Estimate: item-specific</v>
      </c>
      <c r="AH34" s="9" t="str">
        <f aca="false">IF($AK34=0,"",INDEX('Part types'!$W:$W,$AK34)&amp;"")</f>
        <v/>
      </c>
      <c r="AI34" s="11" t="str">
        <f aca="false">IF($AK34=0,"",INDEX('Part types'!$X:$X,$AK34)&amp;"")</f>
        <v/>
      </c>
      <c r="AJ34" s="9" t="str">
        <f aca="false">IF($AK34=0,"",INDEX('Part types'!$Y:$Y,$AK34)&amp;"")</f>
        <v/>
      </c>
      <c r="AK34" s="9" t="n">
        <f aca="false">IFERROR(MATCH($AD34,'Part types'!$E:$E,0),0)</f>
        <v>30</v>
      </c>
    </row>
    <row r="35" customFormat="false" ht="15" hidden="false" customHeight="false" outlineLevel="0" collapsed="false">
      <c r="A35" s="9" t="s">
        <v>248</v>
      </c>
      <c r="B35" s="9" t="s">
        <v>66</v>
      </c>
      <c r="C35" s="9" t="s">
        <v>249</v>
      </c>
      <c r="D35" s="9" t="str">
        <f aca="false">C35&amp;" - "&amp;E35</f>
        <v>Cylinder Liner - Universal</v>
      </c>
      <c r="E35" s="9" t="s">
        <v>68</v>
      </c>
      <c r="F35" s="9" t="s">
        <v>87</v>
      </c>
      <c r="G35" s="10" t="n">
        <f aca="false">IF($AK35=0,"",INDEX('Part types'!$P:$P,$AK35))</f>
        <v>15</v>
      </c>
      <c r="H35" s="10" t="n">
        <f aca="false">IF($AK35=0,"",INDEX('Part types'!$Q:$Q,$AK35))</f>
        <v>10</v>
      </c>
      <c r="I35" s="10" t="n">
        <f aca="false">IF($AK35=0,"",INDEX('Part types'!$R:$R,$AK35))</f>
        <v>8</v>
      </c>
      <c r="J35" s="10" t="n">
        <f aca="false">IF($AK35=0,"",INDEX('Part types'!$S:$S,$AK35))</f>
        <v>0.3</v>
      </c>
      <c r="K35" s="11" t="s">
        <v>70</v>
      </c>
      <c r="L35" s="11" t="s">
        <v>250</v>
      </c>
      <c r="M35" s="11" t="str">
        <f aca="false">L35&amp;" - "&amp;N35</f>
        <v>بطانة الأسطوانة - عام</v>
      </c>
      <c r="N35" s="11" t="s">
        <v>72</v>
      </c>
      <c r="O35" s="11" t="s">
        <v>89</v>
      </c>
      <c r="P35" s="10" t="n">
        <f aca="false">G35</f>
        <v>15</v>
      </c>
      <c r="Q35" s="10" t="n">
        <f aca="false">H35</f>
        <v>10</v>
      </c>
      <c r="R35" s="10" t="n">
        <f aca="false">I35</f>
        <v>8</v>
      </c>
      <c r="S35" s="10" t="n">
        <f aca="false">J35</f>
        <v>0.3</v>
      </c>
      <c r="T35" s="12" t="s">
        <v>74</v>
      </c>
      <c r="U35" s="12" t="s">
        <v>251</v>
      </c>
      <c r="V35" s="9" t="str">
        <f aca="false">U35&amp;" - "&amp;W35</f>
        <v>气缸套 - 通用</v>
      </c>
      <c r="W35" s="12" t="s">
        <v>76</v>
      </c>
      <c r="X35" s="12" t="s">
        <v>91</v>
      </c>
      <c r="Y35" s="10" t="n">
        <f aca="false">G35</f>
        <v>15</v>
      </c>
      <c r="Z35" s="10" t="n">
        <f aca="false">H35</f>
        <v>10</v>
      </c>
      <c r="AA35" s="10" t="n">
        <f aca="false">I35</f>
        <v>8</v>
      </c>
      <c r="AB35" s="10" t="n">
        <f aca="false">J35</f>
        <v>0.3</v>
      </c>
      <c r="AC35" s="9" t="s">
        <v>78</v>
      </c>
      <c r="AD35" s="9" t="s">
        <v>252</v>
      </c>
      <c r="AE35" s="9" t="str">
        <f aca="false">IF($AK35=0,"",INDEX('Part types'!$T:$T,$AK35)&amp;"")</f>
        <v>Combustion engine (petrol, diesel, hybrid, range extender)</v>
      </c>
      <c r="AF35" s="9" t="str">
        <f aca="false">IF($AK35=0,"",INDEX('Part types'!$U:$U,$AK35)&amp;"")</f>
        <v/>
      </c>
      <c r="AG35" s="9" t="str">
        <f aca="false">IF($AK35=0,"",INDEX('Part types'!$V:$V,$AK35)&amp;"")</f>
        <v>Estimate: size class S</v>
      </c>
      <c r="AH35" s="9" t="str">
        <f aca="false">IF($AK35=0,"",INDEX('Part types'!$W:$W,$AK35)&amp;"")</f>
        <v/>
      </c>
      <c r="AI35" s="11" t="str">
        <f aca="false">IF($AK35=0,"",INDEX('Part types'!$X:$X,$AK35)&amp;"")</f>
        <v/>
      </c>
      <c r="AJ35" s="9" t="str">
        <f aca="false">IF($AK35=0,"",INDEX('Part types'!$Y:$Y,$AK35)&amp;"")</f>
        <v/>
      </c>
      <c r="AK35" s="9" t="n">
        <f aca="false">IFERROR(MATCH($AD35,'Part types'!$E:$E,0),0)</f>
        <v>31</v>
      </c>
    </row>
    <row r="36" customFormat="false" ht="15" hidden="false" customHeight="false" outlineLevel="0" collapsed="false">
      <c r="A36" s="9" t="s">
        <v>253</v>
      </c>
      <c r="B36" s="9" t="s">
        <v>66</v>
      </c>
      <c r="C36" s="9" t="s">
        <v>254</v>
      </c>
      <c r="D36" s="9" t="str">
        <f aca="false">C36&amp;" - "&amp;E36</f>
        <v>Core Plug Set - Universal</v>
      </c>
      <c r="E36" s="9" t="s">
        <v>68</v>
      </c>
      <c r="F36" s="9" t="s">
        <v>87</v>
      </c>
      <c r="G36" s="10" t="n">
        <f aca="false">IF($AK36=0,"",INDEX('Part types'!$P:$P,$AK36))</f>
        <v>10</v>
      </c>
      <c r="H36" s="10" t="n">
        <f aca="false">IF($AK36=0,"",INDEX('Part types'!$Q:$Q,$AK36))</f>
        <v>8</v>
      </c>
      <c r="I36" s="10" t="n">
        <f aca="false">IF($AK36=0,"",INDEX('Part types'!$R:$R,$AK36))</f>
        <v>6</v>
      </c>
      <c r="J36" s="10" t="n">
        <f aca="false">IF($AK36=0,"",INDEX('Part types'!$S:$S,$AK36))</f>
        <v>0.1</v>
      </c>
      <c r="K36" s="11" t="s">
        <v>70</v>
      </c>
      <c r="L36" s="11" t="s">
        <v>255</v>
      </c>
      <c r="M36" s="11" t="str">
        <f aca="false">L36&amp;" - "&amp;N36</f>
        <v>طقم سدادات الكور - عام</v>
      </c>
      <c r="N36" s="11" t="s">
        <v>72</v>
      </c>
      <c r="O36" s="11" t="s">
        <v>89</v>
      </c>
      <c r="P36" s="10" t="n">
        <f aca="false">G36</f>
        <v>10</v>
      </c>
      <c r="Q36" s="10" t="n">
        <f aca="false">H36</f>
        <v>8</v>
      </c>
      <c r="R36" s="10" t="n">
        <f aca="false">I36</f>
        <v>6</v>
      </c>
      <c r="S36" s="10" t="n">
        <f aca="false">J36</f>
        <v>0.1</v>
      </c>
      <c r="T36" s="12" t="s">
        <v>74</v>
      </c>
      <c r="U36" s="12" t="s">
        <v>256</v>
      </c>
      <c r="V36" s="9" t="str">
        <f aca="false">U36&amp;" - "&amp;W36</f>
        <v>缸体堵盖套装 - 通用</v>
      </c>
      <c r="W36" s="12" t="s">
        <v>76</v>
      </c>
      <c r="X36" s="12" t="s">
        <v>91</v>
      </c>
      <c r="Y36" s="10" t="n">
        <f aca="false">G36</f>
        <v>10</v>
      </c>
      <c r="Z36" s="10" t="n">
        <f aca="false">H36</f>
        <v>8</v>
      </c>
      <c r="AA36" s="10" t="n">
        <f aca="false">I36</f>
        <v>6</v>
      </c>
      <c r="AB36" s="10" t="n">
        <f aca="false">J36</f>
        <v>0.1</v>
      </c>
      <c r="AC36" s="9" t="s">
        <v>78</v>
      </c>
      <c r="AD36" s="9" t="s">
        <v>257</v>
      </c>
      <c r="AE36" s="9" t="str">
        <f aca="false">IF($AK36=0,"",INDEX('Part types'!$T:$T,$AK36)&amp;"")</f>
        <v>Combustion engine (petrol, diesel, hybrid, range extender)</v>
      </c>
      <c r="AF36" s="9" t="str">
        <f aca="false">IF($AK36=0,"",INDEX('Part types'!$U:$U,$AK36)&amp;"")</f>
        <v/>
      </c>
      <c r="AG36" s="9" t="str">
        <f aca="false">IF($AK36=0,"",INDEX('Part types'!$V:$V,$AK36)&amp;"")</f>
        <v>Estimate: size class XS</v>
      </c>
      <c r="AH36" s="9" t="str">
        <f aca="false">IF($AK36=0,"",INDEX('Part types'!$W:$W,$AK36)&amp;"")</f>
        <v/>
      </c>
      <c r="AI36" s="11" t="str">
        <f aca="false">IF($AK36=0,"",INDEX('Part types'!$X:$X,$AK36)&amp;"")</f>
        <v/>
      </c>
      <c r="AJ36" s="9" t="str">
        <f aca="false">IF($AK36=0,"",INDEX('Part types'!$Y:$Y,$AK36)&amp;"")</f>
        <v/>
      </c>
      <c r="AK36" s="9" t="n">
        <f aca="false">IFERROR(MATCH($AD36,'Part types'!$E:$E,0),0)</f>
        <v>32</v>
      </c>
    </row>
    <row r="37" customFormat="false" ht="15" hidden="false" customHeight="false" outlineLevel="0" collapsed="false">
      <c r="A37" s="9" t="s">
        <v>258</v>
      </c>
      <c r="B37" s="9" t="s">
        <v>66</v>
      </c>
      <c r="C37" s="9" t="s">
        <v>259</v>
      </c>
      <c r="D37" s="9" t="str">
        <f aca="false">C37&amp;" - "&amp;E37</f>
        <v>Engine Gasket Set - Universal</v>
      </c>
      <c r="E37" s="9" t="s">
        <v>68</v>
      </c>
      <c r="F37" s="9" t="s">
        <v>69</v>
      </c>
      <c r="G37" s="10" t="n">
        <f aca="false">IF($AK37=0,"",INDEX('Part types'!$P:$P,$AK37))</f>
        <v>30</v>
      </c>
      <c r="H37" s="10" t="n">
        <f aca="false">IF($AK37=0,"",INDEX('Part types'!$Q:$Q,$AK37))</f>
        <v>20</v>
      </c>
      <c r="I37" s="10" t="n">
        <f aca="false">IF($AK37=0,"",INDEX('Part types'!$R:$R,$AK37))</f>
        <v>15</v>
      </c>
      <c r="J37" s="10" t="n">
        <f aca="false">IF($AK37=0,"",INDEX('Part types'!$S:$S,$AK37))</f>
        <v>1.8</v>
      </c>
      <c r="K37" s="11" t="s">
        <v>70</v>
      </c>
      <c r="L37" s="11" t="s">
        <v>260</v>
      </c>
      <c r="M37" s="11" t="str">
        <f aca="false">L37&amp;" - "&amp;N37</f>
        <v>طقم جوانات المحرك الكامل - عام</v>
      </c>
      <c r="N37" s="11" t="s">
        <v>72</v>
      </c>
      <c r="O37" s="11" t="s">
        <v>73</v>
      </c>
      <c r="P37" s="10" t="n">
        <f aca="false">G37</f>
        <v>30</v>
      </c>
      <c r="Q37" s="10" t="n">
        <f aca="false">H37</f>
        <v>20</v>
      </c>
      <c r="R37" s="10" t="n">
        <f aca="false">I37</f>
        <v>15</v>
      </c>
      <c r="S37" s="10" t="n">
        <f aca="false">J37</f>
        <v>1.8</v>
      </c>
      <c r="T37" s="12" t="s">
        <v>74</v>
      </c>
      <c r="U37" s="12" t="s">
        <v>261</v>
      </c>
      <c r="V37" s="9" t="str">
        <f aca="false">U37&amp;" - "&amp;W37</f>
        <v>发动机大修垫片套装 - 通用</v>
      </c>
      <c r="W37" s="12" t="s">
        <v>76</v>
      </c>
      <c r="X37" s="12" t="s">
        <v>77</v>
      </c>
      <c r="Y37" s="10" t="n">
        <f aca="false">G37</f>
        <v>30</v>
      </c>
      <c r="Z37" s="10" t="n">
        <f aca="false">H37</f>
        <v>20</v>
      </c>
      <c r="AA37" s="10" t="n">
        <f aca="false">I37</f>
        <v>15</v>
      </c>
      <c r="AB37" s="10" t="n">
        <f aca="false">J37</f>
        <v>1.8</v>
      </c>
      <c r="AC37" s="9" t="s">
        <v>78</v>
      </c>
      <c r="AD37" s="9" t="s">
        <v>262</v>
      </c>
      <c r="AE37" s="9" t="str">
        <f aca="false">IF($AK37=0,"",INDEX('Part types'!$T:$T,$AK37)&amp;"")</f>
        <v>Combustion engine (petrol, diesel, hybrid, range extender)</v>
      </c>
      <c r="AF37" s="9" t="str">
        <f aca="false">IF($AK37=0,"",INDEX('Part types'!$U:$U,$AK37)&amp;"")</f>
        <v/>
      </c>
      <c r="AG37" s="9" t="str">
        <f aca="false">IF($AK37=0,"",INDEX('Part types'!$V:$V,$AK37)&amp;"")</f>
        <v>Estimate: size class M2</v>
      </c>
      <c r="AH37" s="9" t="str">
        <f aca="false">IF($AK37=0,"",INDEX('Part types'!$W:$W,$AK37)&amp;"")</f>
        <v>Engine Full Gasket Set</v>
      </c>
      <c r="AI37" s="11" t="str">
        <f aca="false">IF($AK37=0,"",INDEX('Part types'!$X:$X,$AK37)&amp;"")</f>
        <v/>
      </c>
      <c r="AJ37" s="9" t="str">
        <f aca="false">IF($AK37=0,"",INDEX('Part types'!$Y:$Y,$AK37)&amp;"")</f>
        <v/>
      </c>
      <c r="AK37" s="9" t="n">
        <f aca="false">IFERROR(MATCH($AD37,'Part types'!$E:$E,0),0)</f>
        <v>33</v>
      </c>
    </row>
    <row r="38" customFormat="false" ht="15" hidden="false" customHeight="false" outlineLevel="0" collapsed="false">
      <c r="A38" s="9" t="s">
        <v>263</v>
      </c>
      <c r="B38" s="9" t="s">
        <v>264</v>
      </c>
      <c r="C38" s="9" t="s">
        <v>265</v>
      </c>
      <c r="D38" s="9" t="str">
        <f aca="false">C38&amp;" - "&amp;E38</f>
        <v>Crankshaft Pulley - Universal</v>
      </c>
      <c r="E38" s="9" t="s">
        <v>68</v>
      </c>
      <c r="F38" s="9" t="s">
        <v>266</v>
      </c>
      <c r="G38" s="10" t="n">
        <f aca="false">IF($AK38=0,"",INDEX('Part types'!$P:$P,$AK38))</f>
        <v>25</v>
      </c>
      <c r="H38" s="10" t="n">
        <f aca="false">IF($AK38=0,"",INDEX('Part types'!$Q:$Q,$AK38))</f>
        <v>15</v>
      </c>
      <c r="I38" s="10" t="n">
        <f aca="false">IF($AK38=0,"",INDEX('Part types'!$R:$R,$AK38))</f>
        <v>10</v>
      </c>
      <c r="J38" s="10" t="n">
        <f aca="false">IF($AK38=0,"",INDEX('Part types'!$S:$S,$AK38))</f>
        <v>0.9</v>
      </c>
      <c r="K38" s="11" t="s">
        <v>267</v>
      </c>
      <c r="L38" s="11" t="s">
        <v>268</v>
      </c>
      <c r="M38" s="11" t="str">
        <f aca="false">L38&amp;" - "&amp;N38</f>
        <v>بكرة عمود المرفق - عام</v>
      </c>
      <c r="N38" s="11" t="s">
        <v>72</v>
      </c>
      <c r="O38" s="11" t="s">
        <v>269</v>
      </c>
      <c r="P38" s="10" t="n">
        <f aca="false">G38</f>
        <v>25</v>
      </c>
      <c r="Q38" s="10" t="n">
        <f aca="false">H38</f>
        <v>15</v>
      </c>
      <c r="R38" s="10" t="n">
        <f aca="false">I38</f>
        <v>10</v>
      </c>
      <c r="S38" s="10" t="n">
        <f aca="false">J38</f>
        <v>0.9</v>
      </c>
      <c r="T38" s="12" t="s">
        <v>270</v>
      </c>
      <c r="U38" s="12" t="s">
        <v>271</v>
      </c>
      <c r="V38" s="9" t="str">
        <f aca="false">U38&amp;" - "&amp;W38</f>
        <v>曲轴皮带轮 - 通用</v>
      </c>
      <c r="W38" s="12" t="s">
        <v>76</v>
      </c>
      <c r="X38" s="12" t="s">
        <v>272</v>
      </c>
      <c r="Y38" s="10" t="n">
        <f aca="false">G38</f>
        <v>25</v>
      </c>
      <c r="Z38" s="10" t="n">
        <f aca="false">H38</f>
        <v>15</v>
      </c>
      <c r="AA38" s="10" t="n">
        <f aca="false">I38</f>
        <v>10</v>
      </c>
      <c r="AB38" s="10" t="n">
        <f aca="false">J38</f>
        <v>0.9</v>
      </c>
      <c r="AC38" s="9" t="s">
        <v>273</v>
      </c>
      <c r="AD38" s="9" t="s">
        <v>274</v>
      </c>
      <c r="AE38" s="9" t="str">
        <f aca="false">IF($AK38=0,"",INDEX('Part types'!$T:$T,$AK38)&amp;"")</f>
        <v>Combustion engine (petrol, diesel, hybrid, range extender)</v>
      </c>
      <c r="AF38" s="9" t="str">
        <f aca="false">IF($AK38=0,"",INDEX('Part types'!$U:$U,$AK38)&amp;"")</f>
        <v/>
      </c>
      <c r="AG38" s="9" t="str">
        <f aca="false">IF($AK38=0,"",INDEX('Part types'!$V:$V,$AK38)&amp;"")</f>
        <v>Estimate: size class M</v>
      </c>
      <c r="AH38" s="9" t="str">
        <f aca="false">IF($AK38=0,"",INDEX('Part types'!$W:$W,$AK38)&amp;"")</f>
        <v/>
      </c>
      <c r="AI38" s="11" t="str">
        <f aca="false">IF($AK38=0,"",INDEX('Part types'!$X:$X,$AK38)&amp;"")</f>
        <v/>
      </c>
      <c r="AJ38" s="9" t="str">
        <f aca="false">IF($AK38=0,"",INDEX('Part types'!$Y:$Y,$AK38)&amp;"")</f>
        <v/>
      </c>
      <c r="AK38" s="9" t="n">
        <f aca="false">IFERROR(MATCH($AD38,'Part types'!$E:$E,0),0)</f>
        <v>34</v>
      </c>
    </row>
    <row r="39" customFormat="false" ht="15" hidden="false" customHeight="false" outlineLevel="0" collapsed="false">
      <c r="A39" s="9" t="s">
        <v>275</v>
      </c>
      <c r="B39" s="9" t="s">
        <v>264</v>
      </c>
      <c r="C39" s="9" t="s">
        <v>276</v>
      </c>
      <c r="D39" s="9" t="str">
        <f aca="false">C39&amp;" - "&amp;E39</f>
        <v>Camshaft Phaser - Universal</v>
      </c>
      <c r="E39" s="9" t="s">
        <v>68</v>
      </c>
      <c r="F39" s="9" t="s">
        <v>266</v>
      </c>
      <c r="G39" s="10" t="n">
        <f aca="false">IF($AK39=0,"",INDEX('Part types'!$P:$P,$AK39))</f>
        <v>15</v>
      </c>
      <c r="H39" s="10" t="n">
        <f aca="false">IF($AK39=0,"",INDEX('Part types'!$Q:$Q,$AK39))</f>
        <v>10</v>
      </c>
      <c r="I39" s="10" t="n">
        <f aca="false">IF($AK39=0,"",INDEX('Part types'!$R:$R,$AK39))</f>
        <v>8</v>
      </c>
      <c r="J39" s="10" t="n">
        <f aca="false">IF($AK39=0,"",INDEX('Part types'!$S:$S,$AK39))</f>
        <v>0.3</v>
      </c>
      <c r="K39" s="11" t="s">
        <v>267</v>
      </c>
      <c r="L39" s="11" t="s">
        <v>277</v>
      </c>
      <c r="M39" s="11" t="str">
        <f aca="false">L39&amp;" - "&amp;N39</f>
        <v>ضابط توقيت الكامات - عام</v>
      </c>
      <c r="N39" s="11" t="s">
        <v>72</v>
      </c>
      <c r="O39" s="11" t="s">
        <v>269</v>
      </c>
      <c r="P39" s="10" t="n">
        <f aca="false">G39</f>
        <v>15</v>
      </c>
      <c r="Q39" s="10" t="n">
        <f aca="false">H39</f>
        <v>10</v>
      </c>
      <c r="R39" s="10" t="n">
        <f aca="false">I39</f>
        <v>8</v>
      </c>
      <c r="S39" s="10" t="n">
        <f aca="false">J39</f>
        <v>0.3</v>
      </c>
      <c r="T39" s="12" t="s">
        <v>270</v>
      </c>
      <c r="U39" s="12" t="s">
        <v>278</v>
      </c>
      <c r="V39" s="9" t="str">
        <f aca="false">U39&amp;" - "&amp;W39</f>
        <v>凸轮轴相位器 - 通用</v>
      </c>
      <c r="W39" s="12" t="s">
        <v>76</v>
      </c>
      <c r="X39" s="12" t="s">
        <v>272</v>
      </c>
      <c r="Y39" s="10" t="n">
        <f aca="false">G39</f>
        <v>15</v>
      </c>
      <c r="Z39" s="10" t="n">
        <f aca="false">H39</f>
        <v>10</v>
      </c>
      <c r="AA39" s="10" t="n">
        <f aca="false">I39</f>
        <v>8</v>
      </c>
      <c r="AB39" s="10" t="n">
        <f aca="false">J39</f>
        <v>0.3</v>
      </c>
      <c r="AC39" s="9" t="s">
        <v>273</v>
      </c>
      <c r="AD39" s="9" t="s">
        <v>279</v>
      </c>
      <c r="AE39" s="9" t="str">
        <f aca="false">IF($AK39=0,"",INDEX('Part types'!$T:$T,$AK39)&amp;"")</f>
        <v>Combustion engine (petrol, diesel, hybrid, range extender)</v>
      </c>
      <c r="AF39" s="9" t="str">
        <f aca="false">IF($AK39=0,"",INDEX('Part types'!$U:$U,$AK39)&amp;"")</f>
        <v/>
      </c>
      <c r="AG39" s="9" t="str">
        <f aca="false">IF($AK39=0,"",INDEX('Part types'!$V:$V,$AK39)&amp;"")</f>
        <v>Estimate: size class S</v>
      </c>
      <c r="AH39" s="9" t="str">
        <f aca="false">IF($AK39=0,"",INDEX('Part types'!$W:$W,$AK39)&amp;"")</f>
        <v>VVT</v>
      </c>
      <c r="AI39" s="11" t="str">
        <f aca="false">IF($AK39=0,"",INDEX('Part types'!$X:$X,$AK39)&amp;"")</f>
        <v>VVT</v>
      </c>
      <c r="AJ39" s="9" t="str">
        <f aca="false">IF($AK39=0,"",INDEX('Part types'!$Y:$Y,$AK39)&amp;"")</f>
        <v>VVT</v>
      </c>
      <c r="AK39" s="9" t="n">
        <f aca="false">IFERROR(MATCH($AD39,'Part types'!$E:$E,0),0)</f>
        <v>35</v>
      </c>
    </row>
    <row r="40" customFormat="false" ht="15" hidden="false" customHeight="false" outlineLevel="0" collapsed="false">
      <c r="A40" s="9" t="s">
        <v>280</v>
      </c>
      <c r="B40" s="9" t="s">
        <v>264</v>
      </c>
      <c r="C40" s="9" t="s">
        <v>281</v>
      </c>
      <c r="D40" s="9" t="str">
        <f aca="false">C40&amp;" - "&amp;E40</f>
        <v>VVT Control Solenoid - Universal</v>
      </c>
      <c r="E40" s="9" t="s">
        <v>68</v>
      </c>
      <c r="F40" s="9" t="s">
        <v>94</v>
      </c>
      <c r="G40" s="10" t="n">
        <f aca="false">IF($AK40=0,"",INDEX('Part types'!$P:$P,$AK40))</f>
        <v>10</v>
      </c>
      <c r="H40" s="10" t="n">
        <f aca="false">IF($AK40=0,"",INDEX('Part types'!$Q:$Q,$AK40))</f>
        <v>8</v>
      </c>
      <c r="I40" s="10" t="n">
        <f aca="false">IF($AK40=0,"",INDEX('Part types'!$R:$R,$AK40))</f>
        <v>6</v>
      </c>
      <c r="J40" s="10" t="n">
        <f aca="false">IF($AK40=0,"",INDEX('Part types'!$S:$S,$AK40))</f>
        <v>0.1</v>
      </c>
      <c r="K40" s="11" t="s">
        <v>267</v>
      </c>
      <c r="L40" s="11" t="s">
        <v>282</v>
      </c>
      <c r="M40" s="11" t="str">
        <f aca="false">L40&amp;" - "&amp;N40</f>
        <v>سولينويد التحكم VVT - عام</v>
      </c>
      <c r="N40" s="11" t="s">
        <v>72</v>
      </c>
      <c r="O40" s="11" t="s">
        <v>95</v>
      </c>
      <c r="P40" s="10" t="n">
        <f aca="false">G40</f>
        <v>10</v>
      </c>
      <c r="Q40" s="10" t="n">
        <f aca="false">H40</f>
        <v>8</v>
      </c>
      <c r="R40" s="10" t="n">
        <f aca="false">I40</f>
        <v>6</v>
      </c>
      <c r="S40" s="10" t="n">
        <f aca="false">J40</f>
        <v>0.1</v>
      </c>
      <c r="T40" s="12" t="s">
        <v>270</v>
      </c>
      <c r="U40" s="9" t="s">
        <v>283</v>
      </c>
      <c r="V40" s="9" t="str">
        <f aca="false">U40&amp;" - "&amp;W40</f>
        <v>VVT控制电磁阀 - 通用</v>
      </c>
      <c r="W40" s="12" t="s">
        <v>76</v>
      </c>
      <c r="X40" s="12" t="s">
        <v>96</v>
      </c>
      <c r="Y40" s="10" t="n">
        <f aca="false">G40</f>
        <v>10</v>
      </c>
      <c r="Z40" s="10" t="n">
        <f aca="false">H40</f>
        <v>8</v>
      </c>
      <c r="AA40" s="10" t="n">
        <f aca="false">I40</f>
        <v>6</v>
      </c>
      <c r="AB40" s="10" t="n">
        <f aca="false">J40</f>
        <v>0.1</v>
      </c>
      <c r="AC40" s="9" t="s">
        <v>273</v>
      </c>
      <c r="AD40" s="9" t="s">
        <v>284</v>
      </c>
      <c r="AE40" s="9" t="str">
        <f aca="false">IF($AK40=0,"",INDEX('Part types'!$T:$T,$AK40)&amp;"")</f>
        <v>Combustion engine (petrol, diesel, hybrid, range extender)</v>
      </c>
      <c r="AF40" s="9" t="str">
        <f aca="false">IF($AK40=0,"",INDEX('Part types'!$U:$U,$AK40)&amp;"")</f>
        <v/>
      </c>
      <c r="AG40" s="9" t="str">
        <f aca="false">IF($AK40=0,"",INDEX('Part types'!$V:$V,$AK40)&amp;"")</f>
        <v>Estimate: size class XS</v>
      </c>
      <c r="AH40" s="9" t="str">
        <f aca="false">IF($AK40=0,"",INDEX('Part types'!$W:$W,$AK40)&amp;"")</f>
        <v/>
      </c>
      <c r="AI40" s="11" t="str">
        <f aca="false">IF($AK40=0,"",INDEX('Part types'!$X:$X,$AK40)&amp;"")</f>
        <v/>
      </c>
      <c r="AJ40" s="9" t="str">
        <f aca="false">IF($AK40=0,"",INDEX('Part types'!$Y:$Y,$AK40)&amp;"")</f>
        <v/>
      </c>
      <c r="AK40" s="9" t="n">
        <f aca="false">IFERROR(MATCH($AD40,'Part types'!$E:$E,0),0)</f>
        <v>36</v>
      </c>
    </row>
    <row r="41" customFormat="false" ht="15" hidden="false" customHeight="false" outlineLevel="0" collapsed="false">
      <c r="A41" s="9" t="s">
        <v>285</v>
      </c>
      <c r="B41" s="9" t="s">
        <v>264</v>
      </c>
      <c r="C41" s="9" t="s">
        <v>286</v>
      </c>
      <c r="D41" s="9" t="str">
        <f aca="false">C41&amp;" - "&amp;E41</f>
        <v>Timing Belt - Universal</v>
      </c>
      <c r="E41" s="9" t="s">
        <v>68</v>
      </c>
      <c r="F41" s="9" t="s">
        <v>266</v>
      </c>
      <c r="G41" s="10" t="n">
        <f aca="false">IF($AK41=0,"",INDEX('Part types'!$P:$P,$AK41))</f>
        <v>15</v>
      </c>
      <c r="H41" s="10" t="n">
        <f aca="false">IF($AK41=0,"",INDEX('Part types'!$Q:$Q,$AK41))</f>
        <v>10</v>
      </c>
      <c r="I41" s="10" t="n">
        <f aca="false">IF($AK41=0,"",INDEX('Part types'!$R:$R,$AK41))</f>
        <v>8</v>
      </c>
      <c r="J41" s="10" t="n">
        <f aca="false">IF($AK41=0,"",INDEX('Part types'!$S:$S,$AK41))</f>
        <v>0.3</v>
      </c>
      <c r="K41" s="11" t="s">
        <v>267</v>
      </c>
      <c r="L41" s="11" t="s">
        <v>287</v>
      </c>
      <c r="M41" s="11" t="str">
        <f aca="false">L41&amp;" - "&amp;N41</f>
        <v>سير التوقيت - عام</v>
      </c>
      <c r="N41" s="11" t="s">
        <v>72</v>
      </c>
      <c r="O41" s="11" t="s">
        <v>269</v>
      </c>
      <c r="P41" s="10" t="n">
        <f aca="false">G41</f>
        <v>15</v>
      </c>
      <c r="Q41" s="10" t="n">
        <f aca="false">H41</f>
        <v>10</v>
      </c>
      <c r="R41" s="10" t="n">
        <f aca="false">I41</f>
        <v>8</v>
      </c>
      <c r="S41" s="10" t="n">
        <f aca="false">J41</f>
        <v>0.3</v>
      </c>
      <c r="T41" s="12" t="s">
        <v>270</v>
      </c>
      <c r="U41" s="12" t="s">
        <v>288</v>
      </c>
      <c r="V41" s="9" t="str">
        <f aca="false">U41&amp;" - "&amp;W41</f>
        <v>正时皮带 - 通用</v>
      </c>
      <c r="W41" s="12" t="s">
        <v>76</v>
      </c>
      <c r="X41" s="12" t="s">
        <v>272</v>
      </c>
      <c r="Y41" s="10" t="n">
        <f aca="false">G41</f>
        <v>15</v>
      </c>
      <c r="Z41" s="10" t="n">
        <f aca="false">H41</f>
        <v>10</v>
      </c>
      <c r="AA41" s="10" t="n">
        <f aca="false">I41</f>
        <v>8</v>
      </c>
      <c r="AB41" s="10" t="n">
        <f aca="false">J41</f>
        <v>0.3</v>
      </c>
      <c r="AC41" s="9" t="s">
        <v>273</v>
      </c>
      <c r="AD41" s="9" t="s">
        <v>289</v>
      </c>
      <c r="AE41" s="9" t="str">
        <f aca="false">IF($AK41=0,"",INDEX('Part types'!$T:$T,$AK41)&amp;"")</f>
        <v>Combustion engine (petrol, diesel, hybrid, range extender)</v>
      </c>
      <c r="AF41" s="9" t="str">
        <f aca="false">IF($AK41=0,"",INDEX('Part types'!$U:$U,$AK41)&amp;"")</f>
        <v/>
      </c>
      <c r="AG41" s="9" t="str">
        <f aca="false">IF($AK41=0,"",INDEX('Part types'!$V:$V,$AK41)&amp;"")</f>
        <v>Estimate: size class S</v>
      </c>
      <c r="AH41" s="9" t="str">
        <f aca="false">IF($AK41=0,"",INDEX('Part types'!$W:$W,$AK41)&amp;"")</f>
        <v/>
      </c>
      <c r="AI41" s="11" t="str">
        <f aca="false">IF($AK41=0,"",INDEX('Part types'!$X:$X,$AK41)&amp;"")</f>
        <v/>
      </c>
      <c r="AJ41" s="9" t="str">
        <f aca="false">IF($AK41=0,"",INDEX('Part types'!$Y:$Y,$AK41)&amp;"")</f>
        <v/>
      </c>
      <c r="AK41" s="9" t="n">
        <f aca="false">IFERROR(MATCH($AD41,'Part types'!$E:$E,0),0)</f>
        <v>37</v>
      </c>
    </row>
    <row r="42" customFormat="false" ht="15" hidden="false" customHeight="false" outlineLevel="0" collapsed="false">
      <c r="A42" s="9" t="s">
        <v>290</v>
      </c>
      <c r="B42" s="9" t="s">
        <v>264</v>
      </c>
      <c r="C42" s="9" t="s">
        <v>291</v>
      </c>
      <c r="D42" s="9" t="str">
        <f aca="false">C42&amp;" - "&amp;E42</f>
        <v>Timing Belt Kit - Universal</v>
      </c>
      <c r="E42" s="9" t="s">
        <v>68</v>
      </c>
      <c r="F42" s="9" t="s">
        <v>266</v>
      </c>
      <c r="G42" s="10" t="n">
        <f aca="false">IF($AK42=0,"",INDEX('Part types'!$P:$P,$AK42))</f>
        <v>25</v>
      </c>
      <c r="H42" s="10" t="n">
        <f aca="false">IF($AK42=0,"",INDEX('Part types'!$Q:$Q,$AK42))</f>
        <v>15</v>
      </c>
      <c r="I42" s="10" t="n">
        <f aca="false">IF($AK42=0,"",INDEX('Part types'!$R:$R,$AK42))</f>
        <v>10</v>
      </c>
      <c r="J42" s="10" t="n">
        <f aca="false">IF($AK42=0,"",INDEX('Part types'!$S:$S,$AK42))</f>
        <v>0.9</v>
      </c>
      <c r="K42" s="11" t="s">
        <v>267</v>
      </c>
      <c r="L42" s="11" t="s">
        <v>292</v>
      </c>
      <c r="M42" s="11" t="str">
        <f aca="false">L42&amp;" - "&amp;N42</f>
        <v>طقم سير التوقيت - عام</v>
      </c>
      <c r="N42" s="11" t="s">
        <v>72</v>
      </c>
      <c r="O42" s="11" t="s">
        <v>269</v>
      </c>
      <c r="P42" s="10" t="n">
        <f aca="false">G42</f>
        <v>25</v>
      </c>
      <c r="Q42" s="10" t="n">
        <f aca="false">H42</f>
        <v>15</v>
      </c>
      <c r="R42" s="10" t="n">
        <f aca="false">I42</f>
        <v>10</v>
      </c>
      <c r="S42" s="10" t="n">
        <f aca="false">J42</f>
        <v>0.9</v>
      </c>
      <c r="T42" s="12" t="s">
        <v>270</v>
      </c>
      <c r="U42" s="12" t="s">
        <v>293</v>
      </c>
      <c r="V42" s="9" t="str">
        <f aca="false">U42&amp;" - "&amp;W42</f>
        <v>正时皮带套装 - 通用</v>
      </c>
      <c r="W42" s="12" t="s">
        <v>76</v>
      </c>
      <c r="X42" s="12" t="s">
        <v>272</v>
      </c>
      <c r="Y42" s="10" t="n">
        <f aca="false">G42</f>
        <v>25</v>
      </c>
      <c r="Z42" s="10" t="n">
        <f aca="false">H42</f>
        <v>15</v>
      </c>
      <c r="AA42" s="10" t="n">
        <f aca="false">I42</f>
        <v>10</v>
      </c>
      <c r="AB42" s="10" t="n">
        <f aca="false">J42</f>
        <v>0.9</v>
      </c>
      <c r="AC42" s="9" t="s">
        <v>273</v>
      </c>
      <c r="AD42" s="9" t="s">
        <v>294</v>
      </c>
      <c r="AE42" s="9" t="str">
        <f aca="false">IF($AK42=0,"",INDEX('Part types'!$T:$T,$AK42)&amp;"")</f>
        <v>Combustion engine (petrol, diesel, hybrid, range extender)</v>
      </c>
      <c r="AF42" s="9" t="str">
        <f aca="false">IF($AK42=0,"",INDEX('Part types'!$U:$U,$AK42)&amp;"")</f>
        <v/>
      </c>
      <c r="AG42" s="9" t="str">
        <f aca="false">IF($AK42=0,"",INDEX('Part types'!$V:$V,$AK42)&amp;"")</f>
        <v>Estimate: size class M</v>
      </c>
      <c r="AH42" s="9" t="str">
        <f aca="false">IF($AK42=0,"",INDEX('Part types'!$W:$W,$AK42)&amp;"")</f>
        <v/>
      </c>
      <c r="AI42" s="11" t="str">
        <f aca="false">IF($AK42=0,"",INDEX('Part types'!$X:$X,$AK42)&amp;"")</f>
        <v/>
      </c>
      <c r="AJ42" s="9" t="str">
        <f aca="false">IF($AK42=0,"",INDEX('Part types'!$Y:$Y,$AK42)&amp;"")</f>
        <v/>
      </c>
      <c r="AK42" s="9" t="n">
        <f aca="false">IFERROR(MATCH($AD42,'Part types'!$E:$E,0),0)</f>
        <v>38</v>
      </c>
    </row>
    <row r="43" customFormat="false" ht="15" hidden="false" customHeight="false" outlineLevel="0" collapsed="false">
      <c r="A43" s="9" t="s">
        <v>295</v>
      </c>
      <c r="B43" s="9" t="s">
        <v>264</v>
      </c>
      <c r="C43" s="9" t="s">
        <v>296</v>
      </c>
      <c r="D43" s="9" t="str">
        <f aca="false">C43&amp;" - "&amp;E43</f>
        <v>Timing Chain - Universal</v>
      </c>
      <c r="E43" s="9" t="s">
        <v>68</v>
      </c>
      <c r="F43" s="9" t="s">
        <v>266</v>
      </c>
      <c r="G43" s="10" t="n">
        <f aca="false">IF($AK43=0,"",INDEX('Part types'!$P:$P,$AK43))</f>
        <v>15</v>
      </c>
      <c r="H43" s="10" t="n">
        <f aca="false">IF($AK43=0,"",INDEX('Part types'!$Q:$Q,$AK43))</f>
        <v>10</v>
      </c>
      <c r="I43" s="10" t="n">
        <f aca="false">IF($AK43=0,"",INDEX('Part types'!$R:$R,$AK43))</f>
        <v>8</v>
      </c>
      <c r="J43" s="10" t="n">
        <f aca="false">IF($AK43=0,"",INDEX('Part types'!$S:$S,$AK43))</f>
        <v>0.3</v>
      </c>
      <c r="K43" s="11" t="s">
        <v>267</v>
      </c>
      <c r="L43" s="11" t="s">
        <v>297</v>
      </c>
      <c r="M43" s="11" t="str">
        <f aca="false">L43&amp;" - "&amp;N43</f>
        <v>جنزير التوقيت - عام</v>
      </c>
      <c r="N43" s="11" t="s">
        <v>72</v>
      </c>
      <c r="O43" s="11" t="s">
        <v>269</v>
      </c>
      <c r="P43" s="10" t="n">
        <f aca="false">G43</f>
        <v>15</v>
      </c>
      <c r="Q43" s="10" t="n">
        <f aca="false">H43</f>
        <v>10</v>
      </c>
      <c r="R43" s="10" t="n">
        <f aca="false">I43</f>
        <v>8</v>
      </c>
      <c r="S43" s="10" t="n">
        <f aca="false">J43</f>
        <v>0.3</v>
      </c>
      <c r="T43" s="12" t="s">
        <v>270</v>
      </c>
      <c r="U43" s="12" t="s">
        <v>298</v>
      </c>
      <c r="V43" s="9" t="str">
        <f aca="false">U43&amp;" - "&amp;W43</f>
        <v>正时链条 - 通用</v>
      </c>
      <c r="W43" s="12" t="s">
        <v>76</v>
      </c>
      <c r="X43" s="12" t="s">
        <v>272</v>
      </c>
      <c r="Y43" s="10" t="n">
        <f aca="false">G43</f>
        <v>15</v>
      </c>
      <c r="Z43" s="10" t="n">
        <f aca="false">H43</f>
        <v>10</v>
      </c>
      <c r="AA43" s="10" t="n">
        <f aca="false">I43</f>
        <v>8</v>
      </c>
      <c r="AB43" s="10" t="n">
        <f aca="false">J43</f>
        <v>0.3</v>
      </c>
      <c r="AC43" s="9" t="s">
        <v>273</v>
      </c>
      <c r="AD43" s="9" t="s">
        <v>299</v>
      </c>
      <c r="AE43" s="9" t="str">
        <f aca="false">IF($AK43=0,"",INDEX('Part types'!$T:$T,$AK43)&amp;"")</f>
        <v>Combustion engine (petrol, diesel, hybrid, range extender)</v>
      </c>
      <c r="AF43" s="9" t="str">
        <f aca="false">IF($AK43=0,"",INDEX('Part types'!$U:$U,$AK43)&amp;"")</f>
        <v/>
      </c>
      <c r="AG43" s="9" t="str">
        <f aca="false">IF($AK43=0,"",INDEX('Part types'!$V:$V,$AK43)&amp;"")</f>
        <v>Estimate: size class S</v>
      </c>
      <c r="AH43" s="9" t="str">
        <f aca="false">IF($AK43=0,"",INDEX('Part types'!$W:$W,$AK43)&amp;"")</f>
        <v/>
      </c>
      <c r="AI43" s="11" t="str">
        <f aca="false">IF($AK43=0,"",INDEX('Part types'!$X:$X,$AK43)&amp;"")</f>
        <v/>
      </c>
      <c r="AJ43" s="9" t="str">
        <f aca="false">IF($AK43=0,"",INDEX('Part types'!$Y:$Y,$AK43)&amp;"")</f>
        <v/>
      </c>
      <c r="AK43" s="9" t="n">
        <f aca="false">IFERROR(MATCH($AD43,'Part types'!$E:$E,0),0)</f>
        <v>39</v>
      </c>
    </row>
    <row r="44" customFormat="false" ht="15" hidden="false" customHeight="false" outlineLevel="0" collapsed="false">
      <c r="A44" s="9" t="s">
        <v>300</v>
      </c>
      <c r="B44" s="9" t="s">
        <v>264</v>
      </c>
      <c r="C44" s="9" t="s">
        <v>301</v>
      </c>
      <c r="D44" s="9" t="str">
        <f aca="false">C44&amp;" - "&amp;E44</f>
        <v>Timing Chain Kit - Universal</v>
      </c>
      <c r="E44" s="9" t="s">
        <v>68</v>
      </c>
      <c r="F44" s="9" t="s">
        <v>266</v>
      </c>
      <c r="G44" s="10" t="n">
        <f aca="false">IF($AK44=0,"",INDEX('Part types'!$P:$P,$AK44))</f>
        <v>25</v>
      </c>
      <c r="H44" s="10" t="n">
        <f aca="false">IF($AK44=0,"",INDEX('Part types'!$Q:$Q,$AK44))</f>
        <v>15</v>
      </c>
      <c r="I44" s="10" t="n">
        <f aca="false">IF($AK44=0,"",INDEX('Part types'!$R:$R,$AK44))</f>
        <v>10</v>
      </c>
      <c r="J44" s="10" t="n">
        <f aca="false">IF($AK44=0,"",INDEX('Part types'!$S:$S,$AK44))</f>
        <v>0.9</v>
      </c>
      <c r="K44" s="11" t="s">
        <v>267</v>
      </c>
      <c r="L44" s="11" t="s">
        <v>302</v>
      </c>
      <c r="M44" s="11" t="str">
        <f aca="false">L44&amp;" - "&amp;N44</f>
        <v>طقم جنزير التوقيت - عام</v>
      </c>
      <c r="N44" s="11" t="s">
        <v>72</v>
      </c>
      <c r="O44" s="11" t="s">
        <v>269</v>
      </c>
      <c r="P44" s="10" t="n">
        <f aca="false">G44</f>
        <v>25</v>
      </c>
      <c r="Q44" s="10" t="n">
        <f aca="false">H44</f>
        <v>15</v>
      </c>
      <c r="R44" s="10" t="n">
        <f aca="false">I44</f>
        <v>10</v>
      </c>
      <c r="S44" s="10" t="n">
        <f aca="false">J44</f>
        <v>0.9</v>
      </c>
      <c r="T44" s="12" t="s">
        <v>270</v>
      </c>
      <c r="U44" s="12" t="s">
        <v>303</v>
      </c>
      <c r="V44" s="9" t="str">
        <f aca="false">U44&amp;" - "&amp;W44</f>
        <v>正时链条套装 - 通用</v>
      </c>
      <c r="W44" s="12" t="s">
        <v>76</v>
      </c>
      <c r="X44" s="12" t="s">
        <v>272</v>
      </c>
      <c r="Y44" s="10" t="n">
        <f aca="false">G44</f>
        <v>25</v>
      </c>
      <c r="Z44" s="10" t="n">
        <f aca="false">H44</f>
        <v>15</v>
      </c>
      <c r="AA44" s="10" t="n">
        <f aca="false">I44</f>
        <v>10</v>
      </c>
      <c r="AB44" s="10" t="n">
        <f aca="false">J44</f>
        <v>0.9</v>
      </c>
      <c r="AC44" s="9" t="s">
        <v>273</v>
      </c>
      <c r="AD44" s="9" t="s">
        <v>304</v>
      </c>
      <c r="AE44" s="9" t="str">
        <f aca="false">IF($AK44=0,"",INDEX('Part types'!$T:$T,$AK44)&amp;"")</f>
        <v>Combustion engine (petrol, diesel, hybrid, range extender)</v>
      </c>
      <c r="AF44" s="9" t="str">
        <f aca="false">IF($AK44=0,"",INDEX('Part types'!$U:$U,$AK44)&amp;"")</f>
        <v/>
      </c>
      <c r="AG44" s="9" t="str">
        <f aca="false">IF($AK44=0,"",INDEX('Part types'!$V:$V,$AK44)&amp;"")</f>
        <v>Estimate: size class M</v>
      </c>
      <c r="AH44" s="9" t="str">
        <f aca="false">IF($AK44=0,"",INDEX('Part types'!$W:$W,$AK44)&amp;"")</f>
        <v/>
      </c>
      <c r="AI44" s="11" t="str">
        <f aca="false">IF($AK44=0,"",INDEX('Part types'!$X:$X,$AK44)&amp;"")</f>
        <v/>
      </c>
      <c r="AJ44" s="9" t="str">
        <f aca="false">IF($AK44=0,"",INDEX('Part types'!$Y:$Y,$AK44)&amp;"")</f>
        <v/>
      </c>
      <c r="AK44" s="9" t="n">
        <f aca="false">IFERROR(MATCH($AD44,'Part types'!$E:$E,0),0)</f>
        <v>40</v>
      </c>
    </row>
    <row r="45" customFormat="false" ht="15" hidden="false" customHeight="false" outlineLevel="0" collapsed="false">
      <c r="A45" s="9" t="s">
        <v>305</v>
      </c>
      <c r="B45" s="9" t="s">
        <v>264</v>
      </c>
      <c r="C45" s="9" t="s">
        <v>306</v>
      </c>
      <c r="D45" s="9" t="str">
        <f aca="false">C45&amp;" - "&amp;E45</f>
        <v>Timing Chain Tensioner - Universal</v>
      </c>
      <c r="E45" s="9" t="s">
        <v>68</v>
      </c>
      <c r="F45" s="9" t="s">
        <v>266</v>
      </c>
      <c r="G45" s="10" t="n">
        <f aca="false">IF($AK45=0,"",INDEX('Part types'!$P:$P,$AK45))</f>
        <v>10</v>
      </c>
      <c r="H45" s="10" t="n">
        <f aca="false">IF($AK45=0,"",INDEX('Part types'!$Q:$Q,$AK45))</f>
        <v>8</v>
      </c>
      <c r="I45" s="10" t="n">
        <f aca="false">IF($AK45=0,"",INDEX('Part types'!$R:$R,$AK45))</f>
        <v>6</v>
      </c>
      <c r="J45" s="10" t="n">
        <f aca="false">IF($AK45=0,"",INDEX('Part types'!$S:$S,$AK45))</f>
        <v>0.1</v>
      </c>
      <c r="K45" s="11" t="s">
        <v>267</v>
      </c>
      <c r="L45" s="11" t="s">
        <v>307</v>
      </c>
      <c r="M45" s="11" t="str">
        <f aca="false">L45&amp;" - "&amp;N45</f>
        <v>مشد جنزير التوقيت - عام</v>
      </c>
      <c r="N45" s="11" t="s">
        <v>72</v>
      </c>
      <c r="O45" s="11" t="s">
        <v>269</v>
      </c>
      <c r="P45" s="10" t="n">
        <f aca="false">G45</f>
        <v>10</v>
      </c>
      <c r="Q45" s="10" t="n">
        <f aca="false">H45</f>
        <v>8</v>
      </c>
      <c r="R45" s="10" t="n">
        <f aca="false">I45</f>
        <v>6</v>
      </c>
      <c r="S45" s="10" t="n">
        <f aca="false">J45</f>
        <v>0.1</v>
      </c>
      <c r="T45" s="12" t="s">
        <v>270</v>
      </c>
      <c r="U45" s="12" t="s">
        <v>308</v>
      </c>
      <c r="V45" s="9" t="str">
        <f aca="false">U45&amp;" - "&amp;W45</f>
        <v>正时链条张紧器 - 通用</v>
      </c>
      <c r="W45" s="12" t="s">
        <v>76</v>
      </c>
      <c r="X45" s="12" t="s">
        <v>272</v>
      </c>
      <c r="Y45" s="10" t="n">
        <f aca="false">G45</f>
        <v>10</v>
      </c>
      <c r="Z45" s="10" t="n">
        <f aca="false">H45</f>
        <v>8</v>
      </c>
      <c r="AA45" s="10" t="n">
        <f aca="false">I45</f>
        <v>6</v>
      </c>
      <c r="AB45" s="10" t="n">
        <f aca="false">J45</f>
        <v>0.1</v>
      </c>
      <c r="AC45" s="9" t="s">
        <v>273</v>
      </c>
      <c r="AD45" s="9" t="s">
        <v>309</v>
      </c>
      <c r="AE45" s="9" t="str">
        <f aca="false">IF($AK45=0,"",INDEX('Part types'!$T:$T,$AK45)&amp;"")</f>
        <v>Combustion engine (petrol, diesel, hybrid, range extender)</v>
      </c>
      <c r="AF45" s="9" t="str">
        <f aca="false">IF($AK45=0,"",INDEX('Part types'!$U:$U,$AK45)&amp;"")</f>
        <v/>
      </c>
      <c r="AG45" s="9" t="str">
        <f aca="false">IF($AK45=0,"",INDEX('Part types'!$V:$V,$AK45)&amp;"")</f>
        <v>Estimate: size class XS</v>
      </c>
      <c r="AH45" s="9" t="str">
        <f aca="false">IF($AK45=0,"",INDEX('Part types'!$W:$W,$AK45)&amp;"")</f>
        <v/>
      </c>
      <c r="AI45" s="11" t="str">
        <f aca="false">IF($AK45=0,"",INDEX('Part types'!$X:$X,$AK45)&amp;"")</f>
        <v/>
      </c>
      <c r="AJ45" s="9" t="str">
        <f aca="false">IF($AK45=0,"",INDEX('Part types'!$Y:$Y,$AK45)&amp;"")</f>
        <v/>
      </c>
      <c r="AK45" s="9" t="n">
        <f aca="false">IFERROR(MATCH($AD45,'Part types'!$E:$E,0),0)</f>
        <v>41</v>
      </c>
    </row>
    <row r="46" customFormat="false" ht="15" hidden="false" customHeight="false" outlineLevel="0" collapsed="false">
      <c r="A46" s="9" t="s">
        <v>310</v>
      </c>
      <c r="B46" s="9" t="s">
        <v>264</v>
      </c>
      <c r="C46" s="9" t="s">
        <v>311</v>
      </c>
      <c r="D46" s="9" t="str">
        <f aca="false">C46&amp;" - "&amp;E46</f>
        <v>Timing Chain Guide - Universal</v>
      </c>
      <c r="E46" s="9" t="s">
        <v>68</v>
      </c>
      <c r="F46" s="9" t="s">
        <v>266</v>
      </c>
      <c r="G46" s="10" t="n">
        <f aca="false">IF($AK46=0,"",INDEX('Part types'!$P:$P,$AK46))</f>
        <v>10</v>
      </c>
      <c r="H46" s="10" t="n">
        <f aca="false">IF($AK46=0,"",INDEX('Part types'!$Q:$Q,$AK46))</f>
        <v>8</v>
      </c>
      <c r="I46" s="10" t="n">
        <f aca="false">IF($AK46=0,"",INDEX('Part types'!$R:$R,$AK46))</f>
        <v>6</v>
      </c>
      <c r="J46" s="10" t="n">
        <f aca="false">IF($AK46=0,"",INDEX('Part types'!$S:$S,$AK46))</f>
        <v>0.1</v>
      </c>
      <c r="K46" s="11" t="s">
        <v>267</v>
      </c>
      <c r="L46" s="11" t="s">
        <v>312</v>
      </c>
      <c r="M46" s="11" t="str">
        <f aca="false">L46&amp;" - "&amp;N46</f>
        <v>دليل جنزير التوقيت - عام</v>
      </c>
      <c r="N46" s="11" t="s">
        <v>72</v>
      </c>
      <c r="O46" s="11" t="s">
        <v>269</v>
      </c>
      <c r="P46" s="10" t="n">
        <f aca="false">G46</f>
        <v>10</v>
      </c>
      <c r="Q46" s="10" t="n">
        <f aca="false">H46</f>
        <v>8</v>
      </c>
      <c r="R46" s="10" t="n">
        <f aca="false">I46</f>
        <v>6</v>
      </c>
      <c r="S46" s="10" t="n">
        <f aca="false">J46</f>
        <v>0.1</v>
      </c>
      <c r="T46" s="12" t="s">
        <v>270</v>
      </c>
      <c r="U46" s="12" t="s">
        <v>313</v>
      </c>
      <c r="V46" s="9" t="str">
        <f aca="false">U46&amp;" - "&amp;W46</f>
        <v>正时链条导轨 - 通用</v>
      </c>
      <c r="W46" s="12" t="s">
        <v>76</v>
      </c>
      <c r="X46" s="12" t="s">
        <v>272</v>
      </c>
      <c r="Y46" s="10" t="n">
        <f aca="false">G46</f>
        <v>10</v>
      </c>
      <c r="Z46" s="10" t="n">
        <f aca="false">H46</f>
        <v>8</v>
      </c>
      <c r="AA46" s="10" t="n">
        <f aca="false">I46</f>
        <v>6</v>
      </c>
      <c r="AB46" s="10" t="n">
        <f aca="false">J46</f>
        <v>0.1</v>
      </c>
      <c r="AC46" s="9" t="s">
        <v>273</v>
      </c>
      <c r="AD46" s="9" t="s">
        <v>314</v>
      </c>
      <c r="AE46" s="9" t="str">
        <f aca="false">IF($AK46=0,"",INDEX('Part types'!$T:$T,$AK46)&amp;"")</f>
        <v>Combustion engine (petrol, diesel, hybrid, range extender)</v>
      </c>
      <c r="AF46" s="9" t="str">
        <f aca="false">IF($AK46=0,"",INDEX('Part types'!$U:$U,$AK46)&amp;"")</f>
        <v/>
      </c>
      <c r="AG46" s="9" t="str">
        <f aca="false">IF($AK46=0,"",INDEX('Part types'!$V:$V,$AK46)&amp;"")</f>
        <v>Estimate: size class XS</v>
      </c>
      <c r="AH46" s="9" t="str">
        <f aca="false">IF($AK46=0,"",INDEX('Part types'!$W:$W,$AK46)&amp;"")</f>
        <v/>
      </c>
      <c r="AI46" s="11" t="str">
        <f aca="false">IF($AK46=0,"",INDEX('Part types'!$X:$X,$AK46)&amp;"")</f>
        <v/>
      </c>
      <c r="AJ46" s="9" t="str">
        <f aca="false">IF($AK46=0,"",INDEX('Part types'!$Y:$Y,$AK46)&amp;"")</f>
        <v/>
      </c>
      <c r="AK46" s="9" t="n">
        <f aca="false">IFERROR(MATCH($AD46,'Part types'!$E:$E,0),0)</f>
        <v>42</v>
      </c>
    </row>
    <row r="47" customFormat="false" ht="15" hidden="false" customHeight="false" outlineLevel="0" collapsed="false">
      <c r="A47" s="9" t="s">
        <v>315</v>
      </c>
      <c r="B47" s="9" t="s">
        <v>264</v>
      </c>
      <c r="C47" s="9" t="s">
        <v>316</v>
      </c>
      <c r="D47" s="9" t="str">
        <f aca="false">C47&amp;" - "&amp;E47</f>
        <v>Timing Belt Tensioner - Universal</v>
      </c>
      <c r="E47" s="9" t="s">
        <v>68</v>
      </c>
      <c r="F47" s="9" t="s">
        <v>266</v>
      </c>
      <c r="G47" s="10" t="n">
        <f aca="false">IF($AK47=0,"",INDEX('Part types'!$P:$P,$AK47))</f>
        <v>10</v>
      </c>
      <c r="H47" s="10" t="n">
        <f aca="false">IF($AK47=0,"",INDEX('Part types'!$Q:$Q,$AK47))</f>
        <v>8</v>
      </c>
      <c r="I47" s="10" t="n">
        <f aca="false">IF($AK47=0,"",INDEX('Part types'!$R:$R,$AK47))</f>
        <v>6</v>
      </c>
      <c r="J47" s="10" t="n">
        <f aca="false">IF($AK47=0,"",INDEX('Part types'!$S:$S,$AK47))</f>
        <v>0.1</v>
      </c>
      <c r="K47" s="11" t="s">
        <v>267</v>
      </c>
      <c r="L47" s="11" t="s">
        <v>317</v>
      </c>
      <c r="M47" s="11" t="str">
        <f aca="false">L47&amp;" - "&amp;N47</f>
        <v>مشد سير التوقيت - عام</v>
      </c>
      <c r="N47" s="11" t="s">
        <v>72</v>
      </c>
      <c r="O47" s="11" t="s">
        <v>269</v>
      </c>
      <c r="P47" s="10" t="n">
        <f aca="false">G47</f>
        <v>10</v>
      </c>
      <c r="Q47" s="10" t="n">
        <f aca="false">H47</f>
        <v>8</v>
      </c>
      <c r="R47" s="10" t="n">
        <f aca="false">I47</f>
        <v>6</v>
      </c>
      <c r="S47" s="10" t="n">
        <f aca="false">J47</f>
        <v>0.1</v>
      </c>
      <c r="T47" s="12" t="s">
        <v>270</v>
      </c>
      <c r="U47" s="12" t="s">
        <v>318</v>
      </c>
      <c r="V47" s="9" t="str">
        <f aca="false">U47&amp;" - "&amp;W47</f>
        <v>正时皮带张紧轮 - 通用</v>
      </c>
      <c r="W47" s="12" t="s">
        <v>76</v>
      </c>
      <c r="X47" s="12" t="s">
        <v>272</v>
      </c>
      <c r="Y47" s="10" t="n">
        <f aca="false">G47</f>
        <v>10</v>
      </c>
      <c r="Z47" s="10" t="n">
        <f aca="false">H47</f>
        <v>8</v>
      </c>
      <c r="AA47" s="10" t="n">
        <f aca="false">I47</f>
        <v>6</v>
      </c>
      <c r="AB47" s="10" t="n">
        <f aca="false">J47</f>
        <v>0.1</v>
      </c>
      <c r="AC47" s="9" t="s">
        <v>273</v>
      </c>
      <c r="AD47" s="9" t="s">
        <v>319</v>
      </c>
      <c r="AE47" s="9" t="str">
        <f aca="false">IF($AK47=0,"",INDEX('Part types'!$T:$T,$AK47)&amp;"")</f>
        <v>Combustion engine (petrol, diesel, hybrid, range extender)</v>
      </c>
      <c r="AF47" s="9" t="str">
        <f aca="false">IF($AK47=0,"",INDEX('Part types'!$U:$U,$AK47)&amp;"")</f>
        <v/>
      </c>
      <c r="AG47" s="9" t="str">
        <f aca="false">IF($AK47=0,"",INDEX('Part types'!$V:$V,$AK47)&amp;"")</f>
        <v>Estimate: size class XS</v>
      </c>
      <c r="AH47" s="9" t="str">
        <f aca="false">IF($AK47=0,"",INDEX('Part types'!$W:$W,$AK47)&amp;"")</f>
        <v/>
      </c>
      <c r="AI47" s="11" t="str">
        <f aca="false">IF($AK47=0,"",INDEX('Part types'!$X:$X,$AK47)&amp;"")</f>
        <v/>
      </c>
      <c r="AJ47" s="9" t="str">
        <f aca="false">IF($AK47=0,"",INDEX('Part types'!$Y:$Y,$AK47)&amp;"")</f>
        <v/>
      </c>
      <c r="AK47" s="9" t="n">
        <f aca="false">IFERROR(MATCH($AD47,'Part types'!$E:$E,0),0)</f>
        <v>43</v>
      </c>
    </row>
    <row r="48" customFormat="false" ht="15" hidden="false" customHeight="false" outlineLevel="0" collapsed="false">
      <c r="A48" s="9" t="s">
        <v>320</v>
      </c>
      <c r="B48" s="9" t="s">
        <v>264</v>
      </c>
      <c r="C48" s="9" t="s">
        <v>321</v>
      </c>
      <c r="D48" s="9" t="str">
        <f aca="false">C48&amp;" - "&amp;E48</f>
        <v>Timing Cover - Universal</v>
      </c>
      <c r="E48" s="9" t="s">
        <v>68</v>
      </c>
      <c r="F48" s="9" t="s">
        <v>266</v>
      </c>
      <c r="G48" s="10" t="n">
        <f aca="false">IF($AK48=0,"",INDEX('Part types'!$P:$P,$AK48))</f>
        <v>40</v>
      </c>
      <c r="H48" s="10" t="n">
        <f aca="false">IF($AK48=0,"",INDEX('Part types'!$Q:$Q,$AK48))</f>
        <v>25</v>
      </c>
      <c r="I48" s="10" t="n">
        <f aca="false">IF($AK48=0,"",INDEX('Part types'!$R:$R,$AK48))</f>
        <v>15</v>
      </c>
      <c r="J48" s="10" t="n">
        <f aca="false">IF($AK48=0,"",INDEX('Part types'!$S:$S,$AK48))</f>
        <v>3</v>
      </c>
      <c r="K48" s="11" t="s">
        <v>267</v>
      </c>
      <c r="L48" s="11" t="s">
        <v>322</v>
      </c>
      <c r="M48" s="11" t="str">
        <f aca="false">L48&amp;" - "&amp;N48</f>
        <v>غطاء التوقيت - عام</v>
      </c>
      <c r="N48" s="11" t="s">
        <v>72</v>
      </c>
      <c r="O48" s="11" t="s">
        <v>269</v>
      </c>
      <c r="P48" s="10" t="n">
        <f aca="false">G48</f>
        <v>40</v>
      </c>
      <c r="Q48" s="10" t="n">
        <f aca="false">H48</f>
        <v>25</v>
      </c>
      <c r="R48" s="10" t="n">
        <f aca="false">I48</f>
        <v>15</v>
      </c>
      <c r="S48" s="10" t="n">
        <f aca="false">J48</f>
        <v>3</v>
      </c>
      <c r="T48" s="12" t="s">
        <v>270</v>
      </c>
      <c r="U48" s="12" t="s">
        <v>323</v>
      </c>
      <c r="V48" s="9" t="str">
        <f aca="false">U48&amp;" - "&amp;W48</f>
        <v>正时盖 - 通用</v>
      </c>
      <c r="W48" s="12" t="s">
        <v>76</v>
      </c>
      <c r="X48" s="12" t="s">
        <v>272</v>
      </c>
      <c r="Y48" s="10" t="n">
        <f aca="false">G48</f>
        <v>40</v>
      </c>
      <c r="Z48" s="10" t="n">
        <f aca="false">H48</f>
        <v>25</v>
      </c>
      <c r="AA48" s="10" t="n">
        <f aca="false">I48</f>
        <v>15</v>
      </c>
      <c r="AB48" s="10" t="n">
        <f aca="false">J48</f>
        <v>3</v>
      </c>
      <c r="AC48" s="9" t="s">
        <v>273</v>
      </c>
      <c r="AD48" s="9" t="s">
        <v>324</v>
      </c>
      <c r="AE48" s="9" t="str">
        <f aca="false">IF($AK48=0,"",INDEX('Part types'!$T:$T,$AK48)&amp;"")</f>
        <v>Combustion engine (petrol, diesel, hybrid, range extender)</v>
      </c>
      <c r="AF48" s="9" t="str">
        <f aca="false">IF($AK48=0,"",INDEX('Part types'!$U:$U,$AK48)&amp;"")</f>
        <v/>
      </c>
      <c r="AG48" s="9" t="str">
        <f aca="false">IF($AK48=0,"",INDEX('Part types'!$V:$V,$AK48)&amp;"")</f>
        <v>Estimate: size class L</v>
      </c>
      <c r="AH48" s="9" t="str">
        <f aca="false">IF($AK48=0,"",INDEX('Part types'!$W:$W,$AK48)&amp;"")</f>
        <v/>
      </c>
      <c r="AI48" s="11" t="str">
        <f aca="false">IF($AK48=0,"",INDEX('Part types'!$X:$X,$AK48)&amp;"")</f>
        <v/>
      </c>
      <c r="AJ48" s="9" t="str">
        <f aca="false">IF($AK48=0,"",INDEX('Part types'!$Y:$Y,$AK48)&amp;"")</f>
        <v/>
      </c>
      <c r="AK48" s="9" t="n">
        <f aca="false">IFERROR(MATCH($AD48,'Part types'!$E:$E,0),0)</f>
        <v>44</v>
      </c>
    </row>
    <row r="49" customFormat="false" ht="15" hidden="false" customHeight="false" outlineLevel="0" collapsed="false">
      <c r="A49" s="9" t="s">
        <v>325</v>
      </c>
      <c r="B49" s="9" t="s">
        <v>264</v>
      </c>
      <c r="C49" s="9" t="s">
        <v>326</v>
      </c>
      <c r="D49" s="9" t="str">
        <f aca="false">C49&amp;" - "&amp;E49</f>
        <v>Drive Belt - Universal</v>
      </c>
      <c r="E49" s="9" t="s">
        <v>68</v>
      </c>
      <c r="F49" s="9" t="s">
        <v>266</v>
      </c>
      <c r="G49" s="10" t="n">
        <f aca="false">IF($AK49=0,"",INDEX('Part types'!$P:$P,$AK49))</f>
        <v>15</v>
      </c>
      <c r="H49" s="10" t="n">
        <f aca="false">IF($AK49=0,"",INDEX('Part types'!$Q:$Q,$AK49))</f>
        <v>10</v>
      </c>
      <c r="I49" s="10" t="n">
        <f aca="false">IF($AK49=0,"",INDEX('Part types'!$R:$R,$AK49))</f>
        <v>8</v>
      </c>
      <c r="J49" s="10" t="n">
        <f aca="false">IF($AK49=0,"",INDEX('Part types'!$S:$S,$AK49))</f>
        <v>0.3</v>
      </c>
      <c r="K49" s="11" t="s">
        <v>267</v>
      </c>
      <c r="L49" s="11" t="s">
        <v>327</v>
      </c>
      <c r="M49" s="11" t="str">
        <f aca="false">L49&amp;" - "&amp;N49</f>
        <v>سير المحرك - عام</v>
      </c>
      <c r="N49" s="11" t="s">
        <v>72</v>
      </c>
      <c r="O49" s="11" t="s">
        <v>269</v>
      </c>
      <c r="P49" s="10" t="n">
        <f aca="false">G49</f>
        <v>15</v>
      </c>
      <c r="Q49" s="10" t="n">
        <f aca="false">H49</f>
        <v>10</v>
      </c>
      <c r="R49" s="10" t="n">
        <f aca="false">I49</f>
        <v>8</v>
      </c>
      <c r="S49" s="10" t="n">
        <f aca="false">J49</f>
        <v>0.3</v>
      </c>
      <c r="T49" s="12" t="s">
        <v>270</v>
      </c>
      <c r="U49" s="12" t="s">
        <v>328</v>
      </c>
      <c r="V49" s="9" t="str">
        <f aca="false">U49&amp;" - "&amp;W49</f>
        <v>发动机附件皮带 - 通用</v>
      </c>
      <c r="W49" s="12" t="s">
        <v>76</v>
      </c>
      <c r="X49" s="12" t="s">
        <v>272</v>
      </c>
      <c r="Y49" s="10" t="n">
        <f aca="false">G49</f>
        <v>15</v>
      </c>
      <c r="Z49" s="10" t="n">
        <f aca="false">H49</f>
        <v>10</v>
      </c>
      <c r="AA49" s="10" t="n">
        <f aca="false">I49</f>
        <v>8</v>
      </c>
      <c r="AB49" s="10" t="n">
        <f aca="false">J49</f>
        <v>0.3</v>
      </c>
      <c r="AC49" s="9" t="s">
        <v>273</v>
      </c>
      <c r="AD49" s="9" t="s">
        <v>329</v>
      </c>
      <c r="AE49" s="9" t="str">
        <f aca="false">IF($AK49=0,"",INDEX('Part types'!$T:$T,$AK49)&amp;"")</f>
        <v>Combustion engine (petrol, diesel, hybrid, range extender)</v>
      </c>
      <c r="AF49" s="9" t="str">
        <f aca="false">IF($AK49=0,"",INDEX('Part types'!$U:$U,$AK49)&amp;"")</f>
        <v/>
      </c>
      <c r="AG49" s="9" t="str">
        <f aca="false">IF($AK49=0,"",INDEX('Part types'!$V:$V,$AK49)&amp;"")</f>
        <v>Estimate: size class S</v>
      </c>
      <c r="AH49" s="9" t="str">
        <f aca="false">IF($AK49=0,"",INDEX('Part types'!$W:$W,$AK49)&amp;"")</f>
        <v/>
      </c>
      <c r="AI49" s="11" t="str">
        <f aca="false">IF($AK49=0,"",INDEX('Part types'!$X:$X,$AK49)&amp;"")</f>
        <v>سير الملحقات</v>
      </c>
      <c r="AJ49" s="9" t="str">
        <f aca="false">IF($AK49=0,"",INDEX('Part types'!$Y:$Y,$AK49)&amp;"")</f>
        <v/>
      </c>
      <c r="AK49" s="9" t="n">
        <f aca="false">IFERROR(MATCH($AD49,'Part types'!$E:$E,0),0)</f>
        <v>45</v>
      </c>
    </row>
    <row r="50" customFormat="false" ht="15" hidden="false" customHeight="false" outlineLevel="0" collapsed="false">
      <c r="A50" s="9" t="s">
        <v>330</v>
      </c>
      <c r="B50" s="9" t="s">
        <v>264</v>
      </c>
      <c r="C50" s="9" t="s">
        <v>331</v>
      </c>
      <c r="D50" s="9" t="str">
        <f aca="false">C50&amp;" - "&amp;E50</f>
        <v>Drive Belt Tensioner - Universal</v>
      </c>
      <c r="E50" s="9" t="s">
        <v>68</v>
      </c>
      <c r="F50" s="9" t="s">
        <v>266</v>
      </c>
      <c r="G50" s="10" t="n">
        <f aca="false">IF($AK50=0,"",INDEX('Part types'!$P:$P,$AK50))</f>
        <v>15</v>
      </c>
      <c r="H50" s="10" t="n">
        <f aca="false">IF($AK50=0,"",INDEX('Part types'!$Q:$Q,$AK50))</f>
        <v>10</v>
      </c>
      <c r="I50" s="10" t="n">
        <f aca="false">IF($AK50=0,"",INDEX('Part types'!$R:$R,$AK50))</f>
        <v>8</v>
      </c>
      <c r="J50" s="10" t="n">
        <f aca="false">IF($AK50=0,"",INDEX('Part types'!$S:$S,$AK50))</f>
        <v>0.3</v>
      </c>
      <c r="K50" s="11" t="s">
        <v>267</v>
      </c>
      <c r="L50" s="11" t="s">
        <v>332</v>
      </c>
      <c r="M50" s="11" t="str">
        <f aca="false">L50&amp;" - "&amp;N50</f>
        <v>مشد سير المحرك - عام</v>
      </c>
      <c r="N50" s="11" t="s">
        <v>72</v>
      </c>
      <c r="O50" s="11" t="s">
        <v>269</v>
      </c>
      <c r="P50" s="10" t="n">
        <f aca="false">G50</f>
        <v>15</v>
      </c>
      <c r="Q50" s="10" t="n">
        <f aca="false">H50</f>
        <v>10</v>
      </c>
      <c r="R50" s="10" t="n">
        <f aca="false">I50</f>
        <v>8</v>
      </c>
      <c r="S50" s="10" t="n">
        <f aca="false">J50</f>
        <v>0.3</v>
      </c>
      <c r="T50" s="12" t="s">
        <v>270</v>
      </c>
      <c r="U50" s="12" t="s">
        <v>333</v>
      </c>
      <c r="V50" s="9" t="str">
        <f aca="false">U50&amp;" - "&amp;W50</f>
        <v>附件皮带张紧器 - 通用</v>
      </c>
      <c r="W50" s="12" t="s">
        <v>76</v>
      </c>
      <c r="X50" s="12" t="s">
        <v>272</v>
      </c>
      <c r="Y50" s="10" t="n">
        <f aca="false">G50</f>
        <v>15</v>
      </c>
      <c r="Z50" s="10" t="n">
        <f aca="false">H50</f>
        <v>10</v>
      </c>
      <c r="AA50" s="10" t="n">
        <f aca="false">I50</f>
        <v>8</v>
      </c>
      <c r="AB50" s="10" t="n">
        <f aca="false">J50</f>
        <v>0.3</v>
      </c>
      <c r="AC50" s="9" t="s">
        <v>273</v>
      </c>
      <c r="AD50" s="9" t="s">
        <v>334</v>
      </c>
      <c r="AE50" s="9" t="str">
        <f aca="false">IF($AK50=0,"",INDEX('Part types'!$T:$T,$AK50)&amp;"")</f>
        <v>Combustion engine (petrol, diesel, hybrid, range extender)</v>
      </c>
      <c r="AF50" s="9" t="str">
        <f aca="false">IF($AK50=0,"",INDEX('Part types'!$U:$U,$AK50)&amp;"")</f>
        <v/>
      </c>
      <c r="AG50" s="9" t="str">
        <f aca="false">IF($AK50=0,"",INDEX('Part types'!$V:$V,$AK50)&amp;"")</f>
        <v>Estimate: size class S</v>
      </c>
      <c r="AH50" s="9" t="str">
        <f aca="false">IF($AK50=0,"",INDEX('Part types'!$W:$W,$AK50)&amp;"")</f>
        <v/>
      </c>
      <c r="AI50" s="11" t="str">
        <f aca="false">IF($AK50=0,"",INDEX('Part types'!$X:$X,$AK50)&amp;"")</f>
        <v/>
      </c>
      <c r="AJ50" s="9" t="str">
        <f aca="false">IF($AK50=0,"",INDEX('Part types'!$Y:$Y,$AK50)&amp;"")</f>
        <v/>
      </c>
      <c r="AK50" s="9" t="n">
        <f aca="false">IFERROR(MATCH($AD50,'Part types'!$E:$E,0),0)</f>
        <v>46</v>
      </c>
    </row>
    <row r="51" customFormat="false" ht="15" hidden="false" customHeight="false" outlineLevel="0" collapsed="false">
      <c r="A51" s="9" t="s">
        <v>335</v>
      </c>
      <c r="B51" s="9" t="s">
        <v>264</v>
      </c>
      <c r="C51" s="9" t="s">
        <v>336</v>
      </c>
      <c r="D51" s="9" t="str">
        <f aca="false">C51&amp;" - "&amp;E51</f>
        <v>Idler Pulley - Universal</v>
      </c>
      <c r="E51" s="9" t="s">
        <v>68</v>
      </c>
      <c r="F51" s="9" t="s">
        <v>266</v>
      </c>
      <c r="G51" s="10" t="n">
        <f aca="false">IF($AK51=0,"",INDEX('Part types'!$P:$P,$AK51))</f>
        <v>10</v>
      </c>
      <c r="H51" s="10" t="n">
        <f aca="false">IF($AK51=0,"",INDEX('Part types'!$Q:$Q,$AK51))</f>
        <v>8</v>
      </c>
      <c r="I51" s="10" t="n">
        <f aca="false">IF($AK51=0,"",INDEX('Part types'!$R:$R,$AK51))</f>
        <v>6</v>
      </c>
      <c r="J51" s="10" t="n">
        <f aca="false">IF($AK51=0,"",INDEX('Part types'!$S:$S,$AK51))</f>
        <v>0.1</v>
      </c>
      <c r="K51" s="11" t="s">
        <v>267</v>
      </c>
      <c r="L51" s="11" t="s">
        <v>337</v>
      </c>
      <c r="M51" s="11" t="str">
        <f aca="false">L51&amp;" - "&amp;N51</f>
        <v>بكرة توجيه السير - عام</v>
      </c>
      <c r="N51" s="11" t="s">
        <v>72</v>
      </c>
      <c r="O51" s="11" t="s">
        <v>269</v>
      </c>
      <c r="P51" s="10" t="n">
        <f aca="false">G51</f>
        <v>10</v>
      </c>
      <c r="Q51" s="10" t="n">
        <f aca="false">H51</f>
        <v>8</v>
      </c>
      <c r="R51" s="10" t="n">
        <f aca="false">I51</f>
        <v>6</v>
      </c>
      <c r="S51" s="10" t="n">
        <f aca="false">J51</f>
        <v>0.1</v>
      </c>
      <c r="T51" s="12" t="s">
        <v>270</v>
      </c>
      <c r="U51" s="12" t="s">
        <v>338</v>
      </c>
      <c r="V51" s="9" t="str">
        <f aca="false">U51&amp;" - "&amp;W51</f>
        <v>惰轮 - 通用</v>
      </c>
      <c r="W51" s="12" t="s">
        <v>76</v>
      </c>
      <c r="X51" s="12" t="s">
        <v>272</v>
      </c>
      <c r="Y51" s="10" t="n">
        <f aca="false">G51</f>
        <v>10</v>
      </c>
      <c r="Z51" s="10" t="n">
        <f aca="false">H51</f>
        <v>8</v>
      </c>
      <c r="AA51" s="10" t="n">
        <f aca="false">I51</f>
        <v>6</v>
      </c>
      <c r="AB51" s="10" t="n">
        <f aca="false">J51</f>
        <v>0.1</v>
      </c>
      <c r="AC51" s="9" t="s">
        <v>273</v>
      </c>
      <c r="AD51" s="9" t="s">
        <v>339</v>
      </c>
      <c r="AE51" s="9" t="str">
        <f aca="false">IF($AK51=0,"",INDEX('Part types'!$T:$T,$AK51)&amp;"")</f>
        <v>Combustion engine (petrol, diesel, hybrid, range extender)</v>
      </c>
      <c r="AF51" s="9" t="str">
        <f aca="false">IF($AK51=0,"",INDEX('Part types'!$U:$U,$AK51)&amp;"")</f>
        <v/>
      </c>
      <c r="AG51" s="9" t="str">
        <f aca="false">IF($AK51=0,"",INDEX('Part types'!$V:$V,$AK51)&amp;"")</f>
        <v>Estimate: size class XS</v>
      </c>
      <c r="AH51" s="9" t="str">
        <f aca="false">IF($AK51=0,"",INDEX('Part types'!$W:$W,$AK51)&amp;"")</f>
        <v/>
      </c>
      <c r="AI51" s="11" t="str">
        <f aca="false">IF($AK51=0,"",INDEX('Part types'!$X:$X,$AK51)&amp;"")</f>
        <v/>
      </c>
      <c r="AJ51" s="9" t="str">
        <f aca="false">IF($AK51=0,"",INDEX('Part types'!$Y:$Y,$AK51)&amp;"")</f>
        <v/>
      </c>
      <c r="AK51" s="9" t="n">
        <f aca="false">IFERROR(MATCH($AD51,'Part types'!$E:$E,0),0)</f>
        <v>47</v>
      </c>
    </row>
    <row r="52" customFormat="false" ht="15" hidden="false" customHeight="false" outlineLevel="0" collapsed="false">
      <c r="A52" s="9" t="s">
        <v>340</v>
      </c>
      <c r="B52" s="9" t="s">
        <v>341</v>
      </c>
      <c r="C52" s="9" t="s">
        <v>342</v>
      </c>
      <c r="D52" s="9" t="str">
        <f aca="false">C52&amp;" - "&amp;E52</f>
        <v>Oil Pan - Universal</v>
      </c>
      <c r="E52" s="9" t="s">
        <v>68</v>
      </c>
      <c r="F52" s="9" t="s">
        <v>343</v>
      </c>
      <c r="G52" s="10" t="n">
        <f aca="false">IF($AK52=0,"",INDEX('Part types'!$P:$P,$AK52))</f>
        <v>40</v>
      </c>
      <c r="H52" s="10" t="n">
        <f aca="false">IF($AK52=0,"",INDEX('Part types'!$Q:$Q,$AK52))</f>
        <v>25</v>
      </c>
      <c r="I52" s="10" t="n">
        <f aca="false">IF($AK52=0,"",INDEX('Part types'!$R:$R,$AK52))</f>
        <v>15</v>
      </c>
      <c r="J52" s="10" t="n">
        <f aca="false">IF($AK52=0,"",INDEX('Part types'!$S:$S,$AK52))</f>
        <v>3</v>
      </c>
      <c r="K52" s="11" t="s">
        <v>344</v>
      </c>
      <c r="L52" s="11" t="s">
        <v>345</v>
      </c>
      <c r="M52" s="11" t="str">
        <f aca="false">L52&amp;" - "&amp;N52</f>
        <v>حوض الزيت - عام</v>
      </c>
      <c r="N52" s="11" t="s">
        <v>72</v>
      </c>
      <c r="O52" s="11" t="s">
        <v>346</v>
      </c>
      <c r="P52" s="10" t="n">
        <f aca="false">G52</f>
        <v>40</v>
      </c>
      <c r="Q52" s="10" t="n">
        <f aca="false">H52</f>
        <v>25</v>
      </c>
      <c r="R52" s="10" t="n">
        <f aca="false">I52</f>
        <v>15</v>
      </c>
      <c r="S52" s="10" t="n">
        <f aca="false">J52</f>
        <v>3</v>
      </c>
      <c r="T52" s="12" t="s">
        <v>347</v>
      </c>
      <c r="U52" s="12" t="s">
        <v>348</v>
      </c>
      <c r="V52" s="9" t="str">
        <f aca="false">U52&amp;" - "&amp;W52</f>
        <v>机油底壳 - 通用</v>
      </c>
      <c r="W52" s="12" t="s">
        <v>76</v>
      </c>
      <c r="X52" s="12" t="s">
        <v>349</v>
      </c>
      <c r="Y52" s="10" t="n">
        <f aca="false">G52</f>
        <v>40</v>
      </c>
      <c r="Z52" s="10" t="n">
        <f aca="false">H52</f>
        <v>25</v>
      </c>
      <c r="AA52" s="10" t="n">
        <f aca="false">I52</f>
        <v>15</v>
      </c>
      <c r="AB52" s="10" t="n">
        <f aca="false">J52</f>
        <v>3</v>
      </c>
      <c r="AC52" s="9" t="s">
        <v>350</v>
      </c>
      <c r="AD52" s="9" t="s">
        <v>351</v>
      </c>
      <c r="AE52" s="9" t="str">
        <f aca="false">IF($AK52=0,"",INDEX('Part types'!$T:$T,$AK52)&amp;"")</f>
        <v>Combustion engine (petrol, diesel, hybrid, range extender)</v>
      </c>
      <c r="AF52" s="9" t="str">
        <f aca="false">IF($AK52=0,"",INDEX('Part types'!$U:$U,$AK52)&amp;"")</f>
        <v/>
      </c>
      <c r="AG52" s="9" t="str">
        <f aca="false">IF($AK52=0,"",INDEX('Part types'!$V:$V,$AK52)&amp;"")</f>
        <v>Estimate: size class L</v>
      </c>
      <c r="AH52" s="9" t="str">
        <f aca="false">IF($AK52=0,"",INDEX('Part types'!$W:$W,$AK52)&amp;"")</f>
        <v/>
      </c>
      <c r="AI52" s="11" t="str">
        <f aca="false">IF($AK52=0,"",INDEX('Part types'!$X:$X,$AK52)&amp;"")</f>
        <v/>
      </c>
      <c r="AJ52" s="9" t="str">
        <f aca="false">IF($AK52=0,"",INDEX('Part types'!$Y:$Y,$AK52)&amp;"")</f>
        <v/>
      </c>
      <c r="AK52" s="9" t="n">
        <f aca="false">IFERROR(MATCH($AD52,'Part types'!$E:$E,0),0)</f>
        <v>48</v>
      </c>
    </row>
    <row r="53" customFormat="false" ht="15" hidden="false" customHeight="false" outlineLevel="0" collapsed="false">
      <c r="A53" s="9" t="s">
        <v>352</v>
      </c>
      <c r="B53" s="9" t="s">
        <v>341</v>
      </c>
      <c r="C53" s="9" t="s">
        <v>353</v>
      </c>
      <c r="D53" s="9" t="str">
        <f aca="false">C53&amp;" - "&amp;E53</f>
        <v>Oil Pan Gasket - Universal</v>
      </c>
      <c r="E53" s="9" t="s">
        <v>68</v>
      </c>
      <c r="F53" s="9" t="s">
        <v>343</v>
      </c>
      <c r="G53" s="10" t="n">
        <f aca="false">IF($AK53=0,"",INDEX('Part types'!$P:$P,$AK53))</f>
        <v>15</v>
      </c>
      <c r="H53" s="10" t="n">
        <f aca="false">IF($AK53=0,"",INDEX('Part types'!$Q:$Q,$AK53))</f>
        <v>10</v>
      </c>
      <c r="I53" s="10" t="n">
        <f aca="false">IF($AK53=0,"",INDEX('Part types'!$R:$R,$AK53))</f>
        <v>8</v>
      </c>
      <c r="J53" s="10" t="n">
        <f aca="false">IF($AK53=0,"",INDEX('Part types'!$S:$S,$AK53))</f>
        <v>0.3</v>
      </c>
      <c r="K53" s="11" t="s">
        <v>344</v>
      </c>
      <c r="L53" s="11" t="s">
        <v>354</v>
      </c>
      <c r="M53" s="11" t="str">
        <f aca="false">L53&amp;" - "&amp;N53</f>
        <v>جوان حوض الزيت - عام</v>
      </c>
      <c r="N53" s="11" t="s">
        <v>72</v>
      </c>
      <c r="O53" s="11" t="s">
        <v>346</v>
      </c>
      <c r="P53" s="10" t="n">
        <f aca="false">G53</f>
        <v>15</v>
      </c>
      <c r="Q53" s="10" t="n">
        <f aca="false">H53</f>
        <v>10</v>
      </c>
      <c r="R53" s="10" t="n">
        <f aca="false">I53</f>
        <v>8</v>
      </c>
      <c r="S53" s="10" t="n">
        <f aca="false">J53</f>
        <v>0.3</v>
      </c>
      <c r="T53" s="12" t="s">
        <v>347</v>
      </c>
      <c r="U53" s="12" t="s">
        <v>355</v>
      </c>
      <c r="V53" s="9" t="str">
        <f aca="false">U53&amp;" - "&amp;W53</f>
        <v>机油底壳垫 - 通用</v>
      </c>
      <c r="W53" s="12" t="s">
        <v>76</v>
      </c>
      <c r="X53" s="12" t="s">
        <v>349</v>
      </c>
      <c r="Y53" s="10" t="n">
        <f aca="false">G53</f>
        <v>15</v>
      </c>
      <c r="Z53" s="10" t="n">
        <f aca="false">H53</f>
        <v>10</v>
      </c>
      <c r="AA53" s="10" t="n">
        <f aca="false">I53</f>
        <v>8</v>
      </c>
      <c r="AB53" s="10" t="n">
        <f aca="false">J53</f>
        <v>0.3</v>
      </c>
      <c r="AC53" s="9" t="s">
        <v>350</v>
      </c>
      <c r="AD53" s="9" t="s">
        <v>356</v>
      </c>
      <c r="AE53" s="9" t="str">
        <f aca="false">IF($AK53=0,"",INDEX('Part types'!$T:$T,$AK53)&amp;"")</f>
        <v>Combustion engine (petrol, diesel, hybrid, range extender)</v>
      </c>
      <c r="AF53" s="9" t="str">
        <f aca="false">IF($AK53=0,"",INDEX('Part types'!$U:$U,$AK53)&amp;"")</f>
        <v/>
      </c>
      <c r="AG53" s="9" t="str">
        <f aca="false">IF($AK53=0,"",INDEX('Part types'!$V:$V,$AK53)&amp;"")</f>
        <v>Estimate: size class S</v>
      </c>
      <c r="AH53" s="9" t="str">
        <f aca="false">IF($AK53=0,"",INDEX('Part types'!$W:$W,$AK53)&amp;"")</f>
        <v/>
      </c>
      <c r="AI53" s="11" t="str">
        <f aca="false">IF($AK53=0,"",INDEX('Part types'!$X:$X,$AK53)&amp;"")</f>
        <v/>
      </c>
      <c r="AJ53" s="9" t="str">
        <f aca="false">IF($AK53=0,"",INDEX('Part types'!$Y:$Y,$AK53)&amp;"")</f>
        <v/>
      </c>
      <c r="AK53" s="9" t="n">
        <f aca="false">IFERROR(MATCH($AD53,'Part types'!$E:$E,0),0)</f>
        <v>49</v>
      </c>
    </row>
    <row r="54" customFormat="false" ht="15" hidden="false" customHeight="false" outlineLevel="0" collapsed="false">
      <c r="A54" s="9" t="s">
        <v>357</v>
      </c>
      <c r="B54" s="9" t="s">
        <v>341</v>
      </c>
      <c r="C54" s="9" t="s">
        <v>358</v>
      </c>
      <c r="D54" s="9" t="str">
        <f aca="false">C54&amp;" - "&amp;E54</f>
        <v>Oil Pump - Universal</v>
      </c>
      <c r="E54" s="9" t="s">
        <v>68</v>
      </c>
      <c r="F54" s="9" t="s">
        <v>343</v>
      </c>
      <c r="G54" s="10" t="n">
        <f aca="false">IF($AK54=0,"",INDEX('Part types'!$P:$P,$AK54))</f>
        <v>25</v>
      </c>
      <c r="H54" s="10" t="n">
        <f aca="false">IF($AK54=0,"",INDEX('Part types'!$Q:$Q,$AK54))</f>
        <v>15</v>
      </c>
      <c r="I54" s="10" t="n">
        <f aca="false">IF($AK54=0,"",INDEX('Part types'!$R:$R,$AK54))</f>
        <v>10</v>
      </c>
      <c r="J54" s="10" t="n">
        <f aca="false">IF($AK54=0,"",INDEX('Part types'!$S:$S,$AK54))</f>
        <v>0.9</v>
      </c>
      <c r="K54" s="11" t="s">
        <v>344</v>
      </c>
      <c r="L54" s="11" t="s">
        <v>359</v>
      </c>
      <c r="M54" s="11" t="str">
        <f aca="false">L54&amp;" - "&amp;N54</f>
        <v>مضخة الزيت - عام</v>
      </c>
      <c r="N54" s="11" t="s">
        <v>72</v>
      </c>
      <c r="O54" s="11" t="s">
        <v>346</v>
      </c>
      <c r="P54" s="10" t="n">
        <f aca="false">G54</f>
        <v>25</v>
      </c>
      <c r="Q54" s="10" t="n">
        <f aca="false">H54</f>
        <v>15</v>
      </c>
      <c r="R54" s="10" t="n">
        <f aca="false">I54</f>
        <v>10</v>
      </c>
      <c r="S54" s="10" t="n">
        <f aca="false">J54</f>
        <v>0.9</v>
      </c>
      <c r="T54" s="12" t="s">
        <v>347</v>
      </c>
      <c r="U54" s="12" t="s">
        <v>360</v>
      </c>
      <c r="V54" s="9" t="str">
        <f aca="false">U54&amp;" - "&amp;W54</f>
        <v>机油泵 - 通用</v>
      </c>
      <c r="W54" s="12" t="s">
        <v>76</v>
      </c>
      <c r="X54" s="12" t="s">
        <v>349</v>
      </c>
      <c r="Y54" s="10" t="n">
        <f aca="false">G54</f>
        <v>25</v>
      </c>
      <c r="Z54" s="10" t="n">
        <f aca="false">H54</f>
        <v>15</v>
      </c>
      <c r="AA54" s="10" t="n">
        <f aca="false">I54</f>
        <v>10</v>
      </c>
      <c r="AB54" s="10" t="n">
        <f aca="false">J54</f>
        <v>0.9</v>
      </c>
      <c r="AC54" s="9" t="s">
        <v>350</v>
      </c>
      <c r="AD54" s="9" t="s">
        <v>361</v>
      </c>
      <c r="AE54" s="9" t="str">
        <f aca="false">IF($AK54=0,"",INDEX('Part types'!$T:$T,$AK54)&amp;"")</f>
        <v>Combustion engine (petrol, diesel, hybrid, range extender)</v>
      </c>
      <c r="AF54" s="9" t="str">
        <f aca="false">IF($AK54=0,"",INDEX('Part types'!$U:$U,$AK54)&amp;"")</f>
        <v/>
      </c>
      <c r="AG54" s="9" t="str">
        <f aca="false">IF($AK54=0,"",INDEX('Part types'!$V:$V,$AK54)&amp;"")</f>
        <v>Estimate: size class M</v>
      </c>
      <c r="AH54" s="9" t="str">
        <f aca="false">IF($AK54=0,"",INDEX('Part types'!$W:$W,$AK54)&amp;"")</f>
        <v/>
      </c>
      <c r="AI54" s="11" t="str">
        <f aca="false">IF($AK54=0,"",INDEX('Part types'!$X:$X,$AK54)&amp;"")</f>
        <v/>
      </c>
      <c r="AJ54" s="9" t="str">
        <f aca="false">IF($AK54=0,"",INDEX('Part types'!$Y:$Y,$AK54)&amp;"")</f>
        <v/>
      </c>
      <c r="AK54" s="9" t="n">
        <f aca="false">IFERROR(MATCH($AD54,'Part types'!$E:$E,0),0)</f>
        <v>50</v>
      </c>
    </row>
    <row r="55" customFormat="false" ht="15" hidden="false" customHeight="false" outlineLevel="0" collapsed="false">
      <c r="A55" s="9" t="s">
        <v>362</v>
      </c>
      <c r="B55" s="9" t="s">
        <v>341</v>
      </c>
      <c r="C55" s="9" t="s">
        <v>363</v>
      </c>
      <c r="D55" s="9" t="str">
        <f aca="false">C55&amp;" - "&amp;E55</f>
        <v>Oil Pickup Tube - Universal</v>
      </c>
      <c r="E55" s="9" t="s">
        <v>68</v>
      </c>
      <c r="F55" s="9" t="s">
        <v>343</v>
      </c>
      <c r="G55" s="10" t="n">
        <f aca="false">IF($AK55=0,"",INDEX('Part types'!$P:$P,$AK55))</f>
        <v>15</v>
      </c>
      <c r="H55" s="10" t="n">
        <f aca="false">IF($AK55=0,"",INDEX('Part types'!$Q:$Q,$AK55))</f>
        <v>10</v>
      </c>
      <c r="I55" s="10" t="n">
        <f aca="false">IF($AK55=0,"",INDEX('Part types'!$R:$R,$AK55))</f>
        <v>8</v>
      </c>
      <c r="J55" s="10" t="n">
        <f aca="false">IF($AK55=0,"",INDEX('Part types'!$S:$S,$AK55))</f>
        <v>0.3</v>
      </c>
      <c r="K55" s="11" t="s">
        <v>344</v>
      </c>
      <c r="L55" s="11" t="s">
        <v>364</v>
      </c>
      <c r="M55" s="11" t="str">
        <f aca="false">L55&amp;" - "&amp;N55</f>
        <v>ماسورة سحب الزيت - عام</v>
      </c>
      <c r="N55" s="11" t="s">
        <v>72</v>
      </c>
      <c r="O55" s="11" t="s">
        <v>346</v>
      </c>
      <c r="P55" s="10" t="n">
        <f aca="false">G55</f>
        <v>15</v>
      </c>
      <c r="Q55" s="10" t="n">
        <f aca="false">H55</f>
        <v>10</v>
      </c>
      <c r="R55" s="10" t="n">
        <f aca="false">I55</f>
        <v>8</v>
      </c>
      <c r="S55" s="10" t="n">
        <f aca="false">J55</f>
        <v>0.3</v>
      </c>
      <c r="T55" s="12" t="s">
        <v>347</v>
      </c>
      <c r="U55" s="12" t="s">
        <v>365</v>
      </c>
      <c r="V55" s="9" t="str">
        <f aca="false">U55&amp;" - "&amp;W55</f>
        <v>机油集滤器 - 通用</v>
      </c>
      <c r="W55" s="12" t="s">
        <v>76</v>
      </c>
      <c r="X55" s="12" t="s">
        <v>349</v>
      </c>
      <c r="Y55" s="10" t="n">
        <f aca="false">G55</f>
        <v>15</v>
      </c>
      <c r="Z55" s="10" t="n">
        <f aca="false">H55</f>
        <v>10</v>
      </c>
      <c r="AA55" s="10" t="n">
        <f aca="false">I55</f>
        <v>8</v>
      </c>
      <c r="AB55" s="10" t="n">
        <f aca="false">J55</f>
        <v>0.3</v>
      </c>
      <c r="AC55" s="9" t="s">
        <v>350</v>
      </c>
      <c r="AD55" s="9" t="s">
        <v>366</v>
      </c>
      <c r="AE55" s="9" t="str">
        <f aca="false">IF($AK55=0,"",INDEX('Part types'!$T:$T,$AK55)&amp;"")</f>
        <v>Combustion engine (petrol, diesel, hybrid, range extender)</v>
      </c>
      <c r="AF55" s="9" t="str">
        <f aca="false">IF($AK55=0,"",INDEX('Part types'!$U:$U,$AK55)&amp;"")</f>
        <v/>
      </c>
      <c r="AG55" s="9" t="str">
        <f aca="false">IF($AK55=0,"",INDEX('Part types'!$V:$V,$AK55)&amp;"")</f>
        <v>Estimate: size class S</v>
      </c>
      <c r="AH55" s="9" t="str">
        <f aca="false">IF($AK55=0,"",INDEX('Part types'!$W:$W,$AK55)&amp;"")</f>
        <v/>
      </c>
      <c r="AI55" s="11" t="str">
        <f aca="false">IF($AK55=0,"",INDEX('Part types'!$X:$X,$AK55)&amp;"")</f>
        <v/>
      </c>
      <c r="AJ55" s="9" t="str">
        <f aca="false">IF($AK55=0,"",INDEX('Part types'!$Y:$Y,$AK55)&amp;"")</f>
        <v/>
      </c>
      <c r="AK55" s="9" t="n">
        <f aca="false">IFERROR(MATCH($AD55,'Part types'!$E:$E,0),0)</f>
        <v>51</v>
      </c>
    </row>
    <row r="56" customFormat="false" ht="15" hidden="false" customHeight="false" outlineLevel="0" collapsed="false">
      <c r="A56" s="9" t="s">
        <v>367</v>
      </c>
      <c r="B56" s="9" t="s">
        <v>341</v>
      </c>
      <c r="C56" s="9" t="s">
        <v>368</v>
      </c>
      <c r="D56" s="9" t="str">
        <f aca="false">C56&amp;" - "&amp;E56</f>
        <v>Oil Cooler - Universal</v>
      </c>
      <c r="E56" s="9" t="s">
        <v>68</v>
      </c>
      <c r="F56" s="9" t="s">
        <v>369</v>
      </c>
      <c r="G56" s="10" t="n">
        <f aca="false">IF($AK56=0,"",INDEX('Part types'!$P:$P,$AK56))</f>
        <v>25</v>
      </c>
      <c r="H56" s="10" t="n">
        <f aca="false">IF($AK56=0,"",INDEX('Part types'!$Q:$Q,$AK56))</f>
        <v>15</v>
      </c>
      <c r="I56" s="10" t="n">
        <f aca="false">IF($AK56=0,"",INDEX('Part types'!$R:$R,$AK56))</f>
        <v>10</v>
      </c>
      <c r="J56" s="10" t="n">
        <f aca="false">IF($AK56=0,"",INDEX('Part types'!$S:$S,$AK56))</f>
        <v>0.9</v>
      </c>
      <c r="K56" s="11" t="s">
        <v>344</v>
      </c>
      <c r="L56" s="11" t="s">
        <v>370</v>
      </c>
      <c r="M56" s="11" t="str">
        <f aca="false">L56&amp;" - "&amp;N56</f>
        <v>مبرد الزيت - عام</v>
      </c>
      <c r="N56" s="11" t="s">
        <v>72</v>
      </c>
      <c r="O56" s="11" t="s">
        <v>371</v>
      </c>
      <c r="P56" s="10" t="n">
        <f aca="false">G56</f>
        <v>25</v>
      </c>
      <c r="Q56" s="10" t="n">
        <f aca="false">H56</f>
        <v>15</v>
      </c>
      <c r="R56" s="10" t="n">
        <f aca="false">I56</f>
        <v>10</v>
      </c>
      <c r="S56" s="10" t="n">
        <f aca="false">J56</f>
        <v>0.9</v>
      </c>
      <c r="T56" s="12" t="s">
        <v>347</v>
      </c>
      <c r="U56" s="12" t="s">
        <v>372</v>
      </c>
      <c r="V56" s="9" t="str">
        <f aca="false">U56&amp;" - "&amp;W56</f>
        <v>机油冷却器 - 通用</v>
      </c>
      <c r="W56" s="12" t="s">
        <v>76</v>
      </c>
      <c r="X56" s="12" t="s">
        <v>373</v>
      </c>
      <c r="Y56" s="10" t="n">
        <f aca="false">G56</f>
        <v>25</v>
      </c>
      <c r="Z56" s="10" t="n">
        <f aca="false">H56</f>
        <v>15</v>
      </c>
      <c r="AA56" s="10" t="n">
        <f aca="false">I56</f>
        <v>10</v>
      </c>
      <c r="AB56" s="10" t="n">
        <f aca="false">J56</f>
        <v>0.9</v>
      </c>
      <c r="AC56" s="9" t="s">
        <v>350</v>
      </c>
      <c r="AD56" s="9" t="s">
        <v>374</v>
      </c>
      <c r="AE56" s="9" t="str">
        <f aca="false">IF($AK56=0,"",INDEX('Part types'!$T:$T,$AK56)&amp;"")</f>
        <v>Combustion engine (petrol, diesel, hybrid, range extender)</v>
      </c>
      <c r="AF56" s="9" t="str">
        <f aca="false">IF($AK56=0,"",INDEX('Part types'!$U:$U,$AK56)&amp;"")</f>
        <v/>
      </c>
      <c r="AG56" s="9" t="str">
        <f aca="false">IF($AK56=0,"",INDEX('Part types'!$V:$V,$AK56)&amp;"")</f>
        <v>Estimate: size class M</v>
      </c>
      <c r="AH56" s="9" t="str">
        <f aca="false">IF($AK56=0,"",INDEX('Part types'!$W:$W,$AK56)&amp;"")</f>
        <v/>
      </c>
      <c r="AI56" s="11" t="str">
        <f aca="false">IF($AK56=0,"",INDEX('Part types'!$X:$X,$AK56)&amp;"")</f>
        <v/>
      </c>
      <c r="AJ56" s="9" t="str">
        <f aca="false">IF($AK56=0,"",INDEX('Part types'!$Y:$Y,$AK56)&amp;"")</f>
        <v/>
      </c>
      <c r="AK56" s="9" t="n">
        <f aca="false">IFERROR(MATCH($AD56,'Part types'!$E:$E,0),0)</f>
        <v>52</v>
      </c>
    </row>
    <row r="57" customFormat="false" ht="15" hidden="false" customHeight="false" outlineLevel="0" collapsed="false">
      <c r="A57" s="9" t="s">
        <v>375</v>
      </c>
      <c r="B57" s="9" t="s">
        <v>341</v>
      </c>
      <c r="C57" s="9" t="s">
        <v>376</v>
      </c>
      <c r="D57" s="9" t="str">
        <f aca="false">C57&amp;" - "&amp;E57</f>
        <v>Oil Filter Housing - Universal</v>
      </c>
      <c r="E57" s="9" t="s">
        <v>68</v>
      </c>
      <c r="F57" s="9" t="s">
        <v>369</v>
      </c>
      <c r="G57" s="10" t="n">
        <f aca="false">IF($AK57=0,"",INDEX('Part types'!$P:$P,$AK57))</f>
        <v>25</v>
      </c>
      <c r="H57" s="10" t="n">
        <f aca="false">IF($AK57=0,"",INDEX('Part types'!$Q:$Q,$AK57))</f>
        <v>15</v>
      </c>
      <c r="I57" s="10" t="n">
        <f aca="false">IF($AK57=0,"",INDEX('Part types'!$R:$R,$AK57))</f>
        <v>10</v>
      </c>
      <c r="J57" s="10" t="n">
        <f aca="false">IF($AK57=0,"",INDEX('Part types'!$S:$S,$AK57))</f>
        <v>0.9</v>
      </c>
      <c r="K57" s="11" t="s">
        <v>344</v>
      </c>
      <c r="L57" s="11" t="s">
        <v>377</v>
      </c>
      <c r="M57" s="11" t="str">
        <f aca="false">L57&amp;" - "&amp;N57</f>
        <v>قاعدة فلتر الزيت - عام</v>
      </c>
      <c r="N57" s="11" t="s">
        <v>72</v>
      </c>
      <c r="O57" s="11" t="s">
        <v>371</v>
      </c>
      <c r="P57" s="10" t="n">
        <f aca="false">G57</f>
        <v>25</v>
      </c>
      <c r="Q57" s="10" t="n">
        <f aca="false">H57</f>
        <v>15</v>
      </c>
      <c r="R57" s="10" t="n">
        <f aca="false">I57</f>
        <v>10</v>
      </c>
      <c r="S57" s="10" t="n">
        <f aca="false">J57</f>
        <v>0.9</v>
      </c>
      <c r="T57" s="12" t="s">
        <v>347</v>
      </c>
      <c r="U57" s="12" t="s">
        <v>378</v>
      </c>
      <c r="V57" s="9" t="str">
        <f aca="false">U57&amp;" - "&amp;W57</f>
        <v>机油滤清器座 - 通用</v>
      </c>
      <c r="W57" s="12" t="s">
        <v>76</v>
      </c>
      <c r="X57" s="12" t="s">
        <v>373</v>
      </c>
      <c r="Y57" s="10" t="n">
        <f aca="false">G57</f>
        <v>25</v>
      </c>
      <c r="Z57" s="10" t="n">
        <f aca="false">H57</f>
        <v>15</v>
      </c>
      <c r="AA57" s="10" t="n">
        <f aca="false">I57</f>
        <v>10</v>
      </c>
      <c r="AB57" s="10" t="n">
        <f aca="false">J57</f>
        <v>0.9</v>
      </c>
      <c r="AC57" s="9" t="s">
        <v>350</v>
      </c>
      <c r="AD57" s="9" t="s">
        <v>379</v>
      </c>
      <c r="AE57" s="9" t="str">
        <f aca="false">IF($AK57=0,"",INDEX('Part types'!$T:$T,$AK57)&amp;"")</f>
        <v>Combustion engine (petrol, diesel, hybrid, range extender)</v>
      </c>
      <c r="AF57" s="9" t="str">
        <f aca="false">IF($AK57=0,"",INDEX('Part types'!$U:$U,$AK57)&amp;"")</f>
        <v/>
      </c>
      <c r="AG57" s="9" t="str">
        <f aca="false">IF($AK57=0,"",INDEX('Part types'!$V:$V,$AK57)&amp;"")</f>
        <v>Estimate: size class M</v>
      </c>
      <c r="AH57" s="9" t="str">
        <f aca="false">IF($AK57=0,"",INDEX('Part types'!$W:$W,$AK57)&amp;"")</f>
        <v/>
      </c>
      <c r="AI57" s="11" t="str">
        <f aca="false">IF($AK57=0,"",INDEX('Part types'!$X:$X,$AK57)&amp;"")</f>
        <v/>
      </c>
      <c r="AJ57" s="9" t="str">
        <f aca="false">IF($AK57=0,"",INDEX('Part types'!$Y:$Y,$AK57)&amp;"")</f>
        <v/>
      </c>
      <c r="AK57" s="9" t="n">
        <f aca="false">IFERROR(MATCH($AD57,'Part types'!$E:$E,0),0)</f>
        <v>53</v>
      </c>
    </row>
    <row r="58" customFormat="false" ht="15" hidden="false" customHeight="false" outlineLevel="0" collapsed="false">
      <c r="A58" s="9" t="s">
        <v>380</v>
      </c>
      <c r="B58" s="9" t="s">
        <v>341</v>
      </c>
      <c r="C58" s="9" t="s">
        <v>381</v>
      </c>
      <c r="D58" s="9" t="str">
        <f aca="false">C58&amp;" - "&amp;E58</f>
        <v>Oil Dipstick - Universal</v>
      </c>
      <c r="E58" s="9" t="s">
        <v>68</v>
      </c>
      <c r="F58" s="9" t="s">
        <v>369</v>
      </c>
      <c r="G58" s="10" t="n">
        <f aca="false">IF($AK58=0,"",INDEX('Part types'!$P:$P,$AK58))</f>
        <v>15</v>
      </c>
      <c r="H58" s="10" t="n">
        <f aca="false">IF($AK58=0,"",INDEX('Part types'!$Q:$Q,$AK58))</f>
        <v>10</v>
      </c>
      <c r="I58" s="10" t="n">
        <f aca="false">IF($AK58=0,"",INDEX('Part types'!$R:$R,$AK58))</f>
        <v>8</v>
      </c>
      <c r="J58" s="10" t="n">
        <f aca="false">IF($AK58=0,"",INDEX('Part types'!$S:$S,$AK58))</f>
        <v>0.3</v>
      </c>
      <c r="K58" s="11" t="s">
        <v>344</v>
      </c>
      <c r="L58" s="11" t="s">
        <v>382</v>
      </c>
      <c r="M58" s="11" t="str">
        <f aca="false">L58&amp;" - "&amp;N58</f>
        <v>عصا قياس الزيت - عام</v>
      </c>
      <c r="N58" s="11" t="s">
        <v>72</v>
      </c>
      <c r="O58" s="11" t="s">
        <v>371</v>
      </c>
      <c r="P58" s="10" t="n">
        <f aca="false">G58</f>
        <v>15</v>
      </c>
      <c r="Q58" s="10" t="n">
        <f aca="false">H58</f>
        <v>10</v>
      </c>
      <c r="R58" s="10" t="n">
        <f aca="false">I58</f>
        <v>8</v>
      </c>
      <c r="S58" s="10" t="n">
        <f aca="false">J58</f>
        <v>0.3</v>
      </c>
      <c r="T58" s="12" t="s">
        <v>347</v>
      </c>
      <c r="U58" s="12" t="s">
        <v>383</v>
      </c>
      <c r="V58" s="9" t="str">
        <f aca="false">U58&amp;" - "&amp;W58</f>
        <v>机油尺 - 通用</v>
      </c>
      <c r="W58" s="12" t="s">
        <v>76</v>
      </c>
      <c r="X58" s="12" t="s">
        <v>373</v>
      </c>
      <c r="Y58" s="10" t="n">
        <f aca="false">G58</f>
        <v>15</v>
      </c>
      <c r="Z58" s="10" t="n">
        <f aca="false">H58</f>
        <v>10</v>
      </c>
      <c r="AA58" s="10" t="n">
        <f aca="false">I58</f>
        <v>8</v>
      </c>
      <c r="AB58" s="10" t="n">
        <f aca="false">J58</f>
        <v>0.3</v>
      </c>
      <c r="AC58" s="9" t="s">
        <v>350</v>
      </c>
      <c r="AD58" s="9" t="s">
        <v>384</v>
      </c>
      <c r="AE58" s="9" t="str">
        <f aca="false">IF($AK58=0,"",INDEX('Part types'!$T:$T,$AK58)&amp;"")</f>
        <v>Combustion engine (petrol, diesel, hybrid, range extender)</v>
      </c>
      <c r="AF58" s="9" t="str">
        <f aca="false">IF($AK58=0,"",INDEX('Part types'!$U:$U,$AK58)&amp;"")</f>
        <v/>
      </c>
      <c r="AG58" s="9" t="str">
        <f aca="false">IF($AK58=0,"",INDEX('Part types'!$V:$V,$AK58)&amp;"")</f>
        <v>Estimate: size class S</v>
      </c>
      <c r="AH58" s="9" t="str">
        <f aca="false">IF($AK58=0,"",INDEX('Part types'!$W:$W,$AK58)&amp;"")</f>
        <v/>
      </c>
      <c r="AI58" s="11" t="str">
        <f aca="false">IF($AK58=0,"",INDEX('Part types'!$X:$X,$AK58)&amp;"")</f>
        <v/>
      </c>
      <c r="AJ58" s="9" t="str">
        <f aca="false">IF($AK58=0,"",INDEX('Part types'!$Y:$Y,$AK58)&amp;"")</f>
        <v/>
      </c>
      <c r="AK58" s="9" t="n">
        <f aca="false">IFERROR(MATCH($AD58,'Part types'!$E:$E,0),0)</f>
        <v>54</v>
      </c>
    </row>
    <row r="59" customFormat="false" ht="15" hidden="false" customHeight="false" outlineLevel="0" collapsed="false">
      <c r="A59" s="9" t="s">
        <v>385</v>
      </c>
      <c r="B59" s="9" t="s">
        <v>341</v>
      </c>
      <c r="C59" s="9" t="s">
        <v>386</v>
      </c>
      <c r="D59" s="9" t="str">
        <f aca="false">C59&amp;" - "&amp;E59</f>
        <v>Oil Filler Cap - Universal</v>
      </c>
      <c r="E59" s="9" t="s">
        <v>68</v>
      </c>
      <c r="F59" s="9" t="s">
        <v>110</v>
      </c>
      <c r="G59" s="10" t="n">
        <f aca="false">IF($AK59=0,"",INDEX('Part types'!$P:$P,$AK59))</f>
        <v>10</v>
      </c>
      <c r="H59" s="10" t="n">
        <f aca="false">IF($AK59=0,"",INDEX('Part types'!$Q:$Q,$AK59))</f>
        <v>8</v>
      </c>
      <c r="I59" s="10" t="n">
        <f aca="false">IF($AK59=0,"",INDEX('Part types'!$R:$R,$AK59))</f>
        <v>6</v>
      </c>
      <c r="J59" s="10" t="n">
        <f aca="false">IF($AK59=0,"",INDEX('Part types'!$S:$S,$AK59))</f>
        <v>0.1</v>
      </c>
      <c r="K59" s="11" t="s">
        <v>344</v>
      </c>
      <c r="L59" s="11" t="s">
        <v>387</v>
      </c>
      <c r="M59" s="11" t="str">
        <f aca="false">L59&amp;" - "&amp;N59</f>
        <v>غطاء تعبئة الزيت - عام</v>
      </c>
      <c r="N59" s="11" t="s">
        <v>72</v>
      </c>
      <c r="O59" s="11" t="s">
        <v>112</v>
      </c>
      <c r="P59" s="10" t="n">
        <f aca="false">G59</f>
        <v>10</v>
      </c>
      <c r="Q59" s="10" t="n">
        <f aca="false">H59</f>
        <v>8</v>
      </c>
      <c r="R59" s="10" t="n">
        <f aca="false">I59</f>
        <v>6</v>
      </c>
      <c r="S59" s="10" t="n">
        <f aca="false">J59</f>
        <v>0.1</v>
      </c>
      <c r="T59" s="12" t="s">
        <v>347</v>
      </c>
      <c r="U59" s="12" t="s">
        <v>388</v>
      </c>
      <c r="V59" s="9" t="str">
        <f aca="false">U59&amp;" - "&amp;W59</f>
        <v>机油加注口盖 - 通用</v>
      </c>
      <c r="W59" s="12" t="s">
        <v>76</v>
      </c>
      <c r="X59" s="12" t="s">
        <v>114</v>
      </c>
      <c r="Y59" s="10" t="n">
        <f aca="false">G59</f>
        <v>10</v>
      </c>
      <c r="Z59" s="10" t="n">
        <f aca="false">H59</f>
        <v>8</v>
      </c>
      <c r="AA59" s="10" t="n">
        <f aca="false">I59</f>
        <v>6</v>
      </c>
      <c r="AB59" s="10" t="n">
        <f aca="false">J59</f>
        <v>0.1</v>
      </c>
      <c r="AC59" s="9" t="s">
        <v>350</v>
      </c>
      <c r="AD59" s="9" t="s">
        <v>389</v>
      </c>
      <c r="AE59" s="9" t="str">
        <f aca="false">IF($AK59=0,"",INDEX('Part types'!$T:$T,$AK59)&amp;"")</f>
        <v>Combustion engine (petrol, diesel, hybrid, range extender)</v>
      </c>
      <c r="AF59" s="9" t="str">
        <f aca="false">IF($AK59=0,"",INDEX('Part types'!$U:$U,$AK59)&amp;"")</f>
        <v/>
      </c>
      <c r="AG59" s="9" t="str">
        <f aca="false">IF($AK59=0,"",INDEX('Part types'!$V:$V,$AK59)&amp;"")</f>
        <v>Estimate: size class XS</v>
      </c>
      <c r="AH59" s="9" t="str">
        <f aca="false">IF($AK59=0,"",INDEX('Part types'!$W:$W,$AK59)&amp;"")</f>
        <v/>
      </c>
      <c r="AI59" s="11" t="str">
        <f aca="false">IF($AK59=0,"",INDEX('Part types'!$X:$X,$AK59)&amp;"")</f>
        <v/>
      </c>
      <c r="AJ59" s="9" t="str">
        <f aca="false">IF($AK59=0,"",INDEX('Part types'!$Y:$Y,$AK59)&amp;"")</f>
        <v/>
      </c>
      <c r="AK59" s="9" t="n">
        <f aca="false">IFERROR(MATCH($AD59,'Part types'!$E:$E,0),0)</f>
        <v>55</v>
      </c>
    </row>
    <row r="60" customFormat="false" ht="15" hidden="false" customHeight="false" outlineLevel="0" collapsed="false">
      <c r="A60" s="9" t="s">
        <v>390</v>
      </c>
      <c r="B60" s="9" t="s">
        <v>341</v>
      </c>
      <c r="C60" s="9" t="s">
        <v>391</v>
      </c>
      <c r="D60" s="9" t="str">
        <f aca="false">C60&amp;" - "&amp;E60</f>
        <v>Oil Separator - Universal</v>
      </c>
      <c r="E60" s="9" t="s">
        <v>68</v>
      </c>
      <c r="F60" s="9" t="s">
        <v>110</v>
      </c>
      <c r="G60" s="10" t="n">
        <f aca="false">IF($AK60=0,"",INDEX('Part types'!$P:$P,$AK60))</f>
        <v>25</v>
      </c>
      <c r="H60" s="10" t="n">
        <f aca="false">IF($AK60=0,"",INDEX('Part types'!$Q:$Q,$AK60))</f>
        <v>15</v>
      </c>
      <c r="I60" s="10" t="n">
        <f aca="false">IF($AK60=0,"",INDEX('Part types'!$R:$R,$AK60))</f>
        <v>10</v>
      </c>
      <c r="J60" s="10" t="n">
        <f aca="false">IF($AK60=0,"",INDEX('Part types'!$S:$S,$AK60))</f>
        <v>0.9</v>
      </c>
      <c r="K60" s="11" t="s">
        <v>344</v>
      </c>
      <c r="L60" s="11" t="s">
        <v>392</v>
      </c>
      <c r="M60" s="11" t="str">
        <f aca="false">L60&amp;" - "&amp;N60</f>
        <v>فاصل الزيت والبخار - عام</v>
      </c>
      <c r="N60" s="11" t="s">
        <v>72</v>
      </c>
      <c r="O60" s="11" t="s">
        <v>112</v>
      </c>
      <c r="P60" s="10" t="n">
        <f aca="false">G60</f>
        <v>25</v>
      </c>
      <c r="Q60" s="10" t="n">
        <f aca="false">H60</f>
        <v>15</v>
      </c>
      <c r="R60" s="10" t="n">
        <f aca="false">I60</f>
        <v>10</v>
      </c>
      <c r="S60" s="10" t="n">
        <f aca="false">J60</f>
        <v>0.9</v>
      </c>
      <c r="T60" s="12" t="s">
        <v>347</v>
      </c>
      <c r="U60" s="12" t="s">
        <v>393</v>
      </c>
      <c r="V60" s="9" t="str">
        <f aca="false">U60&amp;" - "&amp;W60</f>
        <v>油气分离器 - 通用</v>
      </c>
      <c r="W60" s="12" t="s">
        <v>76</v>
      </c>
      <c r="X60" s="12" t="s">
        <v>114</v>
      </c>
      <c r="Y60" s="10" t="n">
        <f aca="false">G60</f>
        <v>25</v>
      </c>
      <c r="Z60" s="10" t="n">
        <f aca="false">H60</f>
        <v>15</v>
      </c>
      <c r="AA60" s="10" t="n">
        <f aca="false">I60</f>
        <v>10</v>
      </c>
      <c r="AB60" s="10" t="n">
        <f aca="false">J60</f>
        <v>0.9</v>
      </c>
      <c r="AC60" s="9" t="s">
        <v>350</v>
      </c>
      <c r="AD60" s="9" t="s">
        <v>394</v>
      </c>
      <c r="AE60" s="9" t="str">
        <f aca="false">IF($AK60=0,"",INDEX('Part types'!$T:$T,$AK60)&amp;"")</f>
        <v>Combustion engine (petrol, diesel, hybrid, range extender)</v>
      </c>
      <c r="AF60" s="9" t="str">
        <f aca="false">IF($AK60=0,"",INDEX('Part types'!$U:$U,$AK60)&amp;"")</f>
        <v/>
      </c>
      <c r="AG60" s="9" t="str">
        <f aca="false">IF($AK60=0,"",INDEX('Part types'!$V:$V,$AK60)&amp;"")</f>
        <v>Estimate: size class M</v>
      </c>
      <c r="AH60" s="9" t="str">
        <f aca="false">IF($AK60=0,"",INDEX('Part types'!$W:$W,$AK60)&amp;"")</f>
        <v/>
      </c>
      <c r="AI60" s="11" t="str">
        <f aca="false">IF($AK60=0,"",INDEX('Part types'!$X:$X,$AK60)&amp;"")</f>
        <v/>
      </c>
      <c r="AJ60" s="9" t="str">
        <f aca="false">IF($AK60=0,"",INDEX('Part types'!$Y:$Y,$AK60)&amp;"")</f>
        <v/>
      </c>
      <c r="AK60" s="9" t="n">
        <f aca="false">IFERROR(MATCH($AD60,'Part types'!$E:$E,0),0)</f>
        <v>56</v>
      </c>
    </row>
    <row r="61" customFormat="false" ht="15" hidden="false" customHeight="false" outlineLevel="0" collapsed="false">
      <c r="A61" s="9" t="s">
        <v>395</v>
      </c>
      <c r="B61" s="9" t="s">
        <v>341</v>
      </c>
      <c r="C61" s="9" t="s">
        <v>396</v>
      </c>
      <c r="D61" s="9" t="str">
        <f aca="false">C61&amp;" - "&amp;E61</f>
        <v>PCV Valve - Universal</v>
      </c>
      <c r="E61" s="9" t="s">
        <v>68</v>
      </c>
      <c r="F61" s="9" t="s">
        <v>110</v>
      </c>
      <c r="G61" s="10" t="n">
        <f aca="false">IF($AK61=0,"",INDEX('Part types'!$P:$P,$AK61))</f>
        <v>10</v>
      </c>
      <c r="H61" s="10" t="n">
        <f aca="false">IF($AK61=0,"",INDEX('Part types'!$Q:$Q,$AK61))</f>
        <v>8</v>
      </c>
      <c r="I61" s="10" t="n">
        <f aca="false">IF($AK61=0,"",INDEX('Part types'!$R:$R,$AK61))</f>
        <v>6</v>
      </c>
      <c r="J61" s="10" t="n">
        <f aca="false">IF($AK61=0,"",INDEX('Part types'!$S:$S,$AK61))</f>
        <v>0.1</v>
      </c>
      <c r="K61" s="11" t="s">
        <v>344</v>
      </c>
      <c r="L61" s="11" t="s">
        <v>397</v>
      </c>
      <c r="M61" s="11" t="str">
        <f aca="false">L61&amp;" - "&amp;N61</f>
        <v>صمام تهوية علبة المرفق - عام</v>
      </c>
      <c r="N61" s="11" t="s">
        <v>72</v>
      </c>
      <c r="O61" s="11" t="s">
        <v>112</v>
      </c>
      <c r="P61" s="10" t="n">
        <f aca="false">G61</f>
        <v>10</v>
      </c>
      <c r="Q61" s="10" t="n">
        <f aca="false">H61</f>
        <v>8</v>
      </c>
      <c r="R61" s="10" t="n">
        <f aca="false">I61</f>
        <v>6</v>
      </c>
      <c r="S61" s="10" t="n">
        <f aca="false">J61</f>
        <v>0.1</v>
      </c>
      <c r="T61" s="12" t="s">
        <v>347</v>
      </c>
      <c r="U61" s="12" t="s">
        <v>398</v>
      </c>
      <c r="V61" s="9" t="str">
        <f aca="false">U61&amp;" - "&amp;W61</f>
        <v>曲轴箱通风阀 - 通用</v>
      </c>
      <c r="W61" s="12" t="s">
        <v>76</v>
      </c>
      <c r="X61" s="12" t="s">
        <v>114</v>
      </c>
      <c r="Y61" s="10" t="n">
        <f aca="false">G61</f>
        <v>10</v>
      </c>
      <c r="Z61" s="10" t="n">
        <f aca="false">H61</f>
        <v>8</v>
      </c>
      <c r="AA61" s="10" t="n">
        <f aca="false">I61</f>
        <v>6</v>
      </c>
      <c r="AB61" s="10" t="n">
        <f aca="false">J61</f>
        <v>0.1</v>
      </c>
      <c r="AC61" s="9" t="s">
        <v>350</v>
      </c>
      <c r="AD61" s="9" t="s">
        <v>399</v>
      </c>
      <c r="AE61" s="9" t="str">
        <f aca="false">IF($AK61=0,"",INDEX('Part types'!$T:$T,$AK61)&amp;"")</f>
        <v>Combustion engine (petrol, diesel, hybrid, range extender)</v>
      </c>
      <c r="AF61" s="9" t="str">
        <f aca="false">IF($AK61=0,"",INDEX('Part types'!$U:$U,$AK61)&amp;"")</f>
        <v/>
      </c>
      <c r="AG61" s="9" t="str">
        <f aca="false">IF($AK61=0,"",INDEX('Part types'!$V:$V,$AK61)&amp;"")</f>
        <v>Estimate: size class XS</v>
      </c>
      <c r="AH61" s="9" t="str">
        <f aca="false">IF($AK61=0,"",INDEX('Part types'!$W:$W,$AK61)&amp;"")</f>
        <v/>
      </c>
      <c r="AI61" s="11" t="str">
        <f aca="false">IF($AK61=0,"",INDEX('Part types'!$X:$X,$AK61)&amp;"")</f>
        <v>PCV</v>
      </c>
      <c r="AJ61" s="9" t="str">
        <f aca="false">IF($AK61=0,"",INDEX('Part types'!$Y:$Y,$AK61)&amp;"")</f>
        <v>PCV</v>
      </c>
      <c r="AK61" s="9" t="n">
        <f aca="false">IFERROR(MATCH($AD61,'Part types'!$E:$E,0),0)</f>
        <v>57</v>
      </c>
    </row>
    <row r="62" customFormat="false" ht="15" hidden="false" customHeight="false" outlineLevel="0" collapsed="false">
      <c r="A62" s="9" t="s">
        <v>400</v>
      </c>
      <c r="B62" s="9" t="s">
        <v>401</v>
      </c>
      <c r="C62" s="9" t="s">
        <v>402</v>
      </c>
      <c r="D62" s="9" t="str">
        <f aca="false">C62&amp;" - "&amp;E62</f>
        <v>Intake Manifold - Universal</v>
      </c>
      <c r="E62" s="9" t="s">
        <v>68</v>
      </c>
      <c r="F62" s="9" t="s">
        <v>403</v>
      </c>
      <c r="G62" s="10" t="n">
        <f aca="false">IF($AK62=0,"",INDEX('Part types'!$P:$P,$AK62))</f>
        <v>50</v>
      </c>
      <c r="H62" s="10" t="n">
        <f aca="false">IF($AK62=0,"",INDEX('Part types'!$Q:$Q,$AK62))</f>
        <v>30</v>
      </c>
      <c r="I62" s="10" t="n">
        <f aca="false">IF($AK62=0,"",INDEX('Part types'!$R:$R,$AK62))</f>
        <v>20</v>
      </c>
      <c r="J62" s="10" t="n">
        <f aca="false">IF($AK62=0,"",INDEX('Part types'!$S:$S,$AK62))</f>
        <v>5</v>
      </c>
      <c r="K62" s="11" t="s">
        <v>404</v>
      </c>
      <c r="L62" s="11" t="s">
        <v>405</v>
      </c>
      <c r="M62" s="11" t="str">
        <f aca="false">L62&amp;" - "&amp;N62</f>
        <v>مشعب السحب - عام</v>
      </c>
      <c r="N62" s="11" t="s">
        <v>72</v>
      </c>
      <c r="O62" s="11" t="s">
        <v>406</v>
      </c>
      <c r="P62" s="10" t="n">
        <f aca="false">G62</f>
        <v>50</v>
      </c>
      <c r="Q62" s="10" t="n">
        <f aca="false">H62</f>
        <v>30</v>
      </c>
      <c r="R62" s="10" t="n">
        <f aca="false">I62</f>
        <v>20</v>
      </c>
      <c r="S62" s="10" t="n">
        <f aca="false">J62</f>
        <v>5</v>
      </c>
      <c r="T62" s="12" t="s">
        <v>407</v>
      </c>
      <c r="U62" s="12" t="s">
        <v>408</v>
      </c>
      <c r="V62" s="9" t="str">
        <f aca="false">U62&amp;" - "&amp;W62</f>
        <v>进气歧管 - 通用</v>
      </c>
      <c r="W62" s="12" t="s">
        <v>76</v>
      </c>
      <c r="X62" s="12" t="s">
        <v>409</v>
      </c>
      <c r="Y62" s="10" t="n">
        <f aca="false">G62</f>
        <v>50</v>
      </c>
      <c r="Z62" s="10" t="n">
        <f aca="false">H62</f>
        <v>30</v>
      </c>
      <c r="AA62" s="10" t="n">
        <f aca="false">I62</f>
        <v>20</v>
      </c>
      <c r="AB62" s="10" t="n">
        <f aca="false">J62</f>
        <v>5</v>
      </c>
      <c r="AC62" s="9" t="s">
        <v>410</v>
      </c>
      <c r="AD62" s="9" t="s">
        <v>411</v>
      </c>
      <c r="AE62" s="9" t="str">
        <f aca="false">IF($AK62=0,"",INDEX('Part types'!$T:$T,$AK62)&amp;"")</f>
        <v>Combustion engine (petrol, diesel, hybrid, range extender)</v>
      </c>
      <c r="AF62" s="9" t="str">
        <f aca="false">IF($AK62=0,"",INDEX('Part types'!$U:$U,$AK62)&amp;"")</f>
        <v/>
      </c>
      <c r="AG62" s="9" t="str">
        <f aca="false">IF($AK62=0,"",INDEX('Part types'!$V:$V,$AK62)&amp;"")</f>
        <v>Estimate: size class L2</v>
      </c>
      <c r="AH62" s="9" t="str">
        <f aca="false">IF($AK62=0,"",INDEX('Part types'!$W:$W,$AK62)&amp;"")</f>
        <v/>
      </c>
      <c r="AI62" s="11" t="str">
        <f aca="false">IF($AK62=0,"",INDEX('Part types'!$X:$X,$AK62)&amp;"")</f>
        <v/>
      </c>
      <c r="AJ62" s="9" t="str">
        <f aca="false">IF($AK62=0,"",INDEX('Part types'!$Y:$Y,$AK62)&amp;"")</f>
        <v/>
      </c>
      <c r="AK62" s="9" t="n">
        <f aca="false">IFERROR(MATCH($AD62,'Part types'!$E:$E,0),0)</f>
        <v>58</v>
      </c>
    </row>
    <row r="63" customFormat="false" ht="15" hidden="false" customHeight="false" outlineLevel="0" collapsed="false">
      <c r="A63" s="9" t="s">
        <v>412</v>
      </c>
      <c r="B63" s="9" t="s">
        <v>401</v>
      </c>
      <c r="C63" s="9" t="s">
        <v>413</v>
      </c>
      <c r="D63" s="9" t="str">
        <f aca="false">C63&amp;" - "&amp;E63</f>
        <v>Intake Manifold Gasket - Universal</v>
      </c>
      <c r="E63" s="9" t="s">
        <v>68</v>
      </c>
      <c r="F63" s="9" t="s">
        <v>403</v>
      </c>
      <c r="G63" s="10" t="n">
        <f aca="false">IF($AK63=0,"",INDEX('Part types'!$P:$P,$AK63))</f>
        <v>15</v>
      </c>
      <c r="H63" s="10" t="n">
        <f aca="false">IF($AK63=0,"",INDEX('Part types'!$Q:$Q,$AK63))</f>
        <v>10</v>
      </c>
      <c r="I63" s="10" t="n">
        <f aca="false">IF($AK63=0,"",INDEX('Part types'!$R:$R,$AK63))</f>
        <v>8</v>
      </c>
      <c r="J63" s="10" t="n">
        <f aca="false">IF($AK63=0,"",INDEX('Part types'!$S:$S,$AK63))</f>
        <v>0.3</v>
      </c>
      <c r="K63" s="11" t="s">
        <v>404</v>
      </c>
      <c r="L63" s="11" t="s">
        <v>414</v>
      </c>
      <c r="M63" s="11" t="str">
        <f aca="false">L63&amp;" - "&amp;N63</f>
        <v>جوان مشعب السحب - عام</v>
      </c>
      <c r="N63" s="11" t="s">
        <v>72</v>
      </c>
      <c r="O63" s="11" t="s">
        <v>406</v>
      </c>
      <c r="P63" s="10" t="n">
        <f aca="false">G63</f>
        <v>15</v>
      </c>
      <c r="Q63" s="10" t="n">
        <f aca="false">H63</f>
        <v>10</v>
      </c>
      <c r="R63" s="10" t="n">
        <f aca="false">I63</f>
        <v>8</v>
      </c>
      <c r="S63" s="10" t="n">
        <f aca="false">J63</f>
        <v>0.3</v>
      </c>
      <c r="T63" s="12" t="s">
        <v>407</v>
      </c>
      <c r="U63" s="12" t="s">
        <v>415</v>
      </c>
      <c r="V63" s="9" t="str">
        <f aca="false">U63&amp;" - "&amp;W63</f>
        <v>进气歧管垫 - 通用</v>
      </c>
      <c r="W63" s="12" t="s">
        <v>76</v>
      </c>
      <c r="X63" s="12" t="s">
        <v>409</v>
      </c>
      <c r="Y63" s="10" t="n">
        <f aca="false">G63</f>
        <v>15</v>
      </c>
      <c r="Z63" s="10" t="n">
        <f aca="false">H63</f>
        <v>10</v>
      </c>
      <c r="AA63" s="10" t="n">
        <f aca="false">I63</f>
        <v>8</v>
      </c>
      <c r="AB63" s="10" t="n">
        <f aca="false">J63</f>
        <v>0.3</v>
      </c>
      <c r="AC63" s="9" t="s">
        <v>410</v>
      </c>
      <c r="AD63" s="9" t="s">
        <v>416</v>
      </c>
      <c r="AE63" s="9" t="str">
        <f aca="false">IF($AK63=0,"",INDEX('Part types'!$T:$T,$AK63)&amp;"")</f>
        <v>Combustion engine (petrol, diesel, hybrid, range extender)</v>
      </c>
      <c r="AF63" s="9" t="str">
        <f aca="false">IF($AK63=0,"",INDEX('Part types'!$U:$U,$AK63)&amp;"")</f>
        <v/>
      </c>
      <c r="AG63" s="9" t="str">
        <f aca="false">IF($AK63=0,"",INDEX('Part types'!$V:$V,$AK63)&amp;"")</f>
        <v>Estimate: size class S</v>
      </c>
      <c r="AH63" s="9" t="str">
        <f aca="false">IF($AK63=0,"",INDEX('Part types'!$W:$W,$AK63)&amp;"")</f>
        <v/>
      </c>
      <c r="AI63" s="11" t="str">
        <f aca="false">IF($AK63=0,"",INDEX('Part types'!$X:$X,$AK63)&amp;"")</f>
        <v/>
      </c>
      <c r="AJ63" s="9" t="str">
        <f aca="false">IF($AK63=0,"",INDEX('Part types'!$Y:$Y,$AK63)&amp;"")</f>
        <v/>
      </c>
      <c r="AK63" s="9" t="n">
        <f aca="false">IFERROR(MATCH($AD63,'Part types'!$E:$E,0),0)</f>
        <v>59</v>
      </c>
    </row>
    <row r="64" customFormat="false" ht="15" hidden="false" customHeight="false" outlineLevel="0" collapsed="false">
      <c r="A64" s="9" t="s">
        <v>417</v>
      </c>
      <c r="B64" s="9" t="s">
        <v>401</v>
      </c>
      <c r="C64" s="9" t="s">
        <v>418</v>
      </c>
      <c r="D64" s="9" t="str">
        <f aca="false">C64&amp;" - "&amp;E64</f>
        <v>Throttle Body - Universal</v>
      </c>
      <c r="E64" s="9" t="s">
        <v>68</v>
      </c>
      <c r="F64" s="9" t="s">
        <v>403</v>
      </c>
      <c r="G64" s="10" t="n">
        <f aca="false">IF($AK64=0,"",INDEX('Part types'!$P:$P,$AK64))</f>
        <v>25</v>
      </c>
      <c r="H64" s="10" t="n">
        <f aca="false">IF($AK64=0,"",INDEX('Part types'!$Q:$Q,$AK64))</f>
        <v>15</v>
      </c>
      <c r="I64" s="10" t="n">
        <f aca="false">IF($AK64=0,"",INDEX('Part types'!$R:$R,$AK64))</f>
        <v>10</v>
      </c>
      <c r="J64" s="10" t="n">
        <f aca="false">IF($AK64=0,"",INDEX('Part types'!$S:$S,$AK64))</f>
        <v>0.9</v>
      </c>
      <c r="K64" s="11" t="s">
        <v>404</v>
      </c>
      <c r="L64" s="11" t="s">
        <v>419</v>
      </c>
      <c r="M64" s="11" t="str">
        <f aca="false">L64&amp;" - "&amp;N64</f>
        <v>جسم الخانق - عام</v>
      </c>
      <c r="N64" s="11" t="s">
        <v>72</v>
      </c>
      <c r="O64" s="11" t="s">
        <v>406</v>
      </c>
      <c r="P64" s="10" t="n">
        <f aca="false">G64</f>
        <v>25</v>
      </c>
      <c r="Q64" s="10" t="n">
        <f aca="false">H64</f>
        <v>15</v>
      </c>
      <c r="R64" s="10" t="n">
        <f aca="false">I64</f>
        <v>10</v>
      </c>
      <c r="S64" s="10" t="n">
        <f aca="false">J64</f>
        <v>0.9</v>
      </c>
      <c r="T64" s="12" t="s">
        <v>407</v>
      </c>
      <c r="U64" s="12" t="s">
        <v>420</v>
      </c>
      <c r="V64" s="9" t="str">
        <f aca="false">U64&amp;" - "&amp;W64</f>
        <v>节气门体 - 通用</v>
      </c>
      <c r="W64" s="12" t="s">
        <v>76</v>
      </c>
      <c r="X64" s="12" t="s">
        <v>409</v>
      </c>
      <c r="Y64" s="10" t="n">
        <f aca="false">G64</f>
        <v>25</v>
      </c>
      <c r="Z64" s="10" t="n">
        <f aca="false">H64</f>
        <v>15</v>
      </c>
      <c r="AA64" s="10" t="n">
        <f aca="false">I64</f>
        <v>10</v>
      </c>
      <c r="AB64" s="10" t="n">
        <f aca="false">J64</f>
        <v>0.9</v>
      </c>
      <c r="AC64" s="9" t="s">
        <v>410</v>
      </c>
      <c r="AD64" s="9" t="s">
        <v>421</v>
      </c>
      <c r="AE64" s="9" t="str">
        <f aca="false">IF($AK64=0,"",INDEX('Part types'!$T:$T,$AK64)&amp;"")</f>
        <v>Combustion engine (petrol, diesel, hybrid, range extender)</v>
      </c>
      <c r="AF64" s="9" t="str">
        <f aca="false">IF($AK64=0,"",INDEX('Part types'!$U:$U,$AK64)&amp;"")</f>
        <v/>
      </c>
      <c r="AG64" s="9" t="str">
        <f aca="false">IF($AK64=0,"",INDEX('Part types'!$V:$V,$AK64)&amp;"")</f>
        <v>Estimate: size class M</v>
      </c>
      <c r="AH64" s="9" t="str">
        <f aca="false">IF($AK64=0,"",INDEX('Part types'!$W:$W,$AK64)&amp;"")</f>
        <v/>
      </c>
      <c r="AI64" s="11" t="str">
        <f aca="false">IF($AK64=0,"",INDEX('Part types'!$X:$X,$AK64)&amp;"")</f>
        <v>الثروتل</v>
      </c>
      <c r="AJ64" s="9" t="str">
        <f aca="false">IF($AK64=0,"",INDEX('Part types'!$Y:$Y,$AK64)&amp;"")</f>
        <v/>
      </c>
      <c r="AK64" s="9" t="n">
        <f aca="false">IFERROR(MATCH($AD64,'Part types'!$E:$E,0),0)</f>
        <v>60</v>
      </c>
    </row>
    <row r="65" customFormat="false" ht="15" hidden="false" customHeight="false" outlineLevel="0" collapsed="false">
      <c r="A65" s="9" t="s">
        <v>422</v>
      </c>
      <c r="B65" s="9" t="s">
        <v>401</v>
      </c>
      <c r="C65" s="9" t="s">
        <v>423</v>
      </c>
      <c r="D65" s="9" t="str">
        <f aca="false">C65&amp;" - "&amp;E65</f>
        <v>Throttle Body Gasket - Universal</v>
      </c>
      <c r="E65" s="9" t="s">
        <v>68</v>
      </c>
      <c r="F65" s="9" t="s">
        <v>403</v>
      </c>
      <c r="G65" s="10" t="n">
        <f aca="false">IF($AK65=0,"",INDEX('Part types'!$P:$P,$AK65))</f>
        <v>10</v>
      </c>
      <c r="H65" s="10" t="n">
        <f aca="false">IF($AK65=0,"",INDEX('Part types'!$Q:$Q,$AK65))</f>
        <v>8</v>
      </c>
      <c r="I65" s="10" t="n">
        <f aca="false">IF($AK65=0,"",INDEX('Part types'!$R:$R,$AK65))</f>
        <v>6</v>
      </c>
      <c r="J65" s="10" t="n">
        <f aca="false">IF($AK65=0,"",INDEX('Part types'!$S:$S,$AK65))</f>
        <v>0.1</v>
      </c>
      <c r="K65" s="11" t="s">
        <v>404</v>
      </c>
      <c r="L65" s="11" t="s">
        <v>424</v>
      </c>
      <c r="M65" s="11" t="str">
        <f aca="false">L65&amp;" - "&amp;N65</f>
        <v>جوان جسم الخانق - عام</v>
      </c>
      <c r="N65" s="11" t="s">
        <v>72</v>
      </c>
      <c r="O65" s="11" t="s">
        <v>406</v>
      </c>
      <c r="P65" s="10" t="n">
        <f aca="false">G65</f>
        <v>10</v>
      </c>
      <c r="Q65" s="10" t="n">
        <f aca="false">H65</f>
        <v>8</v>
      </c>
      <c r="R65" s="10" t="n">
        <f aca="false">I65</f>
        <v>6</v>
      </c>
      <c r="S65" s="10" t="n">
        <f aca="false">J65</f>
        <v>0.1</v>
      </c>
      <c r="T65" s="12" t="s">
        <v>407</v>
      </c>
      <c r="U65" s="12" t="s">
        <v>425</v>
      </c>
      <c r="V65" s="9" t="str">
        <f aca="false">U65&amp;" - "&amp;W65</f>
        <v>节气门垫 - 通用</v>
      </c>
      <c r="W65" s="12" t="s">
        <v>76</v>
      </c>
      <c r="X65" s="12" t="s">
        <v>409</v>
      </c>
      <c r="Y65" s="10" t="n">
        <f aca="false">G65</f>
        <v>10</v>
      </c>
      <c r="Z65" s="10" t="n">
        <f aca="false">H65</f>
        <v>8</v>
      </c>
      <c r="AA65" s="10" t="n">
        <f aca="false">I65</f>
        <v>6</v>
      </c>
      <c r="AB65" s="10" t="n">
        <f aca="false">J65</f>
        <v>0.1</v>
      </c>
      <c r="AC65" s="9" t="s">
        <v>410</v>
      </c>
      <c r="AD65" s="9" t="s">
        <v>426</v>
      </c>
      <c r="AE65" s="9" t="str">
        <f aca="false">IF($AK65=0,"",INDEX('Part types'!$T:$T,$AK65)&amp;"")</f>
        <v>Combustion engine (petrol, diesel, hybrid, range extender)</v>
      </c>
      <c r="AF65" s="9" t="str">
        <f aca="false">IF($AK65=0,"",INDEX('Part types'!$U:$U,$AK65)&amp;"")</f>
        <v/>
      </c>
      <c r="AG65" s="9" t="str">
        <f aca="false">IF($AK65=0,"",INDEX('Part types'!$V:$V,$AK65)&amp;"")</f>
        <v>Estimate: size class XS</v>
      </c>
      <c r="AH65" s="9" t="str">
        <f aca="false">IF($AK65=0,"",INDEX('Part types'!$W:$W,$AK65)&amp;"")</f>
        <v/>
      </c>
      <c r="AI65" s="11" t="str">
        <f aca="false">IF($AK65=0,"",INDEX('Part types'!$X:$X,$AK65)&amp;"")</f>
        <v/>
      </c>
      <c r="AJ65" s="9" t="str">
        <f aca="false">IF($AK65=0,"",INDEX('Part types'!$Y:$Y,$AK65)&amp;"")</f>
        <v/>
      </c>
      <c r="AK65" s="9" t="n">
        <f aca="false">IFERROR(MATCH($AD65,'Part types'!$E:$E,0),0)</f>
        <v>61</v>
      </c>
    </row>
    <row r="66" customFormat="false" ht="15" hidden="false" customHeight="false" outlineLevel="0" collapsed="false">
      <c r="A66" s="9" t="s">
        <v>427</v>
      </c>
      <c r="B66" s="9" t="s">
        <v>401</v>
      </c>
      <c r="C66" s="9" t="s">
        <v>428</v>
      </c>
      <c r="D66" s="9" t="str">
        <f aca="false">C66&amp;" - "&amp;E66</f>
        <v>Air Intake Hose - Universal</v>
      </c>
      <c r="E66" s="9" t="s">
        <v>68</v>
      </c>
      <c r="F66" s="9" t="s">
        <v>403</v>
      </c>
      <c r="G66" s="10" t="n">
        <f aca="false">IF($AK66=0,"",INDEX('Part types'!$P:$P,$AK66))</f>
        <v>25</v>
      </c>
      <c r="H66" s="10" t="n">
        <f aca="false">IF($AK66=0,"",INDEX('Part types'!$Q:$Q,$AK66))</f>
        <v>15</v>
      </c>
      <c r="I66" s="10" t="n">
        <f aca="false">IF($AK66=0,"",INDEX('Part types'!$R:$R,$AK66))</f>
        <v>10</v>
      </c>
      <c r="J66" s="10" t="n">
        <f aca="false">IF($AK66=0,"",INDEX('Part types'!$S:$S,$AK66))</f>
        <v>0.9</v>
      </c>
      <c r="K66" s="11" t="s">
        <v>404</v>
      </c>
      <c r="L66" s="11" t="s">
        <v>429</v>
      </c>
      <c r="M66" s="11" t="str">
        <f aca="false">L66&amp;" - "&amp;N66</f>
        <v>خرطوم سحب الهواء - عام</v>
      </c>
      <c r="N66" s="11" t="s">
        <v>72</v>
      </c>
      <c r="O66" s="11" t="s">
        <v>406</v>
      </c>
      <c r="P66" s="10" t="n">
        <f aca="false">G66</f>
        <v>25</v>
      </c>
      <c r="Q66" s="10" t="n">
        <f aca="false">H66</f>
        <v>15</v>
      </c>
      <c r="R66" s="10" t="n">
        <f aca="false">I66</f>
        <v>10</v>
      </c>
      <c r="S66" s="10" t="n">
        <f aca="false">J66</f>
        <v>0.9</v>
      </c>
      <c r="T66" s="12" t="s">
        <v>407</v>
      </c>
      <c r="U66" s="12" t="s">
        <v>430</v>
      </c>
      <c r="V66" s="9" t="str">
        <f aca="false">U66&amp;" - "&amp;W66</f>
        <v>进气软管 - 通用</v>
      </c>
      <c r="W66" s="12" t="s">
        <v>76</v>
      </c>
      <c r="X66" s="12" t="s">
        <v>409</v>
      </c>
      <c r="Y66" s="10" t="n">
        <f aca="false">G66</f>
        <v>25</v>
      </c>
      <c r="Z66" s="10" t="n">
        <f aca="false">H66</f>
        <v>15</v>
      </c>
      <c r="AA66" s="10" t="n">
        <f aca="false">I66</f>
        <v>10</v>
      </c>
      <c r="AB66" s="10" t="n">
        <f aca="false">J66</f>
        <v>0.9</v>
      </c>
      <c r="AC66" s="9" t="s">
        <v>410</v>
      </c>
      <c r="AD66" s="9" t="s">
        <v>431</v>
      </c>
      <c r="AE66" s="9" t="str">
        <f aca="false">IF($AK66=0,"",INDEX('Part types'!$T:$T,$AK66)&amp;"")</f>
        <v>Combustion engine (petrol, diesel, hybrid, range extender)</v>
      </c>
      <c r="AF66" s="9" t="str">
        <f aca="false">IF($AK66=0,"",INDEX('Part types'!$U:$U,$AK66)&amp;"")</f>
        <v/>
      </c>
      <c r="AG66" s="9" t="str">
        <f aca="false">IF($AK66=0,"",INDEX('Part types'!$V:$V,$AK66)&amp;"")</f>
        <v>Estimate: size class M</v>
      </c>
      <c r="AH66" s="9" t="str">
        <f aca="false">IF($AK66=0,"",INDEX('Part types'!$W:$W,$AK66)&amp;"")</f>
        <v/>
      </c>
      <c r="AI66" s="11" t="str">
        <f aca="false">IF($AK66=0,"",INDEX('Part types'!$X:$X,$AK66)&amp;"")</f>
        <v/>
      </c>
      <c r="AJ66" s="9" t="str">
        <f aca="false">IF($AK66=0,"",INDEX('Part types'!$Y:$Y,$AK66)&amp;"")</f>
        <v/>
      </c>
      <c r="AK66" s="9" t="n">
        <f aca="false">IFERROR(MATCH($AD66,'Part types'!$E:$E,0),0)</f>
        <v>62</v>
      </c>
    </row>
    <row r="67" customFormat="false" ht="15" hidden="false" customHeight="false" outlineLevel="0" collapsed="false">
      <c r="A67" s="9" t="s">
        <v>432</v>
      </c>
      <c r="B67" s="9" t="s">
        <v>401</v>
      </c>
      <c r="C67" s="9" t="s">
        <v>433</v>
      </c>
      <c r="D67" s="9" t="str">
        <f aca="false">C67&amp;" - "&amp;E67</f>
        <v>Air Filter Housing - Universal</v>
      </c>
      <c r="E67" s="9" t="s">
        <v>68</v>
      </c>
      <c r="F67" s="9" t="s">
        <v>403</v>
      </c>
      <c r="G67" s="10" t="n">
        <f aca="false">IF($AK67=0,"",INDEX('Part types'!$P:$P,$AK67))</f>
        <v>40</v>
      </c>
      <c r="H67" s="10" t="n">
        <f aca="false">IF($AK67=0,"",INDEX('Part types'!$Q:$Q,$AK67))</f>
        <v>25</v>
      </c>
      <c r="I67" s="10" t="n">
        <f aca="false">IF($AK67=0,"",INDEX('Part types'!$R:$R,$AK67))</f>
        <v>15</v>
      </c>
      <c r="J67" s="10" t="n">
        <f aca="false">IF($AK67=0,"",INDEX('Part types'!$S:$S,$AK67))</f>
        <v>3</v>
      </c>
      <c r="K67" s="11" t="s">
        <v>404</v>
      </c>
      <c r="L67" s="11" t="s">
        <v>434</v>
      </c>
      <c r="M67" s="11" t="str">
        <f aca="false">L67&amp;" - "&amp;N67</f>
        <v>صندوق فلتر الهواء - عام</v>
      </c>
      <c r="N67" s="11" t="s">
        <v>72</v>
      </c>
      <c r="O67" s="11" t="s">
        <v>406</v>
      </c>
      <c r="P67" s="10" t="n">
        <f aca="false">G67</f>
        <v>40</v>
      </c>
      <c r="Q67" s="10" t="n">
        <f aca="false">H67</f>
        <v>25</v>
      </c>
      <c r="R67" s="10" t="n">
        <f aca="false">I67</f>
        <v>15</v>
      </c>
      <c r="S67" s="10" t="n">
        <f aca="false">J67</f>
        <v>3</v>
      </c>
      <c r="T67" s="12" t="s">
        <v>407</v>
      </c>
      <c r="U67" s="12" t="s">
        <v>435</v>
      </c>
      <c r="V67" s="9" t="str">
        <f aca="false">U67&amp;" - "&amp;W67</f>
        <v>空气滤清器壳体 - 通用</v>
      </c>
      <c r="W67" s="12" t="s">
        <v>76</v>
      </c>
      <c r="X67" s="12" t="s">
        <v>409</v>
      </c>
      <c r="Y67" s="10" t="n">
        <f aca="false">G67</f>
        <v>40</v>
      </c>
      <c r="Z67" s="10" t="n">
        <f aca="false">H67</f>
        <v>25</v>
      </c>
      <c r="AA67" s="10" t="n">
        <f aca="false">I67</f>
        <v>15</v>
      </c>
      <c r="AB67" s="10" t="n">
        <f aca="false">J67</f>
        <v>3</v>
      </c>
      <c r="AC67" s="9" t="s">
        <v>410</v>
      </c>
      <c r="AD67" s="9" t="s">
        <v>436</v>
      </c>
      <c r="AE67" s="9" t="str">
        <f aca="false">IF($AK67=0,"",INDEX('Part types'!$T:$T,$AK67)&amp;"")</f>
        <v>Combustion engine (petrol, diesel, hybrid, range extender)</v>
      </c>
      <c r="AF67" s="9" t="str">
        <f aca="false">IF($AK67=0,"",INDEX('Part types'!$U:$U,$AK67)&amp;"")</f>
        <v/>
      </c>
      <c r="AG67" s="9" t="str">
        <f aca="false">IF($AK67=0,"",INDEX('Part types'!$V:$V,$AK67)&amp;"")</f>
        <v>Estimate: size class L</v>
      </c>
      <c r="AH67" s="9" t="str">
        <f aca="false">IF($AK67=0,"",INDEX('Part types'!$W:$W,$AK67)&amp;"")</f>
        <v/>
      </c>
      <c r="AI67" s="11" t="str">
        <f aca="false">IF($AK67=0,"",INDEX('Part types'!$X:$X,$AK67)&amp;"")</f>
        <v/>
      </c>
      <c r="AJ67" s="9" t="str">
        <f aca="false">IF($AK67=0,"",INDEX('Part types'!$Y:$Y,$AK67)&amp;"")</f>
        <v/>
      </c>
      <c r="AK67" s="9" t="n">
        <f aca="false">IFERROR(MATCH($AD67,'Part types'!$E:$E,0),0)</f>
        <v>63</v>
      </c>
    </row>
    <row r="68" customFormat="false" ht="15" hidden="false" customHeight="false" outlineLevel="0" collapsed="false">
      <c r="A68" s="9" t="s">
        <v>437</v>
      </c>
      <c r="B68" s="9" t="s">
        <v>401</v>
      </c>
      <c r="C68" s="9" t="s">
        <v>438</v>
      </c>
      <c r="D68" s="9" t="str">
        <f aca="false">C68&amp;" - "&amp;E68</f>
        <v>Air Intake Resonator - Universal</v>
      </c>
      <c r="E68" s="9" t="s">
        <v>68</v>
      </c>
      <c r="F68" s="9" t="s">
        <v>403</v>
      </c>
      <c r="G68" s="10" t="n">
        <f aca="false">IF($AK68=0,"",INDEX('Part types'!$P:$P,$AK68))</f>
        <v>30</v>
      </c>
      <c r="H68" s="10" t="n">
        <f aca="false">IF($AK68=0,"",INDEX('Part types'!$Q:$Q,$AK68))</f>
        <v>20</v>
      </c>
      <c r="I68" s="10" t="n">
        <f aca="false">IF($AK68=0,"",INDEX('Part types'!$R:$R,$AK68))</f>
        <v>15</v>
      </c>
      <c r="J68" s="10" t="n">
        <f aca="false">IF($AK68=0,"",INDEX('Part types'!$S:$S,$AK68))</f>
        <v>1.8</v>
      </c>
      <c r="K68" s="11" t="s">
        <v>404</v>
      </c>
      <c r="L68" s="11" t="s">
        <v>439</v>
      </c>
      <c r="M68" s="11" t="str">
        <f aca="false">L68&amp;" - "&amp;N68</f>
        <v>رنان السحب - عام</v>
      </c>
      <c r="N68" s="11" t="s">
        <v>72</v>
      </c>
      <c r="O68" s="11" t="s">
        <v>406</v>
      </c>
      <c r="P68" s="10" t="n">
        <f aca="false">G68</f>
        <v>30</v>
      </c>
      <c r="Q68" s="10" t="n">
        <f aca="false">H68</f>
        <v>20</v>
      </c>
      <c r="R68" s="10" t="n">
        <f aca="false">I68</f>
        <v>15</v>
      </c>
      <c r="S68" s="10" t="n">
        <f aca="false">J68</f>
        <v>1.8</v>
      </c>
      <c r="T68" s="12" t="s">
        <v>407</v>
      </c>
      <c r="U68" s="12" t="s">
        <v>440</v>
      </c>
      <c r="V68" s="9" t="str">
        <f aca="false">U68&amp;" - "&amp;W68</f>
        <v>进气谐振腔 - 通用</v>
      </c>
      <c r="W68" s="12" t="s">
        <v>76</v>
      </c>
      <c r="X68" s="12" t="s">
        <v>409</v>
      </c>
      <c r="Y68" s="10" t="n">
        <f aca="false">G68</f>
        <v>30</v>
      </c>
      <c r="Z68" s="10" t="n">
        <f aca="false">H68</f>
        <v>20</v>
      </c>
      <c r="AA68" s="10" t="n">
        <f aca="false">I68</f>
        <v>15</v>
      </c>
      <c r="AB68" s="10" t="n">
        <f aca="false">J68</f>
        <v>1.8</v>
      </c>
      <c r="AC68" s="9" t="s">
        <v>410</v>
      </c>
      <c r="AD68" s="9" t="s">
        <v>441</v>
      </c>
      <c r="AE68" s="9" t="str">
        <f aca="false">IF($AK68=0,"",INDEX('Part types'!$T:$T,$AK68)&amp;"")</f>
        <v>Combustion engine (petrol, diesel, hybrid, range extender)</v>
      </c>
      <c r="AF68" s="9" t="str">
        <f aca="false">IF($AK68=0,"",INDEX('Part types'!$U:$U,$AK68)&amp;"")</f>
        <v/>
      </c>
      <c r="AG68" s="9" t="str">
        <f aca="false">IF($AK68=0,"",INDEX('Part types'!$V:$V,$AK68)&amp;"")</f>
        <v>Estimate: size class M2</v>
      </c>
      <c r="AH68" s="9" t="str">
        <f aca="false">IF($AK68=0,"",INDEX('Part types'!$W:$W,$AK68)&amp;"")</f>
        <v/>
      </c>
      <c r="AI68" s="11" t="str">
        <f aca="false">IF($AK68=0,"",INDEX('Part types'!$X:$X,$AK68)&amp;"")</f>
        <v/>
      </c>
      <c r="AJ68" s="9" t="str">
        <f aca="false">IF($AK68=0,"",INDEX('Part types'!$Y:$Y,$AK68)&amp;"")</f>
        <v/>
      </c>
      <c r="AK68" s="9" t="n">
        <f aca="false">IFERROR(MATCH($AD68,'Part types'!$E:$E,0),0)</f>
        <v>64</v>
      </c>
    </row>
    <row r="69" customFormat="false" ht="15" hidden="false" customHeight="false" outlineLevel="0" collapsed="false">
      <c r="A69" s="9" t="s">
        <v>442</v>
      </c>
      <c r="B69" s="9" t="s">
        <v>401</v>
      </c>
      <c r="C69" s="9" t="s">
        <v>443</v>
      </c>
      <c r="D69" s="9" t="str">
        <f aca="false">C69&amp;" - "&amp;E69</f>
        <v>Idle Control Valve - Universal</v>
      </c>
      <c r="E69" s="9" t="s">
        <v>68</v>
      </c>
      <c r="F69" s="9" t="s">
        <v>403</v>
      </c>
      <c r="G69" s="10" t="n">
        <f aca="false">IF($AK69=0,"",INDEX('Part types'!$P:$P,$AK69))</f>
        <v>15</v>
      </c>
      <c r="H69" s="10" t="n">
        <f aca="false">IF($AK69=0,"",INDEX('Part types'!$Q:$Q,$AK69))</f>
        <v>10</v>
      </c>
      <c r="I69" s="10" t="n">
        <f aca="false">IF($AK69=0,"",INDEX('Part types'!$R:$R,$AK69))</f>
        <v>8</v>
      </c>
      <c r="J69" s="10" t="n">
        <f aca="false">IF($AK69=0,"",INDEX('Part types'!$S:$S,$AK69))</f>
        <v>0.3</v>
      </c>
      <c r="K69" s="11" t="s">
        <v>404</v>
      </c>
      <c r="L69" s="11" t="s">
        <v>444</v>
      </c>
      <c r="M69" s="11" t="str">
        <f aca="false">L69&amp;" - "&amp;N69</f>
        <v>صمام التحكم بالهواء الخامل - عام</v>
      </c>
      <c r="N69" s="11" t="s">
        <v>72</v>
      </c>
      <c r="O69" s="11" t="s">
        <v>406</v>
      </c>
      <c r="P69" s="10" t="n">
        <f aca="false">G69</f>
        <v>15</v>
      </c>
      <c r="Q69" s="10" t="n">
        <f aca="false">H69</f>
        <v>10</v>
      </c>
      <c r="R69" s="10" t="n">
        <f aca="false">I69</f>
        <v>8</v>
      </c>
      <c r="S69" s="10" t="n">
        <f aca="false">J69</f>
        <v>0.3</v>
      </c>
      <c r="T69" s="12" t="s">
        <v>407</v>
      </c>
      <c r="U69" s="12" t="s">
        <v>445</v>
      </c>
      <c r="V69" s="9" t="str">
        <f aca="false">U69&amp;" - "&amp;W69</f>
        <v>怠速控制阀 - 通用</v>
      </c>
      <c r="W69" s="12" t="s">
        <v>76</v>
      </c>
      <c r="X69" s="12" t="s">
        <v>409</v>
      </c>
      <c r="Y69" s="10" t="n">
        <f aca="false">G69</f>
        <v>15</v>
      </c>
      <c r="Z69" s="10" t="n">
        <f aca="false">H69</f>
        <v>10</v>
      </c>
      <c r="AA69" s="10" t="n">
        <f aca="false">I69</f>
        <v>8</v>
      </c>
      <c r="AB69" s="10" t="n">
        <f aca="false">J69</f>
        <v>0.3</v>
      </c>
      <c r="AC69" s="9" t="s">
        <v>410</v>
      </c>
      <c r="AD69" s="9" t="s">
        <v>446</v>
      </c>
      <c r="AE69" s="9" t="str">
        <f aca="false">IF($AK69=0,"",INDEX('Part types'!$T:$T,$AK69)&amp;"")</f>
        <v>Combustion engine (petrol, diesel, hybrid, range extender)</v>
      </c>
      <c r="AF69" s="9" t="str">
        <f aca="false">IF($AK69=0,"",INDEX('Part types'!$U:$U,$AK69)&amp;"")</f>
        <v/>
      </c>
      <c r="AG69" s="9" t="str">
        <f aca="false">IF($AK69=0,"",INDEX('Part types'!$V:$V,$AK69)&amp;"")</f>
        <v>Estimate: size class S</v>
      </c>
      <c r="AH69" s="9" t="str">
        <f aca="false">IF($AK69=0,"",INDEX('Part types'!$W:$W,$AK69)&amp;"")</f>
        <v>Idle Air Control Valve</v>
      </c>
      <c r="AI69" s="11" t="str">
        <f aca="false">IF($AK69=0,"",INDEX('Part types'!$X:$X,$AK69)&amp;"")</f>
        <v/>
      </c>
      <c r="AJ69" s="9" t="str">
        <f aca="false">IF($AK69=0,"",INDEX('Part types'!$Y:$Y,$AK69)&amp;"")</f>
        <v/>
      </c>
      <c r="AK69" s="9" t="n">
        <f aca="false">IFERROR(MATCH($AD69,'Part types'!$E:$E,0),0)</f>
        <v>65</v>
      </c>
    </row>
    <row r="70" customFormat="false" ht="15" hidden="false" customHeight="false" outlineLevel="0" collapsed="false">
      <c r="A70" s="9" t="s">
        <v>447</v>
      </c>
      <c r="B70" s="9" t="s">
        <v>401</v>
      </c>
      <c r="C70" s="9" t="s">
        <v>448</v>
      </c>
      <c r="D70" s="9" t="str">
        <f aca="false">C70&amp;" - "&amp;E70</f>
        <v>Vacuum Pump - Universal</v>
      </c>
      <c r="E70" s="9" t="s">
        <v>68</v>
      </c>
      <c r="F70" s="9" t="s">
        <v>369</v>
      </c>
      <c r="G70" s="10" t="n">
        <f aca="false">IF($AK70=0,"",INDEX('Part types'!$P:$P,$AK70))</f>
        <v>25</v>
      </c>
      <c r="H70" s="10" t="n">
        <f aca="false">IF($AK70=0,"",INDEX('Part types'!$Q:$Q,$AK70))</f>
        <v>15</v>
      </c>
      <c r="I70" s="10" t="n">
        <f aca="false">IF($AK70=0,"",INDEX('Part types'!$R:$R,$AK70))</f>
        <v>10</v>
      </c>
      <c r="J70" s="10" t="n">
        <f aca="false">IF($AK70=0,"",INDEX('Part types'!$S:$S,$AK70))</f>
        <v>0.9</v>
      </c>
      <c r="K70" s="11" t="s">
        <v>404</v>
      </c>
      <c r="L70" s="11" t="s">
        <v>449</v>
      </c>
      <c r="M70" s="11" t="str">
        <f aca="false">L70&amp;" - "&amp;N70</f>
        <v>مضخة التفريغ - عام</v>
      </c>
      <c r="N70" s="11" t="s">
        <v>72</v>
      </c>
      <c r="O70" s="11" t="s">
        <v>371</v>
      </c>
      <c r="P70" s="10" t="n">
        <f aca="false">G70</f>
        <v>25</v>
      </c>
      <c r="Q70" s="10" t="n">
        <f aca="false">H70</f>
        <v>15</v>
      </c>
      <c r="R70" s="10" t="n">
        <f aca="false">I70</f>
        <v>10</v>
      </c>
      <c r="S70" s="10" t="n">
        <f aca="false">J70</f>
        <v>0.9</v>
      </c>
      <c r="T70" s="12" t="s">
        <v>407</v>
      </c>
      <c r="U70" s="12" t="s">
        <v>450</v>
      </c>
      <c r="V70" s="9" t="str">
        <f aca="false">U70&amp;" - "&amp;W70</f>
        <v>真空泵 - 通用</v>
      </c>
      <c r="W70" s="12" t="s">
        <v>76</v>
      </c>
      <c r="X70" s="12" t="s">
        <v>373</v>
      </c>
      <c r="Y70" s="10" t="n">
        <f aca="false">G70</f>
        <v>25</v>
      </c>
      <c r="Z70" s="10" t="n">
        <f aca="false">H70</f>
        <v>15</v>
      </c>
      <c r="AA70" s="10" t="n">
        <f aca="false">I70</f>
        <v>10</v>
      </c>
      <c r="AB70" s="10" t="n">
        <f aca="false">J70</f>
        <v>0.9</v>
      </c>
      <c r="AC70" s="9" t="s">
        <v>410</v>
      </c>
      <c r="AD70" s="9" t="s">
        <v>451</v>
      </c>
      <c r="AE70" s="9" t="str">
        <f aca="false">IF($AK70=0,"",INDEX('Part types'!$T:$T,$AK70)&amp;"")</f>
        <v>Combustion engine (petrol, diesel, hybrid, range extender)</v>
      </c>
      <c r="AF70" s="9" t="str">
        <f aca="false">IF($AK70=0,"",INDEX('Part types'!$U:$U,$AK70)&amp;"")</f>
        <v/>
      </c>
      <c r="AG70" s="9" t="str">
        <f aca="false">IF($AK70=0,"",INDEX('Part types'!$V:$V,$AK70)&amp;"")</f>
        <v>Estimate: size class M</v>
      </c>
      <c r="AH70" s="9" t="str">
        <f aca="false">IF($AK70=0,"",INDEX('Part types'!$W:$W,$AK70)&amp;"")</f>
        <v/>
      </c>
      <c r="AI70" s="11" t="str">
        <f aca="false">IF($AK70=0,"",INDEX('Part types'!$X:$X,$AK70)&amp;"")</f>
        <v/>
      </c>
      <c r="AJ70" s="9" t="str">
        <f aca="false">IF($AK70=0,"",INDEX('Part types'!$Y:$Y,$AK70)&amp;"")</f>
        <v/>
      </c>
      <c r="AK70" s="9" t="n">
        <f aca="false">IFERROR(MATCH($AD70,'Part types'!$E:$E,0),0)</f>
        <v>66</v>
      </c>
    </row>
    <row r="71" customFormat="false" ht="15" hidden="false" customHeight="false" outlineLevel="0" collapsed="false">
      <c r="A71" s="9" t="s">
        <v>452</v>
      </c>
      <c r="B71" s="9" t="s">
        <v>401</v>
      </c>
      <c r="C71" s="9" t="s">
        <v>453</v>
      </c>
      <c r="D71" s="9" t="str">
        <f aca="false">C71&amp;" - "&amp;E71</f>
        <v>Vacuum Hose Set - Universal</v>
      </c>
      <c r="E71" s="9" t="s">
        <v>68</v>
      </c>
      <c r="F71" s="9" t="s">
        <v>69</v>
      </c>
      <c r="G71" s="10" t="n">
        <f aca="false">IF($AK71=0,"",INDEX('Part types'!$P:$P,$AK71))</f>
        <v>15</v>
      </c>
      <c r="H71" s="10" t="n">
        <f aca="false">IF($AK71=0,"",INDEX('Part types'!$Q:$Q,$AK71))</f>
        <v>10</v>
      </c>
      <c r="I71" s="10" t="n">
        <f aca="false">IF($AK71=0,"",INDEX('Part types'!$R:$R,$AK71))</f>
        <v>8</v>
      </c>
      <c r="J71" s="10" t="n">
        <f aca="false">IF($AK71=0,"",INDEX('Part types'!$S:$S,$AK71))</f>
        <v>0.3</v>
      </c>
      <c r="K71" s="11" t="s">
        <v>404</v>
      </c>
      <c r="L71" s="11" t="s">
        <v>454</v>
      </c>
      <c r="M71" s="11" t="str">
        <f aca="false">L71&amp;" - "&amp;N71</f>
        <v>طقم خراطيم التفريغ - عام</v>
      </c>
      <c r="N71" s="11" t="s">
        <v>72</v>
      </c>
      <c r="O71" s="11" t="s">
        <v>73</v>
      </c>
      <c r="P71" s="10" t="n">
        <f aca="false">G71</f>
        <v>15</v>
      </c>
      <c r="Q71" s="10" t="n">
        <f aca="false">H71</f>
        <v>10</v>
      </c>
      <c r="R71" s="10" t="n">
        <f aca="false">I71</f>
        <v>8</v>
      </c>
      <c r="S71" s="10" t="n">
        <f aca="false">J71</f>
        <v>0.3</v>
      </c>
      <c r="T71" s="12" t="s">
        <v>407</v>
      </c>
      <c r="U71" s="12" t="s">
        <v>455</v>
      </c>
      <c r="V71" s="9" t="str">
        <f aca="false">U71&amp;" - "&amp;W71</f>
        <v>真空软管套装 - 通用</v>
      </c>
      <c r="W71" s="12" t="s">
        <v>76</v>
      </c>
      <c r="X71" s="12" t="s">
        <v>77</v>
      </c>
      <c r="Y71" s="10" t="n">
        <f aca="false">G71</f>
        <v>15</v>
      </c>
      <c r="Z71" s="10" t="n">
        <f aca="false">H71</f>
        <v>10</v>
      </c>
      <c r="AA71" s="10" t="n">
        <f aca="false">I71</f>
        <v>8</v>
      </c>
      <c r="AB71" s="10" t="n">
        <f aca="false">J71</f>
        <v>0.3</v>
      </c>
      <c r="AC71" s="9" t="s">
        <v>410</v>
      </c>
      <c r="AD71" s="9" t="s">
        <v>456</v>
      </c>
      <c r="AE71" s="9" t="str">
        <f aca="false">IF($AK71=0,"",INDEX('Part types'!$T:$T,$AK71)&amp;"")</f>
        <v>Combustion engine (petrol, diesel, hybrid, range extender)</v>
      </c>
      <c r="AF71" s="9" t="str">
        <f aca="false">IF($AK71=0,"",INDEX('Part types'!$U:$U,$AK71)&amp;"")</f>
        <v/>
      </c>
      <c r="AG71" s="9" t="str">
        <f aca="false">IF($AK71=0,"",INDEX('Part types'!$V:$V,$AK71)&amp;"")</f>
        <v>Estimate: size class S</v>
      </c>
      <c r="AH71" s="9" t="str">
        <f aca="false">IF($AK71=0,"",INDEX('Part types'!$W:$W,$AK71)&amp;"")</f>
        <v/>
      </c>
      <c r="AI71" s="11" t="str">
        <f aca="false">IF($AK71=0,"",INDEX('Part types'!$X:$X,$AK71)&amp;"")</f>
        <v/>
      </c>
      <c r="AJ71" s="9" t="str">
        <f aca="false">IF($AK71=0,"",INDEX('Part types'!$Y:$Y,$AK71)&amp;"")</f>
        <v/>
      </c>
      <c r="AK71" s="9" t="n">
        <f aca="false">IFERROR(MATCH($AD71,'Part types'!$E:$E,0),0)</f>
        <v>67</v>
      </c>
    </row>
    <row r="72" customFormat="false" ht="15" hidden="false" customHeight="false" outlineLevel="0" collapsed="false">
      <c r="A72" s="9" t="s">
        <v>457</v>
      </c>
      <c r="B72" s="9" t="s">
        <v>458</v>
      </c>
      <c r="C72" s="9" t="s">
        <v>459</v>
      </c>
      <c r="D72" s="9" t="str">
        <f aca="false">C72&amp;" - "&amp;E72</f>
        <v>Turbocharger - Universal</v>
      </c>
      <c r="E72" s="9" t="s">
        <v>68</v>
      </c>
      <c r="F72" s="9" t="s">
        <v>460</v>
      </c>
      <c r="G72" s="10" t="n">
        <f aca="false">IF($AK72=0,"",INDEX('Part types'!$P:$P,$AK72))</f>
        <v>35</v>
      </c>
      <c r="H72" s="10" t="n">
        <f aca="false">IF($AK72=0,"",INDEX('Part types'!$Q:$Q,$AK72))</f>
        <v>30</v>
      </c>
      <c r="I72" s="10" t="n">
        <f aca="false">IF($AK72=0,"",INDEX('Part types'!$R:$R,$AK72))</f>
        <v>30</v>
      </c>
      <c r="J72" s="10" t="n">
        <f aca="false">IF($AK72=0,"",INDEX('Part types'!$S:$S,$AK72))</f>
        <v>8</v>
      </c>
      <c r="K72" s="11" t="s">
        <v>461</v>
      </c>
      <c r="L72" s="11" t="s">
        <v>462</v>
      </c>
      <c r="M72" s="11" t="str">
        <f aca="false">L72&amp;" - "&amp;N72</f>
        <v>تيربو - عام</v>
      </c>
      <c r="N72" s="11" t="s">
        <v>72</v>
      </c>
      <c r="O72" s="11" t="s">
        <v>463</v>
      </c>
      <c r="P72" s="10" t="n">
        <f aca="false">G72</f>
        <v>35</v>
      </c>
      <c r="Q72" s="10" t="n">
        <f aca="false">H72</f>
        <v>30</v>
      </c>
      <c r="R72" s="10" t="n">
        <f aca="false">I72</f>
        <v>30</v>
      </c>
      <c r="S72" s="10" t="n">
        <f aca="false">J72</f>
        <v>8</v>
      </c>
      <c r="T72" s="12" t="s">
        <v>464</v>
      </c>
      <c r="U72" s="12" t="s">
        <v>465</v>
      </c>
      <c r="V72" s="9" t="str">
        <f aca="false">U72&amp;" - "&amp;W72</f>
        <v>涡轮增压器 - 通用</v>
      </c>
      <c r="W72" s="12" t="s">
        <v>76</v>
      </c>
      <c r="X72" s="12" t="s">
        <v>466</v>
      </c>
      <c r="Y72" s="10" t="n">
        <f aca="false">G72</f>
        <v>35</v>
      </c>
      <c r="Z72" s="10" t="n">
        <f aca="false">H72</f>
        <v>30</v>
      </c>
      <c r="AA72" s="10" t="n">
        <f aca="false">I72</f>
        <v>30</v>
      </c>
      <c r="AB72" s="10" t="n">
        <f aca="false">J72</f>
        <v>8</v>
      </c>
      <c r="AC72" s="9" t="s">
        <v>467</v>
      </c>
      <c r="AD72" s="9" t="s">
        <v>468</v>
      </c>
      <c r="AE72" s="9" t="str">
        <f aca="false">IF($AK72=0,"",INDEX('Part types'!$T:$T,$AK72)&amp;"")</f>
        <v>Combustion engine (petrol, diesel, hybrid, range extender)</v>
      </c>
      <c r="AF72" s="9" t="str">
        <f aca="false">IF($AK72=0,"",INDEX('Part types'!$U:$U,$AK72)&amp;"")</f>
        <v/>
      </c>
      <c r="AG72" s="9" t="str">
        <f aca="false">IF($AK72=0,"",INDEX('Part types'!$V:$V,$AK72)&amp;"")</f>
        <v>Estimate: item-specific</v>
      </c>
      <c r="AH72" s="9" t="str">
        <f aca="false">IF($AK72=0,"",INDEX('Part types'!$W:$W,$AK72)&amp;"")</f>
        <v/>
      </c>
      <c r="AI72" s="11" t="str">
        <f aca="false">IF($AK72=0,"",INDEX('Part types'!$X:$X,$AK72)&amp;"")</f>
        <v>شاحن توربيني</v>
      </c>
      <c r="AJ72" s="9" t="str">
        <f aca="false">IF($AK72=0,"",INDEX('Part types'!$Y:$Y,$AK72)&amp;"")</f>
        <v/>
      </c>
      <c r="AK72" s="9" t="n">
        <f aca="false">IFERROR(MATCH($AD72,'Part types'!$E:$E,0),0)</f>
        <v>68</v>
      </c>
    </row>
    <row r="73" customFormat="false" ht="15" hidden="false" customHeight="false" outlineLevel="0" collapsed="false">
      <c r="A73" s="9" t="s">
        <v>469</v>
      </c>
      <c r="B73" s="9" t="s">
        <v>458</v>
      </c>
      <c r="C73" s="9" t="s">
        <v>470</v>
      </c>
      <c r="D73" s="9" t="str">
        <f aca="false">C73&amp;" - "&amp;E73</f>
        <v>Turbocharger Gasket Kit - Universal</v>
      </c>
      <c r="E73" s="9" t="s">
        <v>68</v>
      </c>
      <c r="F73" s="9" t="s">
        <v>460</v>
      </c>
      <c r="G73" s="10" t="n">
        <f aca="false">IF($AK73=0,"",INDEX('Part types'!$P:$P,$AK73))</f>
        <v>15</v>
      </c>
      <c r="H73" s="10" t="n">
        <f aca="false">IF($AK73=0,"",INDEX('Part types'!$Q:$Q,$AK73))</f>
        <v>10</v>
      </c>
      <c r="I73" s="10" t="n">
        <f aca="false">IF($AK73=0,"",INDEX('Part types'!$R:$R,$AK73))</f>
        <v>8</v>
      </c>
      <c r="J73" s="10" t="n">
        <f aca="false">IF($AK73=0,"",INDEX('Part types'!$S:$S,$AK73))</f>
        <v>0.3</v>
      </c>
      <c r="K73" s="11" t="s">
        <v>461</v>
      </c>
      <c r="L73" s="11" t="s">
        <v>471</v>
      </c>
      <c r="M73" s="11" t="str">
        <f aca="false">L73&amp;" - "&amp;N73</f>
        <v>طقم جوانات التيربو - عام</v>
      </c>
      <c r="N73" s="11" t="s">
        <v>72</v>
      </c>
      <c r="O73" s="11" t="s">
        <v>463</v>
      </c>
      <c r="P73" s="10" t="n">
        <f aca="false">G73</f>
        <v>15</v>
      </c>
      <c r="Q73" s="10" t="n">
        <f aca="false">H73</f>
        <v>10</v>
      </c>
      <c r="R73" s="10" t="n">
        <f aca="false">I73</f>
        <v>8</v>
      </c>
      <c r="S73" s="10" t="n">
        <f aca="false">J73</f>
        <v>0.3</v>
      </c>
      <c r="T73" s="12" t="s">
        <v>464</v>
      </c>
      <c r="U73" s="12" t="s">
        <v>472</v>
      </c>
      <c r="V73" s="9" t="str">
        <f aca="false">U73&amp;" - "&amp;W73</f>
        <v>涡轮增压器垫片套装 - 通用</v>
      </c>
      <c r="W73" s="12" t="s">
        <v>76</v>
      </c>
      <c r="X73" s="12" t="s">
        <v>466</v>
      </c>
      <c r="Y73" s="10" t="n">
        <f aca="false">G73</f>
        <v>15</v>
      </c>
      <c r="Z73" s="10" t="n">
        <f aca="false">H73</f>
        <v>10</v>
      </c>
      <c r="AA73" s="10" t="n">
        <f aca="false">I73</f>
        <v>8</v>
      </c>
      <c r="AB73" s="10" t="n">
        <f aca="false">J73</f>
        <v>0.3</v>
      </c>
      <c r="AC73" s="9" t="s">
        <v>467</v>
      </c>
      <c r="AD73" s="9" t="s">
        <v>473</v>
      </c>
      <c r="AE73" s="9" t="str">
        <f aca="false">IF($AK73=0,"",INDEX('Part types'!$T:$T,$AK73)&amp;"")</f>
        <v>Combustion engine (petrol, diesel, hybrid, range extender)</v>
      </c>
      <c r="AF73" s="9" t="str">
        <f aca="false">IF($AK73=0,"",INDEX('Part types'!$U:$U,$AK73)&amp;"")</f>
        <v/>
      </c>
      <c r="AG73" s="9" t="str">
        <f aca="false">IF($AK73=0,"",INDEX('Part types'!$V:$V,$AK73)&amp;"")</f>
        <v>Estimate: size class S</v>
      </c>
      <c r="AH73" s="9" t="str">
        <f aca="false">IF($AK73=0,"",INDEX('Part types'!$W:$W,$AK73)&amp;"")</f>
        <v/>
      </c>
      <c r="AI73" s="11" t="str">
        <f aca="false">IF($AK73=0,"",INDEX('Part types'!$X:$X,$AK73)&amp;"")</f>
        <v/>
      </c>
      <c r="AJ73" s="9" t="str">
        <f aca="false">IF($AK73=0,"",INDEX('Part types'!$Y:$Y,$AK73)&amp;"")</f>
        <v/>
      </c>
      <c r="AK73" s="9" t="n">
        <f aca="false">IFERROR(MATCH($AD73,'Part types'!$E:$E,0),0)</f>
        <v>69</v>
      </c>
    </row>
    <row r="74" customFormat="false" ht="15" hidden="false" customHeight="false" outlineLevel="0" collapsed="false">
      <c r="A74" s="9" t="s">
        <v>474</v>
      </c>
      <c r="B74" s="9" t="s">
        <v>458</v>
      </c>
      <c r="C74" s="9" t="s">
        <v>475</v>
      </c>
      <c r="D74" s="9" t="str">
        <f aca="false">C74&amp;" - "&amp;E74</f>
        <v>Turbo Oil Line - Universal</v>
      </c>
      <c r="E74" s="9" t="s">
        <v>68</v>
      </c>
      <c r="F74" s="9" t="s">
        <v>460</v>
      </c>
      <c r="G74" s="10" t="n">
        <f aca="false">IF($AK74=0,"",INDEX('Part types'!$P:$P,$AK74))</f>
        <v>15</v>
      </c>
      <c r="H74" s="10" t="n">
        <f aca="false">IF($AK74=0,"",INDEX('Part types'!$Q:$Q,$AK74))</f>
        <v>10</v>
      </c>
      <c r="I74" s="10" t="n">
        <f aca="false">IF($AK74=0,"",INDEX('Part types'!$R:$R,$AK74))</f>
        <v>8</v>
      </c>
      <c r="J74" s="10" t="n">
        <f aca="false">IF($AK74=0,"",INDEX('Part types'!$S:$S,$AK74))</f>
        <v>0.3</v>
      </c>
      <c r="K74" s="11" t="s">
        <v>461</v>
      </c>
      <c r="L74" s="11" t="s">
        <v>476</v>
      </c>
      <c r="M74" s="11" t="str">
        <f aca="false">L74&amp;" - "&amp;N74</f>
        <v>خط تغذية زيت التيربو - عام</v>
      </c>
      <c r="N74" s="11" t="s">
        <v>72</v>
      </c>
      <c r="O74" s="11" t="s">
        <v>463</v>
      </c>
      <c r="P74" s="10" t="n">
        <f aca="false">G74</f>
        <v>15</v>
      </c>
      <c r="Q74" s="10" t="n">
        <f aca="false">H74</f>
        <v>10</v>
      </c>
      <c r="R74" s="10" t="n">
        <f aca="false">I74</f>
        <v>8</v>
      </c>
      <c r="S74" s="10" t="n">
        <f aca="false">J74</f>
        <v>0.3</v>
      </c>
      <c r="T74" s="12" t="s">
        <v>464</v>
      </c>
      <c r="U74" s="12" t="s">
        <v>477</v>
      </c>
      <c r="V74" s="9" t="str">
        <f aca="false">U74&amp;" - "&amp;W74</f>
        <v>涡轮进油管 - 通用</v>
      </c>
      <c r="W74" s="12" t="s">
        <v>76</v>
      </c>
      <c r="X74" s="12" t="s">
        <v>466</v>
      </c>
      <c r="Y74" s="10" t="n">
        <f aca="false">G74</f>
        <v>15</v>
      </c>
      <c r="Z74" s="10" t="n">
        <f aca="false">H74</f>
        <v>10</v>
      </c>
      <c r="AA74" s="10" t="n">
        <f aca="false">I74</f>
        <v>8</v>
      </c>
      <c r="AB74" s="10" t="n">
        <f aca="false">J74</f>
        <v>0.3</v>
      </c>
      <c r="AC74" s="9" t="s">
        <v>467</v>
      </c>
      <c r="AD74" s="9" t="s">
        <v>478</v>
      </c>
      <c r="AE74" s="9" t="str">
        <f aca="false">IF($AK74=0,"",INDEX('Part types'!$T:$T,$AK74)&amp;"")</f>
        <v>Combustion engine (petrol, diesel, hybrid, range extender)</v>
      </c>
      <c r="AF74" s="9" t="str">
        <f aca="false">IF($AK74=0,"",INDEX('Part types'!$U:$U,$AK74)&amp;"")</f>
        <v/>
      </c>
      <c r="AG74" s="9" t="str">
        <f aca="false">IF($AK74=0,"",INDEX('Part types'!$V:$V,$AK74)&amp;"")</f>
        <v>Estimate: size class S</v>
      </c>
      <c r="AH74" s="9" t="str">
        <f aca="false">IF($AK74=0,"",INDEX('Part types'!$W:$W,$AK74)&amp;"")</f>
        <v>Turbo Oil Feed Line</v>
      </c>
      <c r="AI74" s="11" t="str">
        <f aca="false">IF($AK74=0,"",INDEX('Part types'!$X:$X,$AK74)&amp;"")</f>
        <v/>
      </c>
      <c r="AJ74" s="9" t="str">
        <f aca="false">IF($AK74=0,"",INDEX('Part types'!$Y:$Y,$AK74)&amp;"")</f>
        <v/>
      </c>
      <c r="AK74" s="9" t="n">
        <f aca="false">IFERROR(MATCH($AD74,'Part types'!$E:$E,0),0)</f>
        <v>70</v>
      </c>
    </row>
    <row r="75" customFormat="false" ht="15" hidden="false" customHeight="false" outlineLevel="0" collapsed="false">
      <c r="A75" s="9" t="s">
        <v>479</v>
      </c>
      <c r="B75" s="9" t="s">
        <v>458</v>
      </c>
      <c r="C75" s="9" t="s">
        <v>480</v>
      </c>
      <c r="D75" s="9" t="str">
        <f aca="false">C75&amp;" - "&amp;E75</f>
        <v>Turbo Return Pipe - Universal</v>
      </c>
      <c r="E75" s="9" t="s">
        <v>68</v>
      </c>
      <c r="F75" s="9" t="s">
        <v>460</v>
      </c>
      <c r="G75" s="10" t="n">
        <f aca="false">IF($AK75=0,"",INDEX('Part types'!$P:$P,$AK75))</f>
        <v>15</v>
      </c>
      <c r="H75" s="10" t="n">
        <f aca="false">IF($AK75=0,"",INDEX('Part types'!$Q:$Q,$AK75))</f>
        <v>10</v>
      </c>
      <c r="I75" s="10" t="n">
        <f aca="false">IF($AK75=0,"",INDEX('Part types'!$R:$R,$AK75))</f>
        <v>8</v>
      </c>
      <c r="J75" s="10" t="n">
        <f aca="false">IF($AK75=0,"",INDEX('Part types'!$S:$S,$AK75))</f>
        <v>0.3</v>
      </c>
      <c r="K75" s="11" t="s">
        <v>461</v>
      </c>
      <c r="L75" s="11" t="s">
        <v>481</v>
      </c>
      <c r="M75" s="11" t="str">
        <f aca="false">L75&amp;" - "&amp;N75</f>
        <v>ماسورة رجوع زيت التيربو - عام</v>
      </c>
      <c r="N75" s="11" t="s">
        <v>72</v>
      </c>
      <c r="O75" s="11" t="s">
        <v>463</v>
      </c>
      <c r="P75" s="10" t="n">
        <f aca="false">G75</f>
        <v>15</v>
      </c>
      <c r="Q75" s="10" t="n">
        <f aca="false">H75</f>
        <v>10</v>
      </c>
      <c r="R75" s="10" t="n">
        <f aca="false">I75</f>
        <v>8</v>
      </c>
      <c r="S75" s="10" t="n">
        <f aca="false">J75</f>
        <v>0.3</v>
      </c>
      <c r="T75" s="12" t="s">
        <v>464</v>
      </c>
      <c r="U75" s="12" t="s">
        <v>482</v>
      </c>
      <c r="V75" s="9" t="str">
        <f aca="false">U75&amp;" - "&amp;W75</f>
        <v>涡轮回油管 - 通用</v>
      </c>
      <c r="W75" s="12" t="s">
        <v>76</v>
      </c>
      <c r="X75" s="12" t="s">
        <v>466</v>
      </c>
      <c r="Y75" s="10" t="n">
        <f aca="false">G75</f>
        <v>15</v>
      </c>
      <c r="Z75" s="10" t="n">
        <f aca="false">H75</f>
        <v>10</v>
      </c>
      <c r="AA75" s="10" t="n">
        <f aca="false">I75</f>
        <v>8</v>
      </c>
      <c r="AB75" s="10" t="n">
        <f aca="false">J75</f>
        <v>0.3</v>
      </c>
      <c r="AC75" s="9" t="s">
        <v>467</v>
      </c>
      <c r="AD75" s="9" t="s">
        <v>483</v>
      </c>
      <c r="AE75" s="9" t="str">
        <f aca="false">IF($AK75=0,"",INDEX('Part types'!$T:$T,$AK75)&amp;"")</f>
        <v>Combustion engine (petrol, diesel, hybrid, range extender)</v>
      </c>
      <c r="AF75" s="9" t="str">
        <f aca="false">IF($AK75=0,"",INDEX('Part types'!$U:$U,$AK75)&amp;"")</f>
        <v/>
      </c>
      <c r="AG75" s="9" t="str">
        <f aca="false">IF($AK75=0,"",INDEX('Part types'!$V:$V,$AK75)&amp;"")</f>
        <v>Estimate: size class S</v>
      </c>
      <c r="AH75" s="9" t="str">
        <f aca="false">IF($AK75=0,"",INDEX('Part types'!$W:$W,$AK75)&amp;"")</f>
        <v>Turbo Oil Return Pipe</v>
      </c>
      <c r="AI75" s="11" t="str">
        <f aca="false">IF($AK75=0,"",INDEX('Part types'!$X:$X,$AK75)&amp;"")</f>
        <v/>
      </c>
      <c r="AJ75" s="9" t="str">
        <f aca="false">IF($AK75=0,"",INDEX('Part types'!$Y:$Y,$AK75)&amp;"")</f>
        <v/>
      </c>
      <c r="AK75" s="9" t="n">
        <f aca="false">IFERROR(MATCH($AD75,'Part types'!$E:$E,0),0)</f>
        <v>71</v>
      </c>
    </row>
    <row r="76" customFormat="false" ht="15" hidden="false" customHeight="false" outlineLevel="0" collapsed="false">
      <c r="A76" s="9" t="s">
        <v>484</v>
      </c>
      <c r="B76" s="9" t="s">
        <v>458</v>
      </c>
      <c r="C76" s="9" t="s">
        <v>485</v>
      </c>
      <c r="D76" s="9" t="str">
        <f aca="false">C76&amp;" - "&amp;E76</f>
        <v>Turbo Wastegate Actuator - Universal</v>
      </c>
      <c r="E76" s="9" t="s">
        <v>68</v>
      </c>
      <c r="F76" s="9" t="s">
        <v>460</v>
      </c>
      <c r="G76" s="10" t="n">
        <f aca="false">IF($AK76=0,"",INDEX('Part types'!$P:$P,$AK76))</f>
        <v>15</v>
      </c>
      <c r="H76" s="10" t="n">
        <f aca="false">IF($AK76=0,"",INDEX('Part types'!$Q:$Q,$AK76))</f>
        <v>10</v>
      </c>
      <c r="I76" s="10" t="n">
        <f aca="false">IF($AK76=0,"",INDEX('Part types'!$R:$R,$AK76))</f>
        <v>8</v>
      </c>
      <c r="J76" s="10" t="n">
        <f aca="false">IF($AK76=0,"",INDEX('Part types'!$S:$S,$AK76))</f>
        <v>0.3</v>
      </c>
      <c r="K76" s="11" t="s">
        <v>461</v>
      </c>
      <c r="L76" s="11" t="s">
        <v>486</v>
      </c>
      <c r="M76" s="11" t="str">
        <f aca="false">L76&amp;" - "&amp;N76</f>
        <v>مشغل الوستجيت - عام</v>
      </c>
      <c r="N76" s="11" t="s">
        <v>72</v>
      </c>
      <c r="O76" s="11" t="s">
        <v>463</v>
      </c>
      <c r="P76" s="10" t="n">
        <f aca="false">G76</f>
        <v>15</v>
      </c>
      <c r="Q76" s="10" t="n">
        <f aca="false">H76</f>
        <v>10</v>
      </c>
      <c r="R76" s="10" t="n">
        <f aca="false">I76</f>
        <v>8</v>
      </c>
      <c r="S76" s="10" t="n">
        <f aca="false">J76</f>
        <v>0.3</v>
      </c>
      <c r="T76" s="12" t="s">
        <v>464</v>
      </c>
      <c r="U76" s="12" t="s">
        <v>487</v>
      </c>
      <c r="V76" s="9" t="str">
        <f aca="false">U76&amp;" - "&amp;W76</f>
        <v>涡轮废气旁通阀执行器 - 通用</v>
      </c>
      <c r="W76" s="12" t="s">
        <v>76</v>
      </c>
      <c r="X76" s="12" t="s">
        <v>466</v>
      </c>
      <c r="Y76" s="10" t="n">
        <f aca="false">G76</f>
        <v>15</v>
      </c>
      <c r="Z76" s="10" t="n">
        <f aca="false">H76</f>
        <v>10</v>
      </c>
      <c r="AA76" s="10" t="n">
        <f aca="false">I76</f>
        <v>8</v>
      </c>
      <c r="AB76" s="10" t="n">
        <f aca="false">J76</f>
        <v>0.3</v>
      </c>
      <c r="AC76" s="9" t="s">
        <v>467</v>
      </c>
      <c r="AD76" s="9" t="s">
        <v>488</v>
      </c>
      <c r="AE76" s="9" t="str">
        <f aca="false">IF($AK76=0,"",INDEX('Part types'!$T:$T,$AK76)&amp;"")</f>
        <v>Combustion engine (petrol, diesel, hybrid, range extender)</v>
      </c>
      <c r="AF76" s="9" t="str">
        <f aca="false">IF($AK76=0,"",INDEX('Part types'!$U:$U,$AK76)&amp;"")</f>
        <v/>
      </c>
      <c r="AG76" s="9" t="str">
        <f aca="false">IF($AK76=0,"",INDEX('Part types'!$V:$V,$AK76)&amp;"")</f>
        <v>Estimate: size class S</v>
      </c>
      <c r="AH76" s="9" t="str">
        <f aca="false">IF($AK76=0,"",INDEX('Part types'!$W:$W,$AK76)&amp;"")</f>
        <v/>
      </c>
      <c r="AI76" s="11" t="str">
        <f aca="false">IF($AK76=0,"",INDEX('Part types'!$X:$X,$AK76)&amp;"")</f>
        <v/>
      </c>
      <c r="AJ76" s="9" t="str">
        <f aca="false">IF($AK76=0,"",INDEX('Part types'!$Y:$Y,$AK76)&amp;"")</f>
        <v/>
      </c>
      <c r="AK76" s="9" t="n">
        <f aca="false">IFERROR(MATCH($AD76,'Part types'!$E:$E,0),0)</f>
        <v>72</v>
      </c>
    </row>
    <row r="77" customFormat="false" ht="15" hidden="false" customHeight="false" outlineLevel="0" collapsed="false">
      <c r="A77" s="9" t="s">
        <v>489</v>
      </c>
      <c r="B77" s="9" t="s">
        <v>458</v>
      </c>
      <c r="C77" s="9" t="s">
        <v>490</v>
      </c>
      <c r="D77" s="9" t="str">
        <f aca="false">C77&amp;" - "&amp;E77</f>
        <v>Turbo Boost Pipe - Universal</v>
      </c>
      <c r="E77" s="9" t="s">
        <v>68</v>
      </c>
      <c r="F77" s="9" t="s">
        <v>460</v>
      </c>
      <c r="G77" s="10" t="n">
        <f aca="false">IF($AK77=0,"",INDEX('Part types'!$P:$P,$AK77))</f>
        <v>25</v>
      </c>
      <c r="H77" s="10" t="n">
        <f aca="false">IF($AK77=0,"",INDEX('Part types'!$Q:$Q,$AK77))</f>
        <v>15</v>
      </c>
      <c r="I77" s="10" t="n">
        <f aca="false">IF($AK77=0,"",INDEX('Part types'!$R:$R,$AK77))</f>
        <v>10</v>
      </c>
      <c r="J77" s="10" t="n">
        <f aca="false">IF($AK77=0,"",INDEX('Part types'!$S:$S,$AK77))</f>
        <v>0.9</v>
      </c>
      <c r="K77" s="11" t="s">
        <v>461</v>
      </c>
      <c r="L77" s="11" t="s">
        <v>491</v>
      </c>
      <c r="M77" s="11" t="str">
        <f aca="false">L77&amp;" - "&amp;N77</f>
        <v>ماسورة ضغط التيربو - عام</v>
      </c>
      <c r="N77" s="11" t="s">
        <v>72</v>
      </c>
      <c r="O77" s="11" t="s">
        <v>463</v>
      </c>
      <c r="P77" s="10" t="n">
        <f aca="false">G77</f>
        <v>25</v>
      </c>
      <c r="Q77" s="10" t="n">
        <f aca="false">H77</f>
        <v>15</v>
      </c>
      <c r="R77" s="10" t="n">
        <f aca="false">I77</f>
        <v>10</v>
      </c>
      <c r="S77" s="10" t="n">
        <f aca="false">J77</f>
        <v>0.9</v>
      </c>
      <c r="T77" s="12" t="s">
        <v>464</v>
      </c>
      <c r="U77" s="12" t="s">
        <v>492</v>
      </c>
      <c r="V77" s="9" t="str">
        <f aca="false">U77&amp;" - "&amp;W77</f>
        <v>增压管 - 通用</v>
      </c>
      <c r="W77" s="12" t="s">
        <v>76</v>
      </c>
      <c r="X77" s="12" t="s">
        <v>466</v>
      </c>
      <c r="Y77" s="10" t="n">
        <f aca="false">G77</f>
        <v>25</v>
      </c>
      <c r="Z77" s="10" t="n">
        <f aca="false">H77</f>
        <v>15</v>
      </c>
      <c r="AA77" s="10" t="n">
        <f aca="false">I77</f>
        <v>10</v>
      </c>
      <c r="AB77" s="10" t="n">
        <f aca="false">J77</f>
        <v>0.9</v>
      </c>
      <c r="AC77" s="9" t="s">
        <v>467</v>
      </c>
      <c r="AD77" s="9" t="s">
        <v>493</v>
      </c>
      <c r="AE77" s="9" t="str">
        <f aca="false">IF($AK77=0,"",INDEX('Part types'!$T:$T,$AK77)&amp;"")</f>
        <v>Combustion engine (petrol, diesel, hybrid, range extender)</v>
      </c>
      <c r="AF77" s="9" t="str">
        <f aca="false">IF($AK77=0,"",INDEX('Part types'!$U:$U,$AK77)&amp;"")</f>
        <v/>
      </c>
      <c r="AG77" s="9" t="str">
        <f aca="false">IF($AK77=0,"",INDEX('Part types'!$V:$V,$AK77)&amp;"")</f>
        <v>Estimate: size class M</v>
      </c>
      <c r="AH77" s="9" t="str">
        <f aca="false">IF($AK77=0,"",INDEX('Part types'!$W:$W,$AK77)&amp;"")</f>
        <v/>
      </c>
      <c r="AI77" s="11" t="str">
        <f aca="false">IF($AK77=0,"",INDEX('Part types'!$X:$X,$AK77)&amp;"")</f>
        <v/>
      </c>
      <c r="AJ77" s="9" t="str">
        <f aca="false">IF($AK77=0,"",INDEX('Part types'!$Y:$Y,$AK77)&amp;"")</f>
        <v/>
      </c>
      <c r="AK77" s="9" t="n">
        <f aca="false">IFERROR(MATCH($AD77,'Part types'!$E:$E,0),0)</f>
        <v>73</v>
      </c>
    </row>
    <row r="78" customFormat="false" ht="15" hidden="false" customHeight="false" outlineLevel="0" collapsed="false">
      <c r="A78" s="9" t="s">
        <v>494</v>
      </c>
      <c r="B78" s="9" t="s">
        <v>458</v>
      </c>
      <c r="C78" s="9" t="s">
        <v>495</v>
      </c>
      <c r="D78" s="9" t="str">
        <f aca="false">C78&amp;" - "&amp;E78</f>
        <v>Intercooler - Universal</v>
      </c>
      <c r="E78" s="9" t="s">
        <v>68</v>
      </c>
      <c r="F78" s="9" t="s">
        <v>496</v>
      </c>
      <c r="G78" s="10" t="n">
        <f aca="false">IF($AK78=0,"",INDEX('Part types'!$P:$P,$AK78))</f>
        <v>60</v>
      </c>
      <c r="H78" s="10" t="n">
        <f aca="false">IF($AK78=0,"",INDEX('Part types'!$Q:$Q,$AK78))</f>
        <v>30</v>
      </c>
      <c r="I78" s="10" t="n">
        <f aca="false">IF($AK78=0,"",INDEX('Part types'!$R:$R,$AK78))</f>
        <v>15</v>
      </c>
      <c r="J78" s="10" t="n">
        <f aca="false">IF($AK78=0,"",INDEX('Part types'!$S:$S,$AK78))</f>
        <v>4</v>
      </c>
      <c r="K78" s="11" t="s">
        <v>461</v>
      </c>
      <c r="L78" s="11" t="s">
        <v>497</v>
      </c>
      <c r="M78" s="11" t="str">
        <f aca="false">L78&amp;" - "&amp;N78</f>
        <v>مبرد الهواء - عام</v>
      </c>
      <c r="N78" s="11" t="s">
        <v>72</v>
      </c>
      <c r="O78" s="11" t="s">
        <v>498</v>
      </c>
      <c r="P78" s="10" t="n">
        <f aca="false">G78</f>
        <v>60</v>
      </c>
      <c r="Q78" s="10" t="n">
        <f aca="false">H78</f>
        <v>30</v>
      </c>
      <c r="R78" s="10" t="n">
        <f aca="false">I78</f>
        <v>15</v>
      </c>
      <c r="S78" s="10" t="n">
        <f aca="false">J78</f>
        <v>4</v>
      </c>
      <c r="T78" s="12" t="s">
        <v>464</v>
      </c>
      <c r="U78" s="12" t="s">
        <v>499</v>
      </c>
      <c r="V78" s="9" t="str">
        <f aca="false">U78&amp;" - "&amp;W78</f>
        <v>中冷器 - 通用</v>
      </c>
      <c r="W78" s="12" t="s">
        <v>76</v>
      </c>
      <c r="X78" s="12" t="s">
        <v>500</v>
      </c>
      <c r="Y78" s="10" t="n">
        <f aca="false">G78</f>
        <v>60</v>
      </c>
      <c r="Z78" s="10" t="n">
        <f aca="false">H78</f>
        <v>30</v>
      </c>
      <c r="AA78" s="10" t="n">
        <f aca="false">I78</f>
        <v>15</v>
      </c>
      <c r="AB78" s="10" t="n">
        <f aca="false">J78</f>
        <v>4</v>
      </c>
      <c r="AC78" s="9" t="s">
        <v>467</v>
      </c>
      <c r="AD78" s="9" t="s">
        <v>501</v>
      </c>
      <c r="AE78" s="9" t="str">
        <f aca="false">IF($AK78=0,"",INDEX('Part types'!$T:$T,$AK78)&amp;"")</f>
        <v>Combustion engine (petrol, diesel, hybrid, range extender)</v>
      </c>
      <c r="AF78" s="9" t="str">
        <f aca="false">IF($AK78=0,"",INDEX('Part types'!$U:$U,$AK78)&amp;"")</f>
        <v/>
      </c>
      <c r="AG78" s="9" t="str">
        <f aca="false">IF($AK78=0,"",INDEX('Part types'!$V:$V,$AK78)&amp;"")</f>
        <v>Estimate: item-specific</v>
      </c>
      <c r="AH78" s="9" t="str">
        <f aca="false">IF($AK78=0,"",INDEX('Part types'!$W:$W,$AK78)&amp;"")</f>
        <v/>
      </c>
      <c r="AI78" s="11" t="str">
        <f aca="false">IF($AK78=0,"",INDEX('Part types'!$X:$X,$AK78)&amp;"")</f>
        <v>إنتركولر</v>
      </c>
      <c r="AJ78" s="9" t="str">
        <f aca="false">IF($AK78=0,"",INDEX('Part types'!$Y:$Y,$AK78)&amp;"")</f>
        <v/>
      </c>
      <c r="AK78" s="9" t="n">
        <f aca="false">IFERROR(MATCH($AD78,'Part types'!$E:$E,0),0)</f>
        <v>74</v>
      </c>
    </row>
    <row r="79" customFormat="false" ht="15" hidden="false" customHeight="false" outlineLevel="0" collapsed="false">
      <c r="A79" s="9" t="s">
        <v>502</v>
      </c>
      <c r="B79" s="9" t="s">
        <v>458</v>
      </c>
      <c r="C79" s="9" t="s">
        <v>503</v>
      </c>
      <c r="D79" s="9" t="str">
        <f aca="false">C79&amp;" - "&amp;E79</f>
        <v>Intercooler Hose - Universal</v>
      </c>
      <c r="E79" s="9" t="s">
        <v>68</v>
      </c>
      <c r="F79" s="9" t="s">
        <v>496</v>
      </c>
      <c r="G79" s="10" t="n">
        <f aca="false">IF($AK79=0,"",INDEX('Part types'!$P:$P,$AK79))</f>
        <v>25</v>
      </c>
      <c r="H79" s="10" t="n">
        <f aca="false">IF($AK79=0,"",INDEX('Part types'!$Q:$Q,$AK79))</f>
        <v>15</v>
      </c>
      <c r="I79" s="10" t="n">
        <f aca="false">IF($AK79=0,"",INDEX('Part types'!$R:$R,$AK79))</f>
        <v>10</v>
      </c>
      <c r="J79" s="10" t="n">
        <f aca="false">IF($AK79=0,"",INDEX('Part types'!$S:$S,$AK79))</f>
        <v>0.9</v>
      </c>
      <c r="K79" s="11" t="s">
        <v>461</v>
      </c>
      <c r="L79" s="11" t="s">
        <v>504</v>
      </c>
      <c r="M79" s="11" t="str">
        <f aca="false">L79&amp;" - "&amp;N79</f>
        <v>خرطوم الإنتركولر - عام</v>
      </c>
      <c r="N79" s="11" t="s">
        <v>72</v>
      </c>
      <c r="O79" s="11" t="s">
        <v>498</v>
      </c>
      <c r="P79" s="10" t="n">
        <f aca="false">G79</f>
        <v>25</v>
      </c>
      <c r="Q79" s="10" t="n">
        <f aca="false">H79</f>
        <v>15</v>
      </c>
      <c r="R79" s="10" t="n">
        <f aca="false">I79</f>
        <v>10</v>
      </c>
      <c r="S79" s="10" t="n">
        <f aca="false">J79</f>
        <v>0.9</v>
      </c>
      <c r="T79" s="12" t="s">
        <v>464</v>
      </c>
      <c r="U79" s="12" t="s">
        <v>505</v>
      </c>
      <c r="V79" s="9" t="str">
        <f aca="false">U79&amp;" - "&amp;W79</f>
        <v>中冷器软管 - 通用</v>
      </c>
      <c r="W79" s="12" t="s">
        <v>76</v>
      </c>
      <c r="X79" s="12" t="s">
        <v>500</v>
      </c>
      <c r="Y79" s="10" t="n">
        <f aca="false">G79</f>
        <v>25</v>
      </c>
      <c r="Z79" s="10" t="n">
        <f aca="false">H79</f>
        <v>15</v>
      </c>
      <c r="AA79" s="10" t="n">
        <f aca="false">I79</f>
        <v>10</v>
      </c>
      <c r="AB79" s="10" t="n">
        <f aca="false">J79</f>
        <v>0.9</v>
      </c>
      <c r="AC79" s="9" t="s">
        <v>467</v>
      </c>
      <c r="AD79" s="9" t="s">
        <v>506</v>
      </c>
      <c r="AE79" s="9" t="str">
        <f aca="false">IF($AK79=0,"",INDEX('Part types'!$T:$T,$AK79)&amp;"")</f>
        <v>Combustion engine (petrol, diesel, hybrid, range extender)</v>
      </c>
      <c r="AF79" s="9" t="str">
        <f aca="false">IF($AK79=0,"",INDEX('Part types'!$U:$U,$AK79)&amp;"")</f>
        <v/>
      </c>
      <c r="AG79" s="9" t="str">
        <f aca="false">IF($AK79=0,"",INDEX('Part types'!$V:$V,$AK79)&amp;"")</f>
        <v>Estimate: size class M</v>
      </c>
      <c r="AH79" s="9" t="str">
        <f aca="false">IF($AK79=0,"",INDEX('Part types'!$W:$W,$AK79)&amp;"")</f>
        <v/>
      </c>
      <c r="AI79" s="11" t="str">
        <f aca="false">IF($AK79=0,"",INDEX('Part types'!$X:$X,$AK79)&amp;"")</f>
        <v/>
      </c>
      <c r="AJ79" s="9" t="str">
        <f aca="false">IF($AK79=0,"",INDEX('Part types'!$Y:$Y,$AK79)&amp;"")</f>
        <v/>
      </c>
      <c r="AK79" s="9" t="n">
        <f aca="false">IFERROR(MATCH($AD79,'Part types'!$E:$E,0),0)</f>
        <v>75</v>
      </c>
    </row>
    <row r="80" customFormat="false" ht="15" hidden="false" customHeight="false" outlineLevel="0" collapsed="false">
      <c r="A80" s="9" t="s">
        <v>507</v>
      </c>
      <c r="B80" s="9" t="s">
        <v>458</v>
      </c>
      <c r="C80" s="9" t="s">
        <v>508</v>
      </c>
      <c r="D80" s="9" t="str">
        <f aca="false">C80&amp;" - "&amp;E80</f>
        <v>Blow-Off Valve - Universal</v>
      </c>
      <c r="E80" s="9" t="s">
        <v>68</v>
      </c>
      <c r="F80" s="9" t="s">
        <v>460</v>
      </c>
      <c r="G80" s="10" t="n">
        <f aca="false">IF($AK80=0,"",INDEX('Part types'!$P:$P,$AK80))</f>
        <v>15</v>
      </c>
      <c r="H80" s="10" t="n">
        <f aca="false">IF($AK80=0,"",INDEX('Part types'!$Q:$Q,$AK80))</f>
        <v>10</v>
      </c>
      <c r="I80" s="10" t="n">
        <f aca="false">IF($AK80=0,"",INDEX('Part types'!$R:$R,$AK80))</f>
        <v>8</v>
      </c>
      <c r="J80" s="10" t="n">
        <f aca="false">IF($AK80=0,"",INDEX('Part types'!$S:$S,$AK80))</f>
        <v>0.3</v>
      </c>
      <c r="K80" s="11" t="s">
        <v>461</v>
      </c>
      <c r="L80" s="11" t="s">
        <v>509</v>
      </c>
      <c r="M80" s="11" t="str">
        <f aca="false">L80&amp;" - "&amp;N80</f>
        <v>صمام التفريغ - عام</v>
      </c>
      <c r="N80" s="11" t="s">
        <v>72</v>
      </c>
      <c r="O80" s="11" t="s">
        <v>463</v>
      </c>
      <c r="P80" s="10" t="n">
        <f aca="false">G80</f>
        <v>15</v>
      </c>
      <c r="Q80" s="10" t="n">
        <f aca="false">H80</f>
        <v>10</v>
      </c>
      <c r="R80" s="10" t="n">
        <f aca="false">I80</f>
        <v>8</v>
      </c>
      <c r="S80" s="10" t="n">
        <f aca="false">J80</f>
        <v>0.3</v>
      </c>
      <c r="T80" s="12" t="s">
        <v>464</v>
      </c>
      <c r="U80" s="12" t="s">
        <v>510</v>
      </c>
      <c r="V80" s="9" t="str">
        <f aca="false">U80&amp;" - "&amp;W80</f>
        <v>泄压阀 - 通用</v>
      </c>
      <c r="W80" s="12" t="s">
        <v>76</v>
      </c>
      <c r="X80" s="12" t="s">
        <v>466</v>
      </c>
      <c r="Y80" s="10" t="n">
        <f aca="false">G80</f>
        <v>15</v>
      </c>
      <c r="Z80" s="10" t="n">
        <f aca="false">H80</f>
        <v>10</v>
      </c>
      <c r="AA80" s="10" t="n">
        <f aca="false">I80</f>
        <v>8</v>
      </c>
      <c r="AB80" s="10" t="n">
        <f aca="false">J80</f>
        <v>0.3</v>
      </c>
      <c r="AC80" s="9" t="s">
        <v>467</v>
      </c>
      <c r="AD80" s="9" t="s">
        <v>511</v>
      </c>
      <c r="AE80" s="9" t="str">
        <f aca="false">IF($AK80=0,"",INDEX('Part types'!$T:$T,$AK80)&amp;"")</f>
        <v>Combustion engine (petrol, diesel, hybrid, range extender)</v>
      </c>
      <c r="AF80" s="9" t="str">
        <f aca="false">IF($AK80=0,"",INDEX('Part types'!$U:$U,$AK80)&amp;"")</f>
        <v/>
      </c>
      <c r="AG80" s="9" t="str">
        <f aca="false">IF($AK80=0,"",INDEX('Part types'!$V:$V,$AK80)&amp;"")</f>
        <v>Estimate: size class S</v>
      </c>
      <c r="AH80" s="9" t="str">
        <f aca="false">IF($AK80=0,"",INDEX('Part types'!$W:$W,$AK80)&amp;"")</f>
        <v/>
      </c>
      <c r="AI80" s="11" t="str">
        <f aca="false">IF($AK80=0,"",INDEX('Part types'!$X:$X,$AK80)&amp;"")</f>
        <v>بلو أوف</v>
      </c>
      <c r="AJ80" s="9" t="str">
        <f aca="false">IF($AK80=0,"",INDEX('Part types'!$Y:$Y,$AK80)&amp;"")</f>
        <v/>
      </c>
      <c r="AK80" s="9" t="n">
        <f aca="false">IFERROR(MATCH($AD80,'Part types'!$E:$E,0),0)</f>
        <v>76</v>
      </c>
    </row>
    <row r="81" customFormat="false" ht="15" hidden="false" customHeight="false" outlineLevel="0" collapsed="false">
      <c r="A81" s="9" t="s">
        <v>512</v>
      </c>
      <c r="B81" s="9" t="s">
        <v>458</v>
      </c>
      <c r="C81" s="9" t="s">
        <v>513</v>
      </c>
      <c r="D81" s="9" t="str">
        <f aca="false">C81&amp;" - "&amp;E81</f>
        <v>Supercharger - Universal</v>
      </c>
      <c r="E81" s="9" t="s">
        <v>68</v>
      </c>
      <c r="F81" s="9" t="s">
        <v>403</v>
      </c>
      <c r="G81" s="10" t="n">
        <f aca="false">IF($AK81=0,"",INDEX('Part types'!$P:$P,$AK81))</f>
        <v>50</v>
      </c>
      <c r="H81" s="10" t="n">
        <f aca="false">IF($AK81=0,"",INDEX('Part types'!$Q:$Q,$AK81))</f>
        <v>30</v>
      </c>
      <c r="I81" s="10" t="n">
        <f aca="false">IF($AK81=0,"",INDEX('Part types'!$R:$R,$AK81))</f>
        <v>20</v>
      </c>
      <c r="J81" s="10" t="n">
        <f aca="false">IF($AK81=0,"",INDEX('Part types'!$S:$S,$AK81))</f>
        <v>5</v>
      </c>
      <c r="K81" s="11" t="s">
        <v>461</v>
      </c>
      <c r="L81" s="11" t="s">
        <v>514</v>
      </c>
      <c r="M81" s="11" t="str">
        <f aca="false">L81&amp;" - "&amp;N81</f>
        <v>شاحن ميكانيكي - عام</v>
      </c>
      <c r="N81" s="11" t="s">
        <v>72</v>
      </c>
      <c r="O81" s="11" t="s">
        <v>406</v>
      </c>
      <c r="P81" s="10" t="n">
        <f aca="false">G81</f>
        <v>50</v>
      </c>
      <c r="Q81" s="10" t="n">
        <f aca="false">H81</f>
        <v>30</v>
      </c>
      <c r="R81" s="10" t="n">
        <f aca="false">I81</f>
        <v>20</v>
      </c>
      <c r="S81" s="10" t="n">
        <f aca="false">J81</f>
        <v>5</v>
      </c>
      <c r="T81" s="12" t="s">
        <v>464</v>
      </c>
      <c r="U81" s="12" t="s">
        <v>515</v>
      </c>
      <c r="V81" s="9" t="str">
        <f aca="false">U81&amp;" - "&amp;W81</f>
        <v>机械增压器 - 通用</v>
      </c>
      <c r="W81" s="12" t="s">
        <v>76</v>
      </c>
      <c r="X81" s="12" t="s">
        <v>409</v>
      </c>
      <c r="Y81" s="10" t="n">
        <f aca="false">G81</f>
        <v>50</v>
      </c>
      <c r="Z81" s="10" t="n">
        <f aca="false">H81</f>
        <v>30</v>
      </c>
      <c r="AA81" s="10" t="n">
        <f aca="false">I81</f>
        <v>20</v>
      </c>
      <c r="AB81" s="10" t="n">
        <f aca="false">J81</f>
        <v>5</v>
      </c>
      <c r="AC81" s="9" t="s">
        <v>467</v>
      </c>
      <c r="AD81" s="9" t="s">
        <v>516</v>
      </c>
      <c r="AE81" s="9" t="str">
        <f aca="false">IF($AK81=0,"",INDEX('Part types'!$T:$T,$AK81)&amp;"")</f>
        <v>Combustion engine (petrol, diesel, hybrid, range extender)</v>
      </c>
      <c r="AF81" s="9" t="str">
        <f aca="false">IF($AK81=0,"",INDEX('Part types'!$U:$U,$AK81)&amp;"")</f>
        <v/>
      </c>
      <c r="AG81" s="9" t="str">
        <f aca="false">IF($AK81=0,"",INDEX('Part types'!$V:$V,$AK81)&amp;"")</f>
        <v>Estimate: size class L2</v>
      </c>
      <c r="AH81" s="9" t="str">
        <f aca="false">IF($AK81=0,"",INDEX('Part types'!$W:$W,$AK81)&amp;"")</f>
        <v/>
      </c>
      <c r="AI81" s="11" t="str">
        <f aca="false">IF($AK81=0,"",INDEX('Part types'!$X:$X,$AK81)&amp;"")</f>
        <v>سوبر تشارجر</v>
      </c>
      <c r="AJ81" s="9" t="str">
        <f aca="false">IF($AK81=0,"",INDEX('Part types'!$Y:$Y,$AK81)&amp;"")</f>
        <v/>
      </c>
      <c r="AK81" s="9" t="n">
        <f aca="false">IFERROR(MATCH($AD81,'Part types'!$E:$E,0),0)</f>
        <v>77</v>
      </c>
    </row>
    <row r="82" customFormat="false" ht="15" hidden="false" customHeight="false" outlineLevel="0" collapsed="false">
      <c r="A82" s="9" t="s">
        <v>517</v>
      </c>
      <c r="B82" s="9" t="s">
        <v>518</v>
      </c>
      <c r="C82" s="9" t="s">
        <v>519</v>
      </c>
      <c r="D82" s="9" t="str">
        <f aca="false">C82&amp;" - "&amp;E82</f>
        <v>In-Tank Fuel Pump - Universal</v>
      </c>
      <c r="E82" s="9" t="s">
        <v>68</v>
      </c>
      <c r="F82" s="9" t="s">
        <v>520</v>
      </c>
      <c r="G82" s="10" t="n">
        <f aca="false">IF($AK82=0,"",INDEX('Part types'!$P:$P,$AK82))</f>
        <v>25</v>
      </c>
      <c r="H82" s="10" t="n">
        <f aca="false">IF($AK82=0,"",INDEX('Part types'!$Q:$Q,$AK82))</f>
        <v>15</v>
      </c>
      <c r="I82" s="10" t="n">
        <f aca="false">IF($AK82=0,"",INDEX('Part types'!$R:$R,$AK82))</f>
        <v>10</v>
      </c>
      <c r="J82" s="10" t="n">
        <f aca="false">IF($AK82=0,"",INDEX('Part types'!$S:$S,$AK82))</f>
        <v>0.9</v>
      </c>
      <c r="K82" s="11" t="s">
        <v>521</v>
      </c>
      <c r="L82" s="11" t="s">
        <v>522</v>
      </c>
      <c r="M82" s="11" t="str">
        <f aca="false">L82&amp;" - "&amp;N82</f>
        <v>مضخة الوقود - عام</v>
      </c>
      <c r="N82" s="11" t="s">
        <v>72</v>
      </c>
      <c r="O82" s="11" t="s">
        <v>523</v>
      </c>
      <c r="P82" s="10" t="n">
        <f aca="false">G82</f>
        <v>25</v>
      </c>
      <c r="Q82" s="10" t="n">
        <f aca="false">H82</f>
        <v>15</v>
      </c>
      <c r="R82" s="10" t="n">
        <f aca="false">I82</f>
        <v>10</v>
      </c>
      <c r="S82" s="10" t="n">
        <f aca="false">J82</f>
        <v>0.9</v>
      </c>
      <c r="T82" s="12" t="s">
        <v>524</v>
      </c>
      <c r="U82" s="12" t="s">
        <v>525</v>
      </c>
      <c r="V82" s="9" t="str">
        <f aca="false">U82&amp;" - "&amp;W82</f>
        <v>油箱内燃油泵 - 通用</v>
      </c>
      <c r="W82" s="12" t="s">
        <v>76</v>
      </c>
      <c r="X82" s="12" t="s">
        <v>526</v>
      </c>
      <c r="Y82" s="10" t="n">
        <f aca="false">G82</f>
        <v>25</v>
      </c>
      <c r="Z82" s="10" t="n">
        <f aca="false">H82</f>
        <v>15</v>
      </c>
      <c r="AA82" s="10" t="n">
        <f aca="false">I82</f>
        <v>10</v>
      </c>
      <c r="AB82" s="10" t="n">
        <f aca="false">J82</f>
        <v>0.9</v>
      </c>
      <c r="AC82" s="9" t="s">
        <v>527</v>
      </c>
      <c r="AD82" s="9" t="s">
        <v>528</v>
      </c>
      <c r="AE82" s="9" t="str">
        <f aca="false">IF($AK82=0,"",INDEX('Part types'!$T:$T,$AK82)&amp;"")</f>
        <v>Combustion engine (petrol, diesel, hybrid, range extender)</v>
      </c>
      <c r="AF82" s="9" t="str">
        <f aca="false">IF($AK82=0,"",INDEX('Part types'!$U:$U,$AK82)&amp;"")</f>
        <v/>
      </c>
      <c r="AG82" s="9" t="str">
        <f aca="false">IF($AK82=0,"",INDEX('Part types'!$V:$V,$AK82)&amp;"")</f>
        <v>Estimate: size class M</v>
      </c>
      <c r="AH82" s="9" t="str">
        <f aca="false">IF($AK82=0,"",INDEX('Part types'!$W:$W,$AK82)&amp;"")</f>
        <v/>
      </c>
      <c r="AI82" s="11" t="str">
        <f aca="false">IF($AK82=0,"",INDEX('Part types'!$X:$X,$AK82)&amp;"")</f>
        <v>داخل الخزان</v>
      </c>
      <c r="AJ82" s="9" t="str">
        <f aca="false">IF($AK82=0,"",INDEX('Part types'!$Y:$Y,$AK82)&amp;"")</f>
        <v/>
      </c>
      <c r="AK82" s="9" t="n">
        <f aca="false">IFERROR(MATCH($AD82,'Part types'!$E:$E,0),0)</f>
        <v>78</v>
      </c>
    </row>
    <row r="83" customFormat="false" ht="15" hidden="false" customHeight="false" outlineLevel="0" collapsed="false">
      <c r="A83" s="9" t="s">
        <v>529</v>
      </c>
      <c r="B83" s="9" t="s">
        <v>518</v>
      </c>
      <c r="C83" s="9" t="s">
        <v>530</v>
      </c>
      <c r="D83" s="9" t="str">
        <f aca="false">C83&amp;" - "&amp;E83</f>
        <v>Fuel Pump Module - Universal</v>
      </c>
      <c r="E83" s="9" t="s">
        <v>68</v>
      </c>
      <c r="F83" s="9" t="s">
        <v>520</v>
      </c>
      <c r="G83" s="10" t="n">
        <f aca="false">IF($AK83=0,"",INDEX('Part types'!$P:$P,$AK83))</f>
        <v>40</v>
      </c>
      <c r="H83" s="10" t="n">
        <f aca="false">IF($AK83=0,"",INDEX('Part types'!$Q:$Q,$AK83))</f>
        <v>25</v>
      </c>
      <c r="I83" s="10" t="n">
        <f aca="false">IF($AK83=0,"",INDEX('Part types'!$R:$R,$AK83))</f>
        <v>15</v>
      </c>
      <c r="J83" s="10" t="n">
        <f aca="false">IF($AK83=0,"",INDEX('Part types'!$S:$S,$AK83))</f>
        <v>3</v>
      </c>
      <c r="K83" s="11" t="s">
        <v>521</v>
      </c>
      <c r="L83" s="11" t="s">
        <v>531</v>
      </c>
      <c r="M83" s="11" t="str">
        <f aca="false">L83&amp;" - "&amp;N83</f>
        <v>مجموعة مضخة الوقود - عام</v>
      </c>
      <c r="N83" s="11" t="s">
        <v>72</v>
      </c>
      <c r="O83" s="11" t="s">
        <v>523</v>
      </c>
      <c r="P83" s="10" t="n">
        <f aca="false">G83</f>
        <v>40</v>
      </c>
      <c r="Q83" s="10" t="n">
        <f aca="false">H83</f>
        <v>25</v>
      </c>
      <c r="R83" s="10" t="n">
        <f aca="false">I83</f>
        <v>15</v>
      </c>
      <c r="S83" s="10" t="n">
        <f aca="false">J83</f>
        <v>3</v>
      </c>
      <c r="T83" s="12" t="s">
        <v>524</v>
      </c>
      <c r="U83" s="12" t="s">
        <v>532</v>
      </c>
      <c r="V83" s="9" t="str">
        <f aca="false">U83&amp;" - "&amp;W83</f>
        <v>燃油泵总成 - 通用</v>
      </c>
      <c r="W83" s="12" t="s">
        <v>76</v>
      </c>
      <c r="X83" s="12" t="s">
        <v>526</v>
      </c>
      <c r="Y83" s="10" t="n">
        <f aca="false">G83</f>
        <v>40</v>
      </c>
      <c r="Z83" s="10" t="n">
        <f aca="false">H83</f>
        <v>25</v>
      </c>
      <c r="AA83" s="10" t="n">
        <f aca="false">I83</f>
        <v>15</v>
      </c>
      <c r="AB83" s="10" t="n">
        <f aca="false">J83</f>
        <v>3</v>
      </c>
      <c r="AC83" s="9" t="s">
        <v>527</v>
      </c>
      <c r="AD83" s="9" t="s">
        <v>533</v>
      </c>
      <c r="AE83" s="9" t="str">
        <f aca="false">IF($AK83=0,"",INDEX('Part types'!$T:$T,$AK83)&amp;"")</f>
        <v>Combustion engine (petrol, diesel, hybrid, range extender)</v>
      </c>
      <c r="AF83" s="9" t="str">
        <f aca="false">IF($AK83=0,"",INDEX('Part types'!$U:$U,$AK83)&amp;"")</f>
        <v/>
      </c>
      <c r="AG83" s="9" t="str">
        <f aca="false">IF($AK83=0,"",INDEX('Part types'!$V:$V,$AK83)&amp;"")</f>
        <v>Estimate: size class L</v>
      </c>
      <c r="AH83" s="9" t="str">
        <f aca="false">IF($AK83=0,"",INDEX('Part types'!$W:$W,$AK83)&amp;"")</f>
        <v>Fuel Pump Module Assembly</v>
      </c>
      <c r="AI83" s="11" t="str">
        <f aca="false">IF($AK83=0,"",INDEX('Part types'!$X:$X,$AK83)&amp;"")</f>
        <v/>
      </c>
      <c r="AJ83" s="9" t="str">
        <f aca="false">IF($AK83=0,"",INDEX('Part types'!$Y:$Y,$AK83)&amp;"")</f>
        <v/>
      </c>
      <c r="AK83" s="9" t="n">
        <f aca="false">IFERROR(MATCH($AD83,'Part types'!$E:$E,0),0)</f>
        <v>79</v>
      </c>
    </row>
    <row r="84" customFormat="false" ht="15" hidden="false" customHeight="false" outlineLevel="0" collapsed="false">
      <c r="A84" s="9" t="s">
        <v>534</v>
      </c>
      <c r="B84" s="9" t="s">
        <v>518</v>
      </c>
      <c r="C84" s="9" t="s">
        <v>535</v>
      </c>
      <c r="D84" s="9" t="str">
        <f aca="false">C84&amp;" - "&amp;E84</f>
        <v>High-Pressure Fuel Pump - Universal</v>
      </c>
      <c r="E84" s="9" t="s">
        <v>68</v>
      </c>
      <c r="F84" s="9" t="s">
        <v>110</v>
      </c>
      <c r="G84" s="10" t="n">
        <f aca="false">IF($AK84=0,"",INDEX('Part types'!$P:$P,$AK84))</f>
        <v>25</v>
      </c>
      <c r="H84" s="10" t="n">
        <f aca="false">IF($AK84=0,"",INDEX('Part types'!$Q:$Q,$AK84))</f>
        <v>15</v>
      </c>
      <c r="I84" s="10" t="n">
        <f aca="false">IF($AK84=0,"",INDEX('Part types'!$R:$R,$AK84))</f>
        <v>10</v>
      </c>
      <c r="J84" s="10" t="n">
        <f aca="false">IF($AK84=0,"",INDEX('Part types'!$S:$S,$AK84))</f>
        <v>0.9</v>
      </c>
      <c r="K84" s="11" t="s">
        <v>521</v>
      </c>
      <c r="L84" s="11" t="s">
        <v>536</v>
      </c>
      <c r="M84" s="11" t="str">
        <f aca="false">L84&amp;" - "&amp;N84</f>
        <v>مضخة الوقود عالية الضغط - عام</v>
      </c>
      <c r="N84" s="11" t="s">
        <v>72</v>
      </c>
      <c r="O84" s="11" t="s">
        <v>112</v>
      </c>
      <c r="P84" s="10" t="n">
        <f aca="false">G84</f>
        <v>25</v>
      </c>
      <c r="Q84" s="10" t="n">
        <f aca="false">H84</f>
        <v>15</v>
      </c>
      <c r="R84" s="10" t="n">
        <f aca="false">I84</f>
        <v>10</v>
      </c>
      <c r="S84" s="10" t="n">
        <f aca="false">J84</f>
        <v>0.9</v>
      </c>
      <c r="T84" s="12" t="s">
        <v>524</v>
      </c>
      <c r="U84" s="12" t="s">
        <v>537</v>
      </c>
      <c r="V84" s="9" t="str">
        <f aca="false">U84&amp;" - "&amp;W84</f>
        <v>高压燃油泵 - 通用</v>
      </c>
      <c r="W84" s="12" t="s">
        <v>76</v>
      </c>
      <c r="X84" s="12" t="s">
        <v>114</v>
      </c>
      <c r="Y84" s="10" t="n">
        <f aca="false">G84</f>
        <v>25</v>
      </c>
      <c r="Z84" s="10" t="n">
        <f aca="false">H84</f>
        <v>15</v>
      </c>
      <c r="AA84" s="10" t="n">
        <f aca="false">I84</f>
        <v>10</v>
      </c>
      <c r="AB84" s="10" t="n">
        <f aca="false">J84</f>
        <v>0.9</v>
      </c>
      <c r="AC84" s="9" t="s">
        <v>527</v>
      </c>
      <c r="AD84" s="9" t="s">
        <v>538</v>
      </c>
      <c r="AE84" s="9" t="str">
        <f aca="false">IF($AK84=0,"",INDEX('Part types'!$T:$T,$AK84)&amp;"")</f>
        <v>Combustion engine (petrol, diesel, hybrid, range extender)</v>
      </c>
      <c r="AF84" s="9" t="str">
        <f aca="false">IF($AK84=0,"",INDEX('Part types'!$U:$U,$AK84)&amp;"")</f>
        <v/>
      </c>
      <c r="AG84" s="9" t="str">
        <f aca="false">IF($AK84=0,"",INDEX('Part types'!$V:$V,$AK84)&amp;"")</f>
        <v>Estimate: size class M</v>
      </c>
      <c r="AH84" s="9" t="str">
        <f aca="false">IF($AK84=0,"",INDEX('Part types'!$W:$W,$AK84)&amp;"")</f>
        <v/>
      </c>
      <c r="AI84" s="11" t="str">
        <f aca="false">IF($AK84=0,"",INDEX('Part types'!$X:$X,$AK84)&amp;"")</f>
        <v/>
      </c>
      <c r="AJ84" s="9" t="str">
        <f aca="false">IF($AK84=0,"",INDEX('Part types'!$Y:$Y,$AK84)&amp;"")</f>
        <v/>
      </c>
      <c r="AK84" s="9" t="n">
        <f aca="false">IFERROR(MATCH($AD84,'Part types'!$E:$E,0),0)</f>
        <v>80</v>
      </c>
    </row>
    <row r="85" customFormat="false" ht="15" hidden="false" customHeight="false" outlineLevel="0" collapsed="false">
      <c r="A85" s="9" t="s">
        <v>539</v>
      </c>
      <c r="B85" s="9" t="s">
        <v>518</v>
      </c>
      <c r="C85" s="9" t="s">
        <v>540</v>
      </c>
      <c r="D85" s="9" t="str">
        <f aca="false">C85&amp;" - "&amp;E85</f>
        <v>Fuel Injector - Universal</v>
      </c>
      <c r="E85" s="9" t="s">
        <v>68</v>
      </c>
      <c r="F85" s="9" t="s">
        <v>110</v>
      </c>
      <c r="G85" s="10" t="n">
        <f aca="false">IF($AK85=0,"",INDEX('Part types'!$P:$P,$AK85))</f>
        <v>10</v>
      </c>
      <c r="H85" s="10" t="n">
        <f aca="false">IF($AK85=0,"",INDEX('Part types'!$Q:$Q,$AK85))</f>
        <v>8</v>
      </c>
      <c r="I85" s="10" t="n">
        <f aca="false">IF($AK85=0,"",INDEX('Part types'!$R:$R,$AK85))</f>
        <v>6</v>
      </c>
      <c r="J85" s="10" t="n">
        <f aca="false">IF($AK85=0,"",INDEX('Part types'!$S:$S,$AK85))</f>
        <v>0.1</v>
      </c>
      <c r="K85" s="11" t="s">
        <v>521</v>
      </c>
      <c r="L85" s="11" t="s">
        <v>541</v>
      </c>
      <c r="M85" s="11" t="str">
        <f aca="false">L85&amp;" - "&amp;N85</f>
        <v>بخاخ الوقود - عام</v>
      </c>
      <c r="N85" s="11" t="s">
        <v>72</v>
      </c>
      <c r="O85" s="11" t="s">
        <v>112</v>
      </c>
      <c r="P85" s="10" t="n">
        <f aca="false">G85</f>
        <v>10</v>
      </c>
      <c r="Q85" s="10" t="n">
        <f aca="false">H85</f>
        <v>8</v>
      </c>
      <c r="R85" s="10" t="n">
        <f aca="false">I85</f>
        <v>6</v>
      </c>
      <c r="S85" s="10" t="n">
        <f aca="false">J85</f>
        <v>0.1</v>
      </c>
      <c r="T85" s="12" t="s">
        <v>524</v>
      </c>
      <c r="U85" s="12" t="s">
        <v>542</v>
      </c>
      <c r="V85" s="9" t="str">
        <f aca="false">U85&amp;" - "&amp;W85</f>
        <v>喷油嘴 - 通用</v>
      </c>
      <c r="W85" s="12" t="s">
        <v>76</v>
      </c>
      <c r="X85" s="12" t="s">
        <v>114</v>
      </c>
      <c r="Y85" s="10" t="n">
        <f aca="false">G85</f>
        <v>10</v>
      </c>
      <c r="Z85" s="10" t="n">
        <f aca="false">H85</f>
        <v>8</v>
      </c>
      <c r="AA85" s="10" t="n">
        <f aca="false">I85</f>
        <v>6</v>
      </c>
      <c r="AB85" s="10" t="n">
        <f aca="false">J85</f>
        <v>0.1</v>
      </c>
      <c r="AC85" s="9" t="s">
        <v>527</v>
      </c>
      <c r="AD85" s="9" t="s">
        <v>543</v>
      </c>
      <c r="AE85" s="9" t="str">
        <f aca="false">IF($AK85=0,"",INDEX('Part types'!$T:$T,$AK85)&amp;"")</f>
        <v>Combustion engine (petrol, diesel, hybrid, range extender)</v>
      </c>
      <c r="AF85" s="9" t="str">
        <f aca="false">IF($AK85=0,"",INDEX('Part types'!$U:$U,$AK85)&amp;"")</f>
        <v/>
      </c>
      <c r="AG85" s="9" t="str">
        <f aca="false">IF($AK85=0,"",INDEX('Part types'!$V:$V,$AK85)&amp;"")</f>
        <v>Estimate: size class XS</v>
      </c>
      <c r="AH85" s="9" t="str">
        <f aca="false">IF($AK85=0,"",INDEX('Part types'!$W:$W,$AK85)&amp;"")</f>
        <v/>
      </c>
      <c r="AI85" s="11" t="str">
        <f aca="false">IF($AK85=0,"",INDEX('Part types'!$X:$X,$AK85)&amp;"")</f>
        <v>إنجكتر</v>
      </c>
      <c r="AJ85" s="9" t="str">
        <f aca="false">IF($AK85=0,"",INDEX('Part types'!$Y:$Y,$AK85)&amp;"")</f>
        <v/>
      </c>
      <c r="AK85" s="9" t="n">
        <f aca="false">IFERROR(MATCH($AD85,'Part types'!$E:$E,0),0)</f>
        <v>81</v>
      </c>
    </row>
    <row r="86" customFormat="false" ht="15" hidden="false" customHeight="false" outlineLevel="0" collapsed="false">
      <c r="A86" s="9" t="s">
        <v>544</v>
      </c>
      <c r="B86" s="9" t="s">
        <v>518</v>
      </c>
      <c r="C86" s="9" t="s">
        <v>545</v>
      </c>
      <c r="D86" s="9" t="str">
        <f aca="false">C86&amp;" - "&amp;E86</f>
        <v>Fuel Injector Set - Universal</v>
      </c>
      <c r="E86" s="9" t="s">
        <v>68</v>
      </c>
      <c r="F86" s="9" t="s">
        <v>110</v>
      </c>
      <c r="G86" s="10" t="n">
        <f aca="false">IF($AK86=0,"",INDEX('Part types'!$P:$P,$AK86))</f>
        <v>25</v>
      </c>
      <c r="H86" s="10" t="n">
        <f aca="false">IF($AK86=0,"",INDEX('Part types'!$Q:$Q,$AK86))</f>
        <v>15</v>
      </c>
      <c r="I86" s="10" t="n">
        <f aca="false">IF($AK86=0,"",INDEX('Part types'!$R:$R,$AK86))</f>
        <v>10</v>
      </c>
      <c r="J86" s="10" t="n">
        <f aca="false">IF($AK86=0,"",INDEX('Part types'!$S:$S,$AK86))</f>
        <v>0.9</v>
      </c>
      <c r="K86" s="11" t="s">
        <v>521</v>
      </c>
      <c r="L86" s="11" t="s">
        <v>546</v>
      </c>
      <c r="M86" s="11" t="str">
        <f aca="false">L86&amp;" - "&amp;N86</f>
        <v>طقم بخاخات الوقود - عام</v>
      </c>
      <c r="N86" s="11" t="s">
        <v>72</v>
      </c>
      <c r="O86" s="11" t="s">
        <v>112</v>
      </c>
      <c r="P86" s="10" t="n">
        <f aca="false">G86</f>
        <v>25</v>
      </c>
      <c r="Q86" s="10" t="n">
        <f aca="false">H86</f>
        <v>15</v>
      </c>
      <c r="R86" s="10" t="n">
        <f aca="false">I86</f>
        <v>10</v>
      </c>
      <c r="S86" s="10" t="n">
        <f aca="false">J86</f>
        <v>0.9</v>
      </c>
      <c r="T86" s="12" t="s">
        <v>524</v>
      </c>
      <c r="U86" s="12" t="s">
        <v>547</v>
      </c>
      <c r="V86" s="9" t="str">
        <f aca="false">U86&amp;" - "&amp;W86</f>
        <v>喷油嘴套装 - 通用</v>
      </c>
      <c r="W86" s="12" t="s">
        <v>76</v>
      </c>
      <c r="X86" s="12" t="s">
        <v>114</v>
      </c>
      <c r="Y86" s="10" t="n">
        <f aca="false">G86</f>
        <v>25</v>
      </c>
      <c r="Z86" s="10" t="n">
        <f aca="false">H86</f>
        <v>15</v>
      </c>
      <c r="AA86" s="10" t="n">
        <f aca="false">I86</f>
        <v>10</v>
      </c>
      <c r="AB86" s="10" t="n">
        <f aca="false">J86</f>
        <v>0.9</v>
      </c>
      <c r="AC86" s="9" t="s">
        <v>527</v>
      </c>
      <c r="AD86" s="9" t="s">
        <v>548</v>
      </c>
      <c r="AE86" s="9" t="str">
        <f aca="false">IF($AK86=0,"",INDEX('Part types'!$T:$T,$AK86)&amp;"")</f>
        <v>Combustion engine (petrol, diesel, hybrid, range extender)</v>
      </c>
      <c r="AF86" s="9" t="str">
        <f aca="false">IF($AK86=0,"",INDEX('Part types'!$U:$U,$AK86)&amp;"")</f>
        <v/>
      </c>
      <c r="AG86" s="9" t="str">
        <f aca="false">IF($AK86=0,"",INDEX('Part types'!$V:$V,$AK86)&amp;"")</f>
        <v>Estimate: size class M</v>
      </c>
      <c r="AH86" s="9" t="str">
        <f aca="false">IF($AK86=0,"",INDEX('Part types'!$W:$W,$AK86)&amp;"")</f>
        <v/>
      </c>
      <c r="AI86" s="11" t="str">
        <f aca="false">IF($AK86=0,"",INDEX('Part types'!$X:$X,$AK86)&amp;"")</f>
        <v/>
      </c>
      <c r="AJ86" s="9" t="str">
        <f aca="false">IF($AK86=0,"",INDEX('Part types'!$Y:$Y,$AK86)&amp;"")</f>
        <v/>
      </c>
      <c r="AK86" s="9" t="n">
        <f aca="false">IFERROR(MATCH($AD86,'Part types'!$E:$E,0),0)</f>
        <v>82</v>
      </c>
    </row>
    <row r="87" customFormat="false" ht="15" hidden="false" customHeight="false" outlineLevel="0" collapsed="false">
      <c r="A87" s="9" t="s">
        <v>549</v>
      </c>
      <c r="B87" s="9" t="s">
        <v>518</v>
      </c>
      <c r="C87" s="9" t="s">
        <v>550</v>
      </c>
      <c r="D87" s="9" t="str">
        <f aca="false">C87&amp;" - "&amp;E87</f>
        <v>Injector Seal Kit - Universal</v>
      </c>
      <c r="E87" s="9" t="s">
        <v>68</v>
      </c>
      <c r="F87" s="9" t="s">
        <v>110</v>
      </c>
      <c r="G87" s="10" t="n">
        <f aca="false">IF($AK87=0,"",INDEX('Part types'!$P:$P,$AK87))</f>
        <v>10</v>
      </c>
      <c r="H87" s="10" t="n">
        <f aca="false">IF($AK87=0,"",INDEX('Part types'!$Q:$Q,$AK87))</f>
        <v>8</v>
      </c>
      <c r="I87" s="10" t="n">
        <f aca="false">IF($AK87=0,"",INDEX('Part types'!$R:$R,$AK87))</f>
        <v>6</v>
      </c>
      <c r="J87" s="10" t="n">
        <f aca="false">IF($AK87=0,"",INDEX('Part types'!$S:$S,$AK87))</f>
        <v>0.1</v>
      </c>
      <c r="K87" s="11" t="s">
        <v>521</v>
      </c>
      <c r="L87" s="11" t="s">
        <v>551</v>
      </c>
      <c r="M87" s="11" t="str">
        <f aca="false">L87&amp;" - "&amp;N87</f>
        <v>طقم سيلات البخاخات - عام</v>
      </c>
      <c r="N87" s="11" t="s">
        <v>72</v>
      </c>
      <c r="O87" s="11" t="s">
        <v>112</v>
      </c>
      <c r="P87" s="10" t="n">
        <f aca="false">G87</f>
        <v>10</v>
      </c>
      <c r="Q87" s="10" t="n">
        <f aca="false">H87</f>
        <v>8</v>
      </c>
      <c r="R87" s="10" t="n">
        <f aca="false">I87</f>
        <v>6</v>
      </c>
      <c r="S87" s="10" t="n">
        <f aca="false">J87</f>
        <v>0.1</v>
      </c>
      <c r="T87" s="12" t="s">
        <v>524</v>
      </c>
      <c r="U87" s="12" t="s">
        <v>552</v>
      </c>
      <c r="V87" s="9" t="str">
        <f aca="false">U87&amp;" - "&amp;W87</f>
        <v>喷油嘴密封件套装 - 通用</v>
      </c>
      <c r="W87" s="12" t="s">
        <v>76</v>
      </c>
      <c r="X87" s="12" t="s">
        <v>114</v>
      </c>
      <c r="Y87" s="10" t="n">
        <f aca="false">G87</f>
        <v>10</v>
      </c>
      <c r="Z87" s="10" t="n">
        <f aca="false">H87</f>
        <v>8</v>
      </c>
      <c r="AA87" s="10" t="n">
        <f aca="false">I87</f>
        <v>6</v>
      </c>
      <c r="AB87" s="10" t="n">
        <f aca="false">J87</f>
        <v>0.1</v>
      </c>
      <c r="AC87" s="9" t="s">
        <v>527</v>
      </c>
      <c r="AD87" s="9" t="s">
        <v>553</v>
      </c>
      <c r="AE87" s="9" t="str">
        <f aca="false">IF($AK87=0,"",INDEX('Part types'!$T:$T,$AK87)&amp;"")</f>
        <v>Combustion engine (petrol, diesel, hybrid, range extender)</v>
      </c>
      <c r="AF87" s="9" t="str">
        <f aca="false">IF($AK87=0,"",INDEX('Part types'!$U:$U,$AK87)&amp;"")</f>
        <v/>
      </c>
      <c r="AG87" s="9" t="str">
        <f aca="false">IF($AK87=0,"",INDEX('Part types'!$V:$V,$AK87)&amp;"")</f>
        <v>Estimate: size class XS</v>
      </c>
      <c r="AH87" s="9" t="str">
        <f aca="false">IF($AK87=0,"",INDEX('Part types'!$W:$W,$AK87)&amp;"")</f>
        <v>Fuel Injector Seal Kit</v>
      </c>
      <c r="AI87" s="11" t="str">
        <f aca="false">IF($AK87=0,"",INDEX('Part types'!$X:$X,$AK87)&amp;"")</f>
        <v/>
      </c>
      <c r="AJ87" s="9" t="str">
        <f aca="false">IF($AK87=0,"",INDEX('Part types'!$Y:$Y,$AK87)&amp;"")</f>
        <v/>
      </c>
      <c r="AK87" s="9" t="n">
        <f aca="false">IFERROR(MATCH($AD87,'Part types'!$E:$E,0),0)</f>
        <v>83</v>
      </c>
    </row>
    <row r="88" customFormat="false" ht="15" hidden="false" customHeight="false" outlineLevel="0" collapsed="false">
      <c r="A88" s="9" t="s">
        <v>554</v>
      </c>
      <c r="B88" s="9" t="s">
        <v>518</v>
      </c>
      <c r="C88" s="9" t="s">
        <v>555</v>
      </c>
      <c r="D88" s="9" t="str">
        <f aca="false">C88&amp;" - "&amp;E88</f>
        <v>Fuel Rail - Universal</v>
      </c>
      <c r="E88" s="9" t="s">
        <v>68</v>
      </c>
      <c r="F88" s="9" t="s">
        <v>110</v>
      </c>
      <c r="G88" s="10" t="n">
        <f aca="false">IF($AK88=0,"",INDEX('Part types'!$P:$P,$AK88))</f>
        <v>30</v>
      </c>
      <c r="H88" s="10" t="n">
        <f aca="false">IF($AK88=0,"",INDEX('Part types'!$Q:$Q,$AK88))</f>
        <v>20</v>
      </c>
      <c r="I88" s="10" t="n">
        <f aca="false">IF($AK88=0,"",INDEX('Part types'!$R:$R,$AK88))</f>
        <v>15</v>
      </c>
      <c r="J88" s="10" t="n">
        <f aca="false">IF($AK88=0,"",INDEX('Part types'!$S:$S,$AK88))</f>
        <v>1.8</v>
      </c>
      <c r="K88" s="11" t="s">
        <v>521</v>
      </c>
      <c r="L88" s="11" t="s">
        <v>556</v>
      </c>
      <c r="M88" s="11" t="str">
        <f aca="false">L88&amp;" - "&amp;N88</f>
        <v>سكة الوقود - عام</v>
      </c>
      <c r="N88" s="11" t="s">
        <v>72</v>
      </c>
      <c r="O88" s="11" t="s">
        <v>112</v>
      </c>
      <c r="P88" s="10" t="n">
        <f aca="false">G88</f>
        <v>30</v>
      </c>
      <c r="Q88" s="10" t="n">
        <f aca="false">H88</f>
        <v>20</v>
      </c>
      <c r="R88" s="10" t="n">
        <f aca="false">I88</f>
        <v>15</v>
      </c>
      <c r="S88" s="10" t="n">
        <f aca="false">J88</f>
        <v>1.8</v>
      </c>
      <c r="T88" s="12" t="s">
        <v>524</v>
      </c>
      <c r="U88" s="12" t="s">
        <v>557</v>
      </c>
      <c r="V88" s="9" t="str">
        <f aca="false">U88&amp;" - "&amp;W88</f>
        <v>燃油分配管 - 通用</v>
      </c>
      <c r="W88" s="12" t="s">
        <v>76</v>
      </c>
      <c r="X88" s="12" t="s">
        <v>114</v>
      </c>
      <c r="Y88" s="10" t="n">
        <f aca="false">G88</f>
        <v>30</v>
      </c>
      <c r="Z88" s="10" t="n">
        <f aca="false">H88</f>
        <v>20</v>
      </c>
      <c r="AA88" s="10" t="n">
        <f aca="false">I88</f>
        <v>15</v>
      </c>
      <c r="AB88" s="10" t="n">
        <f aca="false">J88</f>
        <v>1.8</v>
      </c>
      <c r="AC88" s="9" t="s">
        <v>527</v>
      </c>
      <c r="AD88" s="9" t="s">
        <v>558</v>
      </c>
      <c r="AE88" s="9" t="str">
        <f aca="false">IF($AK88=0,"",INDEX('Part types'!$T:$T,$AK88)&amp;"")</f>
        <v>Combustion engine (petrol, diesel, hybrid, range extender)</v>
      </c>
      <c r="AF88" s="9" t="str">
        <f aca="false">IF($AK88=0,"",INDEX('Part types'!$U:$U,$AK88)&amp;"")</f>
        <v/>
      </c>
      <c r="AG88" s="9" t="str">
        <f aca="false">IF($AK88=0,"",INDEX('Part types'!$V:$V,$AK88)&amp;"")</f>
        <v>Estimate: size class M2</v>
      </c>
      <c r="AH88" s="9" t="str">
        <f aca="false">IF($AK88=0,"",INDEX('Part types'!$W:$W,$AK88)&amp;"")</f>
        <v/>
      </c>
      <c r="AI88" s="11" t="str">
        <f aca="false">IF($AK88=0,"",INDEX('Part types'!$X:$X,$AK88)&amp;"")</f>
        <v/>
      </c>
      <c r="AJ88" s="9" t="str">
        <f aca="false">IF($AK88=0,"",INDEX('Part types'!$Y:$Y,$AK88)&amp;"")</f>
        <v>油轨</v>
      </c>
      <c r="AK88" s="9" t="n">
        <f aca="false">IFERROR(MATCH($AD88,'Part types'!$E:$E,0),0)</f>
        <v>84</v>
      </c>
    </row>
    <row r="89" customFormat="false" ht="15" hidden="false" customHeight="false" outlineLevel="0" collapsed="false">
      <c r="A89" s="9" t="s">
        <v>559</v>
      </c>
      <c r="B89" s="9" t="s">
        <v>518</v>
      </c>
      <c r="C89" s="9" t="s">
        <v>560</v>
      </c>
      <c r="D89" s="9" t="str">
        <f aca="false">C89&amp;" - "&amp;E89</f>
        <v>Fuel Pressure Regulator - Universal</v>
      </c>
      <c r="E89" s="9" t="s">
        <v>68</v>
      </c>
      <c r="F89" s="9" t="s">
        <v>561</v>
      </c>
      <c r="G89" s="10" t="n">
        <f aca="false">IF($AK89=0,"",INDEX('Part types'!$P:$P,$AK89))</f>
        <v>15</v>
      </c>
      <c r="H89" s="10" t="n">
        <f aca="false">IF($AK89=0,"",INDEX('Part types'!$Q:$Q,$AK89))</f>
        <v>10</v>
      </c>
      <c r="I89" s="10" t="n">
        <f aca="false">IF($AK89=0,"",INDEX('Part types'!$R:$R,$AK89))</f>
        <v>8</v>
      </c>
      <c r="J89" s="10" t="n">
        <f aca="false">IF($AK89=0,"",INDEX('Part types'!$S:$S,$AK89))</f>
        <v>0.3</v>
      </c>
      <c r="K89" s="11" t="s">
        <v>521</v>
      </c>
      <c r="L89" s="11" t="s">
        <v>562</v>
      </c>
      <c r="M89" s="11" t="str">
        <f aca="false">L89&amp;" - "&amp;N89</f>
        <v>منظم ضغط الوقود - عام</v>
      </c>
      <c r="N89" s="11" t="s">
        <v>72</v>
      </c>
      <c r="O89" s="11" t="s">
        <v>563</v>
      </c>
      <c r="P89" s="10" t="n">
        <f aca="false">G89</f>
        <v>15</v>
      </c>
      <c r="Q89" s="10" t="n">
        <f aca="false">H89</f>
        <v>10</v>
      </c>
      <c r="R89" s="10" t="n">
        <f aca="false">I89</f>
        <v>8</v>
      </c>
      <c r="S89" s="10" t="n">
        <f aca="false">J89</f>
        <v>0.3</v>
      </c>
      <c r="T89" s="12" t="s">
        <v>524</v>
      </c>
      <c r="U89" s="12" t="s">
        <v>564</v>
      </c>
      <c r="V89" s="9" t="str">
        <f aca="false">U89&amp;" - "&amp;W89</f>
        <v>燃油压力调节器 - 通用</v>
      </c>
      <c r="W89" s="12" t="s">
        <v>76</v>
      </c>
      <c r="X89" s="12" t="s">
        <v>565</v>
      </c>
      <c r="Y89" s="10" t="n">
        <f aca="false">G89</f>
        <v>15</v>
      </c>
      <c r="Z89" s="10" t="n">
        <f aca="false">H89</f>
        <v>10</v>
      </c>
      <c r="AA89" s="10" t="n">
        <f aca="false">I89</f>
        <v>8</v>
      </c>
      <c r="AB89" s="10" t="n">
        <f aca="false">J89</f>
        <v>0.3</v>
      </c>
      <c r="AC89" s="9" t="s">
        <v>527</v>
      </c>
      <c r="AD89" s="9" t="s">
        <v>566</v>
      </c>
      <c r="AE89" s="9" t="str">
        <f aca="false">IF($AK89=0,"",INDEX('Part types'!$T:$T,$AK89)&amp;"")</f>
        <v>Combustion engine (petrol, diesel, hybrid, range extender)</v>
      </c>
      <c r="AF89" s="9" t="str">
        <f aca="false">IF($AK89=0,"",INDEX('Part types'!$U:$U,$AK89)&amp;"")</f>
        <v/>
      </c>
      <c r="AG89" s="9" t="str">
        <f aca="false">IF($AK89=0,"",INDEX('Part types'!$V:$V,$AK89)&amp;"")</f>
        <v>Estimate: size class S</v>
      </c>
      <c r="AH89" s="9" t="str">
        <f aca="false">IF($AK89=0,"",INDEX('Part types'!$W:$W,$AK89)&amp;"")</f>
        <v/>
      </c>
      <c r="AI89" s="11" t="str">
        <f aca="false">IF($AK89=0,"",INDEX('Part types'!$X:$X,$AK89)&amp;"")</f>
        <v/>
      </c>
      <c r="AJ89" s="9" t="str">
        <f aca="false">IF($AK89=0,"",INDEX('Part types'!$Y:$Y,$AK89)&amp;"")</f>
        <v/>
      </c>
      <c r="AK89" s="9" t="n">
        <f aca="false">IFERROR(MATCH($AD89,'Part types'!$E:$E,0),0)</f>
        <v>85</v>
      </c>
    </row>
    <row r="90" customFormat="false" ht="15" hidden="false" customHeight="false" outlineLevel="0" collapsed="false">
      <c r="A90" s="9" t="s">
        <v>567</v>
      </c>
      <c r="B90" s="9" t="s">
        <v>518</v>
      </c>
      <c r="C90" s="9" t="s">
        <v>520</v>
      </c>
      <c r="D90" s="9" t="str">
        <f aca="false">C90&amp;" - "&amp;E90</f>
        <v>Fuel Tank - Universal</v>
      </c>
      <c r="E90" s="9" t="s">
        <v>68</v>
      </c>
      <c r="F90" s="9" t="s">
        <v>520</v>
      </c>
      <c r="G90" s="10" t="n">
        <f aca="false">IF($AK90=0,"",INDEX('Part types'!$P:$P,$AK90))</f>
        <v>90</v>
      </c>
      <c r="H90" s="10" t="n">
        <f aca="false">IF($AK90=0,"",INDEX('Part types'!$Q:$Q,$AK90))</f>
        <v>60</v>
      </c>
      <c r="I90" s="10" t="n">
        <f aca="false">IF($AK90=0,"",INDEX('Part types'!$R:$R,$AK90))</f>
        <v>25</v>
      </c>
      <c r="J90" s="10" t="n">
        <f aca="false">IF($AK90=0,"",INDEX('Part types'!$S:$S,$AK90))</f>
        <v>9</v>
      </c>
      <c r="K90" s="11" t="s">
        <v>521</v>
      </c>
      <c r="L90" s="11" t="s">
        <v>523</v>
      </c>
      <c r="M90" s="11" t="str">
        <f aca="false">L90&amp;" - "&amp;N90</f>
        <v>خزان الوقود - عام</v>
      </c>
      <c r="N90" s="11" t="s">
        <v>72</v>
      </c>
      <c r="O90" s="11" t="s">
        <v>523</v>
      </c>
      <c r="P90" s="10" t="n">
        <f aca="false">G90</f>
        <v>90</v>
      </c>
      <c r="Q90" s="10" t="n">
        <f aca="false">H90</f>
        <v>60</v>
      </c>
      <c r="R90" s="10" t="n">
        <f aca="false">I90</f>
        <v>25</v>
      </c>
      <c r="S90" s="10" t="n">
        <f aca="false">J90</f>
        <v>9</v>
      </c>
      <c r="T90" s="12" t="s">
        <v>524</v>
      </c>
      <c r="U90" s="12" t="s">
        <v>526</v>
      </c>
      <c r="V90" s="9" t="str">
        <f aca="false">U90&amp;" - "&amp;W90</f>
        <v>油箱 - 通用</v>
      </c>
      <c r="W90" s="12" t="s">
        <v>76</v>
      </c>
      <c r="X90" s="12" t="s">
        <v>526</v>
      </c>
      <c r="Y90" s="10" t="n">
        <f aca="false">G90</f>
        <v>90</v>
      </c>
      <c r="Z90" s="10" t="n">
        <f aca="false">H90</f>
        <v>60</v>
      </c>
      <c r="AA90" s="10" t="n">
        <f aca="false">I90</f>
        <v>25</v>
      </c>
      <c r="AB90" s="10" t="n">
        <f aca="false">J90</f>
        <v>9</v>
      </c>
      <c r="AC90" s="9" t="s">
        <v>527</v>
      </c>
      <c r="AD90" s="9" t="s">
        <v>568</v>
      </c>
      <c r="AE90" s="9" t="str">
        <f aca="false">IF($AK90=0,"",INDEX('Part types'!$T:$T,$AK90)&amp;"")</f>
        <v>Combustion engine (petrol, diesel, hybrid, range extender)</v>
      </c>
      <c r="AF90" s="9" t="str">
        <f aca="false">IF($AK90=0,"",INDEX('Part types'!$U:$U,$AK90)&amp;"")</f>
        <v/>
      </c>
      <c r="AG90" s="9" t="str">
        <f aca="false">IF($AK90=0,"",INDEX('Part types'!$V:$V,$AK90)&amp;"")</f>
        <v>Estimate: item-specific</v>
      </c>
      <c r="AH90" s="9" t="str">
        <f aca="false">IF($AK90=0,"",INDEX('Part types'!$W:$W,$AK90)&amp;"")</f>
        <v/>
      </c>
      <c r="AI90" s="11" t="str">
        <f aca="false">IF($AK90=0,"",INDEX('Part types'!$X:$X,$AK90)&amp;"")</f>
        <v/>
      </c>
      <c r="AJ90" s="9" t="str">
        <f aca="false">IF($AK90=0,"",INDEX('Part types'!$Y:$Y,$AK90)&amp;"")</f>
        <v/>
      </c>
      <c r="AK90" s="9" t="n">
        <f aca="false">IFERROR(MATCH($AD90,'Part types'!$E:$E,0),0)</f>
        <v>86</v>
      </c>
    </row>
    <row r="91" customFormat="false" ht="15" hidden="false" customHeight="false" outlineLevel="0" collapsed="false">
      <c r="A91" s="9" t="s">
        <v>569</v>
      </c>
      <c r="B91" s="9" t="s">
        <v>518</v>
      </c>
      <c r="C91" s="9" t="s">
        <v>570</v>
      </c>
      <c r="D91" s="9" t="str">
        <f aca="false">C91&amp;" - "&amp;E91</f>
        <v>Filler Neck - Universal</v>
      </c>
      <c r="E91" s="9" t="s">
        <v>68</v>
      </c>
      <c r="F91" s="9" t="s">
        <v>520</v>
      </c>
      <c r="G91" s="10" t="n">
        <f aca="false">IF($AK91=0,"",INDEX('Part types'!$P:$P,$AK91))</f>
        <v>40</v>
      </c>
      <c r="H91" s="10" t="n">
        <f aca="false">IF($AK91=0,"",INDEX('Part types'!$Q:$Q,$AK91))</f>
        <v>25</v>
      </c>
      <c r="I91" s="10" t="n">
        <f aca="false">IF($AK91=0,"",INDEX('Part types'!$R:$R,$AK91))</f>
        <v>15</v>
      </c>
      <c r="J91" s="10" t="n">
        <f aca="false">IF($AK91=0,"",INDEX('Part types'!$S:$S,$AK91))</f>
        <v>3</v>
      </c>
      <c r="K91" s="11" t="s">
        <v>521</v>
      </c>
      <c r="L91" s="11" t="s">
        <v>571</v>
      </c>
      <c r="M91" s="11" t="str">
        <f aca="false">L91&amp;" - "&amp;N91</f>
        <v>رقبة تعبئة الوقود - عام</v>
      </c>
      <c r="N91" s="11" t="s">
        <v>72</v>
      </c>
      <c r="O91" s="11" t="s">
        <v>523</v>
      </c>
      <c r="P91" s="10" t="n">
        <f aca="false">G91</f>
        <v>40</v>
      </c>
      <c r="Q91" s="10" t="n">
        <f aca="false">H91</f>
        <v>25</v>
      </c>
      <c r="R91" s="10" t="n">
        <f aca="false">I91</f>
        <v>15</v>
      </c>
      <c r="S91" s="10" t="n">
        <f aca="false">J91</f>
        <v>3</v>
      </c>
      <c r="T91" s="12" t="s">
        <v>524</v>
      </c>
      <c r="U91" s="12" t="s">
        <v>572</v>
      </c>
      <c r="V91" s="9" t="str">
        <f aca="false">U91&amp;" - "&amp;W91</f>
        <v>加油管 - 通用</v>
      </c>
      <c r="W91" s="12" t="s">
        <v>76</v>
      </c>
      <c r="X91" s="12" t="s">
        <v>526</v>
      </c>
      <c r="Y91" s="10" t="n">
        <f aca="false">G91</f>
        <v>40</v>
      </c>
      <c r="Z91" s="10" t="n">
        <f aca="false">H91</f>
        <v>25</v>
      </c>
      <c r="AA91" s="10" t="n">
        <f aca="false">I91</f>
        <v>15</v>
      </c>
      <c r="AB91" s="10" t="n">
        <f aca="false">J91</f>
        <v>3</v>
      </c>
      <c r="AC91" s="9" t="s">
        <v>527</v>
      </c>
      <c r="AD91" s="9" t="s">
        <v>573</v>
      </c>
      <c r="AE91" s="9" t="str">
        <f aca="false">IF($AK91=0,"",INDEX('Part types'!$T:$T,$AK91)&amp;"")</f>
        <v>Combustion engine (petrol, diesel, hybrid, range extender)</v>
      </c>
      <c r="AF91" s="9" t="str">
        <f aca="false">IF($AK91=0,"",INDEX('Part types'!$U:$U,$AK91)&amp;"")</f>
        <v/>
      </c>
      <c r="AG91" s="9" t="str">
        <f aca="false">IF($AK91=0,"",INDEX('Part types'!$V:$V,$AK91)&amp;"")</f>
        <v>Estimate: size class L</v>
      </c>
      <c r="AH91" s="9" t="str">
        <f aca="false">IF($AK91=0,"",INDEX('Part types'!$W:$W,$AK91)&amp;"")</f>
        <v>Fuel Tank Filler Neck</v>
      </c>
      <c r="AI91" s="11" t="str">
        <f aca="false">IF($AK91=0,"",INDEX('Part types'!$X:$X,$AK91)&amp;"")</f>
        <v/>
      </c>
      <c r="AJ91" s="9" t="str">
        <f aca="false">IF($AK91=0,"",INDEX('Part types'!$Y:$Y,$AK91)&amp;"")</f>
        <v/>
      </c>
      <c r="AK91" s="9" t="n">
        <f aca="false">IFERROR(MATCH($AD91,'Part types'!$E:$E,0),0)</f>
        <v>87</v>
      </c>
    </row>
    <row r="92" customFormat="false" ht="15" hidden="false" customHeight="false" outlineLevel="0" collapsed="false">
      <c r="A92" s="9" t="s">
        <v>574</v>
      </c>
      <c r="B92" s="9" t="s">
        <v>518</v>
      </c>
      <c r="C92" s="9" t="s">
        <v>575</v>
      </c>
      <c r="D92" s="9" t="str">
        <f aca="false">C92&amp;" - "&amp;E92</f>
        <v>Fuel Tank Cap - Universal</v>
      </c>
      <c r="E92" s="9" t="s">
        <v>68</v>
      </c>
      <c r="F92" s="9" t="s">
        <v>520</v>
      </c>
      <c r="G92" s="10" t="n">
        <f aca="false">IF($AK92=0,"",INDEX('Part types'!$P:$P,$AK92))</f>
        <v>10</v>
      </c>
      <c r="H92" s="10" t="n">
        <f aca="false">IF($AK92=0,"",INDEX('Part types'!$Q:$Q,$AK92))</f>
        <v>8</v>
      </c>
      <c r="I92" s="10" t="n">
        <f aca="false">IF($AK92=0,"",INDEX('Part types'!$R:$R,$AK92))</f>
        <v>6</v>
      </c>
      <c r="J92" s="10" t="n">
        <f aca="false">IF($AK92=0,"",INDEX('Part types'!$S:$S,$AK92))</f>
        <v>0.1</v>
      </c>
      <c r="K92" s="11" t="s">
        <v>521</v>
      </c>
      <c r="L92" s="11" t="s">
        <v>576</v>
      </c>
      <c r="M92" s="11" t="str">
        <f aca="false">L92&amp;" - "&amp;N92</f>
        <v>غطاء خزان الوقود - عام</v>
      </c>
      <c r="N92" s="11" t="s">
        <v>72</v>
      </c>
      <c r="O92" s="11" t="s">
        <v>523</v>
      </c>
      <c r="P92" s="10" t="n">
        <f aca="false">G92</f>
        <v>10</v>
      </c>
      <c r="Q92" s="10" t="n">
        <f aca="false">H92</f>
        <v>8</v>
      </c>
      <c r="R92" s="10" t="n">
        <f aca="false">I92</f>
        <v>6</v>
      </c>
      <c r="S92" s="10" t="n">
        <f aca="false">J92</f>
        <v>0.1</v>
      </c>
      <c r="T92" s="12" t="s">
        <v>524</v>
      </c>
      <c r="U92" s="12" t="s">
        <v>577</v>
      </c>
      <c r="V92" s="9" t="str">
        <f aca="false">U92&amp;" - "&amp;W92</f>
        <v>油箱盖 - 通用</v>
      </c>
      <c r="W92" s="12" t="s">
        <v>76</v>
      </c>
      <c r="X92" s="12" t="s">
        <v>526</v>
      </c>
      <c r="Y92" s="10" t="n">
        <f aca="false">G92</f>
        <v>10</v>
      </c>
      <c r="Z92" s="10" t="n">
        <f aca="false">H92</f>
        <v>8</v>
      </c>
      <c r="AA92" s="10" t="n">
        <f aca="false">I92</f>
        <v>6</v>
      </c>
      <c r="AB92" s="10" t="n">
        <f aca="false">J92</f>
        <v>0.1</v>
      </c>
      <c r="AC92" s="9" t="s">
        <v>527</v>
      </c>
      <c r="AD92" s="9" t="s">
        <v>578</v>
      </c>
      <c r="AE92" s="9" t="str">
        <f aca="false">IF($AK92=0,"",INDEX('Part types'!$T:$T,$AK92)&amp;"")</f>
        <v>Combustion engine (petrol, diesel, hybrid, range extender)</v>
      </c>
      <c r="AF92" s="9" t="str">
        <f aca="false">IF($AK92=0,"",INDEX('Part types'!$U:$U,$AK92)&amp;"")</f>
        <v/>
      </c>
      <c r="AG92" s="9" t="str">
        <f aca="false">IF($AK92=0,"",INDEX('Part types'!$V:$V,$AK92)&amp;"")</f>
        <v>Estimate: size class XS</v>
      </c>
      <c r="AH92" s="9" t="str">
        <f aca="false">IF($AK92=0,"",INDEX('Part types'!$W:$W,$AK92)&amp;"")</f>
        <v/>
      </c>
      <c r="AI92" s="11" t="str">
        <f aca="false">IF($AK92=0,"",INDEX('Part types'!$X:$X,$AK92)&amp;"")</f>
        <v/>
      </c>
      <c r="AJ92" s="9" t="str">
        <f aca="false">IF($AK92=0,"",INDEX('Part types'!$Y:$Y,$AK92)&amp;"")</f>
        <v/>
      </c>
      <c r="AK92" s="9" t="n">
        <f aca="false">IFERROR(MATCH($AD92,'Part types'!$E:$E,0),0)</f>
        <v>88</v>
      </c>
    </row>
    <row r="93" customFormat="false" ht="15" hidden="false" customHeight="false" outlineLevel="0" collapsed="false">
      <c r="A93" s="9" t="s">
        <v>579</v>
      </c>
      <c r="B93" s="9" t="s">
        <v>518</v>
      </c>
      <c r="C93" s="9" t="s">
        <v>580</v>
      </c>
      <c r="D93" s="9" t="str">
        <f aca="false">C93&amp;" - "&amp;E93</f>
        <v>Fuel Tank Strap - Left</v>
      </c>
      <c r="E93" s="9" t="s">
        <v>218</v>
      </c>
      <c r="F93" s="9" t="s">
        <v>520</v>
      </c>
      <c r="G93" s="10" t="n">
        <f aca="false">IF($AK93=0,"",INDEX('Part types'!$P:$P,$AK93))</f>
        <v>25</v>
      </c>
      <c r="H93" s="10" t="n">
        <f aca="false">IF($AK93=0,"",INDEX('Part types'!$Q:$Q,$AK93))</f>
        <v>15</v>
      </c>
      <c r="I93" s="10" t="n">
        <f aca="false">IF($AK93=0,"",INDEX('Part types'!$R:$R,$AK93))</f>
        <v>10</v>
      </c>
      <c r="J93" s="10" t="n">
        <f aca="false">IF($AK93=0,"",INDEX('Part types'!$S:$S,$AK93))</f>
        <v>0.9</v>
      </c>
      <c r="K93" s="11" t="s">
        <v>521</v>
      </c>
      <c r="L93" s="11" t="s">
        <v>581</v>
      </c>
      <c r="M93" s="11" t="str">
        <f aca="false">L93&amp;" - "&amp;N93</f>
        <v>حزام خزان الوقود - يسار</v>
      </c>
      <c r="N93" s="11" t="s">
        <v>220</v>
      </c>
      <c r="O93" s="11" t="s">
        <v>523</v>
      </c>
      <c r="P93" s="10" t="n">
        <f aca="false">G93</f>
        <v>25</v>
      </c>
      <c r="Q93" s="10" t="n">
        <f aca="false">H93</f>
        <v>15</v>
      </c>
      <c r="R93" s="10" t="n">
        <f aca="false">I93</f>
        <v>10</v>
      </c>
      <c r="S93" s="10" t="n">
        <f aca="false">J93</f>
        <v>0.9</v>
      </c>
      <c r="T93" s="12" t="s">
        <v>524</v>
      </c>
      <c r="U93" s="12" t="s">
        <v>582</v>
      </c>
      <c r="V93" s="9" t="str">
        <f aca="false">U93&amp;" - "&amp;W93</f>
        <v>油箱固定带 - 左侧</v>
      </c>
      <c r="W93" s="12" t="s">
        <v>222</v>
      </c>
      <c r="X93" s="12" t="s">
        <v>526</v>
      </c>
      <c r="Y93" s="10" t="n">
        <f aca="false">G93</f>
        <v>25</v>
      </c>
      <c r="Z93" s="10" t="n">
        <f aca="false">H93</f>
        <v>15</v>
      </c>
      <c r="AA93" s="10" t="n">
        <f aca="false">I93</f>
        <v>10</v>
      </c>
      <c r="AB93" s="10" t="n">
        <f aca="false">J93</f>
        <v>0.9</v>
      </c>
      <c r="AC93" s="9" t="s">
        <v>527</v>
      </c>
      <c r="AD93" s="9" t="s">
        <v>583</v>
      </c>
      <c r="AE93" s="9" t="str">
        <f aca="false">IF($AK93=0,"",INDEX('Part types'!$T:$T,$AK93)&amp;"")</f>
        <v>Combustion engine (petrol, diesel, hybrid, range extender)</v>
      </c>
      <c r="AF93" s="9" t="str">
        <f aca="false">IF($AK93=0,"",INDEX('Part types'!$U:$U,$AK93)&amp;"")</f>
        <v/>
      </c>
      <c r="AG93" s="9" t="str">
        <f aca="false">IF($AK93=0,"",INDEX('Part types'!$V:$V,$AK93)&amp;"")</f>
        <v>Estimate: size class M</v>
      </c>
      <c r="AH93" s="9" t="str">
        <f aca="false">IF($AK93=0,"",INDEX('Part types'!$W:$W,$AK93)&amp;"")</f>
        <v/>
      </c>
      <c r="AI93" s="11" t="str">
        <f aca="false">IF($AK93=0,"",INDEX('Part types'!$X:$X,$AK93)&amp;"")</f>
        <v/>
      </c>
      <c r="AJ93" s="9" t="str">
        <f aca="false">IF($AK93=0,"",INDEX('Part types'!$Y:$Y,$AK93)&amp;"")</f>
        <v/>
      </c>
      <c r="AK93" s="9" t="n">
        <f aca="false">IFERROR(MATCH($AD93,'Part types'!$E:$E,0),0)</f>
        <v>89</v>
      </c>
    </row>
    <row r="94" customFormat="false" ht="15" hidden="false" customHeight="false" outlineLevel="0" collapsed="false">
      <c r="A94" s="9" t="s">
        <v>584</v>
      </c>
      <c r="B94" s="9" t="s">
        <v>518</v>
      </c>
      <c r="C94" s="9" t="s">
        <v>580</v>
      </c>
      <c r="D94" s="9" t="str">
        <f aca="false">C94&amp;" - "&amp;E94</f>
        <v>Fuel Tank Strap - Right</v>
      </c>
      <c r="E94" s="9" t="s">
        <v>225</v>
      </c>
      <c r="F94" s="9" t="s">
        <v>520</v>
      </c>
      <c r="G94" s="10" t="n">
        <f aca="false">IF($AK94=0,"",INDEX('Part types'!$P:$P,$AK94))</f>
        <v>25</v>
      </c>
      <c r="H94" s="10" t="n">
        <f aca="false">IF($AK94=0,"",INDEX('Part types'!$Q:$Q,$AK94))</f>
        <v>15</v>
      </c>
      <c r="I94" s="10" t="n">
        <f aca="false">IF($AK94=0,"",INDEX('Part types'!$R:$R,$AK94))</f>
        <v>10</v>
      </c>
      <c r="J94" s="10" t="n">
        <f aca="false">IF($AK94=0,"",INDEX('Part types'!$S:$S,$AK94))</f>
        <v>0.9</v>
      </c>
      <c r="K94" s="11" t="s">
        <v>521</v>
      </c>
      <c r="L94" s="11" t="s">
        <v>581</v>
      </c>
      <c r="M94" s="11" t="str">
        <f aca="false">L94&amp;" - "&amp;N94</f>
        <v>حزام خزان الوقود - يمين</v>
      </c>
      <c r="N94" s="11" t="s">
        <v>226</v>
      </c>
      <c r="O94" s="11" t="s">
        <v>523</v>
      </c>
      <c r="P94" s="10" t="n">
        <f aca="false">G94</f>
        <v>25</v>
      </c>
      <c r="Q94" s="10" t="n">
        <f aca="false">H94</f>
        <v>15</v>
      </c>
      <c r="R94" s="10" t="n">
        <f aca="false">I94</f>
        <v>10</v>
      </c>
      <c r="S94" s="10" t="n">
        <f aca="false">J94</f>
        <v>0.9</v>
      </c>
      <c r="T94" s="12" t="s">
        <v>524</v>
      </c>
      <c r="U94" s="12" t="s">
        <v>582</v>
      </c>
      <c r="V94" s="9" t="str">
        <f aca="false">U94&amp;" - "&amp;W94</f>
        <v>油箱固定带 - 右侧</v>
      </c>
      <c r="W94" s="12" t="s">
        <v>227</v>
      </c>
      <c r="X94" s="12" t="s">
        <v>526</v>
      </c>
      <c r="Y94" s="10" t="n">
        <f aca="false">G94</f>
        <v>25</v>
      </c>
      <c r="Z94" s="10" t="n">
        <f aca="false">H94</f>
        <v>15</v>
      </c>
      <c r="AA94" s="10" t="n">
        <f aca="false">I94</f>
        <v>10</v>
      </c>
      <c r="AB94" s="10" t="n">
        <f aca="false">J94</f>
        <v>0.9</v>
      </c>
      <c r="AC94" s="9" t="s">
        <v>527</v>
      </c>
      <c r="AD94" s="9" t="s">
        <v>583</v>
      </c>
      <c r="AE94" s="9" t="str">
        <f aca="false">IF($AK94=0,"",INDEX('Part types'!$T:$T,$AK94)&amp;"")</f>
        <v>Combustion engine (petrol, diesel, hybrid, range extender)</v>
      </c>
      <c r="AF94" s="9" t="str">
        <f aca="false">IF($AK94=0,"",INDEX('Part types'!$U:$U,$AK94)&amp;"")</f>
        <v/>
      </c>
      <c r="AG94" s="9" t="str">
        <f aca="false">IF($AK94=0,"",INDEX('Part types'!$V:$V,$AK94)&amp;"")</f>
        <v>Estimate: size class M</v>
      </c>
      <c r="AH94" s="9" t="str">
        <f aca="false">IF($AK94=0,"",INDEX('Part types'!$W:$W,$AK94)&amp;"")</f>
        <v/>
      </c>
      <c r="AI94" s="11" t="str">
        <f aca="false">IF($AK94=0,"",INDEX('Part types'!$X:$X,$AK94)&amp;"")</f>
        <v/>
      </c>
      <c r="AJ94" s="9" t="str">
        <f aca="false">IF($AK94=0,"",INDEX('Part types'!$Y:$Y,$AK94)&amp;"")</f>
        <v/>
      </c>
      <c r="AK94" s="9" t="n">
        <f aca="false">IFERROR(MATCH($AD94,'Part types'!$E:$E,0),0)</f>
        <v>89</v>
      </c>
    </row>
    <row r="95" customFormat="false" ht="15" hidden="false" customHeight="false" outlineLevel="0" collapsed="false">
      <c r="A95" s="9" t="s">
        <v>585</v>
      </c>
      <c r="B95" s="9" t="s">
        <v>518</v>
      </c>
      <c r="C95" s="9" t="s">
        <v>586</v>
      </c>
      <c r="D95" s="9" t="str">
        <f aca="false">C95&amp;" - "&amp;E95</f>
        <v>Fuel Level Sender - Universal</v>
      </c>
      <c r="E95" s="9" t="s">
        <v>68</v>
      </c>
      <c r="F95" s="9" t="s">
        <v>520</v>
      </c>
      <c r="G95" s="10" t="n">
        <f aca="false">IF($AK95=0,"",INDEX('Part types'!$P:$P,$AK95))</f>
        <v>15</v>
      </c>
      <c r="H95" s="10" t="n">
        <f aca="false">IF($AK95=0,"",INDEX('Part types'!$Q:$Q,$AK95))</f>
        <v>10</v>
      </c>
      <c r="I95" s="10" t="n">
        <f aca="false">IF($AK95=0,"",INDEX('Part types'!$R:$R,$AK95))</f>
        <v>8</v>
      </c>
      <c r="J95" s="10" t="n">
        <f aca="false">IF($AK95=0,"",INDEX('Part types'!$S:$S,$AK95))</f>
        <v>0.3</v>
      </c>
      <c r="K95" s="11" t="s">
        <v>521</v>
      </c>
      <c r="L95" s="11" t="s">
        <v>587</v>
      </c>
      <c r="M95" s="11" t="str">
        <f aca="false">L95&amp;" - "&amp;N95</f>
        <v>عوامة مستوى الوقود - عام</v>
      </c>
      <c r="N95" s="11" t="s">
        <v>72</v>
      </c>
      <c r="O95" s="11" t="s">
        <v>523</v>
      </c>
      <c r="P95" s="10" t="n">
        <f aca="false">G95</f>
        <v>15</v>
      </c>
      <c r="Q95" s="10" t="n">
        <f aca="false">H95</f>
        <v>10</v>
      </c>
      <c r="R95" s="10" t="n">
        <f aca="false">I95</f>
        <v>8</v>
      </c>
      <c r="S95" s="10" t="n">
        <f aca="false">J95</f>
        <v>0.3</v>
      </c>
      <c r="T95" s="12" t="s">
        <v>524</v>
      </c>
      <c r="U95" s="12" t="s">
        <v>588</v>
      </c>
      <c r="V95" s="9" t="str">
        <f aca="false">U95&amp;" - "&amp;W95</f>
        <v>燃油液位传感器 - 通用</v>
      </c>
      <c r="W95" s="12" t="s">
        <v>76</v>
      </c>
      <c r="X95" s="12" t="s">
        <v>526</v>
      </c>
      <c r="Y95" s="10" t="n">
        <f aca="false">G95</f>
        <v>15</v>
      </c>
      <c r="Z95" s="10" t="n">
        <f aca="false">H95</f>
        <v>10</v>
      </c>
      <c r="AA95" s="10" t="n">
        <f aca="false">I95</f>
        <v>8</v>
      </c>
      <c r="AB95" s="10" t="n">
        <f aca="false">J95</f>
        <v>0.3</v>
      </c>
      <c r="AC95" s="9" t="s">
        <v>527</v>
      </c>
      <c r="AD95" s="9" t="s">
        <v>589</v>
      </c>
      <c r="AE95" s="9" t="str">
        <f aca="false">IF($AK95=0,"",INDEX('Part types'!$T:$T,$AK95)&amp;"")</f>
        <v>Combustion engine (petrol, diesel, hybrid, range extender)</v>
      </c>
      <c r="AF95" s="9" t="str">
        <f aca="false">IF($AK95=0,"",INDEX('Part types'!$U:$U,$AK95)&amp;"")</f>
        <v/>
      </c>
      <c r="AG95" s="9" t="str">
        <f aca="false">IF($AK95=0,"",INDEX('Part types'!$V:$V,$AK95)&amp;"")</f>
        <v>Estimate: size class S</v>
      </c>
      <c r="AH95" s="9" t="str">
        <f aca="false">IF($AK95=0,"",INDEX('Part types'!$W:$W,$AK95)&amp;"")</f>
        <v/>
      </c>
      <c r="AI95" s="11" t="str">
        <f aca="false">IF($AK95=0,"",INDEX('Part types'!$X:$X,$AK95)&amp;"")</f>
        <v/>
      </c>
      <c r="AJ95" s="9" t="str">
        <f aca="false">IF($AK95=0,"",INDEX('Part types'!$Y:$Y,$AK95)&amp;"")</f>
        <v/>
      </c>
      <c r="AK95" s="9" t="n">
        <f aca="false">IFERROR(MATCH($AD95,'Part types'!$E:$E,0),0)</f>
        <v>90</v>
      </c>
    </row>
    <row r="96" customFormat="false" ht="15" hidden="false" customHeight="false" outlineLevel="0" collapsed="false">
      <c r="A96" s="9" t="s">
        <v>590</v>
      </c>
      <c r="B96" s="9" t="s">
        <v>518</v>
      </c>
      <c r="C96" s="9" t="s">
        <v>591</v>
      </c>
      <c r="D96" s="9" t="str">
        <f aca="false">C96&amp;" - "&amp;E96</f>
        <v>Fuel Line - Universal</v>
      </c>
      <c r="E96" s="9" t="s">
        <v>68</v>
      </c>
      <c r="F96" s="9" t="s">
        <v>561</v>
      </c>
      <c r="G96" s="10" t="n">
        <f aca="false">IF($AK96=0,"",INDEX('Part types'!$P:$P,$AK96))</f>
        <v>25</v>
      </c>
      <c r="H96" s="10" t="n">
        <f aca="false">IF($AK96=0,"",INDEX('Part types'!$Q:$Q,$AK96))</f>
        <v>15</v>
      </c>
      <c r="I96" s="10" t="n">
        <f aca="false">IF($AK96=0,"",INDEX('Part types'!$R:$R,$AK96))</f>
        <v>10</v>
      </c>
      <c r="J96" s="10" t="n">
        <f aca="false">IF($AK96=0,"",INDEX('Part types'!$S:$S,$AK96))</f>
        <v>0.9</v>
      </c>
      <c r="K96" s="11" t="s">
        <v>521</v>
      </c>
      <c r="L96" s="11" t="s">
        <v>592</v>
      </c>
      <c r="M96" s="11" t="str">
        <f aca="false">L96&amp;" - "&amp;N96</f>
        <v>ماسورة الوقود - عام</v>
      </c>
      <c r="N96" s="11" t="s">
        <v>72</v>
      </c>
      <c r="O96" s="11" t="s">
        <v>563</v>
      </c>
      <c r="P96" s="10" t="n">
        <f aca="false">G96</f>
        <v>25</v>
      </c>
      <c r="Q96" s="10" t="n">
        <f aca="false">H96</f>
        <v>15</v>
      </c>
      <c r="R96" s="10" t="n">
        <f aca="false">I96</f>
        <v>10</v>
      </c>
      <c r="S96" s="10" t="n">
        <f aca="false">J96</f>
        <v>0.9</v>
      </c>
      <c r="T96" s="12" t="s">
        <v>524</v>
      </c>
      <c r="U96" s="12" t="s">
        <v>593</v>
      </c>
      <c r="V96" s="9" t="str">
        <f aca="false">U96&amp;" - "&amp;W96</f>
        <v>燃油管 - 通用</v>
      </c>
      <c r="W96" s="12" t="s">
        <v>76</v>
      </c>
      <c r="X96" s="12" t="s">
        <v>565</v>
      </c>
      <c r="Y96" s="10" t="n">
        <f aca="false">G96</f>
        <v>25</v>
      </c>
      <c r="Z96" s="10" t="n">
        <f aca="false">H96</f>
        <v>15</v>
      </c>
      <c r="AA96" s="10" t="n">
        <f aca="false">I96</f>
        <v>10</v>
      </c>
      <c r="AB96" s="10" t="n">
        <f aca="false">J96</f>
        <v>0.9</v>
      </c>
      <c r="AC96" s="9" t="s">
        <v>527</v>
      </c>
      <c r="AD96" s="9" t="s">
        <v>594</v>
      </c>
      <c r="AE96" s="9" t="str">
        <f aca="false">IF($AK96=0,"",INDEX('Part types'!$T:$T,$AK96)&amp;"")</f>
        <v>Combustion engine (petrol, diesel, hybrid, range extender)</v>
      </c>
      <c r="AF96" s="9" t="str">
        <f aca="false">IF($AK96=0,"",INDEX('Part types'!$U:$U,$AK96)&amp;"")</f>
        <v/>
      </c>
      <c r="AG96" s="9" t="str">
        <f aca="false">IF($AK96=0,"",INDEX('Part types'!$V:$V,$AK96)&amp;"")</f>
        <v>Estimate: size class M</v>
      </c>
      <c r="AH96" s="9" t="str">
        <f aca="false">IF($AK96=0,"",INDEX('Part types'!$W:$W,$AK96)&amp;"")</f>
        <v/>
      </c>
      <c r="AI96" s="11" t="str">
        <f aca="false">IF($AK96=0,"",INDEX('Part types'!$X:$X,$AK96)&amp;"")</f>
        <v/>
      </c>
      <c r="AJ96" s="9" t="str">
        <f aca="false">IF($AK96=0,"",INDEX('Part types'!$Y:$Y,$AK96)&amp;"")</f>
        <v/>
      </c>
      <c r="AK96" s="9" t="n">
        <f aca="false">IFERROR(MATCH($AD96,'Part types'!$E:$E,0),0)</f>
        <v>91</v>
      </c>
    </row>
    <row r="97" customFormat="false" ht="15" hidden="false" customHeight="false" outlineLevel="0" collapsed="false">
      <c r="A97" s="9" t="s">
        <v>595</v>
      </c>
      <c r="B97" s="9" t="s">
        <v>518</v>
      </c>
      <c r="C97" s="9" t="s">
        <v>596</v>
      </c>
      <c r="D97" s="9" t="str">
        <f aca="false">C97&amp;" - "&amp;E97</f>
        <v>Fuel Hose - Universal</v>
      </c>
      <c r="E97" s="9" t="s">
        <v>68</v>
      </c>
      <c r="F97" s="9" t="s">
        <v>561</v>
      </c>
      <c r="G97" s="10" t="n">
        <f aca="false">IF($AK97=0,"",INDEX('Part types'!$P:$P,$AK97))</f>
        <v>15</v>
      </c>
      <c r="H97" s="10" t="n">
        <f aca="false">IF($AK97=0,"",INDEX('Part types'!$Q:$Q,$AK97))</f>
        <v>10</v>
      </c>
      <c r="I97" s="10" t="n">
        <f aca="false">IF($AK97=0,"",INDEX('Part types'!$R:$R,$AK97))</f>
        <v>8</v>
      </c>
      <c r="J97" s="10" t="n">
        <f aca="false">IF($AK97=0,"",INDEX('Part types'!$S:$S,$AK97))</f>
        <v>0.3</v>
      </c>
      <c r="K97" s="11" t="s">
        <v>521</v>
      </c>
      <c r="L97" s="11" t="s">
        <v>597</v>
      </c>
      <c r="M97" s="11" t="str">
        <f aca="false">L97&amp;" - "&amp;N97</f>
        <v>خرطوم الوقود - عام</v>
      </c>
      <c r="N97" s="11" t="s">
        <v>72</v>
      </c>
      <c r="O97" s="11" t="s">
        <v>563</v>
      </c>
      <c r="P97" s="10" t="n">
        <f aca="false">G97</f>
        <v>15</v>
      </c>
      <c r="Q97" s="10" t="n">
        <f aca="false">H97</f>
        <v>10</v>
      </c>
      <c r="R97" s="10" t="n">
        <f aca="false">I97</f>
        <v>8</v>
      </c>
      <c r="S97" s="10" t="n">
        <f aca="false">J97</f>
        <v>0.3</v>
      </c>
      <c r="T97" s="12" t="s">
        <v>524</v>
      </c>
      <c r="U97" s="12" t="s">
        <v>598</v>
      </c>
      <c r="V97" s="9" t="str">
        <f aca="false">U97&amp;" - "&amp;W97</f>
        <v>燃油软管 - 通用</v>
      </c>
      <c r="W97" s="12" t="s">
        <v>76</v>
      </c>
      <c r="X97" s="12" t="s">
        <v>565</v>
      </c>
      <c r="Y97" s="10" t="n">
        <f aca="false">G97</f>
        <v>15</v>
      </c>
      <c r="Z97" s="10" t="n">
        <f aca="false">H97</f>
        <v>10</v>
      </c>
      <c r="AA97" s="10" t="n">
        <f aca="false">I97</f>
        <v>8</v>
      </c>
      <c r="AB97" s="10" t="n">
        <f aca="false">J97</f>
        <v>0.3</v>
      </c>
      <c r="AC97" s="9" t="s">
        <v>527</v>
      </c>
      <c r="AD97" s="9" t="s">
        <v>599</v>
      </c>
      <c r="AE97" s="9" t="str">
        <f aca="false">IF($AK97=0,"",INDEX('Part types'!$T:$T,$AK97)&amp;"")</f>
        <v>Combustion engine (petrol, diesel, hybrid, range extender)</v>
      </c>
      <c r="AF97" s="9" t="str">
        <f aca="false">IF($AK97=0,"",INDEX('Part types'!$U:$U,$AK97)&amp;"")</f>
        <v/>
      </c>
      <c r="AG97" s="9" t="str">
        <f aca="false">IF($AK97=0,"",INDEX('Part types'!$V:$V,$AK97)&amp;"")</f>
        <v>Estimate: size class S</v>
      </c>
      <c r="AH97" s="9" t="str">
        <f aca="false">IF($AK97=0,"",INDEX('Part types'!$W:$W,$AK97)&amp;"")</f>
        <v/>
      </c>
      <c r="AI97" s="11" t="str">
        <f aca="false">IF($AK97=0,"",INDEX('Part types'!$X:$X,$AK97)&amp;"")</f>
        <v/>
      </c>
      <c r="AJ97" s="9" t="str">
        <f aca="false">IF($AK97=0,"",INDEX('Part types'!$Y:$Y,$AK97)&amp;"")</f>
        <v/>
      </c>
      <c r="AK97" s="9" t="n">
        <f aca="false">IFERROR(MATCH($AD97,'Part types'!$E:$E,0),0)</f>
        <v>92</v>
      </c>
    </row>
    <row r="98" customFormat="false" ht="15" hidden="false" customHeight="false" outlineLevel="0" collapsed="false">
      <c r="A98" s="9" t="s">
        <v>600</v>
      </c>
      <c r="B98" s="9" t="s">
        <v>518</v>
      </c>
      <c r="C98" s="9" t="s">
        <v>601</v>
      </c>
      <c r="D98" s="9" t="str">
        <f aca="false">C98&amp;" - "&amp;E98</f>
        <v>Fuel Line Connector - Universal</v>
      </c>
      <c r="E98" s="9" t="s">
        <v>68</v>
      </c>
      <c r="F98" s="9" t="s">
        <v>561</v>
      </c>
      <c r="G98" s="10" t="n">
        <f aca="false">IF($AK98=0,"",INDEX('Part types'!$P:$P,$AK98))</f>
        <v>10</v>
      </c>
      <c r="H98" s="10" t="n">
        <f aca="false">IF($AK98=0,"",INDEX('Part types'!$Q:$Q,$AK98))</f>
        <v>8</v>
      </c>
      <c r="I98" s="10" t="n">
        <f aca="false">IF($AK98=0,"",INDEX('Part types'!$R:$R,$AK98))</f>
        <v>6</v>
      </c>
      <c r="J98" s="10" t="n">
        <f aca="false">IF($AK98=0,"",INDEX('Part types'!$S:$S,$AK98))</f>
        <v>0.1</v>
      </c>
      <c r="K98" s="11" t="s">
        <v>521</v>
      </c>
      <c r="L98" s="11" t="s">
        <v>602</v>
      </c>
      <c r="M98" s="11" t="str">
        <f aca="false">L98&amp;" - "&amp;N98</f>
        <v>وصلة سريعة لخط الوقود - عام</v>
      </c>
      <c r="N98" s="11" t="s">
        <v>72</v>
      </c>
      <c r="O98" s="11" t="s">
        <v>563</v>
      </c>
      <c r="P98" s="10" t="n">
        <f aca="false">G98</f>
        <v>10</v>
      </c>
      <c r="Q98" s="10" t="n">
        <f aca="false">H98</f>
        <v>8</v>
      </c>
      <c r="R98" s="10" t="n">
        <f aca="false">I98</f>
        <v>6</v>
      </c>
      <c r="S98" s="10" t="n">
        <f aca="false">J98</f>
        <v>0.1</v>
      </c>
      <c r="T98" s="12" t="s">
        <v>524</v>
      </c>
      <c r="U98" s="12" t="s">
        <v>603</v>
      </c>
      <c r="V98" s="9" t="str">
        <f aca="false">U98&amp;" - "&amp;W98</f>
        <v>燃油管快速接头 - 通用</v>
      </c>
      <c r="W98" s="12" t="s">
        <v>76</v>
      </c>
      <c r="X98" s="12" t="s">
        <v>565</v>
      </c>
      <c r="Y98" s="10" t="n">
        <f aca="false">G98</f>
        <v>10</v>
      </c>
      <c r="Z98" s="10" t="n">
        <f aca="false">H98</f>
        <v>8</v>
      </c>
      <c r="AA98" s="10" t="n">
        <f aca="false">I98</f>
        <v>6</v>
      </c>
      <c r="AB98" s="10" t="n">
        <f aca="false">J98</f>
        <v>0.1</v>
      </c>
      <c r="AC98" s="9" t="s">
        <v>527</v>
      </c>
      <c r="AD98" s="9" t="s">
        <v>604</v>
      </c>
      <c r="AE98" s="9" t="str">
        <f aca="false">IF($AK98=0,"",INDEX('Part types'!$T:$T,$AK98)&amp;"")</f>
        <v>Combustion engine (petrol, diesel, hybrid, range extender)</v>
      </c>
      <c r="AF98" s="9" t="str">
        <f aca="false">IF($AK98=0,"",INDEX('Part types'!$U:$U,$AK98)&amp;"")</f>
        <v/>
      </c>
      <c r="AG98" s="9" t="str">
        <f aca="false">IF($AK98=0,"",INDEX('Part types'!$V:$V,$AK98)&amp;"")</f>
        <v>Estimate: size class XS</v>
      </c>
      <c r="AH98" s="9" t="str">
        <f aca="false">IF($AK98=0,"",INDEX('Part types'!$W:$W,$AK98)&amp;"")</f>
        <v>Fuel Line Quick Connector</v>
      </c>
      <c r="AI98" s="11" t="str">
        <f aca="false">IF($AK98=0,"",INDEX('Part types'!$X:$X,$AK98)&amp;"")</f>
        <v/>
      </c>
      <c r="AJ98" s="9" t="str">
        <f aca="false">IF($AK98=0,"",INDEX('Part types'!$Y:$Y,$AK98)&amp;"")</f>
        <v/>
      </c>
      <c r="AK98" s="9" t="n">
        <f aca="false">IFERROR(MATCH($AD98,'Part types'!$E:$E,0),0)</f>
        <v>93</v>
      </c>
    </row>
    <row r="99" customFormat="false" ht="15" hidden="false" customHeight="false" outlineLevel="0" collapsed="false">
      <c r="A99" s="9" t="s">
        <v>605</v>
      </c>
      <c r="B99" s="9" t="s">
        <v>518</v>
      </c>
      <c r="C99" s="9" t="s">
        <v>606</v>
      </c>
      <c r="D99" s="9" t="str">
        <f aca="false">C99&amp;" - "&amp;E99</f>
        <v>Fuel Vapor Canister - Universal</v>
      </c>
      <c r="E99" s="9" t="s">
        <v>68</v>
      </c>
      <c r="F99" s="9" t="s">
        <v>561</v>
      </c>
      <c r="G99" s="10" t="n">
        <f aca="false">IF($AK99=0,"",INDEX('Part types'!$P:$P,$AK99))</f>
        <v>40</v>
      </c>
      <c r="H99" s="10" t="n">
        <f aca="false">IF($AK99=0,"",INDEX('Part types'!$Q:$Q,$AK99))</f>
        <v>25</v>
      </c>
      <c r="I99" s="10" t="n">
        <f aca="false">IF($AK99=0,"",INDEX('Part types'!$R:$R,$AK99))</f>
        <v>15</v>
      </c>
      <c r="J99" s="10" t="n">
        <f aca="false">IF($AK99=0,"",INDEX('Part types'!$S:$S,$AK99))</f>
        <v>3</v>
      </c>
      <c r="K99" s="11" t="s">
        <v>521</v>
      </c>
      <c r="L99" s="11" t="s">
        <v>607</v>
      </c>
      <c r="M99" s="11" t="str">
        <f aca="false">L99&amp;" - "&amp;N99</f>
        <v>علبة بخار الوقود - عام</v>
      </c>
      <c r="N99" s="11" t="s">
        <v>72</v>
      </c>
      <c r="O99" s="11" t="s">
        <v>563</v>
      </c>
      <c r="P99" s="10" t="n">
        <f aca="false">G99</f>
        <v>40</v>
      </c>
      <c r="Q99" s="10" t="n">
        <f aca="false">H99</f>
        <v>25</v>
      </c>
      <c r="R99" s="10" t="n">
        <f aca="false">I99</f>
        <v>15</v>
      </c>
      <c r="S99" s="10" t="n">
        <f aca="false">J99</f>
        <v>3</v>
      </c>
      <c r="T99" s="12" t="s">
        <v>524</v>
      </c>
      <c r="U99" s="12" t="s">
        <v>608</v>
      </c>
      <c r="V99" s="9" t="str">
        <f aca="false">U99&amp;" - "&amp;W99</f>
        <v>活性炭罐 - 通用</v>
      </c>
      <c r="W99" s="12" t="s">
        <v>76</v>
      </c>
      <c r="X99" s="12" t="s">
        <v>565</v>
      </c>
      <c r="Y99" s="10" t="n">
        <f aca="false">G99</f>
        <v>40</v>
      </c>
      <c r="Z99" s="10" t="n">
        <f aca="false">H99</f>
        <v>25</v>
      </c>
      <c r="AA99" s="10" t="n">
        <f aca="false">I99</f>
        <v>15</v>
      </c>
      <c r="AB99" s="10" t="n">
        <f aca="false">J99</f>
        <v>3</v>
      </c>
      <c r="AC99" s="9" t="s">
        <v>527</v>
      </c>
      <c r="AD99" s="9" t="s">
        <v>609</v>
      </c>
      <c r="AE99" s="9" t="str">
        <f aca="false">IF($AK99=0,"",INDEX('Part types'!$T:$T,$AK99)&amp;"")</f>
        <v>Combustion engine (petrol, diesel, hybrid, range extender)</v>
      </c>
      <c r="AF99" s="9" t="str">
        <f aca="false">IF($AK99=0,"",INDEX('Part types'!$U:$U,$AK99)&amp;"")</f>
        <v/>
      </c>
      <c r="AG99" s="9" t="str">
        <f aca="false">IF($AK99=0,"",INDEX('Part types'!$V:$V,$AK99)&amp;"")</f>
        <v>Estimate: size class L</v>
      </c>
      <c r="AH99" s="9" t="str">
        <f aca="false">IF($AK99=0,"",INDEX('Part types'!$W:$W,$AK99)&amp;"")</f>
        <v/>
      </c>
      <c r="AI99" s="11" t="str">
        <f aca="false">IF($AK99=0,"",INDEX('Part types'!$X:$X,$AK99)&amp;"")</f>
        <v>كانستر</v>
      </c>
      <c r="AJ99" s="9" t="str">
        <f aca="false">IF($AK99=0,"",INDEX('Part types'!$Y:$Y,$AK99)&amp;"")</f>
        <v/>
      </c>
      <c r="AK99" s="9" t="n">
        <f aca="false">IFERROR(MATCH($AD99,'Part types'!$E:$E,0),0)</f>
        <v>94</v>
      </c>
    </row>
    <row r="100" customFormat="false" ht="15" hidden="false" customHeight="false" outlineLevel="0" collapsed="false">
      <c r="A100" s="9" t="s">
        <v>610</v>
      </c>
      <c r="B100" s="9" t="s">
        <v>518</v>
      </c>
      <c r="C100" s="9" t="s">
        <v>611</v>
      </c>
      <c r="D100" s="9" t="str">
        <f aca="false">C100&amp;" - "&amp;E100</f>
        <v>Canister Purge Valve - Universal</v>
      </c>
      <c r="E100" s="9" t="s">
        <v>68</v>
      </c>
      <c r="F100" s="9" t="s">
        <v>561</v>
      </c>
      <c r="G100" s="10" t="n">
        <f aca="false">IF($AK100=0,"",INDEX('Part types'!$P:$P,$AK100))</f>
        <v>10</v>
      </c>
      <c r="H100" s="10" t="n">
        <f aca="false">IF($AK100=0,"",INDEX('Part types'!$Q:$Q,$AK100))</f>
        <v>8</v>
      </c>
      <c r="I100" s="10" t="n">
        <f aca="false">IF($AK100=0,"",INDEX('Part types'!$R:$R,$AK100))</f>
        <v>6</v>
      </c>
      <c r="J100" s="10" t="n">
        <f aca="false">IF($AK100=0,"",INDEX('Part types'!$S:$S,$AK100))</f>
        <v>0.1</v>
      </c>
      <c r="K100" s="11" t="s">
        <v>521</v>
      </c>
      <c r="L100" s="11" t="s">
        <v>612</v>
      </c>
      <c r="M100" s="11" t="str">
        <f aca="false">L100&amp;" - "&amp;N100</f>
        <v>صمام تنقية الكانستر - عام</v>
      </c>
      <c r="N100" s="11" t="s">
        <v>72</v>
      </c>
      <c r="O100" s="11" t="s">
        <v>563</v>
      </c>
      <c r="P100" s="10" t="n">
        <f aca="false">G100</f>
        <v>10</v>
      </c>
      <c r="Q100" s="10" t="n">
        <f aca="false">H100</f>
        <v>8</v>
      </c>
      <c r="R100" s="10" t="n">
        <f aca="false">I100</f>
        <v>6</v>
      </c>
      <c r="S100" s="10" t="n">
        <f aca="false">J100</f>
        <v>0.1</v>
      </c>
      <c r="T100" s="12" t="s">
        <v>524</v>
      </c>
      <c r="U100" s="12" t="s">
        <v>613</v>
      </c>
      <c r="V100" s="9" t="str">
        <f aca="false">U100&amp;" - "&amp;W100</f>
        <v>炭罐电磁阀 - 通用</v>
      </c>
      <c r="W100" s="12" t="s">
        <v>76</v>
      </c>
      <c r="X100" s="12" t="s">
        <v>565</v>
      </c>
      <c r="Y100" s="10" t="n">
        <f aca="false">G100</f>
        <v>10</v>
      </c>
      <c r="Z100" s="10" t="n">
        <f aca="false">H100</f>
        <v>8</v>
      </c>
      <c r="AA100" s="10" t="n">
        <f aca="false">I100</f>
        <v>6</v>
      </c>
      <c r="AB100" s="10" t="n">
        <f aca="false">J100</f>
        <v>0.1</v>
      </c>
      <c r="AC100" s="9" t="s">
        <v>527</v>
      </c>
      <c r="AD100" s="9" t="s">
        <v>614</v>
      </c>
      <c r="AE100" s="9" t="str">
        <f aca="false">IF($AK100=0,"",INDEX('Part types'!$T:$T,$AK100)&amp;"")</f>
        <v>Combustion engine (petrol, diesel, hybrid, range extender)</v>
      </c>
      <c r="AF100" s="9" t="str">
        <f aca="false">IF($AK100=0,"",INDEX('Part types'!$U:$U,$AK100)&amp;"")</f>
        <v/>
      </c>
      <c r="AG100" s="9" t="str">
        <f aca="false">IF($AK100=0,"",INDEX('Part types'!$V:$V,$AK100)&amp;"")</f>
        <v>Estimate: size class XS</v>
      </c>
      <c r="AH100" s="9" t="str">
        <f aca="false">IF($AK100=0,"",INDEX('Part types'!$W:$W,$AK100)&amp;"")</f>
        <v/>
      </c>
      <c r="AI100" s="11" t="str">
        <f aca="false">IF($AK100=0,"",INDEX('Part types'!$X:$X,$AK100)&amp;"")</f>
        <v/>
      </c>
      <c r="AJ100" s="9" t="str">
        <f aca="false">IF($AK100=0,"",INDEX('Part types'!$Y:$Y,$AK100)&amp;"")</f>
        <v/>
      </c>
      <c r="AK100" s="9" t="n">
        <f aca="false">IFERROR(MATCH($AD100,'Part types'!$E:$E,0),0)</f>
        <v>95</v>
      </c>
    </row>
    <row r="101" customFormat="false" ht="15" hidden="false" customHeight="false" outlineLevel="0" collapsed="false">
      <c r="A101" s="9" t="s">
        <v>615</v>
      </c>
      <c r="B101" s="9" t="s">
        <v>518</v>
      </c>
      <c r="C101" s="9" t="s">
        <v>616</v>
      </c>
      <c r="D101" s="9" t="str">
        <f aca="false">C101&amp;" - "&amp;E101</f>
        <v>Diesel Injection Pump - Universal</v>
      </c>
      <c r="E101" s="9" t="s">
        <v>68</v>
      </c>
      <c r="F101" s="9" t="s">
        <v>369</v>
      </c>
      <c r="G101" s="10" t="n">
        <f aca="false">IF($AK101=0,"",INDEX('Part types'!$P:$P,$AK101))</f>
        <v>40</v>
      </c>
      <c r="H101" s="10" t="n">
        <f aca="false">IF($AK101=0,"",INDEX('Part types'!$Q:$Q,$AK101))</f>
        <v>25</v>
      </c>
      <c r="I101" s="10" t="n">
        <f aca="false">IF($AK101=0,"",INDEX('Part types'!$R:$R,$AK101))</f>
        <v>15</v>
      </c>
      <c r="J101" s="10" t="n">
        <f aca="false">IF($AK101=0,"",INDEX('Part types'!$S:$S,$AK101))</f>
        <v>3</v>
      </c>
      <c r="K101" s="11" t="s">
        <v>521</v>
      </c>
      <c r="L101" s="11" t="s">
        <v>617</v>
      </c>
      <c r="M101" s="11" t="str">
        <f aca="false">L101&amp;" - "&amp;N101</f>
        <v>مضخة حقن الديزل - عام</v>
      </c>
      <c r="N101" s="11" t="s">
        <v>72</v>
      </c>
      <c r="O101" s="11" t="s">
        <v>371</v>
      </c>
      <c r="P101" s="10" t="n">
        <f aca="false">G101</f>
        <v>40</v>
      </c>
      <c r="Q101" s="10" t="n">
        <f aca="false">H101</f>
        <v>25</v>
      </c>
      <c r="R101" s="10" t="n">
        <f aca="false">I101</f>
        <v>15</v>
      </c>
      <c r="S101" s="10" t="n">
        <f aca="false">J101</f>
        <v>3</v>
      </c>
      <c r="T101" s="12" t="s">
        <v>524</v>
      </c>
      <c r="U101" s="12" t="s">
        <v>618</v>
      </c>
      <c r="V101" s="9" t="str">
        <f aca="false">U101&amp;" - "&amp;W101</f>
        <v>柴油喷射泵 - 通用</v>
      </c>
      <c r="W101" s="12" t="s">
        <v>76</v>
      </c>
      <c r="X101" s="12" t="s">
        <v>373</v>
      </c>
      <c r="Y101" s="10" t="n">
        <f aca="false">G101</f>
        <v>40</v>
      </c>
      <c r="Z101" s="10" t="n">
        <f aca="false">H101</f>
        <v>25</v>
      </c>
      <c r="AA101" s="10" t="n">
        <f aca="false">I101</f>
        <v>15</v>
      </c>
      <c r="AB101" s="10" t="n">
        <f aca="false">J101</f>
        <v>3</v>
      </c>
      <c r="AC101" s="9" t="s">
        <v>527</v>
      </c>
      <c r="AD101" s="9" t="s">
        <v>619</v>
      </c>
      <c r="AE101" s="9" t="str">
        <f aca="false">IF($AK101=0,"",INDEX('Part types'!$T:$T,$AK101)&amp;"")</f>
        <v>Combustion engine (petrol, diesel, hybrid, range extender)</v>
      </c>
      <c r="AF101" s="9" t="str">
        <f aca="false">IF($AK101=0,"",INDEX('Part types'!$U:$U,$AK101)&amp;"")</f>
        <v/>
      </c>
      <c r="AG101" s="9" t="str">
        <f aca="false">IF($AK101=0,"",INDEX('Part types'!$V:$V,$AK101)&amp;"")</f>
        <v>Estimate: size class L</v>
      </c>
      <c r="AH101" s="9" t="str">
        <f aca="false">IF($AK101=0,"",INDEX('Part types'!$W:$W,$AK101)&amp;"")</f>
        <v/>
      </c>
      <c r="AI101" s="11" t="str">
        <f aca="false">IF($AK101=0,"",INDEX('Part types'!$X:$X,$AK101)&amp;"")</f>
        <v/>
      </c>
      <c r="AJ101" s="9" t="str">
        <f aca="false">IF($AK101=0,"",INDEX('Part types'!$Y:$Y,$AK101)&amp;"")</f>
        <v/>
      </c>
      <c r="AK101" s="9" t="n">
        <f aca="false">IFERROR(MATCH($AD101,'Part types'!$E:$E,0),0)</f>
        <v>96</v>
      </c>
    </row>
    <row r="102" customFormat="false" ht="15" hidden="false" customHeight="false" outlineLevel="0" collapsed="false">
      <c r="A102" s="9" t="s">
        <v>620</v>
      </c>
      <c r="B102" s="9" t="s">
        <v>518</v>
      </c>
      <c r="C102" s="9" t="s">
        <v>621</v>
      </c>
      <c r="D102" s="9" t="str">
        <f aca="false">C102&amp;" - "&amp;E102</f>
        <v>Diesel Glow Plug - Universal</v>
      </c>
      <c r="E102" s="9" t="s">
        <v>68</v>
      </c>
      <c r="F102" s="9" t="s">
        <v>94</v>
      </c>
      <c r="G102" s="10" t="n">
        <f aca="false">IF($AK102=0,"",INDEX('Part types'!$P:$P,$AK102))</f>
        <v>10</v>
      </c>
      <c r="H102" s="10" t="n">
        <f aca="false">IF($AK102=0,"",INDEX('Part types'!$Q:$Q,$AK102))</f>
        <v>8</v>
      </c>
      <c r="I102" s="10" t="n">
        <f aca="false">IF($AK102=0,"",INDEX('Part types'!$R:$R,$AK102))</f>
        <v>6</v>
      </c>
      <c r="J102" s="10" t="n">
        <f aca="false">IF($AK102=0,"",INDEX('Part types'!$S:$S,$AK102))</f>
        <v>0.1</v>
      </c>
      <c r="K102" s="11" t="s">
        <v>521</v>
      </c>
      <c r="L102" s="11" t="s">
        <v>622</v>
      </c>
      <c r="M102" s="11" t="str">
        <f aca="false">L102&amp;" - "&amp;N102</f>
        <v>شمعة تسخين الديزل - عام</v>
      </c>
      <c r="N102" s="11" t="s">
        <v>72</v>
      </c>
      <c r="O102" s="11" t="s">
        <v>95</v>
      </c>
      <c r="P102" s="10" t="n">
        <f aca="false">G102</f>
        <v>10</v>
      </c>
      <c r="Q102" s="10" t="n">
        <f aca="false">H102</f>
        <v>8</v>
      </c>
      <c r="R102" s="10" t="n">
        <f aca="false">I102</f>
        <v>6</v>
      </c>
      <c r="S102" s="10" t="n">
        <f aca="false">J102</f>
        <v>0.1</v>
      </c>
      <c r="T102" s="12" t="s">
        <v>524</v>
      </c>
      <c r="U102" s="12" t="s">
        <v>623</v>
      </c>
      <c r="V102" s="9" t="str">
        <f aca="false">U102&amp;" - "&amp;W102</f>
        <v>柴油预热塞 - 通用</v>
      </c>
      <c r="W102" s="12" t="s">
        <v>76</v>
      </c>
      <c r="X102" s="12" t="s">
        <v>96</v>
      </c>
      <c r="Y102" s="10" t="n">
        <f aca="false">G102</f>
        <v>10</v>
      </c>
      <c r="Z102" s="10" t="n">
        <f aca="false">H102</f>
        <v>8</v>
      </c>
      <c r="AA102" s="10" t="n">
        <f aca="false">I102</f>
        <v>6</v>
      </c>
      <c r="AB102" s="10" t="n">
        <f aca="false">J102</f>
        <v>0.1</v>
      </c>
      <c r="AC102" s="9" t="s">
        <v>527</v>
      </c>
      <c r="AD102" s="9" t="s">
        <v>624</v>
      </c>
      <c r="AE102" s="9" t="str">
        <f aca="false">IF($AK102=0,"",INDEX('Part types'!$T:$T,$AK102)&amp;"")</f>
        <v>Combustion engine (petrol, diesel, hybrid, range extender)</v>
      </c>
      <c r="AF102" s="9" t="str">
        <f aca="false">IF($AK102=0,"",INDEX('Part types'!$U:$U,$AK102)&amp;"")</f>
        <v/>
      </c>
      <c r="AG102" s="9" t="str">
        <f aca="false">IF($AK102=0,"",INDEX('Part types'!$V:$V,$AK102)&amp;"")</f>
        <v>Estimate: size class XS</v>
      </c>
      <c r="AH102" s="9" t="str">
        <f aca="false">IF($AK102=0,"",INDEX('Part types'!$W:$W,$AK102)&amp;"")</f>
        <v/>
      </c>
      <c r="AI102" s="11" t="str">
        <f aca="false">IF($AK102=0,"",INDEX('Part types'!$X:$X,$AK102)&amp;"")</f>
        <v/>
      </c>
      <c r="AJ102" s="9" t="str">
        <f aca="false">IF($AK102=0,"",INDEX('Part types'!$Y:$Y,$AK102)&amp;"")</f>
        <v/>
      </c>
      <c r="AK102" s="9" t="n">
        <f aca="false">IFERROR(MATCH($AD102,'Part types'!$E:$E,0),0)</f>
        <v>97</v>
      </c>
    </row>
    <row r="103" customFormat="false" ht="15" hidden="false" customHeight="false" outlineLevel="0" collapsed="false">
      <c r="A103" s="9" t="s">
        <v>625</v>
      </c>
      <c r="B103" s="9" t="s">
        <v>518</v>
      </c>
      <c r="C103" s="9" t="s">
        <v>626</v>
      </c>
      <c r="D103" s="9" t="str">
        <f aca="false">C103&amp;" - "&amp;E103</f>
        <v>Carburetor - Universal</v>
      </c>
      <c r="E103" s="9" t="s">
        <v>68</v>
      </c>
      <c r="F103" s="9" t="s">
        <v>403</v>
      </c>
      <c r="G103" s="10" t="n">
        <f aca="false">IF($AK103=0,"",INDEX('Part types'!$P:$P,$AK103))</f>
        <v>30</v>
      </c>
      <c r="H103" s="10" t="n">
        <f aca="false">IF($AK103=0,"",INDEX('Part types'!$Q:$Q,$AK103))</f>
        <v>20</v>
      </c>
      <c r="I103" s="10" t="n">
        <f aca="false">IF($AK103=0,"",INDEX('Part types'!$R:$R,$AK103))</f>
        <v>15</v>
      </c>
      <c r="J103" s="10" t="n">
        <f aca="false">IF($AK103=0,"",INDEX('Part types'!$S:$S,$AK103))</f>
        <v>1.8</v>
      </c>
      <c r="K103" s="11" t="s">
        <v>521</v>
      </c>
      <c r="L103" s="11" t="s">
        <v>627</v>
      </c>
      <c r="M103" s="11" t="str">
        <f aca="false">L103&amp;" - "&amp;N103</f>
        <v>كاربوريتر - عام</v>
      </c>
      <c r="N103" s="11" t="s">
        <v>72</v>
      </c>
      <c r="O103" s="11" t="s">
        <v>406</v>
      </c>
      <c r="P103" s="10" t="n">
        <f aca="false">G103</f>
        <v>30</v>
      </c>
      <c r="Q103" s="10" t="n">
        <f aca="false">H103</f>
        <v>20</v>
      </c>
      <c r="R103" s="10" t="n">
        <f aca="false">I103</f>
        <v>15</v>
      </c>
      <c r="S103" s="10" t="n">
        <f aca="false">J103</f>
        <v>1.8</v>
      </c>
      <c r="T103" s="12" t="s">
        <v>524</v>
      </c>
      <c r="U103" s="12" t="s">
        <v>628</v>
      </c>
      <c r="V103" s="9" t="str">
        <f aca="false">U103&amp;" - "&amp;W103</f>
        <v>化油器 - 通用</v>
      </c>
      <c r="W103" s="12" t="s">
        <v>76</v>
      </c>
      <c r="X103" s="12" t="s">
        <v>409</v>
      </c>
      <c r="Y103" s="10" t="n">
        <f aca="false">G103</f>
        <v>30</v>
      </c>
      <c r="Z103" s="10" t="n">
        <f aca="false">H103</f>
        <v>20</v>
      </c>
      <c r="AA103" s="10" t="n">
        <f aca="false">I103</f>
        <v>15</v>
      </c>
      <c r="AB103" s="10" t="n">
        <f aca="false">J103</f>
        <v>1.8</v>
      </c>
      <c r="AC103" s="9" t="s">
        <v>527</v>
      </c>
      <c r="AD103" s="9" t="s">
        <v>629</v>
      </c>
      <c r="AE103" s="9" t="str">
        <f aca="false">IF($AK103=0,"",INDEX('Part types'!$T:$T,$AK103)&amp;"")</f>
        <v>Combustion engine (petrol, diesel, hybrid, range extender)</v>
      </c>
      <c r="AF103" s="9" t="str">
        <f aca="false">IF($AK103=0,"",INDEX('Part types'!$U:$U,$AK103)&amp;"")</f>
        <v/>
      </c>
      <c r="AG103" s="9" t="str">
        <f aca="false">IF($AK103=0,"",INDEX('Part types'!$V:$V,$AK103)&amp;"")</f>
        <v>Estimate: size class M2</v>
      </c>
      <c r="AH103" s="9" t="str">
        <f aca="false">IF($AK103=0,"",INDEX('Part types'!$W:$W,$AK103)&amp;"")</f>
        <v/>
      </c>
      <c r="AI103" s="11" t="str">
        <f aca="false">IF($AK103=0,"",INDEX('Part types'!$X:$X,$AK103)&amp;"")</f>
        <v/>
      </c>
      <c r="AJ103" s="9" t="str">
        <f aca="false">IF($AK103=0,"",INDEX('Part types'!$Y:$Y,$AK103)&amp;"")</f>
        <v/>
      </c>
      <c r="AK103" s="9" t="n">
        <f aca="false">IFERROR(MATCH($AD103,'Part types'!$E:$E,0),0)</f>
        <v>98</v>
      </c>
    </row>
    <row r="104" customFormat="false" ht="15" hidden="false" customHeight="false" outlineLevel="0" collapsed="false">
      <c r="A104" s="9" t="s">
        <v>630</v>
      </c>
      <c r="B104" s="9" t="s">
        <v>518</v>
      </c>
      <c r="C104" s="9" t="s">
        <v>631</v>
      </c>
      <c r="D104" s="9" t="str">
        <f aca="false">C104&amp;" - "&amp;E104</f>
        <v>Carburetor Rebuild Kit - Universal</v>
      </c>
      <c r="E104" s="9" t="s">
        <v>68</v>
      </c>
      <c r="F104" s="9" t="s">
        <v>403</v>
      </c>
      <c r="G104" s="10" t="n">
        <f aca="false">IF($AK104=0,"",INDEX('Part types'!$P:$P,$AK104))</f>
        <v>15</v>
      </c>
      <c r="H104" s="10" t="n">
        <f aca="false">IF($AK104=0,"",INDEX('Part types'!$Q:$Q,$AK104))</f>
        <v>10</v>
      </c>
      <c r="I104" s="10" t="n">
        <f aca="false">IF($AK104=0,"",INDEX('Part types'!$R:$R,$AK104))</f>
        <v>8</v>
      </c>
      <c r="J104" s="10" t="n">
        <f aca="false">IF($AK104=0,"",INDEX('Part types'!$S:$S,$AK104))</f>
        <v>0.3</v>
      </c>
      <c r="K104" s="11" t="s">
        <v>521</v>
      </c>
      <c r="L104" s="11" t="s">
        <v>632</v>
      </c>
      <c r="M104" s="11" t="str">
        <f aca="false">L104&amp;" - "&amp;N104</f>
        <v>طقم إصلاح الكاربوريتر - عام</v>
      </c>
      <c r="N104" s="11" t="s">
        <v>72</v>
      </c>
      <c r="O104" s="11" t="s">
        <v>406</v>
      </c>
      <c r="P104" s="10" t="n">
        <f aca="false">G104</f>
        <v>15</v>
      </c>
      <c r="Q104" s="10" t="n">
        <f aca="false">H104</f>
        <v>10</v>
      </c>
      <c r="R104" s="10" t="n">
        <f aca="false">I104</f>
        <v>8</v>
      </c>
      <c r="S104" s="10" t="n">
        <f aca="false">J104</f>
        <v>0.3</v>
      </c>
      <c r="T104" s="12" t="s">
        <v>524</v>
      </c>
      <c r="U104" s="12" t="s">
        <v>633</v>
      </c>
      <c r="V104" s="9" t="str">
        <f aca="false">U104&amp;" - "&amp;W104</f>
        <v>化油器修理包 - 通用</v>
      </c>
      <c r="W104" s="12" t="s">
        <v>76</v>
      </c>
      <c r="X104" s="12" t="s">
        <v>409</v>
      </c>
      <c r="Y104" s="10" t="n">
        <f aca="false">G104</f>
        <v>15</v>
      </c>
      <c r="Z104" s="10" t="n">
        <f aca="false">H104</f>
        <v>10</v>
      </c>
      <c r="AA104" s="10" t="n">
        <f aca="false">I104</f>
        <v>8</v>
      </c>
      <c r="AB104" s="10" t="n">
        <f aca="false">J104</f>
        <v>0.3</v>
      </c>
      <c r="AC104" s="9" t="s">
        <v>527</v>
      </c>
      <c r="AD104" s="9" t="s">
        <v>634</v>
      </c>
      <c r="AE104" s="9" t="str">
        <f aca="false">IF($AK104=0,"",INDEX('Part types'!$T:$T,$AK104)&amp;"")</f>
        <v>Combustion engine (petrol, diesel, hybrid, range extender)</v>
      </c>
      <c r="AF104" s="9" t="str">
        <f aca="false">IF($AK104=0,"",INDEX('Part types'!$U:$U,$AK104)&amp;"")</f>
        <v/>
      </c>
      <c r="AG104" s="9" t="str">
        <f aca="false">IF($AK104=0,"",INDEX('Part types'!$V:$V,$AK104)&amp;"")</f>
        <v>Estimate: size class S</v>
      </c>
      <c r="AH104" s="9" t="str">
        <f aca="false">IF($AK104=0,"",INDEX('Part types'!$W:$W,$AK104)&amp;"")</f>
        <v/>
      </c>
      <c r="AI104" s="11" t="str">
        <f aca="false">IF($AK104=0,"",INDEX('Part types'!$X:$X,$AK104)&amp;"")</f>
        <v/>
      </c>
      <c r="AJ104" s="9" t="str">
        <f aca="false">IF($AK104=0,"",INDEX('Part types'!$Y:$Y,$AK104)&amp;"")</f>
        <v/>
      </c>
      <c r="AK104" s="9" t="n">
        <f aca="false">IFERROR(MATCH($AD104,'Part types'!$E:$E,0),0)</f>
        <v>99</v>
      </c>
    </row>
    <row r="105" customFormat="false" ht="15" hidden="false" customHeight="false" outlineLevel="0" collapsed="false">
      <c r="A105" s="9" t="s">
        <v>635</v>
      </c>
      <c r="B105" s="9" t="s">
        <v>636</v>
      </c>
      <c r="C105" s="9" t="s">
        <v>637</v>
      </c>
      <c r="D105" s="9" t="str">
        <f aca="false">C105&amp;" - "&amp;E105</f>
        <v>Exhaust Manifold - Universal</v>
      </c>
      <c r="E105" s="9" t="s">
        <v>68</v>
      </c>
      <c r="F105" s="9" t="s">
        <v>369</v>
      </c>
      <c r="G105" s="10" t="n">
        <f aca="false">IF($AK105=0,"",INDEX('Part types'!$P:$P,$AK105))</f>
        <v>50</v>
      </c>
      <c r="H105" s="10" t="n">
        <f aca="false">IF($AK105=0,"",INDEX('Part types'!$Q:$Q,$AK105))</f>
        <v>30</v>
      </c>
      <c r="I105" s="10" t="n">
        <f aca="false">IF($AK105=0,"",INDEX('Part types'!$R:$R,$AK105))</f>
        <v>20</v>
      </c>
      <c r="J105" s="10" t="n">
        <f aca="false">IF($AK105=0,"",INDEX('Part types'!$S:$S,$AK105))</f>
        <v>5</v>
      </c>
      <c r="K105" s="11" t="s">
        <v>638</v>
      </c>
      <c r="L105" s="11" t="s">
        <v>639</v>
      </c>
      <c r="M105" s="11" t="str">
        <f aca="false">L105&amp;" - "&amp;N105</f>
        <v>مشعب العادم - عام</v>
      </c>
      <c r="N105" s="11" t="s">
        <v>72</v>
      </c>
      <c r="O105" s="11" t="s">
        <v>371</v>
      </c>
      <c r="P105" s="10" t="n">
        <f aca="false">G105</f>
        <v>50</v>
      </c>
      <c r="Q105" s="10" t="n">
        <f aca="false">H105</f>
        <v>30</v>
      </c>
      <c r="R105" s="10" t="n">
        <f aca="false">I105</f>
        <v>20</v>
      </c>
      <c r="S105" s="10" t="n">
        <f aca="false">J105</f>
        <v>5</v>
      </c>
      <c r="T105" s="12" t="s">
        <v>640</v>
      </c>
      <c r="U105" s="12" t="s">
        <v>641</v>
      </c>
      <c r="V105" s="9" t="str">
        <f aca="false">U105&amp;" - "&amp;W105</f>
        <v>排气歧管 - 通用</v>
      </c>
      <c r="W105" s="12" t="s">
        <v>76</v>
      </c>
      <c r="X105" s="12" t="s">
        <v>373</v>
      </c>
      <c r="Y105" s="10" t="n">
        <f aca="false">G105</f>
        <v>50</v>
      </c>
      <c r="Z105" s="10" t="n">
        <f aca="false">H105</f>
        <v>30</v>
      </c>
      <c r="AA105" s="10" t="n">
        <f aca="false">I105</f>
        <v>20</v>
      </c>
      <c r="AB105" s="10" t="n">
        <f aca="false">J105</f>
        <v>5</v>
      </c>
      <c r="AC105" s="9" t="s">
        <v>642</v>
      </c>
      <c r="AD105" s="9" t="s">
        <v>643</v>
      </c>
      <c r="AE105" s="9" t="str">
        <f aca="false">IF($AK105=0,"",INDEX('Part types'!$T:$T,$AK105)&amp;"")</f>
        <v>Combustion engine (petrol, diesel, hybrid, range extender)</v>
      </c>
      <c r="AF105" s="9" t="str">
        <f aca="false">IF($AK105=0,"",INDEX('Part types'!$U:$U,$AK105)&amp;"")</f>
        <v/>
      </c>
      <c r="AG105" s="9" t="str">
        <f aca="false">IF($AK105=0,"",INDEX('Part types'!$V:$V,$AK105)&amp;"")</f>
        <v>Estimate: size class L2</v>
      </c>
      <c r="AH105" s="9" t="str">
        <f aca="false">IF($AK105=0,"",INDEX('Part types'!$W:$W,$AK105)&amp;"")</f>
        <v/>
      </c>
      <c r="AI105" s="11" t="str">
        <f aca="false">IF($AK105=0,"",INDEX('Part types'!$X:$X,$AK105)&amp;"")</f>
        <v/>
      </c>
      <c r="AJ105" s="9" t="str">
        <f aca="false">IF($AK105=0,"",INDEX('Part types'!$Y:$Y,$AK105)&amp;"")</f>
        <v/>
      </c>
      <c r="AK105" s="9" t="n">
        <f aca="false">IFERROR(MATCH($AD105,'Part types'!$E:$E,0),0)</f>
        <v>100</v>
      </c>
    </row>
    <row r="106" customFormat="false" ht="15" hidden="false" customHeight="false" outlineLevel="0" collapsed="false">
      <c r="A106" s="9" t="s">
        <v>644</v>
      </c>
      <c r="B106" s="9" t="s">
        <v>636</v>
      </c>
      <c r="C106" s="9" t="s">
        <v>645</v>
      </c>
      <c r="D106" s="9" t="str">
        <f aca="false">C106&amp;" - "&amp;E106</f>
        <v>Exhaust Manifold Gasket - Universal</v>
      </c>
      <c r="E106" s="9" t="s">
        <v>68</v>
      </c>
      <c r="F106" s="9" t="s">
        <v>369</v>
      </c>
      <c r="G106" s="10" t="n">
        <f aca="false">IF($AK106=0,"",INDEX('Part types'!$P:$P,$AK106))</f>
        <v>15</v>
      </c>
      <c r="H106" s="10" t="n">
        <f aca="false">IF($AK106=0,"",INDEX('Part types'!$Q:$Q,$AK106))</f>
        <v>10</v>
      </c>
      <c r="I106" s="10" t="n">
        <f aca="false">IF($AK106=0,"",INDEX('Part types'!$R:$R,$AK106))</f>
        <v>8</v>
      </c>
      <c r="J106" s="10" t="n">
        <f aca="false">IF($AK106=0,"",INDEX('Part types'!$S:$S,$AK106))</f>
        <v>0.3</v>
      </c>
      <c r="K106" s="11" t="s">
        <v>638</v>
      </c>
      <c r="L106" s="11" t="s">
        <v>646</v>
      </c>
      <c r="M106" s="11" t="str">
        <f aca="false">L106&amp;" - "&amp;N106</f>
        <v>جوان مشعب العادم - عام</v>
      </c>
      <c r="N106" s="11" t="s">
        <v>72</v>
      </c>
      <c r="O106" s="11" t="s">
        <v>371</v>
      </c>
      <c r="P106" s="10" t="n">
        <f aca="false">G106</f>
        <v>15</v>
      </c>
      <c r="Q106" s="10" t="n">
        <f aca="false">H106</f>
        <v>10</v>
      </c>
      <c r="R106" s="10" t="n">
        <f aca="false">I106</f>
        <v>8</v>
      </c>
      <c r="S106" s="10" t="n">
        <f aca="false">J106</f>
        <v>0.3</v>
      </c>
      <c r="T106" s="12" t="s">
        <v>640</v>
      </c>
      <c r="U106" s="12" t="s">
        <v>647</v>
      </c>
      <c r="V106" s="9" t="str">
        <f aca="false">U106&amp;" - "&amp;W106</f>
        <v>排气歧管垫 - 通用</v>
      </c>
      <c r="W106" s="12" t="s">
        <v>76</v>
      </c>
      <c r="X106" s="12" t="s">
        <v>373</v>
      </c>
      <c r="Y106" s="10" t="n">
        <f aca="false">G106</f>
        <v>15</v>
      </c>
      <c r="Z106" s="10" t="n">
        <f aca="false">H106</f>
        <v>10</v>
      </c>
      <c r="AA106" s="10" t="n">
        <f aca="false">I106</f>
        <v>8</v>
      </c>
      <c r="AB106" s="10" t="n">
        <f aca="false">J106</f>
        <v>0.3</v>
      </c>
      <c r="AC106" s="9" t="s">
        <v>642</v>
      </c>
      <c r="AD106" s="9" t="s">
        <v>648</v>
      </c>
      <c r="AE106" s="9" t="str">
        <f aca="false">IF($AK106=0,"",INDEX('Part types'!$T:$T,$AK106)&amp;"")</f>
        <v>Combustion engine (petrol, diesel, hybrid, range extender)</v>
      </c>
      <c r="AF106" s="9" t="str">
        <f aca="false">IF($AK106=0,"",INDEX('Part types'!$U:$U,$AK106)&amp;"")</f>
        <v/>
      </c>
      <c r="AG106" s="9" t="str">
        <f aca="false">IF($AK106=0,"",INDEX('Part types'!$V:$V,$AK106)&amp;"")</f>
        <v>Estimate: size class S</v>
      </c>
      <c r="AH106" s="9" t="str">
        <f aca="false">IF($AK106=0,"",INDEX('Part types'!$W:$W,$AK106)&amp;"")</f>
        <v/>
      </c>
      <c r="AI106" s="11" t="str">
        <f aca="false">IF($AK106=0,"",INDEX('Part types'!$X:$X,$AK106)&amp;"")</f>
        <v/>
      </c>
      <c r="AJ106" s="9" t="str">
        <f aca="false">IF($AK106=0,"",INDEX('Part types'!$Y:$Y,$AK106)&amp;"")</f>
        <v/>
      </c>
      <c r="AK106" s="9" t="n">
        <f aca="false">IFERROR(MATCH($AD106,'Part types'!$E:$E,0),0)</f>
        <v>101</v>
      </c>
    </row>
    <row r="107" customFormat="false" ht="15" hidden="false" customHeight="false" outlineLevel="0" collapsed="false">
      <c r="A107" s="9" t="s">
        <v>649</v>
      </c>
      <c r="B107" s="9" t="s">
        <v>636</v>
      </c>
      <c r="C107" s="9" t="s">
        <v>650</v>
      </c>
      <c r="D107" s="9" t="str">
        <f aca="false">C107&amp;" - "&amp;E107</f>
        <v>Exhaust Downpipe - Universal</v>
      </c>
      <c r="E107" s="9" t="s">
        <v>68</v>
      </c>
      <c r="F107" s="9" t="s">
        <v>651</v>
      </c>
      <c r="G107" s="10" t="n">
        <f aca="false">IF($AK107=0,"",INDEX('Part types'!$P:$P,$AK107))</f>
        <v>60</v>
      </c>
      <c r="H107" s="10" t="n">
        <f aca="false">IF($AK107=0,"",INDEX('Part types'!$Q:$Q,$AK107))</f>
        <v>20</v>
      </c>
      <c r="I107" s="10" t="n">
        <f aca="false">IF($AK107=0,"",INDEX('Part types'!$R:$R,$AK107))</f>
        <v>20</v>
      </c>
      <c r="J107" s="10" t="n">
        <f aca="false">IF($AK107=0,"",INDEX('Part types'!$S:$S,$AK107))</f>
        <v>5</v>
      </c>
      <c r="K107" s="11" t="s">
        <v>638</v>
      </c>
      <c r="L107" s="11" t="s">
        <v>652</v>
      </c>
      <c r="M107" s="11" t="str">
        <f aca="false">L107&amp;" - "&amp;N107</f>
        <v>ماسورة العادم الأولى - عام</v>
      </c>
      <c r="N107" s="11" t="s">
        <v>72</v>
      </c>
      <c r="O107" s="11" t="s">
        <v>653</v>
      </c>
      <c r="P107" s="10" t="n">
        <f aca="false">G107</f>
        <v>60</v>
      </c>
      <c r="Q107" s="10" t="n">
        <f aca="false">H107</f>
        <v>20</v>
      </c>
      <c r="R107" s="10" t="n">
        <f aca="false">I107</f>
        <v>20</v>
      </c>
      <c r="S107" s="10" t="n">
        <f aca="false">J107</f>
        <v>5</v>
      </c>
      <c r="T107" s="12" t="s">
        <v>640</v>
      </c>
      <c r="U107" s="12" t="s">
        <v>654</v>
      </c>
      <c r="V107" s="9" t="str">
        <f aca="false">U107&amp;" - "&amp;W107</f>
        <v>排气下弯管 - 通用</v>
      </c>
      <c r="W107" s="12" t="s">
        <v>76</v>
      </c>
      <c r="X107" s="12" t="s">
        <v>655</v>
      </c>
      <c r="Y107" s="10" t="n">
        <f aca="false">G107</f>
        <v>60</v>
      </c>
      <c r="Z107" s="10" t="n">
        <f aca="false">H107</f>
        <v>20</v>
      </c>
      <c r="AA107" s="10" t="n">
        <f aca="false">I107</f>
        <v>20</v>
      </c>
      <c r="AB107" s="10" t="n">
        <f aca="false">J107</f>
        <v>5</v>
      </c>
      <c r="AC107" s="9" t="s">
        <v>642</v>
      </c>
      <c r="AD107" s="9" t="s">
        <v>656</v>
      </c>
      <c r="AE107" s="9" t="str">
        <f aca="false">IF($AK107=0,"",INDEX('Part types'!$T:$T,$AK107)&amp;"")</f>
        <v>Combustion engine (petrol, diesel, hybrid, range extender)</v>
      </c>
      <c r="AF107" s="9" t="str">
        <f aca="false">IF($AK107=0,"",INDEX('Part types'!$U:$U,$AK107)&amp;"")</f>
        <v/>
      </c>
      <c r="AG107" s="9" t="str">
        <f aca="false">IF($AK107=0,"",INDEX('Part types'!$V:$V,$AK107)&amp;"")</f>
        <v>Estimate: item-specific</v>
      </c>
      <c r="AH107" s="9" t="str">
        <f aca="false">IF($AK107=0,"",INDEX('Part types'!$W:$W,$AK107)&amp;"")</f>
        <v/>
      </c>
      <c r="AI107" s="11" t="str">
        <f aca="false">IF($AK107=0,"",INDEX('Part types'!$X:$X,$AK107)&amp;"")</f>
        <v>داون بايب</v>
      </c>
      <c r="AJ107" s="9" t="str">
        <f aca="false">IF($AK107=0,"",INDEX('Part types'!$Y:$Y,$AK107)&amp;"")</f>
        <v/>
      </c>
      <c r="AK107" s="9" t="n">
        <f aca="false">IFERROR(MATCH($AD107,'Part types'!$E:$E,0),0)</f>
        <v>102</v>
      </c>
    </row>
    <row r="108" customFormat="false" ht="15" hidden="false" customHeight="false" outlineLevel="0" collapsed="false">
      <c r="A108" s="9" t="s">
        <v>657</v>
      </c>
      <c r="B108" s="9" t="s">
        <v>636</v>
      </c>
      <c r="C108" s="9" t="s">
        <v>658</v>
      </c>
      <c r="D108" s="9" t="str">
        <f aca="false">C108&amp;" - "&amp;E108</f>
        <v>Exhaust Intermediate Pipe - Universal</v>
      </c>
      <c r="E108" s="9" t="s">
        <v>68</v>
      </c>
      <c r="F108" s="9" t="s">
        <v>651</v>
      </c>
      <c r="G108" s="10" t="n">
        <f aca="false">IF($AK108=0,"",INDEX('Part types'!$P:$P,$AK108))</f>
        <v>100</v>
      </c>
      <c r="H108" s="10" t="n">
        <f aca="false">IF($AK108=0,"",INDEX('Part types'!$Q:$Q,$AK108))</f>
        <v>15</v>
      </c>
      <c r="I108" s="10" t="n">
        <f aca="false">IF($AK108=0,"",INDEX('Part types'!$R:$R,$AK108))</f>
        <v>15</v>
      </c>
      <c r="J108" s="10" t="n">
        <f aca="false">IF($AK108=0,"",INDEX('Part types'!$S:$S,$AK108))</f>
        <v>6</v>
      </c>
      <c r="K108" s="11" t="s">
        <v>638</v>
      </c>
      <c r="L108" s="11" t="s">
        <v>659</v>
      </c>
      <c r="M108" s="11" t="str">
        <f aca="false">L108&amp;" - "&amp;N108</f>
        <v>ماسورة العادم الوسطى - عام</v>
      </c>
      <c r="N108" s="11" t="s">
        <v>72</v>
      </c>
      <c r="O108" s="11" t="s">
        <v>653</v>
      </c>
      <c r="P108" s="10" t="n">
        <f aca="false">G108</f>
        <v>100</v>
      </c>
      <c r="Q108" s="10" t="n">
        <f aca="false">H108</f>
        <v>15</v>
      </c>
      <c r="R108" s="10" t="n">
        <f aca="false">I108</f>
        <v>15</v>
      </c>
      <c r="S108" s="10" t="n">
        <f aca="false">J108</f>
        <v>6</v>
      </c>
      <c r="T108" s="12" t="s">
        <v>640</v>
      </c>
      <c r="U108" s="12" t="s">
        <v>660</v>
      </c>
      <c r="V108" s="9" t="str">
        <f aca="false">U108&amp;" - "&amp;W108</f>
        <v>排气中段管 - 通用</v>
      </c>
      <c r="W108" s="12" t="s">
        <v>76</v>
      </c>
      <c r="X108" s="12" t="s">
        <v>655</v>
      </c>
      <c r="Y108" s="10" t="n">
        <f aca="false">G108</f>
        <v>100</v>
      </c>
      <c r="Z108" s="10" t="n">
        <f aca="false">H108</f>
        <v>15</v>
      </c>
      <c r="AA108" s="10" t="n">
        <f aca="false">I108</f>
        <v>15</v>
      </c>
      <c r="AB108" s="10" t="n">
        <f aca="false">J108</f>
        <v>6</v>
      </c>
      <c r="AC108" s="9" t="s">
        <v>642</v>
      </c>
      <c r="AD108" s="9" t="s">
        <v>661</v>
      </c>
      <c r="AE108" s="9" t="str">
        <f aca="false">IF($AK108=0,"",INDEX('Part types'!$T:$T,$AK108)&amp;"")</f>
        <v>Combustion engine (petrol, diesel, hybrid, range extender)</v>
      </c>
      <c r="AF108" s="9" t="str">
        <f aca="false">IF($AK108=0,"",INDEX('Part types'!$U:$U,$AK108)&amp;"")</f>
        <v/>
      </c>
      <c r="AG108" s="9" t="str">
        <f aca="false">IF($AK108=0,"",INDEX('Part types'!$V:$V,$AK108)&amp;"")</f>
        <v>Estimate: item-specific</v>
      </c>
      <c r="AH108" s="9" t="str">
        <f aca="false">IF($AK108=0,"",INDEX('Part types'!$W:$W,$AK108)&amp;"")</f>
        <v/>
      </c>
      <c r="AI108" s="11" t="str">
        <f aca="false">IF($AK108=0,"",INDEX('Part types'!$X:$X,$AK108)&amp;"")</f>
        <v/>
      </c>
      <c r="AJ108" s="9" t="str">
        <f aca="false">IF($AK108=0,"",INDEX('Part types'!$Y:$Y,$AK108)&amp;"")</f>
        <v/>
      </c>
      <c r="AK108" s="9" t="n">
        <f aca="false">IFERROR(MATCH($AD108,'Part types'!$E:$E,0),0)</f>
        <v>103</v>
      </c>
    </row>
    <row r="109" customFormat="false" ht="15" hidden="false" customHeight="false" outlineLevel="0" collapsed="false">
      <c r="A109" s="9" t="s">
        <v>662</v>
      </c>
      <c r="B109" s="9" t="s">
        <v>636</v>
      </c>
      <c r="C109" s="9" t="s">
        <v>663</v>
      </c>
      <c r="D109" s="9" t="str">
        <f aca="false">C109&amp;" - "&amp;E109</f>
        <v>Exhaust Tailpipe - Universal</v>
      </c>
      <c r="E109" s="9" t="s">
        <v>68</v>
      </c>
      <c r="F109" s="9" t="s">
        <v>651</v>
      </c>
      <c r="G109" s="10" t="n">
        <f aca="false">IF($AK109=0,"",INDEX('Part types'!$P:$P,$AK109))</f>
        <v>70</v>
      </c>
      <c r="H109" s="10" t="n">
        <f aca="false">IF($AK109=0,"",INDEX('Part types'!$Q:$Q,$AK109))</f>
        <v>15</v>
      </c>
      <c r="I109" s="10" t="n">
        <f aca="false">IF($AK109=0,"",INDEX('Part types'!$R:$R,$AK109))</f>
        <v>15</v>
      </c>
      <c r="J109" s="10" t="n">
        <f aca="false">IF($AK109=0,"",INDEX('Part types'!$S:$S,$AK109))</f>
        <v>3.5</v>
      </c>
      <c r="K109" s="11" t="s">
        <v>638</v>
      </c>
      <c r="L109" s="11" t="s">
        <v>664</v>
      </c>
      <c r="M109" s="11" t="str">
        <f aca="false">L109&amp;" - "&amp;N109</f>
        <v>ماسورة العادم الأخيرة - عام</v>
      </c>
      <c r="N109" s="11" t="s">
        <v>72</v>
      </c>
      <c r="O109" s="11" t="s">
        <v>653</v>
      </c>
      <c r="P109" s="10" t="n">
        <f aca="false">G109</f>
        <v>70</v>
      </c>
      <c r="Q109" s="10" t="n">
        <f aca="false">H109</f>
        <v>15</v>
      </c>
      <c r="R109" s="10" t="n">
        <f aca="false">I109</f>
        <v>15</v>
      </c>
      <c r="S109" s="10" t="n">
        <f aca="false">J109</f>
        <v>3.5</v>
      </c>
      <c r="T109" s="12" t="s">
        <v>640</v>
      </c>
      <c r="U109" s="12" t="s">
        <v>665</v>
      </c>
      <c r="V109" s="9" t="str">
        <f aca="false">U109&amp;" - "&amp;W109</f>
        <v>排气尾管 - 通用</v>
      </c>
      <c r="W109" s="12" t="s">
        <v>76</v>
      </c>
      <c r="X109" s="12" t="s">
        <v>655</v>
      </c>
      <c r="Y109" s="10" t="n">
        <f aca="false">G109</f>
        <v>70</v>
      </c>
      <c r="Z109" s="10" t="n">
        <f aca="false">H109</f>
        <v>15</v>
      </c>
      <c r="AA109" s="10" t="n">
        <f aca="false">I109</f>
        <v>15</v>
      </c>
      <c r="AB109" s="10" t="n">
        <f aca="false">J109</f>
        <v>3.5</v>
      </c>
      <c r="AC109" s="9" t="s">
        <v>642</v>
      </c>
      <c r="AD109" s="9" t="s">
        <v>666</v>
      </c>
      <c r="AE109" s="9" t="str">
        <f aca="false">IF($AK109=0,"",INDEX('Part types'!$T:$T,$AK109)&amp;"")</f>
        <v>Combustion engine (petrol, diesel, hybrid, range extender)</v>
      </c>
      <c r="AF109" s="9" t="str">
        <f aca="false">IF($AK109=0,"",INDEX('Part types'!$U:$U,$AK109)&amp;"")</f>
        <v/>
      </c>
      <c r="AG109" s="9" t="str">
        <f aca="false">IF($AK109=0,"",INDEX('Part types'!$V:$V,$AK109)&amp;"")</f>
        <v>Estimate: item-specific</v>
      </c>
      <c r="AH109" s="9" t="str">
        <f aca="false">IF($AK109=0,"",INDEX('Part types'!$W:$W,$AK109)&amp;"")</f>
        <v/>
      </c>
      <c r="AI109" s="11" t="str">
        <f aca="false">IF($AK109=0,"",INDEX('Part types'!$X:$X,$AK109)&amp;"")</f>
        <v/>
      </c>
      <c r="AJ109" s="9" t="str">
        <f aca="false">IF($AK109=0,"",INDEX('Part types'!$Y:$Y,$AK109)&amp;"")</f>
        <v/>
      </c>
      <c r="AK109" s="9" t="n">
        <f aca="false">IFERROR(MATCH($AD109,'Part types'!$E:$E,0),0)</f>
        <v>104</v>
      </c>
    </row>
    <row r="110" customFormat="false" ht="15" hidden="false" customHeight="false" outlineLevel="0" collapsed="false">
      <c r="A110" s="9" t="s">
        <v>667</v>
      </c>
      <c r="B110" s="9" t="s">
        <v>636</v>
      </c>
      <c r="C110" s="9" t="s">
        <v>668</v>
      </c>
      <c r="D110" s="9" t="str">
        <f aca="false">C110&amp;" - "&amp;E110</f>
        <v>Exhaust Flex Pipe - Universal</v>
      </c>
      <c r="E110" s="9" t="s">
        <v>68</v>
      </c>
      <c r="F110" s="9" t="s">
        <v>651</v>
      </c>
      <c r="G110" s="10" t="n">
        <f aca="false">IF($AK110=0,"",INDEX('Part types'!$P:$P,$AK110))</f>
        <v>30</v>
      </c>
      <c r="H110" s="10" t="n">
        <f aca="false">IF($AK110=0,"",INDEX('Part types'!$Q:$Q,$AK110))</f>
        <v>20</v>
      </c>
      <c r="I110" s="10" t="n">
        <f aca="false">IF($AK110=0,"",INDEX('Part types'!$R:$R,$AK110))</f>
        <v>15</v>
      </c>
      <c r="J110" s="10" t="n">
        <f aca="false">IF($AK110=0,"",INDEX('Part types'!$S:$S,$AK110))</f>
        <v>1.8</v>
      </c>
      <c r="K110" s="11" t="s">
        <v>638</v>
      </c>
      <c r="L110" s="11" t="s">
        <v>669</v>
      </c>
      <c r="M110" s="11" t="str">
        <f aca="false">L110&amp;" - "&amp;N110</f>
        <v>ماسورة العادم المرنة - عام</v>
      </c>
      <c r="N110" s="11" t="s">
        <v>72</v>
      </c>
      <c r="O110" s="11" t="s">
        <v>653</v>
      </c>
      <c r="P110" s="10" t="n">
        <f aca="false">G110</f>
        <v>30</v>
      </c>
      <c r="Q110" s="10" t="n">
        <f aca="false">H110</f>
        <v>20</v>
      </c>
      <c r="R110" s="10" t="n">
        <f aca="false">I110</f>
        <v>15</v>
      </c>
      <c r="S110" s="10" t="n">
        <f aca="false">J110</f>
        <v>1.8</v>
      </c>
      <c r="T110" s="12" t="s">
        <v>640</v>
      </c>
      <c r="U110" s="12" t="s">
        <v>670</v>
      </c>
      <c r="V110" s="9" t="str">
        <f aca="false">U110&amp;" - "&amp;W110</f>
        <v>排气柔性管 - 通用</v>
      </c>
      <c r="W110" s="12" t="s">
        <v>76</v>
      </c>
      <c r="X110" s="12" t="s">
        <v>655</v>
      </c>
      <c r="Y110" s="10" t="n">
        <f aca="false">G110</f>
        <v>30</v>
      </c>
      <c r="Z110" s="10" t="n">
        <f aca="false">H110</f>
        <v>20</v>
      </c>
      <c r="AA110" s="10" t="n">
        <f aca="false">I110</f>
        <v>15</v>
      </c>
      <c r="AB110" s="10" t="n">
        <f aca="false">J110</f>
        <v>1.8</v>
      </c>
      <c r="AC110" s="9" t="s">
        <v>642</v>
      </c>
      <c r="AD110" s="9" t="s">
        <v>671</v>
      </c>
      <c r="AE110" s="9" t="str">
        <f aca="false">IF($AK110=0,"",INDEX('Part types'!$T:$T,$AK110)&amp;"")</f>
        <v>Combustion engine (petrol, diesel, hybrid, range extender)</v>
      </c>
      <c r="AF110" s="9" t="str">
        <f aca="false">IF($AK110=0,"",INDEX('Part types'!$U:$U,$AK110)&amp;"")</f>
        <v/>
      </c>
      <c r="AG110" s="9" t="str">
        <f aca="false">IF($AK110=0,"",INDEX('Part types'!$V:$V,$AK110)&amp;"")</f>
        <v>Estimate: size class M2</v>
      </c>
      <c r="AH110" s="9" t="str">
        <f aca="false">IF($AK110=0,"",INDEX('Part types'!$W:$W,$AK110)&amp;"")</f>
        <v/>
      </c>
      <c r="AI110" s="11" t="str">
        <f aca="false">IF($AK110=0,"",INDEX('Part types'!$X:$X,$AK110)&amp;"")</f>
        <v/>
      </c>
      <c r="AJ110" s="9" t="str">
        <f aca="false">IF($AK110=0,"",INDEX('Part types'!$Y:$Y,$AK110)&amp;"")</f>
        <v/>
      </c>
      <c r="AK110" s="9" t="n">
        <f aca="false">IFERROR(MATCH($AD110,'Part types'!$E:$E,0),0)</f>
        <v>105</v>
      </c>
    </row>
    <row r="111" customFormat="false" ht="15" hidden="false" customHeight="false" outlineLevel="0" collapsed="false">
      <c r="A111" s="9" t="s">
        <v>672</v>
      </c>
      <c r="B111" s="9" t="s">
        <v>636</v>
      </c>
      <c r="C111" s="9" t="s">
        <v>673</v>
      </c>
      <c r="D111" s="9" t="str">
        <f aca="false">C111&amp;" - "&amp;E111</f>
        <v>Muffler - Universal</v>
      </c>
      <c r="E111" s="9" t="s">
        <v>68</v>
      </c>
      <c r="F111" s="9" t="s">
        <v>651</v>
      </c>
      <c r="G111" s="10" t="n">
        <f aca="false">IF($AK111=0,"",INDEX('Part types'!$P:$P,$AK111))</f>
        <v>80</v>
      </c>
      <c r="H111" s="10" t="n">
        <f aca="false">IF($AK111=0,"",INDEX('Part types'!$Q:$Q,$AK111))</f>
        <v>35</v>
      </c>
      <c r="I111" s="10" t="n">
        <f aca="false">IF($AK111=0,"",INDEX('Part types'!$R:$R,$AK111))</f>
        <v>25</v>
      </c>
      <c r="J111" s="10" t="n">
        <f aca="false">IF($AK111=0,"",INDEX('Part types'!$S:$S,$AK111))</f>
        <v>8</v>
      </c>
      <c r="K111" s="11" t="s">
        <v>638</v>
      </c>
      <c r="L111" s="11" t="s">
        <v>674</v>
      </c>
      <c r="M111" s="11" t="str">
        <f aca="false">L111&amp;" - "&amp;N111</f>
        <v>كاتم الصوت - عام</v>
      </c>
      <c r="N111" s="11" t="s">
        <v>72</v>
      </c>
      <c r="O111" s="11" t="s">
        <v>653</v>
      </c>
      <c r="P111" s="10" t="n">
        <f aca="false">G111</f>
        <v>80</v>
      </c>
      <c r="Q111" s="10" t="n">
        <f aca="false">H111</f>
        <v>35</v>
      </c>
      <c r="R111" s="10" t="n">
        <f aca="false">I111</f>
        <v>25</v>
      </c>
      <c r="S111" s="10" t="n">
        <f aca="false">J111</f>
        <v>8</v>
      </c>
      <c r="T111" s="12" t="s">
        <v>640</v>
      </c>
      <c r="U111" s="12" t="s">
        <v>675</v>
      </c>
      <c r="V111" s="9" t="str">
        <f aca="false">U111&amp;" - "&amp;W111</f>
        <v>消声器 - 通用</v>
      </c>
      <c r="W111" s="12" t="s">
        <v>76</v>
      </c>
      <c r="X111" s="12" t="s">
        <v>655</v>
      </c>
      <c r="Y111" s="10" t="n">
        <f aca="false">G111</f>
        <v>80</v>
      </c>
      <c r="Z111" s="10" t="n">
        <f aca="false">H111</f>
        <v>35</v>
      </c>
      <c r="AA111" s="10" t="n">
        <f aca="false">I111</f>
        <v>25</v>
      </c>
      <c r="AB111" s="10" t="n">
        <f aca="false">J111</f>
        <v>8</v>
      </c>
      <c r="AC111" s="9" t="s">
        <v>642</v>
      </c>
      <c r="AD111" s="9" t="s">
        <v>676</v>
      </c>
      <c r="AE111" s="9" t="str">
        <f aca="false">IF($AK111=0,"",INDEX('Part types'!$T:$T,$AK111)&amp;"")</f>
        <v>Combustion engine (petrol, diesel, hybrid, range extender)</v>
      </c>
      <c r="AF111" s="9" t="str">
        <f aca="false">IF($AK111=0,"",INDEX('Part types'!$U:$U,$AK111)&amp;"")</f>
        <v/>
      </c>
      <c r="AG111" s="9" t="str">
        <f aca="false">IF($AK111=0,"",INDEX('Part types'!$V:$V,$AK111)&amp;"")</f>
        <v>Estimate: item-specific</v>
      </c>
      <c r="AH111" s="9" t="str">
        <f aca="false">IF($AK111=0,"",INDEX('Part types'!$W:$W,$AK111)&amp;"")</f>
        <v/>
      </c>
      <c r="AI111" s="11" t="str">
        <f aca="false">IF($AK111=0,"",INDEX('Part types'!$X:$X,$AK111)&amp;"")</f>
        <v>الشكمان</v>
      </c>
      <c r="AJ111" s="9" t="str">
        <f aca="false">IF($AK111=0,"",INDEX('Part types'!$Y:$Y,$AK111)&amp;"")</f>
        <v/>
      </c>
      <c r="AK111" s="9" t="n">
        <f aca="false">IFERROR(MATCH($AD111,'Part types'!$E:$E,0),0)</f>
        <v>106</v>
      </c>
    </row>
    <row r="112" customFormat="false" ht="15" hidden="false" customHeight="false" outlineLevel="0" collapsed="false">
      <c r="A112" s="9" t="s">
        <v>677</v>
      </c>
      <c r="B112" s="9" t="s">
        <v>636</v>
      </c>
      <c r="C112" s="9" t="s">
        <v>678</v>
      </c>
      <c r="D112" s="9" t="str">
        <f aca="false">C112&amp;" - "&amp;E112</f>
        <v>Resonator - Universal</v>
      </c>
      <c r="E112" s="9" t="s">
        <v>68</v>
      </c>
      <c r="F112" s="9" t="s">
        <v>651</v>
      </c>
      <c r="G112" s="10" t="n">
        <f aca="false">IF($AK112=0,"",INDEX('Part types'!$P:$P,$AK112))</f>
        <v>50</v>
      </c>
      <c r="H112" s="10" t="n">
        <f aca="false">IF($AK112=0,"",INDEX('Part types'!$Q:$Q,$AK112))</f>
        <v>20</v>
      </c>
      <c r="I112" s="10" t="n">
        <f aca="false">IF($AK112=0,"",INDEX('Part types'!$R:$R,$AK112))</f>
        <v>20</v>
      </c>
      <c r="J112" s="10" t="n">
        <f aca="false">IF($AK112=0,"",INDEX('Part types'!$S:$S,$AK112))</f>
        <v>4</v>
      </c>
      <c r="K112" s="11" t="s">
        <v>638</v>
      </c>
      <c r="L112" s="11" t="s">
        <v>679</v>
      </c>
      <c r="M112" s="11" t="str">
        <f aca="false">L112&amp;" - "&amp;N112</f>
        <v>رنان العادم - عام</v>
      </c>
      <c r="N112" s="11" t="s">
        <v>72</v>
      </c>
      <c r="O112" s="11" t="s">
        <v>653</v>
      </c>
      <c r="P112" s="10" t="n">
        <f aca="false">G112</f>
        <v>50</v>
      </c>
      <c r="Q112" s="10" t="n">
        <f aca="false">H112</f>
        <v>20</v>
      </c>
      <c r="R112" s="10" t="n">
        <f aca="false">I112</f>
        <v>20</v>
      </c>
      <c r="S112" s="10" t="n">
        <f aca="false">J112</f>
        <v>4</v>
      </c>
      <c r="T112" s="12" t="s">
        <v>640</v>
      </c>
      <c r="U112" s="12" t="s">
        <v>680</v>
      </c>
      <c r="V112" s="9" t="str">
        <f aca="false">U112&amp;" - "&amp;W112</f>
        <v>谐振器 - 通用</v>
      </c>
      <c r="W112" s="12" t="s">
        <v>76</v>
      </c>
      <c r="X112" s="12" t="s">
        <v>655</v>
      </c>
      <c r="Y112" s="10" t="n">
        <f aca="false">G112</f>
        <v>50</v>
      </c>
      <c r="Z112" s="10" t="n">
        <f aca="false">H112</f>
        <v>20</v>
      </c>
      <c r="AA112" s="10" t="n">
        <f aca="false">I112</f>
        <v>20</v>
      </c>
      <c r="AB112" s="10" t="n">
        <f aca="false">J112</f>
        <v>4</v>
      </c>
      <c r="AC112" s="9" t="s">
        <v>642</v>
      </c>
      <c r="AD112" s="9" t="s">
        <v>681</v>
      </c>
      <c r="AE112" s="9" t="str">
        <f aca="false">IF($AK112=0,"",INDEX('Part types'!$T:$T,$AK112)&amp;"")</f>
        <v>Combustion engine (petrol, diesel, hybrid, range extender)</v>
      </c>
      <c r="AF112" s="9" t="str">
        <f aca="false">IF($AK112=0,"",INDEX('Part types'!$U:$U,$AK112)&amp;"")</f>
        <v/>
      </c>
      <c r="AG112" s="9" t="str">
        <f aca="false">IF($AK112=0,"",INDEX('Part types'!$V:$V,$AK112)&amp;"")</f>
        <v>Estimate: item-specific</v>
      </c>
      <c r="AH112" s="9" t="str">
        <f aca="false">IF($AK112=0,"",INDEX('Part types'!$W:$W,$AK112)&amp;"")</f>
        <v/>
      </c>
      <c r="AI112" s="11" t="str">
        <f aca="false">IF($AK112=0,"",INDEX('Part types'!$X:$X,$AK112)&amp;"")</f>
        <v/>
      </c>
      <c r="AJ112" s="9" t="str">
        <f aca="false">IF($AK112=0,"",INDEX('Part types'!$Y:$Y,$AK112)&amp;"")</f>
        <v/>
      </c>
      <c r="AK112" s="9" t="n">
        <f aca="false">IFERROR(MATCH($AD112,'Part types'!$E:$E,0),0)</f>
        <v>107</v>
      </c>
    </row>
    <row r="113" customFormat="false" ht="15" hidden="false" customHeight="false" outlineLevel="0" collapsed="false">
      <c r="A113" s="9" t="s">
        <v>682</v>
      </c>
      <c r="B113" s="9" t="s">
        <v>636</v>
      </c>
      <c r="C113" s="9" t="s">
        <v>683</v>
      </c>
      <c r="D113" s="9" t="str">
        <f aca="false">C113&amp;" - "&amp;E113</f>
        <v>Exhaust Gasket - Universal</v>
      </c>
      <c r="E113" s="9" t="s">
        <v>68</v>
      </c>
      <c r="F113" s="9" t="s">
        <v>651</v>
      </c>
      <c r="G113" s="10" t="n">
        <f aca="false">IF($AK113=0,"",INDEX('Part types'!$P:$P,$AK113))</f>
        <v>10</v>
      </c>
      <c r="H113" s="10" t="n">
        <f aca="false">IF($AK113=0,"",INDEX('Part types'!$Q:$Q,$AK113))</f>
        <v>8</v>
      </c>
      <c r="I113" s="10" t="n">
        <f aca="false">IF($AK113=0,"",INDEX('Part types'!$R:$R,$AK113))</f>
        <v>6</v>
      </c>
      <c r="J113" s="10" t="n">
        <f aca="false">IF($AK113=0,"",INDEX('Part types'!$S:$S,$AK113))</f>
        <v>0.1</v>
      </c>
      <c r="K113" s="11" t="s">
        <v>638</v>
      </c>
      <c r="L113" s="11" t="s">
        <v>684</v>
      </c>
      <c r="M113" s="11" t="str">
        <f aca="false">L113&amp;" - "&amp;N113</f>
        <v>جوان العادم - عام</v>
      </c>
      <c r="N113" s="11" t="s">
        <v>72</v>
      </c>
      <c r="O113" s="11" t="s">
        <v>653</v>
      </c>
      <c r="P113" s="10" t="n">
        <f aca="false">G113</f>
        <v>10</v>
      </c>
      <c r="Q113" s="10" t="n">
        <f aca="false">H113</f>
        <v>8</v>
      </c>
      <c r="R113" s="10" t="n">
        <f aca="false">I113</f>
        <v>6</v>
      </c>
      <c r="S113" s="10" t="n">
        <f aca="false">J113</f>
        <v>0.1</v>
      </c>
      <c r="T113" s="12" t="s">
        <v>640</v>
      </c>
      <c r="U113" s="12" t="s">
        <v>685</v>
      </c>
      <c r="V113" s="9" t="str">
        <f aca="false">U113&amp;" - "&amp;W113</f>
        <v>排气垫片 - 通用</v>
      </c>
      <c r="W113" s="12" t="s">
        <v>76</v>
      </c>
      <c r="X113" s="12" t="s">
        <v>655</v>
      </c>
      <c r="Y113" s="10" t="n">
        <f aca="false">G113</f>
        <v>10</v>
      </c>
      <c r="Z113" s="10" t="n">
        <f aca="false">H113</f>
        <v>8</v>
      </c>
      <c r="AA113" s="10" t="n">
        <f aca="false">I113</f>
        <v>6</v>
      </c>
      <c r="AB113" s="10" t="n">
        <f aca="false">J113</f>
        <v>0.1</v>
      </c>
      <c r="AC113" s="9" t="s">
        <v>642</v>
      </c>
      <c r="AD113" s="9" t="s">
        <v>686</v>
      </c>
      <c r="AE113" s="9" t="str">
        <f aca="false">IF($AK113=0,"",INDEX('Part types'!$T:$T,$AK113)&amp;"")</f>
        <v>Combustion engine (petrol, diesel, hybrid, range extender)</v>
      </c>
      <c r="AF113" s="9" t="str">
        <f aca="false">IF($AK113=0,"",INDEX('Part types'!$U:$U,$AK113)&amp;"")</f>
        <v/>
      </c>
      <c r="AG113" s="9" t="str">
        <f aca="false">IF($AK113=0,"",INDEX('Part types'!$V:$V,$AK113)&amp;"")</f>
        <v>Estimate: size class XS</v>
      </c>
      <c r="AH113" s="9" t="str">
        <f aca="false">IF($AK113=0,"",INDEX('Part types'!$W:$W,$AK113)&amp;"")</f>
        <v/>
      </c>
      <c r="AI113" s="11" t="str">
        <f aca="false">IF($AK113=0,"",INDEX('Part types'!$X:$X,$AK113)&amp;"")</f>
        <v/>
      </c>
      <c r="AJ113" s="9" t="str">
        <f aca="false">IF($AK113=0,"",INDEX('Part types'!$Y:$Y,$AK113)&amp;"")</f>
        <v/>
      </c>
      <c r="AK113" s="9" t="n">
        <f aca="false">IFERROR(MATCH($AD113,'Part types'!$E:$E,0),0)</f>
        <v>108</v>
      </c>
    </row>
    <row r="114" customFormat="false" ht="15" hidden="false" customHeight="false" outlineLevel="0" collapsed="false">
      <c r="A114" s="9" t="s">
        <v>687</v>
      </c>
      <c r="B114" s="9" t="s">
        <v>636</v>
      </c>
      <c r="C114" s="9" t="s">
        <v>688</v>
      </c>
      <c r="D114" s="9" t="str">
        <f aca="false">C114&amp;" - "&amp;E114</f>
        <v>Exhaust Clamp - Universal</v>
      </c>
      <c r="E114" s="9" t="s">
        <v>68</v>
      </c>
      <c r="F114" s="9" t="s">
        <v>651</v>
      </c>
      <c r="G114" s="10" t="n">
        <f aca="false">IF($AK114=0,"",INDEX('Part types'!$P:$P,$AK114))</f>
        <v>10</v>
      </c>
      <c r="H114" s="10" t="n">
        <f aca="false">IF($AK114=0,"",INDEX('Part types'!$Q:$Q,$AK114))</f>
        <v>8</v>
      </c>
      <c r="I114" s="10" t="n">
        <f aca="false">IF($AK114=0,"",INDEX('Part types'!$R:$R,$AK114))</f>
        <v>6</v>
      </c>
      <c r="J114" s="10" t="n">
        <f aca="false">IF($AK114=0,"",INDEX('Part types'!$S:$S,$AK114))</f>
        <v>0.1</v>
      </c>
      <c r="K114" s="11" t="s">
        <v>638</v>
      </c>
      <c r="L114" s="11" t="s">
        <v>689</v>
      </c>
      <c r="M114" s="11" t="str">
        <f aca="false">L114&amp;" - "&amp;N114</f>
        <v>مشبك العادم - عام</v>
      </c>
      <c r="N114" s="11" t="s">
        <v>72</v>
      </c>
      <c r="O114" s="11" t="s">
        <v>653</v>
      </c>
      <c r="P114" s="10" t="n">
        <f aca="false">G114</f>
        <v>10</v>
      </c>
      <c r="Q114" s="10" t="n">
        <f aca="false">H114</f>
        <v>8</v>
      </c>
      <c r="R114" s="10" t="n">
        <f aca="false">I114</f>
        <v>6</v>
      </c>
      <c r="S114" s="10" t="n">
        <f aca="false">J114</f>
        <v>0.1</v>
      </c>
      <c r="T114" s="12" t="s">
        <v>640</v>
      </c>
      <c r="U114" s="12" t="s">
        <v>690</v>
      </c>
      <c r="V114" s="9" t="str">
        <f aca="false">U114&amp;" - "&amp;W114</f>
        <v>排气卡箍 - 通用</v>
      </c>
      <c r="W114" s="12" t="s">
        <v>76</v>
      </c>
      <c r="X114" s="12" t="s">
        <v>655</v>
      </c>
      <c r="Y114" s="10" t="n">
        <f aca="false">G114</f>
        <v>10</v>
      </c>
      <c r="Z114" s="10" t="n">
        <f aca="false">H114</f>
        <v>8</v>
      </c>
      <c r="AA114" s="10" t="n">
        <f aca="false">I114</f>
        <v>6</v>
      </c>
      <c r="AB114" s="10" t="n">
        <f aca="false">J114</f>
        <v>0.1</v>
      </c>
      <c r="AC114" s="9" t="s">
        <v>642</v>
      </c>
      <c r="AD114" s="9" t="s">
        <v>691</v>
      </c>
      <c r="AE114" s="9" t="str">
        <f aca="false">IF($AK114=0,"",INDEX('Part types'!$T:$T,$AK114)&amp;"")</f>
        <v>Combustion engine (petrol, diesel, hybrid, range extender)</v>
      </c>
      <c r="AF114" s="9" t="str">
        <f aca="false">IF($AK114=0,"",INDEX('Part types'!$U:$U,$AK114)&amp;"")</f>
        <v/>
      </c>
      <c r="AG114" s="9" t="str">
        <f aca="false">IF($AK114=0,"",INDEX('Part types'!$V:$V,$AK114)&amp;"")</f>
        <v>Estimate: size class XS</v>
      </c>
      <c r="AH114" s="9" t="str">
        <f aca="false">IF($AK114=0,"",INDEX('Part types'!$W:$W,$AK114)&amp;"")</f>
        <v/>
      </c>
      <c r="AI114" s="11" t="str">
        <f aca="false">IF($AK114=0,"",INDEX('Part types'!$X:$X,$AK114)&amp;"")</f>
        <v/>
      </c>
      <c r="AJ114" s="9" t="str">
        <f aca="false">IF($AK114=0,"",INDEX('Part types'!$Y:$Y,$AK114)&amp;"")</f>
        <v/>
      </c>
      <c r="AK114" s="9" t="n">
        <f aca="false">IFERROR(MATCH($AD114,'Part types'!$E:$E,0),0)</f>
        <v>109</v>
      </c>
    </row>
    <row r="115" customFormat="false" ht="15" hidden="false" customHeight="false" outlineLevel="0" collapsed="false">
      <c r="A115" s="9" t="s">
        <v>692</v>
      </c>
      <c r="B115" s="9" t="s">
        <v>636</v>
      </c>
      <c r="C115" s="9" t="s">
        <v>693</v>
      </c>
      <c r="D115" s="9" t="str">
        <f aca="false">C115&amp;" - "&amp;E115</f>
        <v>Exhaust Hanger - Universal</v>
      </c>
      <c r="E115" s="9" t="s">
        <v>68</v>
      </c>
      <c r="F115" s="9" t="s">
        <v>651</v>
      </c>
      <c r="G115" s="10" t="n">
        <f aca="false">IF($AK115=0,"",INDEX('Part types'!$P:$P,$AK115))</f>
        <v>10</v>
      </c>
      <c r="H115" s="10" t="n">
        <f aca="false">IF($AK115=0,"",INDEX('Part types'!$Q:$Q,$AK115))</f>
        <v>8</v>
      </c>
      <c r="I115" s="10" t="n">
        <f aca="false">IF($AK115=0,"",INDEX('Part types'!$R:$R,$AK115))</f>
        <v>6</v>
      </c>
      <c r="J115" s="10" t="n">
        <f aca="false">IF($AK115=0,"",INDEX('Part types'!$S:$S,$AK115))</f>
        <v>0.1</v>
      </c>
      <c r="K115" s="11" t="s">
        <v>638</v>
      </c>
      <c r="L115" s="11" t="s">
        <v>694</v>
      </c>
      <c r="M115" s="11" t="str">
        <f aca="false">L115&amp;" - "&amp;N115</f>
        <v>حامل العادم المطاطي - عام</v>
      </c>
      <c r="N115" s="11" t="s">
        <v>72</v>
      </c>
      <c r="O115" s="11" t="s">
        <v>653</v>
      </c>
      <c r="P115" s="10" t="n">
        <f aca="false">G115</f>
        <v>10</v>
      </c>
      <c r="Q115" s="10" t="n">
        <f aca="false">H115</f>
        <v>8</v>
      </c>
      <c r="R115" s="10" t="n">
        <f aca="false">I115</f>
        <v>6</v>
      </c>
      <c r="S115" s="10" t="n">
        <f aca="false">J115</f>
        <v>0.1</v>
      </c>
      <c r="T115" s="12" t="s">
        <v>640</v>
      </c>
      <c r="U115" s="12" t="s">
        <v>695</v>
      </c>
      <c r="V115" s="9" t="str">
        <f aca="false">U115&amp;" - "&amp;W115</f>
        <v>排气吊耳 - 通用</v>
      </c>
      <c r="W115" s="12" t="s">
        <v>76</v>
      </c>
      <c r="X115" s="12" t="s">
        <v>655</v>
      </c>
      <c r="Y115" s="10" t="n">
        <f aca="false">G115</f>
        <v>10</v>
      </c>
      <c r="Z115" s="10" t="n">
        <f aca="false">H115</f>
        <v>8</v>
      </c>
      <c r="AA115" s="10" t="n">
        <f aca="false">I115</f>
        <v>6</v>
      </c>
      <c r="AB115" s="10" t="n">
        <f aca="false">J115</f>
        <v>0.1</v>
      </c>
      <c r="AC115" s="9" t="s">
        <v>642</v>
      </c>
      <c r="AD115" s="9" t="s">
        <v>696</v>
      </c>
      <c r="AE115" s="9" t="str">
        <f aca="false">IF($AK115=0,"",INDEX('Part types'!$T:$T,$AK115)&amp;"")</f>
        <v>Combustion engine (petrol, diesel, hybrid, range extender)</v>
      </c>
      <c r="AF115" s="9" t="str">
        <f aca="false">IF($AK115=0,"",INDEX('Part types'!$U:$U,$AK115)&amp;"")</f>
        <v/>
      </c>
      <c r="AG115" s="9" t="str">
        <f aca="false">IF($AK115=0,"",INDEX('Part types'!$V:$V,$AK115)&amp;"")</f>
        <v>Estimate: size class XS</v>
      </c>
      <c r="AH115" s="9" t="str">
        <f aca="false">IF($AK115=0,"",INDEX('Part types'!$W:$W,$AK115)&amp;"")</f>
        <v/>
      </c>
      <c r="AI115" s="11" t="str">
        <f aca="false">IF($AK115=0,"",INDEX('Part types'!$X:$X,$AK115)&amp;"")</f>
        <v/>
      </c>
      <c r="AJ115" s="9" t="str">
        <f aca="false">IF($AK115=0,"",INDEX('Part types'!$Y:$Y,$AK115)&amp;"")</f>
        <v/>
      </c>
      <c r="AK115" s="9" t="n">
        <f aca="false">IFERROR(MATCH($AD115,'Part types'!$E:$E,0),0)</f>
        <v>110</v>
      </c>
    </row>
    <row r="116" customFormat="false" ht="15" hidden="false" customHeight="false" outlineLevel="0" collapsed="false">
      <c r="A116" s="9" t="s">
        <v>697</v>
      </c>
      <c r="B116" s="9" t="s">
        <v>636</v>
      </c>
      <c r="C116" s="9" t="s">
        <v>698</v>
      </c>
      <c r="D116" s="9" t="str">
        <f aca="false">C116&amp;" - "&amp;E116</f>
        <v>Exhaust Heat Shield - Universal</v>
      </c>
      <c r="E116" s="9" t="s">
        <v>68</v>
      </c>
      <c r="F116" s="9" t="s">
        <v>237</v>
      </c>
      <c r="G116" s="10" t="n">
        <f aca="false">IF($AK116=0,"",INDEX('Part types'!$P:$P,$AK116))</f>
        <v>40</v>
      </c>
      <c r="H116" s="10" t="n">
        <f aca="false">IF($AK116=0,"",INDEX('Part types'!$Q:$Q,$AK116))</f>
        <v>25</v>
      </c>
      <c r="I116" s="10" t="n">
        <f aca="false">IF($AK116=0,"",INDEX('Part types'!$R:$R,$AK116))</f>
        <v>15</v>
      </c>
      <c r="J116" s="10" t="n">
        <f aca="false">IF($AK116=0,"",INDEX('Part types'!$S:$S,$AK116))</f>
        <v>3</v>
      </c>
      <c r="K116" s="11" t="s">
        <v>638</v>
      </c>
      <c r="L116" s="11" t="s">
        <v>699</v>
      </c>
      <c r="M116" s="11" t="str">
        <f aca="false">L116&amp;" - "&amp;N116</f>
        <v>درع حرارة العادم - عام</v>
      </c>
      <c r="N116" s="11" t="s">
        <v>72</v>
      </c>
      <c r="O116" s="11" t="s">
        <v>239</v>
      </c>
      <c r="P116" s="10" t="n">
        <f aca="false">G116</f>
        <v>40</v>
      </c>
      <c r="Q116" s="10" t="n">
        <f aca="false">H116</f>
        <v>25</v>
      </c>
      <c r="R116" s="10" t="n">
        <f aca="false">I116</f>
        <v>15</v>
      </c>
      <c r="S116" s="10" t="n">
        <f aca="false">J116</f>
        <v>3</v>
      </c>
      <c r="T116" s="12" t="s">
        <v>640</v>
      </c>
      <c r="U116" s="12" t="s">
        <v>700</v>
      </c>
      <c r="V116" s="9" t="str">
        <f aca="false">U116&amp;" - "&amp;W116</f>
        <v>排气隔热罩 - 通用</v>
      </c>
      <c r="W116" s="12" t="s">
        <v>76</v>
      </c>
      <c r="X116" s="12" t="s">
        <v>241</v>
      </c>
      <c r="Y116" s="10" t="n">
        <f aca="false">G116</f>
        <v>40</v>
      </c>
      <c r="Z116" s="10" t="n">
        <f aca="false">H116</f>
        <v>25</v>
      </c>
      <c r="AA116" s="10" t="n">
        <f aca="false">I116</f>
        <v>15</v>
      </c>
      <c r="AB116" s="10" t="n">
        <f aca="false">J116</f>
        <v>3</v>
      </c>
      <c r="AC116" s="9" t="s">
        <v>642</v>
      </c>
      <c r="AD116" s="9" t="s">
        <v>701</v>
      </c>
      <c r="AE116" s="9" t="str">
        <f aca="false">IF($AK116=0,"",INDEX('Part types'!$T:$T,$AK116)&amp;"")</f>
        <v>Combustion engine (petrol, diesel, hybrid, range extender)</v>
      </c>
      <c r="AF116" s="9" t="str">
        <f aca="false">IF($AK116=0,"",INDEX('Part types'!$U:$U,$AK116)&amp;"")</f>
        <v/>
      </c>
      <c r="AG116" s="9" t="str">
        <f aca="false">IF($AK116=0,"",INDEX('Part types'!$V:$V,$AK116)&amp;"")</f>
        <v>Estimate: size class L</v>
      </c>
      <c r="AH116" s="9" t="str">
        <f aca="false">IF($AK116=0,"",INDEX('Part types'!$W:$W,$AK116)&amp;"")</f>
        <v/>
      </c>
      <c r="AI116" s="11" t="str">
        <f aca="false">IF($AK116=0,"",INDEX('Part types'!$X:$X,$AK116)&amp;"")</f>
        <v/>
      </c>
      <c r="AJ116" s="9" t="str">
        <f aca="false">IF($AK116=0,"",INDEX('Part types'!$Y:$Y,$AK116)&amp;"")</f>
        <v/>
      </c>
      <c r="AK116" s="9" t="n">
        <f aca="false">IFERROR(MATCH($AD116,'Part types'!$E:$E,0),0)</f>
        <v>111</v>
      </c>
    </row>
    <row r="117" customFormat="false" ht="15" hidden="false" customHeight="false" outlineLevel="0" collapsed="false">
      <c r="A117" s="9" t="s">
        <v>702</v>
      </c>
      <c r="B117" s="9" t="s">
        <v>636</v>
      </c>
      <c r="C117" s="9" t="s">
        <v>703</v>
      </c>
      <c r="D117" s="9" t="str">
        <f aca="false">C117&amp;" - "&amp;E117</f>
        <v>Exhaust Tip - Left</v>
      </c>
      <c r="E117" s="9" t="s">
        <v>218</v>
      </c>
      <c r="F117" s="9" t="s">
        <v>704</v>
      </c>
      <c r="G117" s="10" t="n">
        <f aca="false">IF($AK117=0,"",INDEX('Part types'!$P:$P,$AK117))</f>
        <v>25</v>
      </c>
      <c r="H117" s="10" t="n">
        <f aca="false">IF($AK117=0,"",INDEX('Part types'!$Q:$Q,$AK117))</f>
        <v>15</v>
      </c>
      <c r="I117" s="10" t="n">
        <f aca="false">IF($AK117=0,"",INDEX('Part types'!$R:$R,$AK117))</f>
        <v>10</v>
      </c>
      <c r="J117" s="10" t="n">
        <f aca="false">IF($AK117=0,"",INDEX('Part types'!$S:$S,$AK117))</f>
        <v>0.9</v>
      </c>
      <c r="K117" s="11" t="s">
        <v>638</v>
      </c>
      <c r="L117" s="11" t="s">
        <v>705</v>
      </c>
      <c r="M117" s="11" t="str">
        <f aca="false">L117&amp;" - "&amp;N117</f>
        <v>نهاية العادم - يسار</v>
      </c>
      <c r="N117" s="11" t="s">
        <v>220</v>
      </c>
      <c r="O117" s="11" t="s">
        <v>706</v>
      </c>
      <c r="P117" s="10" t="n">
        <f aca="false">G117</f>
        <v>25</v>
      </c>
      <c r="Q117" s="10" t="n">
        <f aca="false">H117</f>
        <v>15</v>
      </c>
      <c r="R117" s="10" t="n">
        <f aca="false">I117</f>
        <v>10</v>
      </c>
      <c r="S117" s="10" t="n">
        <f aca="false">J117</f>
        <v>0.9</v>
      </c>
      <c r="T117" s="12" t="s">
        <v>640</v>
      </c>
      <c r="U117" s="12" t="s">
        <v>707</v>
      </c>
      <c r="V117" s="9" t="str">
        <f aca="false">U117&amp;" - "&amp;W117</f>
        <v>排气尾喉 - 左侧</v>
      </c>
      <c r="W117" s="12" t="s">
        <v>222</v>
      </c>
      <c r="X117" s="12" t="s">
        <v>708</v>
      </c>
      <c r="Y117" s="10" t="n">
        <f aca="false">G117</f>
        <v>25</v>
      </c>
      <c r="Z117" s="10" t="n">
        <f aca="false">H117</f>
        <v>15</v>
      </c>
      <c r="AA117" s="10" t="n">
        <f aca="false">I117</f>
        <v>10</v>
      </c>
      <c r="AB117" s="10" t="n">
        <f aca="false">J117</f>
        <v>0.9</v>
      </c>
      <c r="AC117" s="9" t="s">
        <v>642</v>
      </c>
      <c r="AD117" s="9" t="s">
        <v>709</v>
      </c>
      <c r="AE117" s="9" t="str">
        <f aca="false">IF($AK117=0,"",INDEX('Part types'!$T:$T,$AK117)&amp;"")</f>
        <v>Combustion engine (petrol, diesel, hybrid, range extender)</v>
      </c>
      <c r="AF117" s="9" t="str">
        <f aca="false">IF($AK117=0,"",INDEX('Part types'!$U:$U,$AK117)&amp;"")</f>
        <v/>
      </c>
      <c r="AG117" s="9" t="str">
        <f aca="false">IF($AK117=0,"",INDEX('Part types'!$V:$V,$AK117)&amp;"")</f>
        <v>Estimate: size class M</v>
      </c>
      <c r="AH117" s="9" t="str">
        <f aca="false">IF($AK117=0,"",INDEX('Part types'!$W:$W,$AK117)&amp;"")</f>
        <v/>
      </c>
      <c r="AI117" s="11" t="str">
        <f aca="false">IF($AK117=0,"",INDEX('Part types'!$X:$X,$AK117)&amp;"")</f>
        <v>زينة</v>
      </c>
      <c r="AJ117" s="9" t="str">
        <f aca="false">IF($AK117=0,"",INDEX('Part types'!$Y:$Y,$AK117)&amp;"")</f>
        <v/>
      </c>
      <c r="AK117" s="9" t="n">
        <f aca="false">IFERROR(MATCH($AD117,'Part types'!$E:$E,0),0)</f>
        <v>112</v>
      </c>
    </row>
    <row r="118" customFormat="false" ht="15" hidden="false" customHeight="false" outlineLevel="0" collapsed="false">
      <c r="A118" s="9" t="s">
        <v>710</v>
      </c>
      <c r="B118" s="9" t="s">
        <v>636</v>
      </c>
      <c r="C118" s="9" t="s">
        <v>703</v>
      </c>
      <c r="D118" s="9" t="str">
        <f aca="false">C118&amp;" - "&amp;E118</f>
        <v>Exhaust Tip - Right</v>
      </c>
      <c r="E118" s="9" t="s">
        <v>225</v>
      </c>
      <c r="F118" s="9" t="s">
        <v>704</v>
      </c>
      <c r="G118" s="10" t="n">
        <f aca="false">IF($AK118=0,"",INDEX('Part types'!$P:$P,$AK118))</f>
        <v>25</v>
      </c>
      <c r="H118" s="10" t="n">
        <f aca="false">IF($AK118=0,"",INDEX('Part types'!$Q:$Q,$AK118))</f>
        <v>15</v>
      </c>
      <c r="I118" s="10" t="n">
        <f aca="false">IF($AK118=0,"",INDEX('Part types'!$R:$R,$AK118))</f>
        <v>10</v>
      </c>
      <c r="J118" s="10" t="n">
        <f aca="false">IF($AK118=0,"",INDEX('Part types'!$S:$S,$AK118))</f>
        <v>0.9</v>
      </c>
      <c r="K118" s="11" t="s">
        <v>638</v>
      </c>
      <c r="L118" s="11" t="s">
        <v>705</v>
      </c>
      <c r="M118" s="11" t="str">
        <f aca="false">L118&amp;" - "&amp;N118</f>
        <v>نهاية العادم - يمين</v>
      </c>
      <c r="N118" s="11" t="s">
        <v>226</v>
      </c>
      <c r="O118" s="11" t="s">
        <v>706</v>
      </c>
      <c r="P118" s="10" t="n">
        <f aca="false">G118</f>
        <v>25</v>
      </c>
      <c r="Q118" s="10" t="n">
        <f aca="false">H118</f>
        <v>15</v>
      </c>
      <c r="R118" s="10" t="n">
        <f aca="false">I118</f>
        <v>10</v>
      </c>
      <c r="S118" s="10" t="n">
        <f aca="false">J118</f>
        <v>0.9</v>
      </c>
      <c r="T118" s="12" t="s">
        <v>640</v>
      </c>
      <c r="U118" s="12" t="s">
        <v>707</v>
      </c>
      <c r="V118" s="9" t="str">
        <f aca="false">U118&amp;" - "&amp;W118</f>
        <v>排气尾喉 - 右侧</v>
      </c>
      <c r="W118" s="12" t="s">
        <v>227</v>
      </c>
      <c r="X118" s="12" t="s">
        <v>708</v>
      </c>
      <c r="Y118" s="10" t="n">
        <f aca="false">G118</f>
        <v>25</v>
      </c>
      <c r="Z118" s="10" t="n">
        <f aca="false">H118</f>
        <v>15</v>
      </c>
      <c r="AA118" s="10" t="n">
        <f aca="false">I118</f>
        <v>10</v>
      </c>
      <c r="AB118" s="10" t="n">
        <f aca="false">J118</f>
        <v>0.9</v>
      </c>
      <c r="AC118" s="9" t="s">
        <v>642</v>
      </c>
      <c r="AD118" s="9" t="s">
        <v>709</v>
      </c>
      <c r="AE118" s="9" t="str">
        <f aca="false">IF($AK118=0,"",INDEX('Part types'!$T:$T,$AK118)&amp;"")</f>
        <v>Combustion engine (petrol, diesel, hybrid, range extender)</v>
      </c>
      <c r="AF118" s="9" t="str">
        <f aca="false">IF($AK118=0,"",INDEX('Part types'!$U:$U,$AK118)&amp;"")</f>
        <v/>
      </c>
      <c r="AG118" s="9" t="str">
        <f aca="false">IF($AK118=0,"",INDEX('Part types'!$V:$V,$AK118)&amp;"")</f>
        <v>Estimate: size class M</v>
      </c>
      <c r="AH118" s="9" t="str">
        <f aca="false">IF($AK118=0,"",INDEX('Part types'!$W:$W,$AK118)&amp;"")</f>
        <v/>
      </c>
      <c r="AI118" s="11" t="str">
        <f aca="false">IF($AK118=0,"",INDEX('Part types'!$X:$X,$AK118)&amp;"")</f>
        <v>زينة</v>
      </c>
      <c r="AJ118" s="9" t="str">
        <f aca="false">IF($AK118=0,"",INDEX('Part types'!$Y:$Y,$AK118)&amp;"")</f>
        <v/>
      </c>
      <c r="AK118" s="9" t="n">
        <f aca="false">IFERROR(MATCH($AD118,'Part types'!$E:$E,0),0)</f>
        <v>112</v>
      </c>
    </row>
    <row r="119" customFormat="false" ht="15" hidden="false" customHeight="false" outlineLevel="0" collapsed="false">
      <c r="A119" s="9" t="s">
        <v>711</v>
      </c>
      <c r="B119" s="9" t="s">
        <v>712</v>
      </c>
      <c r="C119" s="9" t="s">
        <v>713</v>
      </c>
      <c r="D119" s="9" t="str">
        <f aca="false">C119&amp;" - "&amp;E119</f>
        <v>Catalytic Converter - Universal</v>
      </c>
      <c r="E119" s="9" t="s">
        <v>68</v>
      </c>
      <c r="F119" s="9" t="s">
        <v>651</v>
      </c>
      <c r="G119" s="10" t="n">
        <f aca="false">IF($AK119=0,"",INDEX('Part types'!$P:$P,$AK119))</f>
        <v>55</v>
      </c>
      <c r="H119" s="10" t="n">
        <f aca="false">IF($AK119=0,"",INDEX('Part types'!$Q:$Q,$AK119))</f>
        <v>25</v>
      </c>
      <c r="I119" s="10" t="n">
        <f aca="false">IF($AK119=0,"",INDEX('Part types'!$R:$R,$AK119))</f>
        <v>20</v>
      </c>
      <c r="J119" s="10" t="n">
        <f aca="false">IF($AK119=0,"",INDEX('Part types'!$S:$S,$AK119))</f>
        <v>8</v>
      </c>
      <c r="K119" s="11" t="s">
        <v>714</v>
      </c>
      <c r="L119" s="11" t="s">
        <v>715</v>
      </c>
      <c r="M119" s="11" t="str">
        <f aca="false">L119&amp;" - "&amp;N119</f>
        <v>محول حفاز - عام</v>
      </c>
      <c r="N119" s="11" t="s">
        <v>72</v>
      </c>
      <c r="O119" s="11" t="s">
        <v>653</v>
      </c>
      <c r="P119" s="10" t="n">
        <f aca="false">G119</f>
        <v>55</v>
      </c>
      <c r="Q119" s="10" t="n">
        <f aca="false">H119</f>
        <v>25</v>
      </c>
      <c r="R119" s="10" t="n">
        <f aca="false">I119</f>
        <v>20</v>
      </c>
      <c r="S119" s="10" t="n">
        <f aca="false">J119</f>
        <v>8</v>
      </c>
      <c r="T119" s="12" t="s">
        <v>716</v>
      </c>
      <c r="U119" s="12" t="s">
        <v>717</v>
      </c>
      <c r="V119" s="9" t="str">
        <f aca="false">U119&amp;" - "&amp;W119</f>
        <v>催化转换器 - 通用</v>
      </c>
      <c r="W119" s="12" t="s">
        <v>76</v>
      </c>
      <c r="X119" s="12" t="s">
        <v>655</v>
      </c>
      <c r="Y119" s="10" t="n">
        <f aca="false">G119</f>
        <v>55</v>
      </c>
      <c r="Z119" s="10" t="n">
        <f aca="false">H119</f>
        <v>25</v>
      </c>
      <c r="AA119" s="10" t="n">
        <f aca="false">I119</f>
        <v>20</v>
      </c>
      <c r="AB119" s="10" t="n">
        <f aca="false">J119</f>
        <v>8</v>
      </c>
      <c r="AC119" s="9" t="s">
        <v>718</v>
      </c>
      <c r="AD119" s="9" t="s">
        <v>719</v>
      </c>
      <c r="AE119" s="9" t="str">
        <f aca="false">IF($AK119=0,"",INDEX('Part types'!$T:$T,$AK119)&amp;"")</f>
        <v>Combustion engine (petrol, diesel, hybrid, range extender)</v>
      </c>
      <c r="AF119" s="9" t="str">
        <f aca="false">IF($AK119=0,"",INDEX('Part types'!$U:$U,$AK119)&amp;"")</f>
        <v/>
      </c>
      <c r="AG119" s="9" t="str">
        <f aca="false">IF($AK119=0,"",INDEX('Part types'!$V:$V,$AK119)&amp;"")</f>
        <v>Estimate: item-specific</v>
      </c>
      <c r="AH119" s="9" t="str">
        <f aca="false">IF($AK119=0,"",INDEX('Part types'!$W:$W,$AK119)&amp;"")</f>
        <v/>
      </c>
      <c r="AI119" s="11" t="str">
        <f aca="false">IF($AK119=0,"",INDEX('Part types'!$X:$X,$AK119)&amp;"")</f>
        <v>كتاليزر</v>
      </c>
      <c r="AJ119" s="9" t="str">
        <f aca="false">IF($AK119=0,"",INDEX('Part types'!$Y:$Y,$AK119)&amp;"")</f>
        <v/>
      </c>
      <c r="AK119" s="9" t="n">
        <f aca="false">IFERROR(MATCH($AD119,'Part types'!$E:$E,0),0)</f>
        <v>113</v>
      </c>
    </row>
    <row r="120" customFormat="false" ht="15" hidden="false" customHeight="false" outlineLevel="0" collapsed="false">
      <c r="A120" s="9" t="s">
        <v>720</v>
      </c>
      <c r="B120" s="9" t="s">
        <v>712</v>
      </c>
      <c r="C120" s="9" t="s">
        <v>721</v>
      </c>
      <c r="D120" s="9" t="str">
        <f aca="false">C120&amp;" - "&amp;E120</f>
        <v>Diesel Particulate Filter - Universal</v>
      </c>
      <c r="E120" s="9" t="s">
        <v>68</v>
      </c>
      <c r="F120" s="9" t="s">
        <v>651</v>
      </c>
      <c r="G120" s="10" t="n">
        <f aca="false">IF($AK120=0,"",INDEX('Part types'!$P:$P,$AK120))</f>
        <v>60</v>
      </c>
      <c r="H120" s="10" t="n">
        <f aca="false">IF($AK120=0,"",INDEX('Part types'!$Q:$Q,$AK120))</f>
        <v>30</v>
      </c>
      <c r="I120" s="10" t="n">
        <f aca="false">IF($AK120=0,"",INDEX('Part types'!$R:$R,$AK120))</f>
        <v>30</v>
      </c>
      <c r="J120" s="10" t="n">
        <f aca="false">IF($AK120=0,"",INDEX('Part types'!$S:$S,$AK120))</f>
        <v>12</v>
      </c>
      <c r="K120" s="11" t="s">
        <v>714</v>
      </c>
      <c r="L120" s="11" t="s">
        <v>722</v>
      </c>
      <c r="M120" s="11" t="str">
        <f aca="false">L120&amp;" - "&amp;N120</f>
        <v>فلتر الجسيمات - عام</v>
      </c>
      <c r="N120" s="11" t="s">
        <v>72</v>
      </c>
      <c r="O120" s="11" t="s">
        <v>653</v>
      </c>
      <c r="P120" s="10" t="n">
        <f aca="false">G120</f>
        <v>60</v>
      </c>
      <c r="Q120" s="10" t="n">
        <f aca="false">H120</f>
        <v>30</v>
      </c>
      <c r="R120" s="10" t="n">
        <f aca="false">I120</f>
        <v>30</v>
      </c>
      <c r="S120" s="10" t="n">
        <f aca="false">J120</f>
        <v>12</v>
      </c>
      <c r="T120" s="12" t="s">
        <v>716</v>
      </c>
      <c r="U120" s="12" t="s">
        <v>723</v>
      </c>
      <c r="V120" s="9" t="str">
        <f aca="false">U120&amp;" - "&amp;W120</f>
        <v>柴油颗粒捕集器 - 通用</v>
      </c>
      <c r="W120" s="12" t="s">
        <v>76</v>
      </c>
      <c r="X120" s="12" t="s">
        <v>655</v>
      </c>
      <c r="Y120" s="10" t="n">
        <f aca="false">G120</f>
        <v>60</v>
      </c>
      <c r="Z120" s="10" t="n">
        <f aca="false">H120</f>
        <v>30</v>
      </c>
      <c r="AA120" s="10" t="n">
        <f aca="false">I120</f>
        <v>30</v>
      </c>
      <c r="AB120" s="10" t="n">
        <f aca="false">J120</f>
        <v>12</v>
      </c>
      <c r="AC120" s="9" t="s">
        <v>718</v>
      </c>
      <c r="AD120" s="9" t="s">
        <v>724</v>
      </c>
      <c r="AE120" s="9" t="str">
        <f aca="false">IF($AK120=0,"",INDEX('Part types'!$T:$T,$AK120)&amp;"")</f>
        <v>Combustion engine (petrol, diesel, hybrid, range extender)</v>
      </c>
      <c r="AF120" s="9" t="str">
        <f aca="false">IF($AK120=0,"",INDEX('Part types'!$U:$U,$AK120)&amp;"")</f>
        <v/>
      </c>
      <c r="AG120" s="9" t="str">
        <f aca="false">IF($AK120=0,"",INDEX('Part types'!$V:$V,$AK120)&amp;"")</f>
        <v>Estimate: item-specific</v>
      </c>
      <c r="AH120" s="9" t="str">
        <f aca="false">IF($AK120=0,"",INDEX('Part types'!$W:$W,$AK120)&amp;"")</f>
        <v>DPF</v>
      </c>
      <c r="AI120" s="11" t="str">
        <f aca="false">IF($AK120=0,"",INDEX('Part types'!$X:$X,$AK120)&amp;"")</f>
        <v>DPF</v>
      </c>
      <c r="AJ120" s="9" t="str">
        <f aca="false">IF($AK120=0,"",INDEX('Part types'!$Y:$Y,$AK120)&amp;"")</f>
        <v>DPF</v>
      </c>
      <c r="AK120" s="9" t="n">
        <f aca="false">IFERROR(MATCH($AD120,'Part types'!$E:$E,0),0)</f>
        <v>114</v>
      </c>
    </row>
    <row r="121" customFormat="false" ht="15" hidden="false" customHeight="false" outlineLevel="0" collapsed="false">
      <c r="A121" s="9" t="s">
        <v>725</v>
      </c>
      <c r="B121" s="9" t="s">
        <v>712</v>
      </c>
      <c r="C121" s="9" t="s">
        <v>726</v>
      </c>
      <c r="D121" s="9" t="str">
        <f aca="false">C121&amp;" - "&amp;E121</f>
        <v>Gasoline Particulate Filter - Universal</v>
      </c>
      <c r="E121" s="9" t="s">
        <v>68</v>
      </c>
      <c r="F121" s="9" t="s">
        <v>651</v>
      </c>
      <c r="G121" s="10" t="n">
        <f aca="false">IF($AK121=0,"",INDEX('Part types'!$P:$P,$AK121))</f>
        <v>50</v>
      </c>
      <c r="H121" s="10" t="n">
        <f aca="false">IF($AK121=0,"",INDEX('Part types'!$Q:$Q,$AK121))</f>
        <v>28</v>
      </c>
      <c r="I121" s="10" t="n">
        <f aca="false">IF($AK121=0,"",INDEX('Part types'!$R:$R,$AK121))</f>
        <v>28</v>
      </c>
      <c r="J121" s="10" t="n">
        <f aca="false">IF($AK121=0,"",INDEX('Part types'!$S:$S,$AK121))</f>
        <v>9</v>
      </c>
      <c r="K121" s="11" t="s">
        <v>714</v>
      </c>
      <c r="L121" s="11" t="s">
        <v>727</v>
      </c>
      <c r="M121" s="11" t="str">
        <f aca="false">L121&amp;" - "&amp;N121</f>
        <v>فلتر جسيمات البنزين - عام</v>
      </c>
      <c r="N121" s="11" t="s">
        <v>72</v>
      </c>
      <c r="O121" s="11" t="s">
        <v>653</v>
      </c>
      <c r="P121" s="10" t="n">
        <f aca="false">G121</f>
        <v>50</v>
      </c>
      <c r="Q121" s="10" t="n">
        <f aca="false">H121</f>
        <v>28</v>
      </c>
      <c r="R121" s="10" t="n">
        <f aca="false">I121</f>
        <v>28</v>
      </c>
      <c r="S121" s="10" t="n">
        <f aca="false">J121</f>
        <v>9</v>
      </c>
      <c r="T121" s="12" t="s">
        <v>716</v>
      </c>
      <c r="U121" s="12" t="s">
        <v>728</v>
      </c>
      <c r="V121" s="9" t="str">
        <f aca="false">U121&amp;" - "&amp;W121</f>
        <v>汽油颗粒捕集器 - 通用</v>
      </c>
      <c r="W121" s="12" t="s">
        <v>76</v>
      </c>
      <c r="X121" s="12" t="s">
        <v>655</v>
      </c>
      <c r="Y121" s="10" t="n">
        <f aca="false">G121</f>
        <v>50</v>
      </c>
      <c r="Z121" s="10" t="n">
        <f aca="false">H121</f>
        <v>28</v>
      </c>
      <c r="AA121" s="10" t="n">
        <f aca="false">I121</f>
        <v>28</v>
      </c>
      <c r="AB121" s="10" t="n">
        <f aca="false">J121</f>
        <v>9</v>
      </c>
      <c r="AC121" s="9" t="s">
        <v>718</v>
      </c>
      <c r="AD121" s="9" t="s">
        <v>729</v>
      </c>
      <c r="AE121" s="9" t="str">
        <f aca="false">IF($AK121=0,"",INDEX('Part types'!$T:$T,$AK121)&amp;"")</f>
        <v>Combustion engine (petrol, diesel, hybrid, range extender)</v>
      </c>
      <c r="AF121" s="9" t="str">
        <f aca="false">IF($AK121=0,"",INDEX('Part types'!$U:$U,$AK121)&amp;"")</f>
        <v/>
      </c>
      <c r="AG121" s="9" t="str">
        <f aca="false">IF($AK121=0,"",INDEX('Part types'!$V:$V,$AK121)&amp;"")</f>
        <v>Estimate: item-specific</v>
      </c>
      <c r="AH121" s="9" t="str">
        <f aca="false">IF($AK121=0,"",INDEX('Part types'!$W:$W,$AK121)&amp;"")</f>
        <v>GPF</v>
      </c>
      <c r="AI121" s="11" t="str">
        <f aca="false">IF($AK121=0,"",INDEX('Part types'!$X:$X,$AK121)&amp;"")</f>
        <v>GPF</v>
      </c>
      <c r="AJ121" s="9" t="str">
        <f aca="false">IF($AK121=0,"",INDEX('Part types'!$Y:$Y,$AK121)&amp;"")</f>
        <v>GPF</v>
      </c>
      <c r="AK121" s="9" t="n">
        <f aca="false">IFERROR(MATCH($AD121,'Part types'!$E:$E,0),0)</f>
        <v>115</v>
      </c>
    </row>
    <row r="122" customFormat="false" ht="15" hidden="false" customHeight="false" outlineLevel="0" collapsed="false">
      <c r="A122" s="9" t="s">
        <v>730</v>
      </c>
      <c r="B122" s="9" t="s">
        <v>712</v>
      </c>
      <c r="C122" s="9" t="s">
        <v>731</v>
      </c>
      <c r="D122" s="9" t="str">
        <f aca="false">C122&amp;" - "&amp;E122</f>
        <v>SCR Catalyst - Universal</v>
      </c>
      <c r="E122" s="9" t="s">
        <v>68</v>
      </c>
      <c r="F122" s="9" t="s">
        <v>651</v>
      </c>
      <c r="G122" s="10" t="n">
        <f aca="false">IF($AK122=0,"",INDEX('Part types'!$P:$P,$AK122))</f>
        <v>60</v>
      </c>
      <c r="H122" s="10" t="n">
        <f aca="false">IF($AK122=0,"",INDEX('Part types'!$Q:$Q,$AK122))</f>
        <v>30</v>
      </c>
      <c r="I122" s="10" t="n">
        <f aca="false">IF($AK122=0,"",INDEX('Part types'!$R:$R,$AK122))</f>
        <v>30</v>
      </c>
      <c r="J122" s="10" t="n">
        <f aca="false">IF($AK122=0,"",INDEX('Part types'!$S:$S,$AK122))</f>
        <v>14</v>
      </c>
      <c r="K122" s="11" t="s">
        <v>714</v>
      </c>
      <c r="L122" s="11" t="s">
        <v>732</v>
      </c>
      <c r="M122" s="11" t="str">
        <f aca="false">L122&amp;" - "&amp;N122</f>
        <v>محفز SCR - عام</v>
      </c>
      <c r="N122" s="11" t="s">
        <v>72</v>
      </c>
      <c r="O122" s="11" t="s">
        <v>653</v>
      </c>
      <c r="P122" s="10" t="n">
        <f aca="false">G122</f>
        <v>60</v>
      </c>
      <c r="Q122" s="10" t="n">
        <f aca="false">H122</f>
        <v>30</v>
      </c>
      <c r="R122" s="10" t="n">
        <f aca="false">I122</f>
        <v>30</v>
      </c>
      <c r="S122" s="10" t="n">
        <f aca="false">J122</f>
        <v>14</v>
      </c>
      <c r="T122" s="12" t="s">
        <v>716</v>
      </c>
      <c r="U122" s="9" t="s">
        <v>733</v>
      </c>
      <c r="V122" s="9" t="str">
        <f aca="false">U122&amp;" - "&amp;W122</f>
        <v>SCR催化器 - 通用</v>
      </c>
      <c r="W122" s="12" t="s">
        <v>76</v>
      </c>
      <c r="X122" s="12" t="s">
        <v>655</v>
      </c>
      <c r="Y122" s="10" t="n">
        <f aca="false">G122</f>
        <v>60</v>
      </c>
      <c r="Z122" s="10" t="n">
        <f aca="false">H122</f>
        <v>30</v>
      </c>
      <c r="AA122" s="10" t="n">
        <f aca="false">I122</f>
        <v>30</v>
      </c>
      <c r="AB122" s="10" t="n">
        <f aca="false">J122</f>
        <v>14</v>
      </c>
      <c r="AC122" s="9" t="s">
        <v>718</v>
      </c>
      <c r="AD122" s="9" t="s">
        <v>734</v>
      </c>
      <c r="AE122" s="9" t="str">
        <f aca="false">IF($AK122=0,"",INDEX('Part types'!$T:$T,$AK122)&amp;"")</f>
        <v>Combustion engine (petrol, diesel, hybrid, range extender)</v>
      </c>
      <c r="AF122" s="9" t="str">
        <f aca="false">IF($AK122=0,"",INDEX('Part types'!$U:$U,$AK122)&amp;"")</f>
        <v/>
      </c>
      <c r="AG122" s="9" t="str">
        <f aca="false">IF($AK122=0,"",INDEX('Part types'!$V:$V,$AK122)&amp;"")</f>
        <v>Estimate: item-specific</v>
      </c>
      <c r="AH122" s="9" t="str">
        <f aca="false">IF($AK122=0,"",INDEX('Part types'!$W:$W,$AK122)&amp;"")</f>
        <v/>
      </c>
      <c r="AI122" s="11" t="str">
        <f aca="false">IF($AK122=0,"",INDEX('Part types'!$X:$X,$AK122)&amp;"")</f>
        <v/>
      </c>
      <c r="AJ122" s="9" t="str">
        <f aca="false">IF($AK122=0,"",INDEX('Part types'!$Y:$Y,$AK122)&amp;"")</f>
        <v/>
      </c>
      <c r="AK122" s="9" t="n">
        <f aca="false">IFERROR(MATCH($AD122,'Part types'!$E:$E,0),0)</f>
        <v>116</v>
      </c>
    </row>
    <row r="123" customFormat="false" ht="15" hidden="false" customHeight="false" outlineLevel="0" collapsed="false">
      <c r="A123" s="9" t="s">
        <v>735</v>
      </c>
      <c r="B123" s="9" t="s">
        <v>712</v>
      </c>
      <c r="C123" s="9" t="s">
        <v>736</v>
      </c>
      <c r="D123" s="9" t="str">
        <f aca="false">C123&amp;" - "&amp;E123</f>
        <v>AdBlue Tank - Universal</v>
      </c>
      <c r="E123" s="9" t="s">
        <v>68</v>
      </c>
      <c r="F123" s="9" t="s">
        <v>237</v>
      </c>
      <c r="G123" s="10" t="n">
        <f aca="false">IF($AK123=0,"",INDEX('Part types'!$P:$P,$AK123))</f>
        <v>45</v>
      </c>
      <c r="H123" s="10" t="n">
        <f aca="false">IF($AK123=0,"",INDEX('Part types'!$Q:$Q,$AK123))</f>
        <v>35</v>
      </c>
      <c r="I123" s="10" t="n">
        <f aca="false">IF($AK123=0,"",INDEX('Part types'!$R:$R,$AK123))</f>
        <v>30</v>
      </c>
      <c r="J123" s="10" t="n">
        <f aca="false">IF($AK123=0,"",INDEX('Part types'!$S:$S,$AK123))</f>
        <v>5</v>
      </c>
      <c r="K123" s="11" t="s">
        <v>714</v>
      </c>
      <c r="L123" s="11" t="s">
        <v>737</v>
      </c>
      <c r="M123" s="11" t="str">
        <f aca="false">L123&amp;" - "&amp;N123</f>
        <v>خزان أدبلو - عام</v>
      </c>
      <c r="N123" s="11" t="s">
        <v>72</v>
      </c>
      <c r="O123" s="11" t="s">
        <v>239</v>
      </c>
      <c r="P123" s="10" t="n">
        <f aca="false">G123</f>
        <v>45</v>
      </c>
      <c r="Q123" s="10" t="n">
        <f aca="false">H123</f>
        <v>35</v>
      </c>
      <c r="R123" s="10" t="n">
        <f aca="false">I123</f>
        <v>30</v>
      </c>
      <c r="S123" s="10" t="n">
        <f aca="false">J123</f>
        <v>5</v>
      </c>
      <c r="T123" s="12" t="s">
        <v>716</v>
      </c>
      <c r="U123" s="12" t="s">
        <v>738</v>
      </c>
      <c r="V123" s="9" t="str">
        <f aca="false">U123&amp;" - "&amp;W123</f>
        <v>尿素箱 - 通用</v>
      </c>
      <c r="W123" s="12" t="s">
        <v>76</v>
      </c>
      <c r="X123" s="12" t="s">
        <v>241</v>
      </c>
      <c r="Y123" s="10" t="n">
        <f aca="false">G123</f>
        <v>45</v>
      </c>
      <c r="Z123" s="10" t="n">
        <f aca="false">H123</f>
        <v>35</v>
      </c>
      <c r="AA123" s="10" t="n">
        <f aca="false">I123</f>
        <v>30</v>
      </c>
      <c r="AB123" s="10" t="n">
        <f aca="false">J123</f>
        <v>5</v>
      </c>
      <c r="AC123" s="9" t="s">
        <v>718</v>
      </c>
      <c r="AD123" s="9" t="s">
        <v>739</v>
      </c>
      <c r="AE123" s="9" t="str">
        <f aca="false">IF($AK123=0,"",INDEX('Part types'!$T:$T,$AK123)&amp;"")</f>
        <v>Combustion engine (petrol, diesel, hybrid, range extender)</v>
      </c>
      <c r="AF123" s="9" t="str">
        <f aca="false">IF($AK123=0,"",INDEX('Part types'!$U:$U,$AK123)&amp;"")</f>
        <v/>
      </c>
      <c r="AG123" s="9" t="str">
        <f aca="false">IF($AK123=0,"",INDEX('Part types'!$V:$V,$AK123)&amp;"")</f>
        <v>Estimate: item-specific</v>
      </c>
      <c r="AH123" s="9" t="str">
        <f aca="false">IF($AK123=0,"",INDEX('Part types'!$W:$W,$AK123)&amp;"")</f>
        <v/>
      </c>
      <c r="AI123" s="11" t="str">
        <f aca="false">IF($AK123=0,"",INDEX('Part types'!$X:$X,$AK123)&amp;"")</f>
        <v/>
      </c>
      <c r="AJ123" s="9" t="str">
        <f aca="false">IF($AK123=0,"",INDEX('Part types'!$Y:$Y,$AK123)&amp;"")</f>
        <v/>
      </c>
      <c r="AK123" s="9" t="n">
        <f aca="false">IFERROR(MATCH($AD123,'Part types'!$E:$E,0),0)</f>
        <v>117</v>
      </c>
    </row>
    <row r="124" customFormat="false" ht="15" hidden="false" customHeight="false" outlineLevel="0" collapsed="false">
      <c r="A124" s="9" t="s">
        <v>740</v>
      </c>
      <c r="B124" s="9" t="s">
        <v>712</v>
      </c>
      <c r="C124" s="9" t="s">
        <v>741</v>
      </c>
      <c r="D124" s="9" t="str">
        <f aca="false">C124&amp;" - "&amp;E124</f>
        <v>AdBlue Injector - Universal</v>
      </c>
      <c r="E124" s="9" t="s">
        <v>68</v>
      </c>
      <c r="F124" s="9" t="s">
        <v>651</v>
      </c>
      <c r="G124" s="10" t="n">
        <f aca="false">IF($AK124=0,"",INDEX('Part types'!$P:$P,$AK124))</f>
        <v>15</v>
      </c>
      <c r="H124" s="10" t="n">
        <f aca="false">IF($AK124=0,"",INDEX('Part types'!$Q:$Q,$AK124))</f>
        <v>10</v>
      </c>
      <c r="I124" s="10" t="n">
        <f aca="false">IF($AK124=0,"",INDEX('Part types'!$R:$R,$AK124))</f>
        <v>8</v>
      </c>
      <c r="J124" s="10" t="n">
        <f aca="false">IF($AK124=0,"",INDEX('Part types'!$S:$S,$AK124))</f>
        <v>0.3</v>
      </c>
      <c r="K124" s="11" t="s">
        <v>714</v>
      </c>
      <c r="L124" s="11" t="s">
        <v>742</v>
      </c>
      <c r="M124" s="11" t="str">
        <f aca="false">L124&amp;" - "&amp;N124</f>
        <v>بخاخ أدبلو - عام</v>
      </c>
      <c r="N124" s="11" t="s">
        <v>72</v>
      </c>
      <c r="O124" s="11" t="s">
        <v>653</v>
      </c>
      <c r="P124" s="10" t="n">
        <f aca="false">G124</f>
        <v>15</v>
      </c>
      <c r="Q124" s="10" t="n">
        <f aca="false">H124</f>
        <v>10</v>
      </c>
      <c r="R124" s="10" t="n">
        <f aca="false">I124</f>
        <v>8</v>
      </c>
      <c r="S124" s="10" t="n">
        <f aca="false">J124</f>
        <v>0.3</v>
      </c>
      <c r="T124" s="12" t="s">
        <v>716</v>
      </c>
      <c r="U124" s="12" t="s">
        <v>743</v>
      </c>
      <c r="V124" s="9" t="str">
        <f aca="false">U124&amp;" - "&amp;W124</f>
        <v>尿素喷嘴 - 通用</v>
      </c>
      <c r="W124" s="12" t="s">
        <v>76</v>
      </c>
      <c r="X124" s="12" t="s">
        <v>655</v>
      </c>
      <c r="Y124" s="10" t="n">
        <f aca="false">G124</f>
        <v>15</v>
      </c>
      <c r="Z124" s="10" t="n">
        <f aca="false">H124</f>
        <v>10</v>
      </c>
      <c r="AA124" s="10" t="n">
        <f aca="false">I124</f>
        <v>8</v>
      </c>
      <c r="AB124" s="10" t="n">
        <f aca="false">J124</f>
        <v>0.3</v>
      </c>
      <c r="AC124" s="9" t="s">
        <v>718</v>
      </c>
      <c r="AD124" s="9" t="s">
        <v>744</v>
      </c>
      <c r="AE124" s="9" t="str">
        <f aca="false">IF($AK124=0,"",INDEX('Part types'!$T:$T,$AK124)&amp;"")</f>
        <v>Combustion engine (petrol, diesel, hybrid, range extender)</v>
      </c>
      <c r="AF124" s="9" t="str">
        <f aca="false">IF($AK124=0,"",INDEX('Part types'!$U:$U,$AK124)&amp;"")</f>
        <v/>
      </c>
      <c r="AG124" s="9" t="str">
        <f aca="false">IF($AK124=0,"",INDEX('Part types'!$V:$V,$AK124)&amp;"")</f>
        <v>Estimate: size class S</v>
      </c>
      <c r="AH124" s="9" t="str">
        <f aca="false">IF($AK124=0,"",INDEX('Part types'!$W:$W,$AK124)&amp;"")</f>
        <v/>
      </c>
      <c r="AI124" s="11" t="str">
        <f aca="false">IF($AK124=0,"",INDEX('Part types'!$X:$X,$AK124)&amp;"")</f>
        <v/>
      </c>
      <c r="AJ124" s="9" t="str">
        <f aca="false">IF($AK124=0,"",INDEX('Part types'!$Y:$Y,$AK124)&amp;"")</f>
        <v/>
      </c>
      <c r="AK124" s="9" t="n">
        <f aca="false">IFERROR(MATCH($AD124,'Part types'!$E:$E,0),0)</f>
        <v>118</v>
      </c>
    </row>
    <row r="125" customFormat="false" ht="15" hidden="false" customHeight="false" outlineLevel="0" collapsed="false">
      <c r="A125" s="9" t="s">
        <v>745</v>
      </c>
      <c r="B125" s="9" t="s">
        <v>712</v>
      </c>
      <c r="C125" s="9" t="s">
        <v>746</v>
      </c>
      <c r="D125" s="9" t="str">
        <f aca="false">C125&amp;" - "&amp;E125</f>
        <v>EGR Valve - Universal</v>
      </c>
      <c r="E125" s="9" t="s">
        <v>68</v>
      </c>
      <c r="F125" s="9" t="s">
        <v>369</v>
      </c>
      <c r="G125" s="10" t="n">
        <f aca="false">IF($AK125=0,"",INDEX('Part types'!$P:$P,$AK125))</f>
        <v>15</v>
      </c>
      <c r="H125" s="10" t="n">
        <f aca="false">IF($AK125=0,"",INDEX('Part types'!$Q:$Q,$AK125))</f>
        <v>10</v>
      </c>
      <c r="I125" s="10" t="n">
        <f aca="false">IF($AK125=0,"",INDEX('Part types'!$R:$R,$AK125))</f>
        <v>8</v>
      </c>
      <c r="J125" s="10" t="n">
        <f aca="false">IF($AK125=0,"",INDEX('Part types'!$S:$S,$AK125))</f>
        <v>0.3</v>
      </c>
      <c r="K125" s="11" t="s">
        <v>714</v>
      </c>
      <c r="L125" s="11" t="s">
        <v>747</v>
      </c>
      <c r="M125" s="11" t="str">
        <f aca="false">L125&amp;" - "&amp;N125</f>
        <v>صمام إعادة تدوير العادم - عام</v>
      </c>
      <c r="N125" s="11" t="s">
        <v>72</v>
      </c>
      <c r="O125" s="11" t="s">
        <v>371</v>
      </c>
      <c r="P125" s="10" t="n">
        <f aca="false">G125</f>
        <v>15</v>
      </c>
      <c r="Q125" s="10" t="n">
        <f aca="false">H125</f>
        <v>10</v>
      </c>
      <c r="R125" s="10" t="n">
        <f aca="false">I125</f>
        <v>8</v>
      </c>
      <c r="S125" s="10" t="n">
        <f aca="false">J125</f>
        <v>0.3</v>
      </c>
      <c r="T125" s="12" t="s">
        <v>716</v>
      </c>
      <c r="U125" s="9" t="s">
        <v>748</v>
      </c>
      <c r="V125" s="9" t="str">
        <f aca="false">U125&amp;" - "&amp;W125</f>
        <v>EGR阀 - 通用</v>
      </c>
      <c r="W125" s="12" t="s">
        <v>76</v>
      </c>
      <c r="X125" s="12" t="s">
        <v>373</v>
      </c>
      <c r="Y125" s="10" t="n">
        <f aca="false">G125</f>
        <v>15</v>
      </c>
      <c r="Z125" s="10" t="n">
        <f aca="false">H125</f>
        <v>10</v>
      </c>
      <c r="AA125" s="10" t="n">
        <f aca="false">I125</f>
        <v>8</v>
      </c>
      <c r="AB125" s="10" t="n">
        <f aca="false">J125</f>
        <v>0.3</v>
      </c>
      <c r="AC125" s="9" t="s">
        <v>718</v>
      </c>
      <c r="AD125" s="9" t="s">
        <v>749</v>
      </c>
      <c r="AE125" s="9" t="str">
        <f aca="false">IF($AK125=0,"",INDEX('Part types'!$T:$T,$AK125)&amp;"")</f>
        <v>Combustion engine (petrol, diesel, hybrid, range extender)</v>
      </c>
      <c r="AF125" s="9" t="str">
        <f aca="false">IF($AK125=0,"",INDEX('Part types'!$U:$U,$AK125)&amp;"")</f>
        <v/>
      </c>
      <c r="AG125" s="9" t="str">
        <f aca="false">IF($AK125=0,"",INDEX('Part types'!$V:$V,$AK125)&amp;"")</f>
        <v>Estimate: size class S</v>
      </c>
      <c r="AH125" s="9" t="str">
        <f aca="false">IF($AK125=0,"",INDEX('Part types'!$W:$W,$AK125)&amp;"")</f>
        <v/>
      </c>
      <c r="AI125" s="11" t="str">
        <f aca="false">IF($AK125=0,"",INDEX('Part types'!$X:$X,$AK125)&amp;"")</f>
        <v>EGR</v>
      </c>
      <c r="AJ125" s="9" t="str">
        <f aca="false">IF($AK125=0,"",INDEX('Part types'!$Y:$Y,$AK125)&amp;"")</f>
        <v/>
      </c>
      <c r="AK125" s="9" t="n">
        <f aca="false">IFERROR(MATCH($AD125,'Part types'!$E:$E,0),0)</f>
        <v>119</v>
      </c>
    </row>
    <row r="126" customFormat="false" ht="15" hidden="false" customHeight="false" outlineLevel="0" collapsed="false">
      <c r="A126" s="9" t="s">
        <v>750</v>
      </c>
      <c r="B126" s="9" t="s">
        <v>712</v>
      </c>
      <c r="C126" s="9" t="s">
        <v>751</v>
      </c>
      <c r="D126" s="9" t="str">
        <f aca="false">C126&amp;" - "&amp;E126</f>
        <v>EGR Cooler - Universal</v>
      </c>
      <c r="E126" s="9" t="s">
        <v>68</v>
      </c>
      <c r="F126" s="9" t="s">
        <v>369</v>
      </c>
      <c r="G126" s="10" t="n">
        <f aca="false">IF($AK126=0,"",INDEX('Part types'!$P:$P,$AK126))</f>
        <v>25</v>
      </c>
      <c r="H126" s="10" t="n">
        <f aca="false">IF($AK126=0,"",INDEX('Part types'!$Q:$Q,$AK126))</f>
        <v>15</v>
      </c>
      <c r="I126" s="10" t="n">
        <f aca="false">IF($AK126=0,"",INDEX('Part types'!$R:$R,$AK126))</f>
        <v>10</v>
      </c>
      <c r="J126" s="10" t="n">
        <f aca="false">IF($AK126=0,"",INDEX('Part types'!$S:$S,$AK126))</f>
        <v>0.9</v>
      </c>
      <c r="K126" s="11" t="s">
        <v>714</v>
      </c>
      <c r="L126" s="11" t="s">
        <v>752</v>
      </c>
      <c r="M126" s="11" t="str">
        <f aca="false">L126&amp;" - "&amp;N126</f>
        <v>مبرد EGR - عام</v>
      </c>
      <c r="N126" s="11" t="s">
        <v>72</v>
      </c>
      <c r="O126" s="11" t="s">
        <v>371</v>
      </c>
      <c r="P126" s="10" t="n">
        <f aca="false">G126</f>
        <v>25</v>
      </c>
      <c r="Q126" s="10" t="n">
        <f aca="false">H126</f>
        <v>15</v>
      </c>
      <c r="R126" s="10" t="n">
        <f aca="false">I126</f>
        <v>10</v>
      </c>
      <c r="S126" s="10" t="n">
        <f aca="false">J126</f>
        <v>0.9</v>
      </c>
      <c r="T126" s="12" t="s">
        <v>716</v>
      </c>
      <c r="U126" s="9" t="s">
        <v>753</v>
      </c>
      <c r="V126" s="9" t="str">
        <f aca="false">U126&amp;" - "&amp;W126</f>
        <v>EGR冷却器 - 通用</v>
      </c>
      <c r="W126" s="12" t="s">
        <v>76</v>
      </c>
      <c r="X126" s="12" t="s">
        <v>373</v>
      </c>
      <c r="Y126" s="10" t="n">
        <f aca="false">G126</f>
        <v>25</v>
      </c>
      <c r="Z126" s="10" t="n">
        <f aca="false">H126</f>
        <v>15</v>
      </c>
      <c r="AA126" s="10" t="n">
        <f aca="false">I126</f>
        <v>10</v>
      </c>
      <c r="AB126" s="10" t="n">
        <f aca="false">J126</f>
        <v>0.9</v>
      </c>
      <c r="AC126" s="9" t="s">
        <v>718</v>
      </c>
      <c r="AD126" s="9" t="s">
        <v>754</v>
      </c>
      <c r="AE126" s="9" t="str">
        <f aca="false">IF($AK126=0,"",INDEX('Part types'!$T:$T,$AK126)&amp;"")</f>
        <v>Combustion engine (petrol, diesel, hybrid, range extender)</v>
      </c>
      <c r="AF126" s="9" t="str">
        <f aca="false">IF($AK126=0,"",INDEX('Part types'!$U:$U,$AK126)&amp;"")</f>
        <v/>
      </c>
      <c r="AG126" s="9" t="str">
        <f aca="false">IF($AK126=0,"",INDEX('Part types'!$V:$V,$AK126)&amp;"")</f>
        <v>Estimate: size class M</v>
      </c>
      <c r="AH126" s="9" t="str">
        <f aca="false">IF($AK126=0,"",INDEX('Part types'!$W:$W,$AK126)&amp;"")</f>
        <v/>
      </c>
      <c r="AI126" s="11" t="str">
        <f aca="false">IF($AK126=0,"",INDEX('Part types'!$X:$X,$AK126)&amp;"")</f>
        <v/>
      </c>
      <c r="AJ126" s="9" t="str">
        <f aca="false">IF($AK126=0,"",INDEX('Part types'!$Y:$Y,$AK126)&amp;"")</f>
        <v/>
      </c>
      <c r="AK126" s="9" t="n">
        <f aca="false">IFERROR(MATCH($AD126,'Part types'!$E:$E,0),0)</f>
        <v>120</v>
      </c>
    </row>
    <row r="127" customFormat="false" ht="15" hidden="false" customHeight="false" outlineLevel="0" collapsed="false">
      <c r="A127" s="9" t="s">
        <v>755</v>
      </c>
      <c r="B127" s="9" t="s">
        <v>712</v>
      </c>
      <c r="C127" s="9" t="s">
        <v>756</v>
      </c>
      <c r="D127" s="9" t="str">
        <f aca="false">C127&amp;" - "&amp;E127</f>
        <v>Secondary Air Pump - Universal</v>
      </c>
      <c r="E127" s="9" t="s">
        <v>68</v>
      </c>
      <c r="F127" s="9" t="s">
        <v>369</v>
      </c>
      <c r="G127" s="10" t="n">
        <f aca="false">IF($AK127=0,"",INDEX('Part types'!$P:$P,$AK127))</f>
        <v>25</v>
      </c>
      <c r="H127" s="10" t="n">
        <f aca="false">IF($AK127=0,"",INDEX('Part types'!$Q:$Q,$AK127))</f>
        <v>15</v>
      </c>
      <c r="I127" s="10" t="n">
        <f aca="false">IF($AK127=0,"",INDEX('Part types'!$R:$R,$AK127))</f>
        <v>10</v>
      </c>
      <c r="J127" s="10" t="n">
        <f aca="false">IF($AK127=0,"",INDEX('Part types'!$S:$S,$AK127))</f>
        <v>0.9</v>
      </c>
      <c r="K127" s="11" t="s">
        <v>714</v>
      </c>
      <c r="L127" s="11" t="s">
        <v>757</v>
      </c>
      <c r="M127" s="11" t="str">
        <f aca="false">L127&amp;" - "&amp;N127</f>
        <v>مضخة الهواء الثانوية - عام</v>
      </c>
      <c r="N127" s="11" t="s">
        <v>72</v>
      </c>
      <c r="O127" s="11" t="s">
        <v>371</v>
      </c>
      <c r="P127" s="10" t="n">
        <f aca="false">G127</f>
        <v>25</v>
      </c>
      <c r="Q127" s="10" t="n">
        <f aca="false">H127</f>
        <v>15</v>
      </c>
      <c r="R127" s="10" t="n">
        <f aca="false">I127</f>
        <v>10</v>
      </c>
      <c r="S127" s="10" t="n">
        <f aca="false">J127</f>
        <v>0.9</v>
      </c>
      <c r="T127" s="12" t="s">
        <v>716</v>
      </c>
      <c r="U127" s="12" t="s">
        <v>758</v>
      </c>
      <c r="V127" s="9" t="str">
        <f aca="false">U127&amp;" - "&amp;W127</f>
        <v>二次空气泵 - 通用</v>
      </c>
      <c r="W127" s="12" t="s">
        <v>76</v>
      </c>
      <c r="X127" s="12" t="s">
        <v>373</v>
      </c>
      <c r="Y127" s="10" t="n">
        <f aca="false">G127</f>
        <v>25</v>
      </c>
      <c r="Z127" s="10" t="n">
        <f aca="false">H127</f>
        <v>15</v>
      </c>
      <c r="AA127" s="10" t="n">
        <f aca="false">I127</f>
        <v>10</v>
      </c>
      <c r="AB127" s="10" t="n">
        <f aca="false">J127</f>
        <v>0.9</v>
      </c>
      <c r="AC127" s="9" t="s">
        <v>718</v>
      </c>
      <c r="AD127" s="9" t="s">
        <v>759</v>
      </c>
      <c r="AE127" s="9" t="str">
        <f aca="false">IF($AK127=0,"",INDEX('Part types'!$T:$T,$AK127)&amp;"")</f>
        <v>Combustion engine (petrol, diesel, hybrid, range extender)</v>
      </c>
      <c r="AF127" s="9" t="str">
        <f aca="false">IF($AK127=0,"",INDEX('Part types'!$U:$U,$AK127)&amp;"")</f>
        <v/>
      </c>
      <c r="AG127" s="9" t="str">
        <f aca="false">IF($AK127=0,"",INDEX('Part types'!$V:$V,$AK127)&amp;"")</f>
        <v>Estimate: size class M</v>
      </c>
      <c r="AH127" s="9" t="str">
        <f aca="false">IF($AK127=0,"",INDEX('Part types'!$W:$W,$AK127)&amp;"")</f>
        <v>Secondary Air Injection Pump</v>
      </c>
      <c r="AI127" s="11" t="str">
        <f aca="false">IF($AK127=0,"",INDEX('Part types'!$X:$X,$AK127)&amp;"")</f>
        <v/>
      </c>
      <c r="AJ127" s="9" t="str">
        <f aca="false">IF($AK127=0,"",INDEX('Part types'!$Y:$Y,$AK127)&amp;"")</f>
        <v/>
      </c>
      <c r="AK127" s="9" t="n">
        <f aca="false">IFERROR(MATCH($AD127,'Part types'!$E:$E,0),0)</f>
        <v>121</v>
      </c>
    </row>
    <row r="128" customFormat="false" ht="15" hidden="false" customHeight="false" outlineLevel="0" collapsed="false">
      <c r="A128" s="9" t="s">
        <v>760</v>
      </c>
      <c r="B128" s="9" t="s">
        <v>761</v>
      </c>
      <c r="C128" s="9" t="s">
        <v>762</v>
      </c>
      <c r="D128" s="9" t="str">
        <f aca="false">C128&amp;" - "&amp;E128</f>
        <v>Radiator - Universal</v>
      </c>
      <c r="E128" s="9" t="s">
        <v>68</v>
      </c>
      <c r="F128" s="9" t="s">
        <v>496</v>
      </c>
      <c r="G128" s="10" t="n">
        <f aca="false">IF($AK128=0,"",INDEX('Part types'!$P:$P,$AK128))</f>
        <v>60</v>
      </c>
      <c r="H128" s="10" t="n">
        <f aca="false">IF($AK128=0,"",INDEX('Part types'!$Q:$Q,$AK128))</f>
        <v>40</v>
      </c>
      <c r="I128" s="10" t="n">
        <f aca="false">IF($AK128=0,"",INDEX('Part types'!$R:$R,$AK128))</f>
        <v>8</v>
      </c>
      <c r="J128" s="10" t="n">
        <f aca="false">IF($AK128=0,"",INDEX('Part types'!$S:$S,$AK128))</f>
        <v>6</v>
      </c>
      <c r="K128" s="11" t="s">
        <v>763</v>
      </c>
      <c r="L128" s="11" t="s">
        <v>764</v>
      </c>
      <c r="M128" s="11" t="str">
        <f aca="false">L128&amp;" - "&amp;N128</f>
        <v>رديتر المحرك - عام</v>
      </c>
      <c r="N128" s="11" t="s">
        <v>72</v>
      </c>
      <c r="O128" s="11" t="s">
        <v>498</v>
      </c>
      <c r="P128" s="10" t="n">
        <f aca="false">G128</f>
        <v>60</v>
      </c>
      <c r="Q128" s="10" t="n">
        <f aca="false">H128</f>
        <v>40</v>
      </c>
      <c r="R128" s="10" t="n">
        <f aca="false">I128</f>
        <v>8</v>
      </c>
      <c r="S128" s="10" t="n">
        <f aca="false">J128</f>
        <v>6</v>
      </c>
      <c r="T128" s="12" t="s">
        <v>765</v>
      </c>
      <c r="U128" s="12" t="s">
        <v>766</v>
      </c>
      <c r="V128" s="9" t="str">
        <f aca="false">U128&amp;" - "&amp;W128</f>
        <v>发动机散热器 - 通用</v>
      </c>
      <c r="W128" s="12" t="s">
        <v>76</v>
      </c>
      <c r="X128" s="12" t="s">
        <v>500</v>
      </c>
      <c r="Y128" s="10" t="n">
        <f aca="false">G128</f>
        <v>60</v>
      </c>
      <c r="Z128" s="10" t="n">
        <f aca="false">H128</f>
        <v>40</v>
      </c>
      <c r="AA128" s="10" t="n">
        <f aca="false">I128</f>
        <v>8</v>
      </c>
      <c r="AB128" s="10" t="n">
        <f aca="false">J128</f>
        <v>6</v>
      </c>
      <c r="AC128" s="9" t="s">
        <v>767</v>
      </c>
      <c r="AD128" s="9" t="s">
        <v>768</v>
      </c>
      <c r="AE128" s="9" t="str">
        <f aca="false">IF($AK128=0,"",INDEX('Part types'!$T:$T,$AK128)&amp;"")</f>
        <v>Combustion engine (petrol, diesel, hybrid, range extender)</v>
      </c>
      <c r="AF128" s="9" t="str">
        <f aca="false">IF($AK128=0,"",INDEX('Part types'!$U:$U,$AK128)&amp;"")</f>
        <v/>
      </c>
      <c r="AG128" s="9" t="str">
        <f aca="false">IF($AK128=0,"",INDEX('Part types'!$V:$V,$AK128)&amp;"")</f>
        <v>Estimate: item-specific</v>
      </c>
      <c r="AH128" s="9" t="str">
        <f aca="false">IF($AK128=0,"",INDEX('Part types'!$W:$W,$AK128)&amp;"")</f>
        <v/>
      </c>
      <c r="AI128" s="11" t="str">
        <f aca="false">IF($AK128=0,"",INDEX('Part types'!$X:$X,$AK128)&amp;"")</f>
        <v/>
      </c>
      <c r="AJ128" s="9" t="str">
        <f aca="false">IF($AK128=0,"",INDEX('Part types'!$Y:$Y,$AK128)&amp;"")</f>
        <v/>
      </c>
      <c r="AK128" s="9" t="n">
        <f aca="false">IFERROR(MATCH($AD128,'Part types'!$E:$E,0),0)</f>
        <v>122</v>
      </c>
    </row>
    <row r="129" customFormat="false" ht="15" hidden="false" customHeight="false" outlineLevel="0" collapsed="false">
      <c r="A129" s="9" t="s">
        <v>769</v>
      </c>
      <c r="B129" s="9" t="s">
        <v>761</v>
      </c>
      <c r="C129" s="9" t="s">
        <v>770</v>
      </c>
      <c r="D129" s="9" t="str">
        <f aca="false">C129&amp;" - "&amp;E129</f>
        <v>Radiator Cap - Universal</v>
      </c>
      <c r="E129" s="9" t="s">
        <v>68</v>
      </c>
      <c r="F129" s="9" t="s">
        <v>496</v>
      </c>
      <c r="G129" s="10" t="n">
        <f aca="false">IF($AK129=0,"",INDEX('Part types'!$P:$P,$AK129))</f>
        <v>10</v>
      </c>
      <c r="H129" s="10" t="n">
        <f aca="false">IF($AK129=0,"",INDEX('Part types'!$Q:$Q,$AK129))</f>
        <v>8</v>
      </c>
      <c r="I129" s="10" t="n">
        <f aca="false">IF($AK129=0,"",INDEX('Part types'!$R:$R,$AK129))</f>
        <v>6</v>
      </c>
      <c r="J129" s="10" t="n">
        <f aca="false">IF($AK129=0,"",INDEX('Part types'!$S:$S,$AK129))</f>
        <v>0.1</v>
      </c>
      <c r="K129" s="11" t="s">
        <v>763</v>
      </c>
      <c r="L129" s="11" t="s">
        <v>771</v>
      </c>
      <c r="M129" s="11" t="str">
        <f aca="false">L129&amp;" - "&amp;N129</f>
        <v>غطاء الرديتر - عام</v>
      </c>
      <c r="N129" s="11" t="s">
        <v>72</v>
      </c>
      <c r="O129" s="11" t="s">
        <v>498</v>
      </c>
      <c r="P129" s="10" t="n">
        <f aca="false">G129</f>
        <v>10</v>
      </c>
      <c r="Q129" s="10" t="n">
        <f aca="false">H129</f>
        <v>8</v>
      </c>
      <c r="R129" s="10" t="n">
        <f aca="false">I129</f>
        <v>6</v>
      </c>
      <c r="S129" s="10" t="n">
        <f aca="false">J129</f>
        <v>0.1</v>
      </c>
      <c r="T129" s="12" t="s">
        <v>765</v>
      </c>
      <c r="U129" s="12" t="s">
        <v>772</v>
      </c>
      <c r="V129" s="9" t="str">
        <f aca="false">U129&amp;" - "&amp;W129</f>
        <v>散热器盖 - 通用</v>
      </c>
      <c r="W129" s="12" t="s">
        <v>76</v>
      </c>
      <c r="X129" s="12" t="s">
        <v>500</v>
      </c>
      <c r="Y129" s="10" t="n">
        <f aca="false">G129</f>
        <v>10</v>
      </c>
      <c r="Z129" s="10" t="n">
        <f aca="false">H129</f>
        <v>8</v>
      </c>
      <c r="AA129" s="10" t="n">
        <f aca="false">I129</f>
        <v>6</v>
      </c>
      <c r="AB129" s="10" t="n">
        <f aca="false">J129</f>
        <v>0.1</v>
      </c>
      <c r="AC129" s="9" t="s">
        <v>767</v>
      </c>
      <c r="AD129" s="9" t="s">
        <v>773</v>
      </c>
      <c r="AE129" s="9" t="str">
        <f aca="false">IF($AK129=0,"",INDEX('Part types'!$T:$T,$AK129)&amp;"")</f>
        <v>Combustion engine (petrol, diesel, hybrid, range extender)</v>
      </c>
      <c r="AF129" s="9" t="str">
        <f aca="false">IF($AK129=0,"",INDEX('Part types'!$U:$U,$AK129)&amp;"")</f>
        <v/>
      </c>
      <c r="AG129" s="9" t="str">
        <f aca="false">IF($AK129=0,"",INDEX('Part types'!$V:$V,$AK129)&amp;"")</f>
        <v>Estimate: size class XS</v>
      </c>
      <c r="AH129" s="9" t="str">
        <f aca="false">IF($AK129=0,"",INDEX('Part types'!$W:$W,$AK129)&amp;"")</f>
        <v/>
      </c>
      <c r="AI129" s="11" t="str">
        <f aca="false">IF($AK129=0,"",INDEX('Part types'!$X:$X,$AK129)&amp;"")</f>
        <v/>
      </c>
      <c r="AJ129" s="9" t="str">
        <f aca="false">IF($AK129=0,"",INDEX('Part types'!$Y:$Y,$AK129)&amp;"")</f>
        <v/>
      </c>
      <c r="AK129" s="9" t="n">
        <f aca="false">IFERROR(MATCH($AD129,'Part types'!$E:$E,0),0)</f>
        <v>123</v>
      </c>
    </row>
    <row r="130" customFormat="false" ht="15" hidden="false" customHeight="false" outlineLevel="0" collapsed="false">
      <c r="A130" s="9" t="s">
        <v>774</v>
      </c>
      <c r="B130" s="9" t="s">
        <v>761</v>
      </c>
      <c r="C130" s="9" t="s">
        <v>775</v>
      </c>
      <c r="D130" s="9" t="str">
        <f aca="false">C130&amp;" - "&amp;E130</f>
        <v>Radiator Upper Hose - Universal</v>
      </c>
      <c r="E130" s="9" t="s">
        <v>68</v>
      </c>
      <c r="F130" s="9" t="s">
        <v>496</v>
      </c>
      <c r="G130" s="10" t="n">
        <f aca="false">IF($AK130=0,"",INDEX('Part types'!$P:$P,$AK130))</f>
        <v>25</v>
      </c>
      <c r="H130" s="10" t="n">
        <f aca="false">IF($AK130=0,"",INDEX('Part types'!$Q:$Q,$AK130))</f>
        <v>15</v>
      </c>
      <c r="I130" s="10" t="n">
        <f aca="false">IF($AK130=0,"",INDEX('Part types'!$R:$R,$AK130))</f>
        <v>10</v>
      </c>
      <c r="J130" s="10" t="n">
        <f aca="false">IF($AK130=0,"",INDEX('Part types'!$S:$S,$AK130))</f>
        <v>0.9</v>
      </c>
      <c r="K130" s="11" t="s">
        <v>763</v>
      </c>
      <c r="L130" s="11" t="s">
        <v>776</v>
      </c>
      <c r="M130" s="11" t="str">
        <f aca="false">L130&amp;" - "&amp;N130</f>
        <v>خرطوم الرديتر العلوي - عام</v>
      </c>
      <c r="N130" s="11" t="s">
        <v>72</v>
      </c>
      <c r="O130" s="11" t="s">
        <v>498</v>
      </c>
      <c r="P130" s="10" t="n">
        <f aca="false">G130</f>
        <v>25</v>
      </c>
      <c r="Q130" s="10" t="n">
        <f aca="false">H130</f>
        <v>15</v>
      </c>
      <c r="R130" s="10" t="n">
        <f aca="false">I130</f>
        <v>10</v>
      </c>
      <c r="S130" s="10" t="n">
        <f aca="false">J130</f>
        <v>0.9</v>
      </c>
      <c r="T130" s="12" t="s">
        <v>765</v>
      </c>
      <c r="U130" s="12" t="s">
        <v>777</v>
      </c>
      <c r="V130" s="9" t="str">
        <f aca="false">U130&amp;" - "&amp;W130</f>
        <v>散热器上水管 - 通用</v>
      </c>
      <c r="W130" s="12" t="s">
        <v>76</v>
      </c>
      <c r="X130" s="12" t="s">
        <v>500</v>
      </c>
      <c r="Y130" s="10" t="n">
        <f aca="false">G130</f>
        <v>25</v>
      </c>
      <c r="Z130" s="10" t="n">
        <f aca="false">H130</f>
        <v>15</v>
      </c>
      <c r="AA130" s="10" t="n">
        <f aca="false">I130</f>
        <v>10</v>
      </c>
      <c r="AB130" s="10" t="n">
        <f aca="false">J130</f>
        <v>0.9</v>
      </c>
      <c r="AC130" s="9" t="s">
        <v>767</v>
      </c>
      <c r="AD130" s="9" t="s">
        <v>778</v>
      </c>
      <c r="AE130" s="9" t="str">
        <f aca="false">IF($AK130=0,"",INDEX('Part types'!$T:$T,$AK130)&amp;"")</f>
        <v>Combustion engine (petrol, diesel, hybrid, range extender)</v>
      </c>
      <c r="AF130" s="9" t="str">
        <f aca="false">IF($AK130=0,"",INDEX('Part types'!$U:$U,$AK130)&amp;"")</f>
        <v/>
      </c>
      <c r="AG130" s="9" t="str">
        <f aca="false">IF($AK130=0,"",INDEX('Part types'!$V:$V,$AK130)&amp;"")</f>
        <v>Estimate: size class M</v>
      </c>
      <c r="AH130" s="9" t="str">
        <f aca="false">IF($AK130=0,"",INDEX('Part types'!$W:$W,$AK130)&amp;"")</f>
        <v/>
      </c>
      <c r="AI130" s="11" t="str">
        <f aca="false">IF($AK130=0,"",INDEX('Part types'!$X:$X,$AK130)&amp;"")</f>
        <v/>
      </c>
      <c r="AJ130" s="9" t="str">
        <f aca="false">IF($AK130=0,"",INDEX('Part types'!$Y:$Y,$AK130)&amp;"")</f>
        <v/>
      </c>
      <c r="AK130" s="9" t="n">
        <f aca="false">IFERROR(MATCH($AD130,'Part types'!$E:$E,0),0)</f>
        <v>124</v>
      </c>
    </row>
    <row r="131" customFormat="false" ht="15" hidden="false" customHeight="false" outlineLevel="0" collapsed="false">
      <c r="A131" s="9" t="s">
        <v>779</v>
      </c>
      <c r="B131" s="9" t="s">
        <v>761</v>
      </c>
      <c r="C131" s="9" t="s">
        <v>780</v>
      </c>
      <c r="D131" s="9" t="str">
        <f aca="false">C131&amp;" - "&amp;E131</f>
        <v>Radiator Lower Hose - Universal</v>
      </c>
      <c r="E131" s="9" t="s">
        <v>68</v>
      </c>
      <c r="F131" s="9" t="s">
        <v>496</v>
      </c>
      <c r="G131" s="10" t="n">
        <f aca="false">IF($AK131=0,"",INDEX('Part types'!$P:$P,$AK131))</f>
        <v>25</v>
      </c>
      <c r="H131" s="10" t="n">
        <f aca="false">IF($AK131=0,"",INDEX('Part types'!$Q:$Q,$AK131))</f>
        <v>15</v>
      </c>
      <c r="I131" s="10" t="n">
        <f aca="false">IF($AK131=0,"",INDEX('Part types'!$R:$R,$AK131))</f>
        <v>10</v>
      </c>
      <c r="J131" s="10" t="n">
        <f aca="false">IF($AK131=0,"",INDEX('Part types'!$S:$S,$AK131))</f>
        <v>0.9</v>
      </c>
      <c r="K131" s="11" t="s">
        <v>763</v>
      </c>
      <c r="L131" s="11" t="s">
        <v>781</v>
      </c>
      <c r="M131" s="11" t="str">
        <f aca="false">L131&amp;" - "&amp;N131</f>
        <v>خرطوم الرديتر السفلي - عام</v>
      </c>
      <c r="N131" s="11" t="s">
        <v>72</v>
      </c>
      <c r="O131" s="11" t="s">
        <v>498</v>
      </c>
      <c r="P131" s="10" t="n">
        <f aca="false">G131</f>
        <v>25</v>
      </c>
      <c r="Q131" s="10" t="n">
        <f aca="false">H131</f>
        <v>15</v>
      </c>
      <c r="R131" s="10" t="n">
        <f aca="false">I131</f>
        <v>10</v>
      </c>
      <c r="S131" s="10" t="n">
        <f aca="false">J131</f>
        <v>0.9</v>
      </c>
      <c r="T131" s="12" t="s">
        <v>765</v>
      </c>
      <c r="U131" s="12" t="s">
        <v>782</v>
      </c>
      <c r="V131" s="9" t="str">
        <f aca="false">U131&amp;" - "&amp;W131</f>
        <v>散热器下水管 - 通用</v>
      </c>
      <c r="W131" s="12" t="s">
        <v>76</v>
      </c>
      <c r="X131" s="12" t="s">
        <v>500</v>
      </c>
      <c r="Y131" s="10" t="n">
        <f aca="false">G131</f>
        <v>25</v>
      </c>
      <c r="Z131" s="10" t="n">
        <f aca="false">H131</f>
        <v>15</v>
      </c>
      <c r="AA131" s="10" t="n">
        <f aca="false">I131</f>
        <v>10</v>
      </c>
      <c r="AB131" s="10" t="n">
        <f aca="false">J131</f>
        <v>0.9</v>
      </c>
      <c r="AC131" s="9" t="s">
        <v>767</v>
      </c>
      <c r="AD131" s="9" t="s">
        <v>783</v>
      </c>
      <c r="AE131" s="9" t="str">
        <f aca="false">IF($AK131=0,"",INDEX('Part types'!$T:$T,$AK131)&amp;"")</f>
        <v>Combustion engine (petrol, diesel, hybrid, range extender)</v>
      </c>
      <c r="AF131" s="9" t="str">
        <f aca="false">IF($AK131=0,"",INDEX('Part types'!$U:$U,$AK131)&amp;"")</f>
        <v/>
      </c>
      <c r="AG131" s="9" t="str">
        <f aca="false">IF($AK131=0,"",INDEX('Part types'!$V:$V,$AK131)&amp;"")</f>
        <v>Estimate: size class M</v>
      </c>
      <c r="AH131" s="9" t="str">
        <f aca="false">IF($AK131=0,"",INDEX('Part types'!$W:$W,$AK131)&amp;"")</f>
        <v/>
      </c>
      <c r="AI131" s="11" t="str">
        <f aca="false">IF($AK131=0,"",INDEX('Part types'!$X:$X,$AK131)&amp;"")</f>
        <v/>
      </c>
      <c r="AJ131" s="9" t="str">
        <f aca="false">IF($AK131=0,"",INDEX('Part types'!$Y:$Y,$AK131)&amp;"")</f>
        <v/>
      </c>
      <c r="AK131" s="9" t="n">
        <f aca="false">IFERROR(MATCH($AD131,'Part types'!$E:$E,0),0)</f>
        <v>125</v>
      </c>
    </row>
    <row r="132" customFormat="false" ht="15" hidden="false" customHeight="false" outlineLevel="0" collapsed="false">
      <c r="A132" s="9" t="s">
        <v>784</v>
      </c>
      <c r="B132" s="9" t="s">
        <v>761</v>
      </c>
      <c r="C132" s="9" t="s">
        <v>785</v>
      </c>
      <c r="D132" s="9" t="str">
        <f aca="false">C132&amp;" - "&amp;E132</f>
        <v>Radiator Drain Plug - Universal</v>
      </c>
      <c r="E132" s="9" t="s">
        <v>68</v>
      </c>
      <c r="F132" s="9" t="s">
        <v>496</v>
      </c>
      <c r="G132" s="10" t="n">
        <f aca="false">IF($AK132=0,"",INDEX('Part types'!$P:$P,$AK132))</f>
        <v>10</v>
      </c>
      <c r="H132" s="10" t="n">
        <f aca="false">IF($AK132=0,"",INDEX('Part types'!$Q:$Q,$AK132))</f>
        <v>8</v>
      </c>
      <c r="I132" s="10" t="n">
        <f aca="false">IF($AK132=0,"",INDEX('Part types'!$R:$R,$AK132))</f>
        <v>6</v>
      </c>
      <c r="J132" s="10" t="n">
        <f aca="false">IF($AK132=0,"",INDEX('Part types'!$S:$S,$AK132))</f>
        <v>0.1</v>
      </c>
      <c r="K132" s="11" t="s">
        <v>763</v>
      </c>
      <c r="L132" s="11" t="s">
        <v>786</v>
      </c>
      <c r="M132" s="11" t="str">
        <f aca="false">L132&amp;" - "&amp;N132</f>
        <v>سدادة تصريف الرديتر - عام</v>
      </c>
      <c r="N132" s="11" t="s">
        <v>72</v>
      </c>
      <c r="O132" s="11" t="s">
        <v>498</v>
      </c>
      <c r="P132" s="10" t="n">
        <f aca="false">G132</f>
        <v>10</v>
      </c>
      <c r="Q132" s="10" t="n">
        <f aca="false">H132</f>
        <v>8</v>
      </c>
      <c r="R132" s="10" t="n">
        <f aca="false">I132</f>
        <v>6</v>
      </c>
      <c r="S132" s="10" t="n">
        <f aca="false">J132</f>
        <v>0.1</v>
      </c>
      <c r="T132" s="12" t="s">
        <v>765</v>
      </c>
      <c r="U132" s="12" t="s">
        <v>787</v>
      </c>
      <c r="V132" s="9" t="str">
        <f aca="false">U132&amp;" - "&amp;W132</f>
        <v>散热器放水螺塞 - 通用</v>
      </c>
      <c r="W132" s="12" t="s">
        <v>76</v>
      </c>
      <c r="X132" s="12" t="s">
        <v>500</v>
      </c>
      <c r="Y132" s="10" t="n">
        <f aca="false">G132</f>
        <v>10</v>
      </c>
      <c r="Z132" s="10" t="n">
        <f aca="false">H132</f>
        <v>8</v>
      </c>
      <c r="AA132" s="10" t="n">
        <f aca="false">I132</f>
        <v>6</v>
      </c>
      <c r="AB132" s="10" t="n">
        <f aca="false">J132</f>
        <v>0.1</v>
      </c>
      <c r="AC132" s="9" t="s">
        <v>767</v>
      </c>
      <c r="AD132" s="9" t="s">
        <v>788</v>
      </c>
      <c r="AE132" s="9" t="str">
        <f aca="false">IF($AK132=0,"",INDEX('Part types'!$T:$T,$AK132)&amp;"")</f>
        <v>Combustion engine (petrol, diesel, hybrid, range extender)</v>
      </c>
      <c r="AF132" s="9" t="str">
        <f aca="false">IF($AK132=0,"",INDEX('Part types'!$U:$U,$AK132)&amp;"")</f>
        <v/>
      </c>
      <c r="AG132" s="9" t="str">
        <f aca="false">IF($AK132=0,"",INDEX('Part types'!$V:$V,$AK132)&amp;"")</f>
        <v>Estimate: size class XS</v>
      </c>
      <c r="AH132" s="9" t="str">
        <f aca="false">IF($AK132=0,"",INDEX('Part types'!$W:$W,$AK132)&amp;"")</f>
        <v/>
      </c>
      <c r="AI132" s="11" t="str">
        <f aca="false">IF($AK132=0,"",INDEX('Part types'!$X:$X,$AK132)&amp;"")</f>
        <v/>
      </c>
      <c r="AJ132" s="9" t="str">
        <f aca="false">IF($AK132=0,"",INDEX('Part types'!$Y:$Y,$AK132)&amp;"")</f>
        <v/>
      </c>
      <c r="AK132" s="9" t="n">
        <f aca="false">IFERROR(MATCH($AD132,'Part types'!$E:$E,0),0)</f>
        <v>126</v>
      </c>
    </row>
    <row r="133" customFormat="false" ht="15" hidden="false" customHeight="false" outlineLevel="0" collapsed="false">
      <c r="A133" s="9" t="s">
        <v>789</v>
      </c>
      <c r="B133" s="9" t="s">
        <v>761</v>
      </c>
      <c r="C133" s="9" t="s">
        <v>790</v>
      </c>
      <c r="D133" s="9" t="str">
        <f aca="false">C133&amp;" - "&amp;E133</f>
        <v>Coolant Expansion Tank - Universal</v>
      </c>
      <c r="E133" s="9" t="s">
        <v>68</v>
      </c>
      <c r="F133" s="9" t="s">
        <v>69</v>
      </c>
      <c r="G133" s="10" t="n">
        <f aca="false">IF($AK133=0,"",INDEX('Part types'!$P:$P,$AK133))</f>
        <v>40</v>
      </c>
      <c r="H133" s="10" t="n">
        <f aca="false">IF($AK133=0,"",INDEX('Part types'!$Q:$Q,$AK133))</f>
        <v>25</v>
      </c>
      <c r="I133" s="10" t="n">
        <f aca="false">IF($AK133=0,"",INDEX('Part types'!$R:$R,$AK133))</f>
        <v>15</v>
      </c>
      <c r="J133" s="10" t="n">
        <f aca="false">IF($AK133=0,"",INDEX('Part types'!$S:$S,$AK133))</f>
        <v>3</v>
      </c>
      <c r="K133" s="11" t="s">
        <v>763</v>
      </c>
      <c r="L133" s="11" t="s">
        <v>791</v>
      </c>
      <c r="M133" s="11" t="str">
        <f aca="false">L133&amp;" - "&amp;N133</f>
        <v>خزان تمدد المياه - عام</v>
      </c>
      <c r="N133" s="11" t="s">
        <v>72</v>
      </c>
      <c r="O133" s="11" t="s">
        <v>73</v>
      </c>
      <c r="P133" s="10" t="n">
        <f aca="false">G133</f>
        <v>40</v>
      </c>
      <c r="Q133" s="10" t="n">
        <f aca="false">H133</f>
        <v>25</v>
      </c>
      <c r="R133" s="10" t="n">
        <f aca="false">I133</f>
        <v>15</v>
      </c>
      <c r="S133" s="10" t="n">
        <f aca="false">J133</f>
        <v>3</v>
      </c>
      <c r="T133" s="12" t="s">
        <v>765</v>
      </c>
      <c r="U133" s="12" t="s">
        <v>792</v>
      </c>
      <c r="V133" s="9" t="str">
        <f aca="false">U133&amp;" - "&amp;W133</f>
        <v>膨胀水箱 - 通用</v>
      </c>
      <c r="W133" s="12" t="s">
        <v>76</v>
      </c>
      <c r="X133" s="12" t="s">
        <v>77</v>
      </c>
      <c r="Y133" s="10" t="n">
        <f aca="false">G133</f>
        <v>40</v>
      </c>
      <c r="Z133" s="10" t="n">
        <f aca="false">H133</f>
        <v>25</v>
      </c>
      <c r="AA133" s="10" t="n">
        <f aca="false">I133</f>
        <v>15</v>
      </c>
      <c r="AB133" s="10" t="n">
        <f aca="false">J133</f>
        <v>3</v>
      </c>
      <c r="AC133" s="9" t="s">
        <v>767</v>
      </c>
      <c r="AD133" s="9" t="s">
        <v>793</v>
      </c>
      <c r="AE133" s="9" t="str">
        <f aca="false">IF($AK133=0,"",INDEX('Part types'!$T:$T,$AK133)&amp;"")</f>
        <v>All vehicles</v>
      </c>
      <c r="AF133" s="9" t="str">
        <f aca="false">IF($AK133=0,"",INDEX('Part types'!$U:$U,$AK133)&amp;"")</f>
        <v/>
      </c>
      <c r="AG133" s="9" t="str">
        <f aca="false">IF($AK133=0,"",INDEX('Part types'!$V:$V,$AK133)&amp;"")</f>
        <v>Estimate: size class L</v>
      </c>
      <c r="AH133" s="9" t="str">
        <f aca="false">IF($AK133=0,"",INDEX('Part types'!$W:$W,$AK133)&amp;"")</f>
        <v/>
      </c>
      <c r="AI133" s="11" t="str">
        <f aca="false">IF($AK133=0,"",INDEX('Part types'!$X:$X,$AK133)&amp;"")</f>
        <v/>
      </c>
      <c r="AJ133" s="9" t="str">
        <f aca="false">IF($AK133=0,"",INDEX('Part types'!$Y:$Y,$AK133)&amp;"")</f>
        <v/>
      </c>
      <c r="AK133" s="9" t="n">
        <f aca="false">IFERROR(MATCH($AD133,'Part types'!$E:$E,0),0)</f>
        <v>127</v>
      </c>
    </row>
    <row r="134" customFormat="false" ht="15" hidden="false" customHeight="false" outlineLevel="0" collapsed="false">
      <c r="A134" s="9" t="s">
        <v>794</v>
      </c>
      <c r="B134" s="9" t="s">
        <v>761</v>
      </c>
      <c r="C134" s="9" t="s">
        <v>795</v>
      </c>
      <c r="D134" s="9" t="str">
        <f aca="false">C134&amp;" - "&amp;E134</f>
        <v>Expansion Tank Cap - Universal</v>
      </c>
      <c r="E134" s="9" t="s">
        <v>68</v>
      </c>
      <c r="F134" s="9" t="s">
        <v>69</v>
      </c>
      <c r="G134" s="10" t="n">
        <f aca="false">IF($AK134=0,"",INDEX('Part types'!$P:$P,$AK134))</f>
        <v>10</v>
      </c>
      <c r="H134" s="10" t="n">
        <f aca="false">IF($AK134=0,"",INDEX('Part types'!$Q:$Q,$AK134))</f>
        <v>8</v>
      </c>
      <c r="I134" s="10" t="n">
        <f aca="false">IF($AK134=0,"",INDEX('Part types'!$R:$R,$AK134))</f>
        <v>6</v>
      </c>
      <c r="J134" s="10" t="n">
        <f aca="false">IF($AK134=0,"",INDEX('Part types'!$S:$S,$AK134))</f>
        <v>0.1</v>
      </c>
      <c r="K134" s="11" t="s">
        <v>763</v>
      </c>
      <c r="L134" s="11" t="s">
        <v>796</v>
      </c>
      <c r="M134" s="11" t="str">
        <f aca="false">L134&amp;" - "&amp;N134</f>
        <v>غطاء خزان التمدد - عام</v>
      </c>
      <c r="N134" s="11" t="s">
        <v>72</v>
      </c>
      <c r="O134" s="11" t="s">
        <v>73</v>
      </c>
      <c r="P134" s="10" t="n">
        <f aca="false">G134</f>
        <v>10</v>
      </c>
      <c r="Q134" s="10" t="n">
        <f aca="false">H134</f>
        <v>8</v>
      </c>
      <c r="R134" s="10" t="n">
        <f aca="false">I134</f>
        <v>6</v>
      </c>
      <c r="S134" s="10" t="n">
        <f aca="false">J134</f>
        <v>0.1</v>
      </c>
      <c r="T134" s="12" t="s">
        <v>765</v>
      </c>
      <c r="U134" s="12" t="s">
        <v>797</v>
      </c>
      <c r="V134" s="9" t="str">
        <f aca="false">U134&amp;" - "&amp;W134</f>
        <v>膨胀水箱盖 - 通用</v>
      </c>
      <c r="W134" s="12" t="s">
        <v>76</v>
      </c>
      <c r="X134" s="12" t="s">
        <v>77</v>
      </c>
      <c r="Y134" s="10" t="n">
        <f aca="false">G134</f>
        <v>10</v>
      </c>
      <c r="Z134" s="10" t="n">
        <f aca="false">H134</f>
        <v>8</v>
      </c>
      <c r="AA134" s="10" t="n">
        <f aca="false">I134</f>
        <v>6</v>
      </c>
      <c r="AB134" s="10" t="n">
        <f aca="false">J134</f>
        <v>0.1</v>
      </c>
      <c r="AC134" s="9" t="s">
        <v>767</v>
      </c>
      <c r="AD134" s="9" t="s">
        <v>798</v>
      </c>
      <c r="AE134" s="9" t="str">
        <f aca="false">IF($AK134=0,"",INDEX('Part types'!$T:$T,$AK134)&amp;"")</f>
        <v>All vehicles</v>
      </c>
      <c r="AF134" s="9" t="str">
        <f aca="false">IF($AK134=0,"",INDEX('Part types'!$U:$U,$AK134)&amp;"")</f>
        <v/>
      </c>
      <c r="AG134" s="9" t="str">
        <f aca="false">IF($AK134=0,"",INDEX('Part types'!$V:$V,$AK134)&amp;"")</f>
        <v>Estimate: size class XS</v>
      </c>
      <c r="AH134" s="9" t="str">
        <f aca="false">IF($AK134=0,"",INDEX('Part types'!$W:$W,$AK134)&amp;"")</f>
        <v>Coolant Expansion Tank Cap</v>
      </c>
      <c r="AI134" s="11" t="str">
        <f aca="false">IF($AK134=0,"",INDEX('Part types'!$X:$X,$AK134)&amp;"")</f>
        <v/>
      </c>
      <c r="AJ134" s="9" t="str">
        <f aca="false">IF($AK134=0,"",INDEX('Part types'!$Y:$Y,$AK134)&amp;"")</f>
        <v/>
      </c>
      <c r="AK134" s="9" t="n">
        <f aca="false">IFERROR(MATCH($AD134,'Part types'!$E:$E,0),0)</f>
        <v>128</v>
      </c>
    </row>
    <row r="135" customFormat="false" ht="15" hidden="false" customHeight="false" outlineLevel="0" collapsed="false">
      <c r="A135" s="9" t="s">
        <v>799</v>
      </c>
      <c r="B135" s="9" t="s">
        <v>761</v>
      </c>
      <c r="C135" s="9" t="s">
        <v>800</v>
      </c>
      <c r="D135" s="9" t="str">
        <f aca="false">C135&amp;" - "&amp;E135</f>
        <v>Water Pump - Universal</v>
      </c>
      <c r="E135" s="9" t="s">
        <v>68</v>
      </c>
      <c r="F135" s="9" t="s">
        <v>266</v>
      </c>
      <c r="G135" s="10" t="n">
        <f aca="false">IF($AK135=0,"",INDEX('Part types'!$P:$P,$AK135))</f>
        <v>30</v>
      </c>
      <c r="H135" s="10" t="n">
        <f aca="false">IF($AK135=0,"",INDEX('Part types'!$Q:$Q,$AK135))</f>
        <v>20</v>
      </c>
      <c r="I135" s="10" t="n">
        <f aca="false">IF($AK135=0,"",INDEX('Part types'!$R:$R,$AK135))</f>
        <v>15</v>
      </c>
      <c r="J135" s="10" t="n">
        <f aca="false">IF($AK135=0,"",INDEX('Part types'!$S:$S,$AK135))</f>
        <v>1.8</v>
      </c>
      <c r="K135" s="11" t="s">
        <v>763</v>
      </c>
      <c r="L135" s="11" t="s">
        <v>801</v>
      </c>
      <c r="M135" s="11" t="str">
        <f aca="false">L135&amp;" - "&amp;N135</f>
        <v>مضخة المياه - عام</v>
      </c>
      <c r="N135" s="11" t="s">
        <v>72</v>
      </c>
      <c r="O135" s="11" t="s">
        <v>269</v>
      </c>
      <c r="P135" s="10" t="n">
        <f aca="false">G135</f>
        <v>30</v>
      </c>
      <c r="Q135" s="10" t="n">
        <f aca="false">H135</f>
        <v>20</v>
      </c>
      <c r="R135" s="10" t="n">
        <f aca="false">I135</f>
        <v>15</v>
      </c>
      <c r="S135" s="10" t="n">
        <f aca="false">J135</f>
        <v>1.8</v>
      </c>
      <c r="T135" s="12" t="s">
        <v>765</v>
      </c>
      <c r="U135" s="12" t="s">
        <v>802</v>
      </c>
      <c r="V135" s="9" t="str">
        <f aca="false">U135&amp;" - "&amp;W135</f>
        <v>水泵 - 通用</v>
      </c>
      <c r="W135" s="12" t="s">
        <v>76</v>
      </c>
      <c r="X135" s="12" t="s">
        <v>272</v>
      </c>
      <c r="Y135" s="10" t="n">
        <f aca="false">G135</f>
        <v>30</v>
      </c>
      <c r="Z135" s="10" t="n">
        <f aca="false">H135</f>
        <v>20</v>
      </c>
      <c r="AA135" s="10" t="n">
        <f aca="false">I135</f>
        <v>15</v>
      </c>
      <c r="AB135" s="10" t="n">
        <f aca="false">J135</f>
        <v>1.8</v>
      </c>
      <c r="AC135" s="9" t="s">
        <v>767</v>
      </c>
      <c r="AD135" s="9" t="s">
        <v>803</v>
      </c>
      <c r="AE135" s="9" t="str">
        <f aca="false">IF($AK135=0,"",INDEX('Part types'!$T:$T,$AK135)&amp;"")</f>
        <v>Combustion engine (petrol, diesel, hybrid, range extender)</v>
      </c>
      <c r="AF135" s="9" t="str">
        <f aca="false">IF($AK135=0,"",INDEX('Part types'!$U:$U,$AK135)&amp;"")</f>
        <v/>
      </c>
      <c r="AG135" s="9" t="str">
        <f aca="false">IF($AK135=0,"",INDEX('Part types'!$V:$V,$AK135)&amp;"")</f>
        <v>Estimate: size class M2</v>
      </c>
      <c r="AH135" s="9" t="str">
        <f aca="false">IF($AK135=0,"",INDEX('Part types'!$W:$W,$AK135)&amp;"")</f>
        <v/>
      </c>
      <c r="AI135" s="11" t="str">
        <f aca="false">IF($AK135=0,"",INDEX('Part types'!$X:$X,$AK135)&amp;"")</f>
        <v/>
      </c>
      <c r="AJ135" s="9" t="str">
        <f aca="false">IF($AK135=0,"",INDEX('Part types'!$Y:$Y,$AK135)&amp;"")</f>
        <v/>
      </c>
      <c r="AK135" s="9" t="n">
        <f aca="false">IFERROR(MATCH($AD135,'Part types'!$E:$E,0),0)</f>
        <v>129</v>
      </c>
    </row>
    <row r="136" customFormat="false" ht="15" hidden="false" customHeight="false" outlineLevel="0" collapsed="false">
      <c r="A136" s="9" t="s">
        <v>804</v>
      </c>
      <c r="B136" s="9" t="s">
        <v>761</v>
      </c>
      <c r="C136" s="9" t="s">
        <v>805</v>
      </c>
      <c r="D136" s="9" t="str">
        <f aca="false">C136&amp;" - "&amp;E136</f>
        <v>Auxiliary Water Pump - Universal</v>
      </c>
      <c r="E136" s="9" t="s">
        <v>68</v>
      </c>
      <c r="F136" s="9" t="s">
        <v>69</v>
      </c>
      <c r="G136" s="10" t="n">
        <f aca="false">IF($AK136=0,"",INDEX('Part types'!$P:$P,$AK136))</f>
        <v>25</v>
      </c>
      <c r="H136" s="10" t="n">
        <f aca="false">IF($AK136=0,"",INDEX('Part types'!$Q:$Q,$AK136))</f>
        <v>15</v>
      </c>
      <c r="I136" s="10" t="n">
        <f aca="false">IF($AK136=0,"",INDEX('Part types'!$R:$R,$AK136))</f>
        <v>10</v>
      </c>
      <c r="J136" s="10" t="n">
        <f aca="false">IF($AK136=0,"",INDEX('Part types'!$S:$S,$AK136))</f>
        <v>0.9</v>
      </c>
      <c r="K136" s="11" t="s">
        <v>763</v>
      </c>
      <c r="L136" s="11" t="s">
        <v>806</v>
      </c>
      <c r="M136" s="11" t="str">
        <f aca="false">L136&amp;" - "&amp;N136</f>
        <v>مضخة مياه مساعدة - عام</v>
      </c>
      <c r="N136" s="11" t="s">
        <v>72</v>
      </c>
      <c r="O136" s="11" t="s">
        <v>73</v>
      </c>
      <c r="P136" s="10" t="n">
        <f aca="false">G136</f>
        <v>25</v>
      </c>
      <c r="Q136" s="10" t="n">
        <f aca="false">H136</f>
        <v>15</v>
      </c>
      <c r="R136" s="10" t="n">
        <f aca="false">I136</f>
        <v>10</v>
      </c>
      <c r="S136" s="10" t="n">
        <f aca="false">J136</f>
        <v>0.9</v>
      </c>
      <c r="T136" s="12" t="s">
        <v>765</v>
      </c>
      <c r="U136" s="12" t="s">
        <v>807</v>
      </c>
      <c r="V136" s="9" t="str">
        <f aca="false">U136&amp;" - "&amp;W136</f>
        <v>辅助水泵 - 通用</v>
      </c>
      <c r="W136" s="12" t="s">
        <v>76</v>
      </c>
      <c r="X136" s="12" t="s">
        <v>77</v>
      </c>
      <c r="Y136" s="10" t="n">
        <f aca="false">G136</f>
        <v>25</v>
      </c>
      <c r="Z136" s="10" t="n">
        <f aca="false">H136</f>
        <v>15</v>
      </c>
      <c r="AA136" s="10" t="n">
        <f aca="false">I136</f>
        <v>10</v>
      </c>
      <c r="AB136" s="10" t="n">
        <f aca="false">J136</f>
        <v>0.9</v>
      </c>
      <c r="AC136" s="9" t="s">
        <v>767</v>
      </c>
      <c r="AD136" s="9" t="s">
        <v>808</v>
      </c>
      <c r="AE136" s="9" t="str">
        <f aca="false">IF($AK136=0,"",INDEX('Part types'!$T:$T,$AK136)&amp;"")</f>
        <v>All vehicles</v>
      </c>
      <c r="AF136" s="9" t="str">
        <f aca="false">IF($AK136=0,"",INDEX('Part types'!$U:$U,$AK136)&amp;"")</f>
        <v/>
      </c>
      <c r="AG136" s="9" t="str">
        <f aca="false">IF($AK136=0,"",INDEX('Part types'!$V:$V,$AK136)&amp;"")</f>
        <v>Estimate: size class M</v>
      </c>
      <c r="AH136" s="9" t="str">
        <f aca="false">IF($AK136=0,"",INDEX('Part types'!$W:$W,$AK136)&amp;"")</f>
        <v/>
      </c>
      <c r="AI136" s="11" t="str">
        <f aca="false">IF($AK136=0,"",INDEX('Part types'!$X:$X,$AK136)&amp;"")</f>
        <v/>
      </c>
      <c r="AJ136" s="9" t="str">
        <f aca="false">IF($AK136=0,"",INDEX('Part types'!$Y:$Y,$AK136)&amp;"")</f>
        <v/>
      </c>
      <c r="AK136" s="9" t="n">
        <f aca="false">IFERROR(MATCH($AD136,'Part types'!$E:$E,0),0)</f>
        <v>130</v>
      </c>
    </row>
    <row r="137" customFormat="false" ht="15" hidden="false" customHeight="false" outlineLevel="0" collapsed="false">
      <c r="A137" s="9" t="s">
        <v>809</v>
      </c>
      <c r="B137" s="9" t="s">
        <v>761</v>
      </c>
      <c r="C137" s="9" t="s">
        <v>810</v>
      </c>
      <c r="D137" s="9" t="str">
        <f aca="false">C137&amp;" - "&amp;E137</f>
        <v>Thermostat - Universal</v>
      </c>
      <c r="E137" s="9" t="s">
        <v>68</v>
      </c>
      <c r="F137" s="9" t="s">
        <v>266</v>
      </c>
      <c r="G137" s="10" t="n">
        <f aca="false">IF($AK137=0,"",INDEX('Part types'!$P:$P,$AK137))</f>
        <v>15</v>
      </c>
      <c r="H137" s="10" t="n">
        <f aca="false">IF($AK137=0,"",INDEX('Part types'!$Q:$Q,$AK137))</f>
        <v>10</v>
      </c>
      <c r="I137" s="10" t="n">
        <f aca="false">IF($AK137=0,"",INDEX('Part types'!$R:$R,$AK137))</f>
        <v>8</v>
      </c>
      <c r="J137" s="10" t="n">
        <f aca="false">IF($AK137=0,"",INDEX('Part types'!$S:$S,$AK137))</f>
        <v>0.3</v>
      </c>
      <c r="K137" s="11" t="s">
        <v>763</v>
      </c>
      <c r="L137" s="11" t="s">
        <v>811</v>
      </c>
      <c r="M137" s="11" t="str">
        <f aca="false">L137&amp;" - "&amp;N137</f>
        <v>ثرموستات - عام</v>
      </c>
      <c r="N137" s="11" t="s">
        <v>72</v>
      </c>
      <c r="O137" s="11" t="s">
        <v>269</v>
      </c>
      <c r="P137" s="10" t="n">
        <f aca="false">G137</f>
        <v>15</v>
      </c>
      <c r="Q137" s="10" t="n">
        <f aca="false">H137</f>
        <v>10</v>
      </c>
      <c r="R137" s="10" t="n">
        <f aca="false">I137</f>
        <v>8</v>
      </c>
      <c r="S137" s="10" t="n">
        <f aca="false">J137</f>
        <v>0.3</v>
      </c>
      <c r="T137" s="12" t="s">
        <v>765</v>
      </c>
      <c r="U137" s="12" t="s">
        <v>812</v>
      </c>
      <c r="V137" s="9" t="str">
        <f aca="false">U137&amp;" - "&amp;W137</f>
        <v>节温器 - 通用</v>
      </c>
      <c r="W137" s="12" t="s">
        <v>76</v>
      </c>
      <c r="X137" s="12" t="s">
        <v>272</v>
      </c>
      <c r="Y137" s="10" t="n">
        <f aca="false">G137</f>
        <v>15</v>
      </c>
      <c r="Z137" s="10" t="n">
        <f aca="false">H137</f>
        <v>10</v>
      </c>
      <c r="AA137" s="10" t="n">
        <f aca="false">I137</f>
        <v>8</v>
      </c>
      <c r="AB137" s="10" t="n">
        <f aca="false">J137</f>
        <v>0.3</v>
      </c>
      <c r="AC137" s="9" t="s">
        <v>767</v>
      </c>
      <c r="AD137" s="9" t="s">
        <v>813</v>
      </c>
      <c r="AE137" s="9" t="str">
        <f aca="false">IF($AK137=0,"",INDEX('Part types'!$T:$T,$AK137)&amp;"")</f>
        <v>Combustion engine (petrol, diesel, hybrid, range extender)</v>
      </c>
      <c r="AF137" s="9" t="str">
        <f aca="false">IF($AK137=0,"",INDEX('Part types'!$U:$U,$AK137)&amp;"")</f>
        <v/>
      </c>
      <c r="AG137" s="9" t="str">
        <f aca="false">IF($AK137=0,"",INDEX('Part types'!$V:$V,$AK137)&amp;"")</f>
        <v>Estimate: size class S</v>
      </c>
      <c r="AH137" s="9" t="str">
        <f aca="false">IF($AK137=0,"",INDEX('Part types'!$W:$W,$AK137)&amp;"")</f>
        <v/>
      </c>
      <c r="AI137" s="11" t="str">
        <f aca="false">IF($AK137=0,"",INDEX('Part types'!$X:$X,$AK137)&amp;"")</f>
        <v/>
      </c>
      <c r="AJ137" s="9" t="str">
        <f aca="false">IF($AK137=0,"",INDEX('Part types'!$Y:$Y,$AK137)&amp;"")</f>
        <v/>
      </c>
      <c r="AK137" s="9" t="n">
        <f aca="false">IFERROR(MATCH($AD137,'Part types'!$E:$E,0),0)</f>
        <v>131</v>
      </c>
    </row>
    <row r="138" customFormat="false" ht="15" hidden="false" customHeight="false" outlineLevel="0" collapsed="false">
      <c r="A138" s="9" t="s">
        <v>814</v>
      </c>
      <c r="B138" s="9" t="s">
        <v>761</v>
      </c>
      <c r="C138" s="9" t="s">
        <v>815</v>
      </c>
      <c r="D138" s="9" t="str">
        <f aca="false">C138&amp;" - "&amp;E138</f>
        <v>Thermostat Housing - Universal</v>
      </c>
      <c r="E138" s="9" t="s">
        <v>68</v>
      </c>
      <c r="F138" s="9" t="s">
        <v>266</v>
      </c>
      <c r="G138" s="10" t="n">
        <f aca="false">IF($AK138=0,"",INDEX('Part types'!$P:$P,$AK138))</f>
        <v>25</v>
      </c>
      <c r="H138" s="10" t="n">
        <f aca="false">IF($AK138=0,"",INDEX('Part types'!$Q:$Q,$AK138))</f>
        <v>15</v>
      </c>
      <c r="I138" s="10" t="n">
        <f aca="false">IF($AK138=0,"",INDEX('Part types'!$R:$R,$AK138))</f>
        <v>10</v>
      </c>
      <c r="J138" s="10" t="n">
        <f aca="false">IF($AK138=0,"",INDEX('Part types'!$S:$S,$AK138))</f>
        <v>0.9</v>
      </c>
      <c r="K138" s="11" t="s">
        <v>763</v>
      </c>
      <c r="L138" s="11" t="s">
        <v>816</v>
      </c>
      <c r="M138" s="11" t="str">
        <f aca="false">L138&amp;" - "&amp;N138</f>
        <v>بيت الثرموستات - عام</v>
      </c>
      <c r="N138" s="11" t="s">
        <v>72</v>
      </c>
      <c r="O138" s="11" t="s">
        <v>269</v>
      </c>
      <c r="P138" s="10" t="n">
        <f aca="false">G138</f>
        <v>25</v>
      </c>
      <c r="Q138" s="10" t="n">
        <f aca="false">H138</f>
        <v>15</v>
      </c>
      <c r="R138" s="10" t="n">
        <f aca="false">I138</f>
        <v>10</v>
      </c>
      <c r="S138" s="10" t="n">
        <f aca="false">J138</f>
        <v>0.9</v>
      </c>
      <c r="T138" s="12" t="s">
        <v>765</v>
      </c>
      <c r="U138" s="12" t="s">
        <v>817</v>
      </c>
      <c r="V138" s="9" t="str">
        <f aca="false">U138&amp;" - "&amp;W138</f>
        <v>节温器壳体 - 通用</v>
      </c>
      <c r="W138" s="12" t="s">
        <v>76</v>
      </c>
      <c r="X138" s="12" t="s">
        <v>272</v>
      </c>
      <c r="Y138" s="10" t="n">
        <f aca="false">G138</f>
        <v>25</v>
      </c>
      <c r="Z138" s="10" t="n">
        <f aca="false">H138</f>
        <v>15</v>
      </c>
      <c r="AA138" s="10" t="n">
        <f aca="false">I138</f>
        <v>10</v>
      </c>
      <c r="AB138" s="10" t="n">
        <f aca="false">J138</f>
        <v>0.9</v>
      </c>
      <c r="AC138" s="9" t="s">
        <v>767</v>
      </c>
      <c r="AD138" s="9" t="s">
        <v>818</v>
      </c>
      <c r="AE138" s="9" t="str">
        <f aca="false">IF($AK138=0,"",INDEX('Part types'!$T:$T,$AK138)&amp;"")</f>
        <v>Combustion engine (petrol, diesel, hybrid, range extender)</v>
      </c>
      <c r="AF138" s="9" t="str">
        <f aca="false">IF($AK138=0,"",INDEX('Part types'!$U:$U,$AK138)&amp;"")</f>
        <v/>
      </c>
      <c r="AG138" s="9" t="str">
        <f aca="false">IF($AK138=0,"",INDEX('Part types'!$V:$V,$AK138)&amp;"")</f>
        <v>Estimate: size class M</v>
      </c>
      <c r="AH138" s="9" t="str">
        <f aca="false">IF($AK138=0,"",INDEX('Part types'!$W:$W,$AK138)&amp;"")</f>
        <v/>
      </c>
      <c r="AI138" s="11" t="str">
        <f aca="false">IF($AK138=0,"",INDEX('Part types'!$X:$X,$AK138)&amp;"")</f>
        <v/>
      </c>
      <c r="AJ138" s="9" t="str">
        <f aca="false">IF($AK138=0,"",INDEX('Part types'!$Y:$Y,$AK138)&amp;"")</f>
        <v/>
      </c>
      <c r="AK138" s="9" t="n">
        <f aca="false">IFERROR(MATCH($AD138,'Part types'!$E:$E,0),0)</f>
        <v>132</v>
      </c>
    </row>
    <row r="139" customFormat="false" ht="15" hidden="false" customHeight="false" outlineLevel="0" collapsed="false">
      <c r="A139" s="9" t="s">
        <v>819</v>
      </c>
      <c r="B139" s="9" t="s">
        <v>761</v>
      </c>
      <c r="C139" s="9" t="s">
        <v>820</v>
      </c>
      <c r="D139" s="9" t="str">
        <f aca="false">C139&amp;" - "&amp;E139</f>
        <v>Coolant Pipe - Universal</v>
      </c>
      <c r="E139" s="9" t="s">
        <v>68</v>
      </c>
      <c r="F139" s="9" t="s">
        <v>69</v>
      </c>
      <c r="G139" s="10" t="n">
        <f aca="false">IF($AK139=0,"",INDEX('Part types'!$P:$P,$AK139))</f>
        <v>25</v>
      </c>
      <c r="H139" s="10" t="n">
        <f aca="false">IF($AK139=0,"",INDEX('Part types'!$Q:$Q,$AK139))</f>
        <v>15</v>
      </c>
      <c r="I139" s="10" t="n">
        <f aca="false">IF($AK139=0,"",INDEX('Part types'!$R:$R,$AK139))</f>
        <v>10</v>
      </c>
      <c r="J139" s="10" t="n">
        <f aca="false">IF($AK139=0,"",INDEX('Part types'!$S:$S,$AK139))</f>
        <v>0.9</v>
      </c>
      <c r="K139" s="11" t="s">
        <v>763</v>
      </c>
      <c r="L139" s="11" t="s">
        <v>821</v>
      </c>
      <c r="M139" s="11" t="str">
        <f aca="false">L139&amp;" - "&amp;N139</f>
        <v>ماسورة المياه - عام</v>
      </c>
      <c r="N139" s="11" t="s">
        <v>72</v>
      </c>
      <c r="O139" s="11" t="s">
        <v>73</v>
      </c>
      <c r="P139" s="10" t="n">
        <f aca="false">G139</f>
        <v>25</v>
      </c>
      <c r="Q139" s="10" t="n">
        <f aca="false">H139</f>
        <v>15</v>
      </c>
      <c r="R139" s="10" t="n">
        <f aca="false">I139</f>
        <v>10</v>
      </c>
      <c r="S139" s="10" t="n">
        <f aca="false">J139</f>
        <v>0.9</v>
      </c>
      <c r="T139" s="12" t="s">
        <v>765</v>
      </c>
      <c r="U139" s="12" t="s">
        <v>822</v>
      </c>
      <c r="V139" s="9" t="str">
        <f aca="false">U139&amp;" - "&amp;W139</f>
        <v>冷却水管 - 通用</v>
      </c>
      <c r="W139" s="12" t="s">
        <v>76</v>
      </c>
      <c r="X139" s="12" t="s">
        <v>77</v>
      </c>
      <c r="Y139" s="10" t="n">
        <f aca="false">G139</f>
        <v>25</v>
      </c>
      <c r="Z139" s="10" t="n">
        <f aca="false">H139</f>
        <v>15</v>
      </c>
      <c r="AA139" s="10" t="n">
        <f aca="false">I139</f>
        <v>10</v>
      </c>
      <c r="AB139" s="10" t="n">
        <f aca="false">J139</f>
        <v>0.9</v>
      </c>
      <c r="AC139" s="9" t="s">
        <v>767</v>
      </c>
      <c r="AD139" s="9" t="s">
        <v>823</v>
      </c>
      <c r="AE139" s="9" t="str">
        <f aca="false">IF($AK139=0,"",INDEX('Part types'!$T:$T,$AK139)&amp;"")</f>
        <v>All vehicles</v>
      </c>
      <c r="AF139" s="9" t="str">
        <f aca="false">IF($AK139=0,"",INDEX('Part types'!$U:$U,$AK139)&amp;"")</f>
        <v/>
      </c>
      <c r="AG139" s="9" t="str">
        <f aca="false">IF($AK139=0,"",INDEX('Part types'!$V:$V,$AK139)&amp;"")</f>
        <v>Estimate: size class M</v>
      </c>
      <c r="AH139" s="9" t="str">
        <f aca="false">IF($AK139=0,"",INDEX('Part types'!$W:$W,$AK139)&amp;"")</f>
        <v/>
      </c>
      <c r="AI139" s="11" t="str">
        <f aca="false">IF($AK139=0,"",INDEX('Part types'!$X:$X,$AK139)&amp;"")</f>
        <v/>
      </c>
      <c r="AJ139" s="9" t="str">
        <f aca="false">IF($AK139=0,"",INDEX('Part types'!$Y:$Y,$AK139)&amp;"")</f>
        <v/>
      </c>
      <c r="AK139" s="9" t="n">
        <f aca="false">IFERROR(MATCH($AD139,'Part types'!$E:$E,0),0)</f>
        <v>133</v>
      </c>
    </row>
    <row r="140" customFormat="false" ht="15" hidden="false" customHeight="false" outlineLevel="0" collapsed="false">
      <c r="A140" s="9" t="s">
        <v>824</v>
      </c>
      <c r="B140" s="9" t="s">
        <v>761</v>
      </c>
      <c r="C140" s="9" t="s">
        <v>825</v>
      </c>
      <c r="D140" s="9" t="str">
        <f aca="false">C140&amp;" - "&amp;E140</f>
        <v>Coolant Hose Set - Universal</v>
      </c>
      <c r="E140" s="9" t="s">
        <v>68</v>
      </c>
      <c r="F140" s="9" t="s">
        <v>69</v>
      </c>
      <c r="G140" s="10" t="n">
        <f aca="false">IF($AK140=0,"",INDEX('Part types'!$P:$P,$AK140))</f>
        <v>30</v>
      </c>
      <c r="H140" s="10" t="n">
        <f aca="false">IF($AK140=0,"",INDEX('Part types'!$Q:$Q,$AK140))</f>
        <v>20</v>
      </c>
      <c r="I140" s="10" t="n">
        <f aca="false">IF($AK140=0,"",INDEX('Part types'!$R:$R,$AK140))</f>
        <v>15</v>
      </c>
      <c r="J140" s="10" t="n">
        <f aca="false">IF($AK140=0,"",INDEX('Part types'!$S:$S,$AK140))</f>
        <v>1.8</v>
      </c>
      <c r="K140" s="11" t="s">
        <v>763</v>
      </c>
      <c r="L140" s="11" t="s">
        <v>826</v>
      </c>
      <c r="M140" s="11" t="str">
        <f aca="false">L140&amp;" - "&amp;N140</f>
        <v>طقم خراطيم المياه - عام</v>
      </c>
      <c r="N140" s="11" t="s">
        <v>72</v>
      </c>
      <c r="O140" s="11" t="s">
        <v>73</v>
      </c>
      <c r="P140" s="10" t="n">
        <f aca="false">G140</f>
        <v>30</v>
      </c>
      <c r="Q140" s="10" t="n">
        <f aca="false">H140</f>
        <v>20</v>
      </c>
      <c r="R140" s="10" t="n">
        <f aca="false">I140</f>
        <v>15</v>
      </c>
      <c r="S140" s="10" t="n">
        <f aca="false">J140</f>
        <v>1.8</v>
      </c>
      <c r="T140" s="12" t="s">
        <v>765</v>
      </c>
      <c r="U140" s="12" t="s">
        <v>827</v>
      </c>
      <c r="V140" s="9" t="str">
        <f aca="false">U140&amp;" - "&amp;W140</f>
        <v>冷却水管套装 - 通用</v>
      </c>
      <c r="W140" s="12" t="s">
        <v>76</v>
      </c>
      <c r="X140" s="12" t="s">
        <v>77</v>
      </c>
      <c r="Y140" s="10" t="n">
        <f aca="false">G140</f>
        <v>30</v>
      </c>
      <c r="Z140" s="10" t="n">
        <f aca="false">H140</f>
        <v>20</v>
      </c>
      <c r="AA140" s="10" t="n">
        <f aca="false">I140</f>
        <v>15</v>
      </c>
      <c r="AB140" s="10" t="n">
        <f aca="false">J140</f>
        <v>1.8</v>
      </c>
      <c r="AC140" s="9" t="s">
        <v>767</v>
      </c>
      <c r="AD140" s="9" t="s">
        <v>828</v>
      </c>
      <c r="AE140" s="9" t="str">
        <f aca="false">IF($AK140=0,"",INDEX('Part types'!$T:$T,$AK140)&amp;"")</f>
        <v>All vehicles</v>
      </c>
      <c r="AF140" s="9" t="str">
        <f aca="false">IF($AK140=0,"",INDEX('Part types'!$U:$U,$AK140)&amp;"")</f>
        <v/>
      </c>
      <c r="AG140" s="9" t="str">
        <f aca="false">IF($AK140=0,"",INDEX('Part types'!$V:$V,$AK140)&amp;"")</f>
        <v>Estimate: size class M2</v>
      </c>
      <c r="AH140" s="9" t="str">
        <f aca="false">IF($AK140=0,"",INDEX('Part types'!$W:$W,$AK140)&amp;"")</f>
        <v/>
      </c>
      <c r="AI140" s="11" t="str">
        <f aca="false">IF($AK140=0,"",INDEX('Part types'!$X:$X,$AK140)&amp;"")</f>
        <v/>
      </c>
      <c r="AJ140" s="9" t="str">
        <f aca="false">IF($AK140=0,"",INDEX('Part types'!$Y:$Y,$AK140)&amp;"")</f>
        <v/>
      </c>
      <c r="AK140" s="9" t="n">
        <f aca="false">IFERROR(MATCH($AD140,'Part types'!$E:$E,0),0)</f>
        <v>134</v>
      </c>
    </row>
    <row r="141" customFormat="false" ht="15" hidden="false" customHeight="false" outlineLevel="0" collapsed="false">
      <c r="A141" s="9" t="s">
        <v>829</v>
      </c>
      <c r="B141" s="9" t="s">
        <v>761</v>
      </c>
      <c r="C141" s="9" t="s">
        <v>830</v>
      </c>
      <c r="D141" s="9" t="str">
        <f aca="false">C141&amp;" - "&amp;E141</f>
        <v>Heater Hose Set - Universal</v>
      </c>
      <c r="E141" s="9" t="s">
        <v>68</v>
      </c>
      <c r="F141" s="9" t="s">
        <v>831</v>
      </c>
      <c r="G141" s="10" t="n">
        <f aca="false">IF($AK141=0,"",INDEX('Part types'!$P:$P,$AK141))</f>
        <v>25</v>
      </c>
      <c r="H141" s="10" t="n">
        <f aca="false">IF($AK141=0,"",INDEX('Part types'!$Q:$Q,$AK141))</f>
        <v>15</v>
      </c>
      <c r="I141" s="10" t="n">
        <f aca="false">IF($AK141=0,"",INDEX('Part types'!$R:$R,$AK141))</f>
        <v>10</v>
      </c>
      <c r="J141" s="10" t="n">
        <f aca="false">IF($AK141=0,"",INDEX('Part types'!$S:$S,$AK141))</f>
        <v>0.9</v>
      </c>
      <c r="K141" s="11" t="s">
        <v>763</v>
      </c>
      <c r="L141" s="11" t="s">
        <v>832</v>
      </c>
      <c r="M141" s="11" t="str">
        <f aca="false">L141&amp;" - "&amp;N141</f>
        <v>طقم خراطيم الهيتر - عام</v>
      </c>
      <c r="N141" s="11" t="s">
        <v>72</v>
      </c>
      <c r="O141" s="11" t="s">
        <v>833</v>
      </c>
      <c r="P141" s="10" t="n">
        <f aca="false">G141</f>
        <v>25</v>
      </c>
      <c r="Q141" s="10" t="n">
        <f aca="false">H141</f>
        <v>15</v>
      </c>
      <c r="R141" s="10" t="n">
        <f aca="false">I141</f>
        <v>10</v>
      </c>
      <c r="S141" s="10" t="n">
        <f aca="false">J141</f>
        <v>0.9</v>
      </c>
      <c r="T141" s="12" t="s">
        <v>765</v>
      </c>
      <c r="U141" s="12" t="s">
        <v>834</v>
      </c>
      <c r="V141" s="9" t="str">
        <f aca="false">U141&amp;" - "&amp;W141</f>
        <v>暖风水管套装 - 通用</v>
      </c>
      <c r="W141" s="12" t="s">
        <v>76</v>
      </c>
      <c r="X141" s="12" t="s">
        <v>835</v>
      </c>
      <c r="Y141" s="10" t="n">
        <f aca="false">G141</f>
        <v>25</v>
      </c>
      <c r="Z141" s="10" t="n">
        <f aca="false">H141</f>
        <v>15</v>
      </c>
      <c r="AA141" s="10" t="n">
        <f aca="false">I141</f>
        <v>10</v>
      </c>
      <c r="AB141" s="10" t="n">
        <f aca="false">J141</f>
        <v>0.9</v>
      </c>
      <c r="AC141" s="9" t="s">
        <v>767</v>
      </c>
      <c r="AD141" s="9" t="s">
        <v>836</v>
      </c>
      <c r="AE141" s="9" t="str">
        <f aca="false">IF($AK141=0,"",INDEX('Part types'!$T:$T,$AK141)&amp;"")</f>
        <v>All vehicles</v>
      </c>
      <c r="AF141" s="9" t="str">
        <f aca="false">IF($AK141=0,"",INDEX('Part types'!$U:$U,$AK141)&amp;"")</f>
        <v/>
      </c>
      <c r="AG141" s="9" t="str">
        <f aca="false">IF($AK141=0,"",INDEX('Part types'!$V:$V,$AK141)&amp;"")</f>
        <v>Estimate: size class M</v>
      </c>
      <c r="AH141" s="9" t="str">
        <f aca="false">IF($AK141=0,"",INDEX('Part types'!$W:$W,$AK141)&amp;"")</f>
        <v/>
      </c>
      <c r="AI141" s="11" t="str">
        <f aca="false">IF($AK141=0,"",INDEX('Part types'!$X:$X,$AK141)&amp;"")</f>
        <v/>
      </c>
      <c r="AJ141" s="9" t="str">
        <f aca="false">IF($AK141=0,"",INDEX('Part types'!$Y:$Y,$AK141)&amp;"")</f>
        <v/>
      </c>
      <c r="AK141" s="9" t="n">
        <f aca="false">IFERROR(MATCH($AD141,'Part types'!$E:$E,0),0)</f>
        <v>135</v>
      </c>
    </row>
    <row r="142" customFormat="false" ht="15" hidden="false" customHeight="false" outlineLevel="0" collapsed="false">
      <c r="A142" s="9" t="s">
        <v>837</v>
      </c>
      <c r="B142" s="9" t="s">
        <v>761</v>
      </c>
      <c r="C142" s="9" t="s">
        <v>838</v>
      </c>
      <c r="D142" s="9" t="str">
        <f aca="false">C142&amp;" - "&amp;E142</f>
        <v>Heater Control Valve - Universal</v>
      </c>
      <c r="E142" s="9" t="s">
        <v>68</v>
      </c>
      <c r="F142" s="9" t="s">
        <v>831</v>
      </c>
      <c r="G142" s="10" t="n">
        <f aca="false">IF($AK142=0,"",INDEX('Part types'!$P:$P,$AK142))</f>
        <v>15</v>
      </c>
      <c r="H142" s="10" t="n">
        <f aca="false">IF($AK142=0,"",INDEX('Part types'!$Q:$Q,$AK142))</f>
        <v>10</v>
      </c>
      <c r="I142" s="10" t="n">
        <f aca="false">IF($AK142=0,"",INDEX('Part types'!$R:$R,$AK142))</f>
        <v>8</v>
      </c>
      <c r="J142" s="10" t="n">
        <f aca="false">IF($AK142=0,"",INDEX('Part types'!$S:$S,$AK142))</f>
        <v>0.3</v>
      </c>
      <c r="K142" s="11" t="s">
        <v>763</v>
      </c>
      <c r="L142" s="11" t="s">
        <v>839</v>
      </c>
      <c r="M142" s="11" t="str">
        <f aca="false">L142&amp;" - "&amp;N142</f>
        <v>صمام التحكم بالهيتر - عام</v>
      </c>
      <c r="N142" s="11" t="s">
        <v>72</v>
      </c>
      <c r="O142" s="11" t="s">
        <v>833</v>
      </c>
      <c r="P142" s="10" t="n">
        <f aca="false">G142</f>
        <v>15</v>
      </c>
      <c r="Q142" s="10" t="n">
        <f aca="false">H142</f>
        <v>10</v>
      </c>
      <c r="R142" s="10" t="n">
        <f aca="false">I142</f>
        <v>8</v>
      </c>
      <c r="S142" s="10" t="n">
        <f aca="false">J142</f>
        <v>0.3</v>
      </c>
      <c r="T142" s="12" t="s">
        <v>765</v>
      </c>
      <c r="U142" s="12" t="s">
        <v>840</v>
      </c>
      <c r="V142" s="9" t="str">
        <f aca="false">U142&amp;" - "&amp;W142</f>
        <v>暖风控制阀 - 通用</v>
      </c>
      <c r="W142" s="12" t="s">
        <v>76</v>
      </c>
      <c r="X142" s="12" t="s">
        <v>835</v>
      </c>
      <c r="Y142" s="10" t="n">
        <f aca="false">G142</f>
        <v>15</v>
      </c>
      <c r="Z142" s="10" t="n">
        <f aca="false">H142</f>
        <v>10</v>
      </c>
      <c r="AA142" s="10" t="n">
        <f aca="false">I142</f>
        <v>8</v>
      </c>
      <c r="AB142" s="10" t="n">
        <f aca="false">J142</f>
        <v>0.3</v>
      </c>
      <c r="AC142" s="9" t="s">
        <v>767</v>
      </c>
      <c r="AD142" s="9" t="s">
        <v>841</v>
      </c>
      <c r="AE142" s="9" t="str">
        <f aca="false">IF($AK142=0,"",INDEX('Part types'!$T:$T,$AK142)&amp;"")</f>
        <v>All vehicles</v>
      </c>
      <c r="AF142" s="9" t="str">
        <f aca="false">IF($AK142=0,"",INDEX('Part types'!$U:$U,$AK142)&amp;"")</f>
        <v/>
      </c>
      <c r="AG142" s="9" t="str">
        <f aca="false">IF($AK142=0,"",INDEX('Part types'!$V:$V,$AK142)&amp;"")</f>
        <v>Estimate: size class S</v>
      </c>
      <c r="AH142" s="9" t="str">
        <f aca="false">IF($AK142=0,"",INDEX('Part types'!$W:$W,$AK142)&amp;"")</f>
        <v/>
      </c>
      <c r="AI142" s="11" t="str">
        <f aca="false">IF($AK142=0,"",INDEX('Part types'!$X:$X,$AK142)&amp;"")</f>
        <v/>
      </c>
      <c r="AJ142" s="9" t="str">
        <f aca="false">IF($AK142=0,"",INDEX('Part types'!$Y:$Y,$AK142)&amp;"")</f>
        <v/>
      </c>
      <c r="AK142" s="9" t="n">
        <f aca="false">IFERROR(MATCH($AD142,'Part types'!$E:$E,0),0)</f>
        <v>136</v>
      </c>
    </row>
    <row r="143" customFormat="false" ht="15" hidden="false" customHeight="false" outlineLevel="0" collapsed="false">
      <c r="A143" s="9" t="s">
        <v>842</v>
      </c>
      <c r="B143" s="9" t="s">
        <v>761</v>
      </c>
      <c r="C143" s="9" t="s">
        <v>843</v>
      </c>
      <c r="D143" s="9" t="str">
        <f aca="false">C143&amp;" - "&amp;E143</f>
        <v>Radiator Cooling Fan - Universal</v>
      </c>
      <c r="E143" s="9" t="s">
        <v>68</v>
      </c>
      <c r="F143" s="9" t="s">
        <v>496</v>
      </c>
      <c r="G143" s="10" t="n">
        <f aca="false">IF($AK143=0,"",INDEX('Part types'!$P:$P,$AK143))</f>
        <v>50</v>
      </c>
      <c r="H143" s="10" t="n">
        <f aca="false">IF($AK143=0,"",INDEX('Part types'!$Q:$Q,$AK143))</f>
        <v>50</v>
      </c>
      <c r="I143" s="10" t="n">
        <f aca="false">IF($AK143=0,"",INDEX('Part types'!$R:$R,$AK143))</f>
        <v>15</v>
      </c>
      <c r="J143" s="10" t="n">
        <f aca="false">IF($AK143=0,"",INDEX('Part types'!$S:$S,$AK143))</f>
        <v>3</v>
      </c>
      <c r="K143" s="11" t="s">
        <v>763</v>
      </c>
      <c r="L143" s="11" t="s">
        <v>844</v>
      </c>
      <c r="M143" s="11" t="str">
        <f aca="false">L143&amp;" - "&amp;N143</f>
        <v>مروحة الرديتر - عام</v>
      </c>
      <c r="N143" s="11" t="s">
        <v>72</v>
      </c>
      <c r="O143" s="11" t="s">
        <v>498</v>
      </c>
      <c r="P143" s="10" t="n">
        <f aca="false">G143</f>
        <v>50</v>
      </c>
      <c r="Q143" s="10" t="n">
        <f aca="false">H143</f>
        <v>50</v>
      </c>
      <c r="R143" s="10" t="n">
        <f aca="false">I143</f>
        <v>15</v>
      </c>
      <c r="S143" s="10" t="n">
        <f aca="false">J143</f>
        <v>3</v>
      </c>
      <c r="T143" s="12" t="s">
        <v>765</v>
      </c>
      <c r="U143" s="12" t="s">
        <v>845</v>
      </c>
      <c r="V143" s="9" t="str">
        <f aca="false">U143&amp;" - "&amp;W143</f>
        <v>散热风扇 - 通用</v>
      </c>
      <c r="W143" s="12" t="s">
        <v>76</v>
      </c>
      <c r="X143" s="12" t="s">
        <v>500</v>
      </c>
      <c r="Y143" s="10" t="n">
        <f aca="false">G143</f>
        <v>50</v>
      </c>
      <c r="Z143" s="10" t="n">
        <f aca="false">H143</f>
        <v>50</v>
      </c>
      <c r="AA143" s="10" t="n">
        <f aca="false">I143</f>
        <v>15</v>
      </c>
      <c r="AB143" s="10" t="n">
        <f aca="false">J143</f>
        <v>3</v>
      </c>
      <c r="AC143" s="9" t="s">
        <v>767</v>
      </c>
      <c r="AD143" s="9" t="s">
        <v>846</v>
      </c>
      <c r="AE143" s="9" t="str">
        <f aca="false">IF($AK143=0,"",INDEX('Part types'!$T:$T,$AK143)&amp;"")</f>
        <v>All vehicles</v>
      </c>
      <c r="AF143" s="9" t="str">
        <f aca="false">IF($AK143=0,"",INDEX('Part types'!$U:$U,$AK143)&amp;"")</f>
        <v/>
      </c>
      <c r="AG143" s="9" t="str">
        <f aca="false">IF($AK143=0,"",INDEX('Part types'!$V:$V,$AK143)&amp;"")</f>
        <v>Estimate: item-specific</v>
      </c>
      <c r="AH143" s="9" t="str">
        <f aca="false">IF($AK143=0,"",INDEX('Part types'!$W:$W,$AK143)&amp;"")</f>
        <v/>
      </c>
      <c r="AI143" s="11" t="str">
        <f aca="false">IF($AK143=0,"",INDEX('Part types'!$X:$X,$AK143)&amp;"")</f>
        <v/>
      </c>
      <c r="AJ143" s="9" t="str">
        <f aca="false">IF($AK143=0,"",INDEX('Part types'!$Y:$Y,$AK143)&amp;"")</f>
        <v/>
      </c>
      <c r="AK143" s="9" t="n">
        <f aca="false">IFERROR(MATCH($AD143,'Part types'!$E:$E,0),0)</f>
        <v>137</v>
      </c>
    </row>
    <row r="144" customFormat="false" ht="15" hidden="false" customHeight="false" outlineLevel="0" collapsed="false">
      <c r="A144" s="9" t="s">
        <v>847</v>
      </c>
      <c r="B144" s="9" t="s">
        <v>761</v>
      </c>
      <c r="C144" s="9" t="s">
        <v>848</v>
      </c>
      <c r="D144" s="9" t="str">
        <f aca="false">C144&amp;" - "&amp;E144</f>
        <v>Radiator Fan Shroud - Universal</v>
      </c>
      <c r="E144" s="9" t="s">
        <v>68</v>
      </c>
      <c r="F144" s="9" t="s">
        <v>496</v>
      </c>
      <c r="G144" s="10" t="n">
        <f aca="false">IF($AK144=0,"",INDEX('Part types'!$P:$P,$AK144))</f>
        <v>55</v>
      </c>
      <c r="H144" s="10" t="n">
        <f aca="false">IF($AK144=0,"",INDEX('Part types'!$Q:$Q,$AK144))</f>
        <v>45</v>
      </c>
      <c r="I144" s="10" t="n">
        <f aca="false">IF($AK144=0,"",INDEX('Part types'!$R:$R,$AK144))</f>
        <v>10</v>
      </c>
      <c r="J144" s="10" t="n">
        <f aca="false">IF($AK144=0,"",INDEX('Part types'!$S:$S,$AK144))</f>
        <v>2.5</v>
      </c>
      <c r="K144" s="11" t="s">
        <v>763</v>
      </c>
      <c r="L144" s="11" t="s">
        <v>849</v>
      </c>
      <c r="M144" s="11" t="str">
        <f aca="false">L144&amp;" - "&amp;N144</f>
        <v>غلاف مروحة الرديتر - عام</v>
      </c>
      <c r="N144" s="11" t="s">
        <v>72</v>
      </c>
      <c r="O144" s="11" t="s">
        <v>498</v>
      </c>
      <c r="P144" s="10" t="n">
        <f aca="false">G144</f>
        <v>55</v>
      </c>
      <c r="Q144" s="10" t="n">
        <f aca="false">H144</f>
        <v>45</v>
      </c>
      <c r="R144" s="10" t="n">
        <f aca="false">I144</f>
        <v>10</v>
      </c>
      <c r="S144" s="10" t="n">
        <f aca="false">J144</f>
        <v>2.5</v>
      </c>
      <c r="T144" s="12" t="s">
        <v>765</v>
      </c>
      <c r="U144" s="12" t="s">
        <v>850</v>
      </c>
      <c r="V144" s="9" t="str">
        <f aca="false">U144&amp;" - "&amp;W144</f>
        <v>风扇导风罩 - 通用</v>
      </c>
      <c r="W144" s="12" t="s">
        <v>76</v>
      </c>
      <c r="X144" s="12" t="s">
        <v>500</v>
      </c>
      <c r="Y144" s="10" t="n">
        <f aca="false">G144</f>
        <v>55</v>
      </c>
      <c r="Z144" s="10" t="n">
        <f aca="false">H144</f>
        <v>45</v>
      </c>
      <c r="AA144" s="10" t="n">
        <f aca="false">I144</f>
        <v>10</v>
      </c>
      <c r="AB144" s="10" t="n">
        <f aca="false">J144</f>
        <v>2.5</v>
      </c>
      <c r="AC144" s="9" t="s">
        <v>767</v>
      </c>
      <c r="AD144" s="9" t="s">
        <v>851</v>
      </c>
      <c r="AE144" s="9" t="str">
        <f aca="false">IF($AK144=0,"",INDEX('Part types'!$T:$T,$AK144)&amp;"")</f>
        <v>All vehicles</v>
      </c>
      <c r="AF144" s="9" t="str">
        <f aca="false">IF($AK144=0,"",INDEX('Part types'!$U:$U,$AK144)&amp;"")</f>
        <v/>
      </c>
      <c r="AG144" s="9" t="str">
        <f aca="false">IF($AK144=0,"",INDEX('Part types'!$V:$V,$AK144)&amp;"")</f>
        <v>Estimate: item-specific</v>
      </c>
      <c r="AH144" s="9" t="str">
        <f aca="false">IF($AK144=0,"",INDEX('Part types'!$W:$W,$AK144)&amp;"")</f>
        <v/>
      </c>
      <c r="AI144" s="11" t="str">
        <f aca="false">IF($AK144=0,"",INDEX('Part types'!$X:$X,$AK144)&amp;"")</f>
        <v/>
      </c>
      <c r="AJ144" s="9" t="str">
        <f aca="false">IF($AK144=0,"",INDEX('Part types'!$Y:$Y,$AK144)&amp;"")</f>
        <v/>
      </c>
      <c r="AK144" s="9" t="n">
        <f aca="false">IFERROR(MATCH($AD144,'Part types'!$E:$E,0),0)</f>
        <v>138</v>
      </c>
    </row>
    <row r="145" customFormat="false" ht="15" hidden="false" customHeight="false" outlineLevel="0" collapsed="false">
      <c r="A145" s="9" t="s">
        <v>852</v>
      </c>
      <c r="B145" s="9" t="s">
        <v>761</v>
      </c>
      <c r="C145" s="9" t="s">
        <v>853</v>
      </c>
      <c r="D145" s="9" t="str">
        <f aca="false">C145&amp;" - "&amp;E145</f>
        <v>Radiator Fan Motor - Universal</v>
      </c>
      <c r="E145" s="9" t="s">
        <v>68</v>
      </c>
      <c r="F145" s="9" t="s">
        <v>496</v>
      </c>
      <c r="G145" s="10" t="n">
        <f aca="false">IF($AK145=0,"",INDEX('Part types'!$P:$P,$AK145))</f>
        <v>30</v>
      </c>
      <c r="H145" s="10" t="n">
        <f aca="false">IF($AK145=0,"",INDEX('Part types'!$Q:$Q,$AK145))</f>
        <v>20</v>
      </c>
      <c r="I145" s="10" t="n">
        <f aca="false">IF($AK145=0,"",INDEX('Part types'!$R:$R,$AK145))</f>
        <v>15</v>
      </c>
      <c r="J145" s="10" t="n">
        <f aca="false">IF($AK145=0,"",INDEX('Part types'!$S:$S,$AK145))</f>
        <v>1.8</v>
      </c>
      <c r="K145" s="11" t="s">
        <v>763</v>
      </c>
      <c r="L145" s="11" t="s">
        <v>854</v>
      </c>
      <c r="M145" s="11" t="str">
        <f aca="false">L145&amp;" - "&amp;N145</f>
        <v>موتور مروحة الرديتر - عام</v>
      </c>
      <c r="N145" s="11" t="s">
        <v>72</v>
      </c>
      <c r="O145" s="11" t="s">
        <v>498</v>
      </c>
      <c r="P145" s="10" t="n">
        <f aca="false">G145</f>
        <v>30</v>
      </c>
      <c r="Q145" s="10" t="n">
        <f aca="false">H145</f>
        <v>20</v>
      </c>
      <c r="R145" s="10" t="n">
        <f aca="false">I145</f>
        <v>15</v>
      </c>
      <c r="S145" s="10" t="n">
        <f aca="false">J145</f>
        <v>1.8</v>
      </c>
      <c r="T145" s="12" t="s">
        <v>765</v>
      </c>
      <c r="U145" s="12" t="s">
        <v>855</v>
      </c>
      <c r="V145" s="9" t="str">
        <f aca="false">U145&amp;" - "&amp;W145</f>
        <v>散热风扇电机 - 通用</v>
      </c>
      <c r="W145" s="12" t="s">
        <v>76</v>
      </c>
      <c r="X145" s="12" t="s">
        <v>500</v>
      </c>
      <c r="Y145" s="10" t="n">
        <f aca="false">G145</f>
        <v>30</v>
      </c>
      <c r="Z145" s="10" t="n">
        <f aca="false">H145</f>
        <v>20</v>
      </c>
      <c r="AA145" s="10" t="n">
        <f aca="false">I145</f>
        <v>15</v>
      </c>
      <c r="AB145" s="10" t="n">
        <f aca="false">J145</f>
        <v>1.8</v>
      </c>
      <c r="AC145" s="9" t="s">
        <v>767</v>
      </c>
      <c r="AD145" s="9" t="s">
        <v>856</v>
      </c>
      <c r="AE145" s="9" t="str">
        <f aca="false">IF($AK145=0,"",INDEX('Part types'!$T:$T,$AK145)&amp;"")</f>
        <v>All vehicles</v>
      </c>
      <c r="AF145" s="9" t="str">
        <f aca="false">IF($AK145=0,"",INDEX('Part types'!$U:$U,$AK145)&amp;"")</f>
        <v/>
      </c>
      <c r="AG145" s="9" t="str">
        <f aca="false">IF($AK145=0,"",INDEX('Part types'!$V:$V,$AK145)&amp;"")</f>
        <v>Estimate: size class M2</v>
      </c>
      <c r="AH145" s="9" t="str">
        <f aca="false">IF($AK145=0,"",INDEX('Part types'!$W:$W,$AK145)&amp;"")</f>
        <v/>
      </c>
      <c r="AI145" s="11" t="str">
        <f aca="false">IF($AK145=0,"",INDEX('Part types'!$X:$X,$AK145)&amp;"")</f>
        <v/>
      </c>
      <c r="AJ145" s="9" t="str">
        <f aca="false">IF($AK145=0,"",INDEX('Part types'!$Y:$Y,$AK145)&amp;"")</f>
        <v/>
      </c>
      <c r="AK145" s="9" t="n">
        <f aca="false">IFERROR(MATCH($AD145,'Part types'!$E:$E,0),0)</f>
        <v>139</v>
      </c>
    </row>
    <row r="146" customFormat="false" ht="15" hidden="false" customHeight="false" outlineLevel="0" collapsed="false">
      <c r="A146" s="9" t="s">
        <v>857</v>
      </c>
      <c r="B146" s="9" t="s">
        <v>761</v>
      </c>
      <c r="C146" s="9" t="s">
        <v>858</v>
      </c>
      <c r="D146" s="9" t="str">
        <f aca="false">C146&amp;" - "&amp;E146</f>
        <v>Viscous Fan Clutch - Universal</v>
      </c>
      <c r="E146" s="9" t="s">
        <v>68</v>
      </c>
      <c r="F146" s="9" t="s">
        <v>266</v>
      </c>
      <c r="G146" s="10" t="n">
        <f aca="false">IF($AK146=0,"",INDEX('Part types'!$P:$P,$AK146))</f>
        <v>30</v>
      </c>
      <c r="H146" s="10" t="n">
        <f aca="false">IF($AK146=0,"",INDEX('Part types'!$Q:$Q,$AK146))</f>
        <v>20</v>
      </c>
      <c r="I146" s="10" t="n">
        <f aca="false">IF($AK146=0,"",INDEX('Part types'!$R:$R,$AK146))</f>
        <v>15</v>
      </c>
      <c r="J146" s="10" t="n">
        <f aca="false">IF($AK146=0,"",INDEX('Part types'!$S:$S,$AK146))</f>
        <v>1.8</v>
      </c>
      <c r="K146" s="11" t="s">
        <v>763</v>
      </c>
      <c r="L146" s="11" t="s">
        <v>859</v>
      </c>
      <c r="M146" s="11" t="str">
        <f aca="false">L146&amp;" - "&amp;N146</f>
        <v>قابض المروحة - عام</v>
      </c>
      <c r="N146" s="11" t="s">
        <v>72</v>
      </c>
      <c r="O146" s="11" t="s">
        <v>269</v>
      </c>
      <c r="P146" s="10" t="n">
        <f aca="false">G146</f>
        <v>30</v>
      </c>
      <c r="Q146" s="10" t="n">
        <f aca="false">H146</f>
        <v>20</v>
      </c>
      <c r="R146" s="10" t="n">
        <f aca="false">I146</f>
        <v>15</v>
      </c>
      <c r="S146" s="10" t="n">
        <f aca="false">J146</f>
        <v>1.8</v>
      </c>
      <c r="T146" s="12" t="s">
        <v>765</v>
      </c>
      <c r="U146" s="12" t="s">
        <v>860</v>
      </c>
      <c r="V146" s="9" t="str">
        <f aca="false">U146&amp;" - "&amp;W146</f>
        <v>风扇离合器 - 通用</v>
      </c>
      <c r="W146" s="12" t="s">
        <v>76</v>
      </c>
      <c r="X146" s="12" t="s">
        <v>272</v>
      </c>
      <c r="Y146" s="10" t="n">
        <f aca="false">G146</f>
        <v>30</v>
      </c>
      <c r="Z146" s="10" t="n">
        <f aca="false">H146</f>
        <v>20</v>
      </c>
      <c r="AA146" s="10" t="n">
        <f aca="false">I146</f>
        <v>15</v>
      </c>
      <c r="AB146" s="10" t="n">
        <f aca="false">J146</f>
        <v>1.8</v>
      </c>
      <c r="AC146" s="9" t="s">
        <v>767</v>
      </c>
      <c r="AD146" s="9" t="s">
        <v>861</v>
      </c>
      <c r="AE146" s="9" t="str">
        <f aca="false">IF($AK146=0,"",INDEX('Part types'!$T:$T,$AK146)&amp;"")</f>
        <v>Combustion engine (petrol, diesel, hybrid, range extender)</v>
      </c>
      <c r="AF146" s="9" t="str">
        <f aca="false">IF($AK146=0,"",INDEX('Part types'!$U:$U,$AK146)&amp;"")</f>
        <v/>
      </c>
      <c r="AG146" s="9" t="str">
        <f aca="false">IF($AK146=0,"",INDEX('Part types'!$V:$V,$AK146)&amp;"")</f>
        <v>Estimate: size class M2</v>
      </c>
      <c r="AH146" s="9" t="str">
        <f aca="false">IF($AK146=0,"",INDEX('Part types'!$W:$W,$AK146)&amp;"")</f>
        <v/>
      </c>
      <c r="AI146" s="11" t="str">
        <f aca="false">IF($AK146=0,"",INDEX('Part types'!$X:$X,$AK146)&amp;"")</f>
        <v/>
      </c>
      <c r="AJ146" s="9" t="str">
        <f aca="false">IF($AK146=0,"",INDEX('Part types'!$Y:$Y,$AK146)&amp;"")</f>
        <v/>
      </c>
      <c r="AK146" s="9" t="n">
        <f aca="false">IFERROR(MATCH($AD146,'Part types'!$E:$E,0),0)</f>
        <v>140</v>
      </c>
    </row>
    <row r="147" customFormat="false" ht="15" hidden="false" customHeight="false" outlineLevel="0" collapsed="false">
      <c r="A147" s="9" t="s">
        <v>862</v>
      </c>
      <c r="B147" s="9" t="s">
        <v>761</v>
      </c>
      <c r="C147" s="9" t="s">
        <v>863</v>
      </c>
      <c r="D147" s="9" t="str">
        <f aca="false">C147&amp;" - "&amp;E147</f>
        <v>Transmission Oil Cooler - Universal</v>
      </c>
      <c r="E147" s="9" t="s">
        <v>68</v>
      </c>
      <c r="F147" s="9" t="s">
        <v>496</v>
      </c>
      <c r="G147" s="10" t="n">
        <f aca="false">IF($AK147=0,"",INDEX('Part types'!$P:$P,$AK147))</f>
        <v>30</v>
      </c>
      <c r="H147" s="10" t="n">
        <f aca="false">IF($AK147=0,"",INDEX('Part types'!$Q:$Q,$AK147))</f>
        <v>20</v>
      </c>
      <c r="I147" s="10" t="n">
        <f aca="false">IF($AK147=0,"",INDEX('Part types'!$R:$R,$AK147))</f>
        <v>15</v>
      </c>
      <c r="J147" s="10" t="n">
        <f aca="false">IF($AK147=0,"",INDEX('Part types'!$S:$S,$AK147))</f>
        <v>1.8</v>
      </c>
      <c r="K147" s="11" t="s">
        <v>763</v>
      </c>
      <c r="L147" s="11" t="s">
        <v>864</v>
      </c>
      <c r="M147" s="11" t="str">
        <f aca="false">L147&amp;" - "&amp;N147</f>
        <v>مبرد زيت القير - عام</v>
      </c>
      <c r="N147" s="11" t="s">
        <v>72</v>
      </c>
      <c r="O147" s="11" t="s">
        <v>498</v>
      </c>
      <c r="P147" s="10" t="n">
        <f aca="false">G147</f>
        <v>30</v>
      </c>
      <c r="Q147" s="10" t="n">
        <f aca="false">H147</f>
        <v>20</v>
      </c>
      <c r="R147" s="10" t="n">
        <f aca="false">I147</f>
        <v>15</v>
      </c>
      <c r="S147" s="10" t="n">
        <f aca="false">J147</f>
        <v>1.8</v>
      </c>
      <c r="T147" s="12" t="s">
        <v>765</v>
      </c>
      <c r="U147" s="12" t="s">
        <v>865</v>
      </c>
      <c r="V147" s="9" t="str">
        <f aca="false">U147&amp;" - "&amp;W147</f>
        <v>变速箱油冷却器 - 通用</v>
      </c>
      <c r="W147" s="12" t="s">
        <v>76</v>
      </c>
      <c r="X147" s="12" t="s">
        <v>500</v>
      </c>
      <c r="Y147" s="10" t="n">
        <f aca="false">G147</f>
        <v>30</v>
      </c>
      <c r="Z147" s="10" t="n">
        <f aca="false">H147</f>
        <v>20</v>
      </c>
      <c r="AA147" s="10" t="n">
        <f aca="false">I147</f>
        <v>15</v>
      </c>
      <c r="AB147" s="10" t="n">
        <f aca="false">J147</f>
        <v>1.8</v>
      </c>
      <c r="AC147" s="9" t="s">
        <v>767</v>
      </c>
      <c r="AD147" s="9" t="s">
        <v>866</v>
      </c>
      <c r="AE147" s="9" t="str">
        <f aca="false">IF($AK147=0,"",INDEX('Part types'!$T:$T,$AK147)&amp;"")</f>
        <v>All vehicles</v>
      </c>
      <c r="AF147" s="9" t="str">
        <f aca="false">IF($AK147=0,"",INDEX('Part types'!$U:$U,$AK147)&amp;"")</f>
        <v/>
      </c>
      <c r="AG147" s="9" t="str">
        <f aca="false">IF($AK147=0,"",INDEX('Part types'!$V:$V,$AK147)&amp;"")</f>
        <v>Estimate: size class M2</v>
      </c>
      <c r="AH147" s="9" t="str">
        <f aca="false">IF($AK147=0,"",INDEX('Part types'!$W:$W,$AK147)&amp;"")</f>
        <v/>
      </c>
      <c r="AI147" s="11" t="str">
        <f aca="false">IF($AK147=0,"",INDEX('Part types'!$X:$X,$AK147)&amp;"")</f>
        <v/>
      </c>
      <c r="AJ147" s="9" t="str">
        <f aca="false">IF($AK147=0,"",INDEX('Part types'!$Y:$Y,$AK147)&amp;"")</f>
        <v/>
      </c>
      <c r="AK147" s="9" t="n">
        <f aca="false">IFERROR(MATCH($AD147,'Part types'!$E:$E,0),0)</f>
        <v>141</v>
      </c>
    </row>
    <row r="148" customFormat="false" ht="15" hidden="false" customHeight="false" outlineLevel="0" collapsed="false">
      <c r="A148" s="9" t="s">
        <v>867</v>
      </c>
      <c r="B148" s="9" t="s">
        <v>761</v>
      </c>
      <c r="C148" s="9" t="s">
        <v>868</v>
      </c>
      <c r="D148" s="9" t="str">
        <f aca="false">C148&amp;" - "&amp;E148</f>
        <v>Steering Oil Cooler - Universal</v>
      </c>
      <c r="E148" s="9" t="s">
        <v>68</v>
      </c>
      <c r="F148" s="9" t="s">
        <v>496</v>
      </c>
      <c r="G148" s="10" t="n">
        <f aca="false">IF($AK148=0,"",INDEX('Part types'!$P:$P,$AK148))</f>
        <v>15</v>
      </c>
      <c r="H148" s="10" t="n">
        <f aca="false">IF($AK148=0,"",INDEX('Part types'!$Q:$Q,$AK148))</f>
        <v>10</v>
      </c>
      <c r="I148" s="10" t="n">
        <f aca="false">IF($AK148=0,"",INDEX('Part types'!$R:$R,$AK148))</f>
        <v>8</v>
      </c>
      <c r="J148" s="10" t="n">
        <f aca="false">IF($AK148=0,"",INDEX('Part types'!$S:$S,$AK148))</f>
        <v>0.3</v>
      </c>
      <c r="K148" s="11" t="s">
        <v>763</v>
      </c>
      <c r="L148" s="11" t="s">
        <v>869</v>
      </c>
      <c r="M148" s="11" t="str">
        <f aca="false">L148&amp;" - "&amp;N148</f>
        <v>مبرد زيت الباور - عام</v>
      </c>
      <c r="N148" s="11" t="s">
        <v>72</v>
      </c>
      <c r="O148" s="11" t="s">
        <v>498</v>
      </c>
      <c r="P148" s="10" t="n">
        <f aca="false">G148</f>
        <v>15</v>
      </c>
      <c r="Q148" s="10" t="n">
        <f aca="false">H148</f>
        <v>10</v>
      </c>
      <c r="R148" s="10" t="n">
        <f aca="false">I148</f>
        <v>8</v>
      </c>
      <c r="S148" s="10" t="n">
        <f aca="false">J148</f>
        <v>0.3</v>
      </c>
      <c r="T148" s="12" t="s">
        <v>765</v>
      </c>
      <c r="U148" s="12" t="s">
        <v>870</v>
      </c>
      <c r="V148" s="9" t="str">
        <f aca="false">U148&amp;" - "&amp;W148</f>
        <v>转向油冷却器 - 通用</v>
      </c>
      <c r="W148" s="12" t="s">
        <v>76</v>
      </c>
      <c r="X148" s="12" t="s">
        <v>500</v>
      </c>
      <c r="Y148" s="10" t="n">
        <f aca="false">G148</f>
        <v>15</v>
      </c>
      <c r="Z148" s="10" t="n">
        <f aca="false">H148</f>
        <v>10</v>
      </c>
      <c r="AA148" s="10" t="n">
        <f aca="false">I148</f>
        <v>8</v>
      </c>
      <c r="AB148" s="10" t="n">
        <f aca="false">J148</f>
        <v>0.3</v>
      </c>
      <c r="AC148" s="9" t="s">
        <v>767</v>
      </c>
      <c r="AD148" s="9" t="s">
        <v>871</v>
      </c>
      <c r="AE148" s="9" t="str">
        <f aca="false">IF($AK148=0,"",INDEX('Part types'!$T:$T,$AK148)&amp;"")</f>
        <v>All vehicles</v>
      </c>
      <c r="AF148" s="9" t="str">
        <f aca="false">IF($AK148=0,"",INDEX('Part types'!$U:$U,$AK148)&amp;"")</f>
        <v/>
      </c>
      <c r="AG148" s="9" t="str">
        <f aca="false">IF($AK148=0,"",INDEX('Part types'!$V:$V,$AK148)&amp;"")</f>
        <v>Estimate: size class S</v>
      </c>
      <c r="AH148" s="9" t="str">
        <f aca="false">IF($AK148=0,"",INDEX('Part types'!$W:$W,$AK148)&amp;"")</f>
        <v>Power Steering Oil Cooler</v>
      </c>
      <c r="AI148" s="11" t="str">
        <f aca="false">IF($AK148=0,"",INDEX('Part types'!$X:$X,$AK148)&amp;"")</f>
        <v/>
      </c>
      <c r="AJ148" s="9" t="str">
        <f aca="false">IF($AK148=0,"",INDEX('Part types'!$Y:$Y,$AK148)&amp;"")</f>
        <v/>
      </c>
      <c r="AK148" s="9" t="n">
        <f aca="false">IFERROR(MATCH($AD148,'Part types'!$E:$E,0),0)</f>
        <v>142</v>
      </c>
    </row>
    <row r="149" customFormat="false" ht="15" hidden="false" customHeight="false" outlineLevel="0" collapsed="false">
      <c r="A149" s="9" t="s">
        <v>872</v>
      </c>
      <c r="B149" s="9" t="s">
        <v>873</v>
      </c>
      <c r="C149" s="9" t="s">
        <v>874</v>
      </c>
      <c r="D149" s="9" t="str">
        <f aca="false">C149&amp;" - "&amp;E149</f>
        <v>Engine Oil Filter - Universal</v>
      </c>
      <c r="E149" s="9" t="s">
        <v>68</v>
      </c>
      <c r="F149" s="9" t="s">
        <v>369</v>
      </c>
      <c r="G149" s="10" t="n">
        <f aca="false">IF($AK149=0,"",INDEX('Part types'!$P:$P,$AK149))</f>
        <v>15</v>
      </c>
      <c r="H149" s="10" t="n">
        <f aca="false">IF($AK149=0,"",INDEX('Part types'!$Q:$Q,$AK149))</f>
        <v>10</v>
      </c>
      <c r="I149" s="10" t="n">
        <f aca="false">IF($AK149=0,"",INDEX('Part types'!$R:$R,$AK149))</f>
        <v>8</v>
      </c>
      <c r="J149" s="10" t="n">
        <f aca="false">IF($AK149=0,"",INDEX('Part types'!$S:$S,$AK149))</f>
        <v>0.3</v>
      </c>
      <c r="K149" s="11" t="s">
        <v>875</v>
      </c>
      <c r="L149" s="11" t="s">
        <v>876</v>
      </c>
      <c r="M149" s="11" t="str">
        <f aca="false">L149&amp;" - "&amp;N149</f>
        <v>فلتر زيت المحرك - عام</v>
      </c>
      <c r="N149" s="11" t="s">
        <v>72</v>
      </c>
      <c r="O149" s="11" t="s">
        <v>371</v>
      </c>
      <c r="P149" s="10" t="n">
        <f aca="false">G149</f>
        <v>15</v>
      </c>
      <c r="Q149" s="10" t="n">
        <f aca="false">H149</f>
        <v>10</v>
      </c>
      <c r="R149" s="10" t="n">
        <f aca="false">I149</f>
        <v>8</v>
      </c>
      <c r="S149" s="10" t="n">
        <f aca="false">J149</f>
        <v>0.3</v>
      </c>
      <c r="T149" s="12" t="s">
        <v>877</v>
      </c>
      <c r="U149" s="12" t="s">
        <v>878</v>
      </c>
      <c r="V149" s="9" t="str">
        <f aca="false">U149&amp;" - "&amp;W149</f>
        <v>机油滤清器 - 通用</v>
      </c>
      <c r="W149" s="12" t="s">
        <v>76</v>
      </c>
      <c r="X149" s="12" t="s">
        <v>373</v>
      </c>
      <c r="Y149" s="10" t="n">
        <f aca="false">G149</f>
        <v>15</v>
      </c>
      <c r="Z149" s="10" t="n">
        <f aca="false">H149</f>
        <v>10</v>
      </c>
      <c r="AA149" s="10" t="n">
        <f aca="false">I149</f>
        <v>8</v>
      </c>
      <c r="AB149" s="10" t="n">
        <f aca="false">J149</f>
        <v>0.3</v>
      </c>
      <c r="AC149" s="9" t="s">
        <v>879</v>
      </c>
      <c r="AD149" s="9" t="s">
        <v>880</v>
      </c>
      <c r="AE149" s="9" t="str">
        <f aca="false">IF($AK149=0,"",INDEX('Part types'!$T:$T,$AK149)&amp;"")</f>
        <v>Combustion engine (petrol, diesel, hybrid, range extender)</v>
      </c>
      <c r="AF149" s="9" t="str">
        <f aca="false">IF($AK149=0,"",INDEX('Part types'!$U:$U,$AK149)&amp;"")</f>
        <v/>
      </c>
      <c r="AG149" s="9" t="str">
        <f aca="false">IF($AK149=0,"",INDEX('Part types'!$V:$V,$AK149)&amp;"")</f>
        <v>Estimate: size class S</v>
      </c>
      <c r="AH149" s="9" t="str">
        <f aca="false">IF($AK149=0,"",INDEX('Part types'!$W:$W,$AK149)&amp;"")</f>
        <v/>
      </c>
      <c r="AI149" s="11" t="str">
        <f aca="false">IF($AK149=0,"",INDEX('Part types'!$X:$X,$AK149)&amp;"")</f>
        <v/>
      </c>
      <c r="AJ149" s="9" t="str">
        <f aca="false">IF($AK149=0,"",INDEX('Part types'!$Y:$Y,$AK149)&amp;"")</f>
        <v/>
      </c>
      <c r="AK149" s="9" t="n">
        <f aca="false">IFERROR(MATCH($AD149,'Part types'!$E:$E,0),0)</f>
        <v>143</v>
      </c>
    </row>
    <row r="150" customFormat="false" ht="15" hidden="false" customHeight="false" outlineLevel="0" collapsed="false">
      <c r="A150" s="9" t="s">
        <v>881</v>
      </c>
      <c r="B150" s="9" t="s">
        <v>873</v>
      </c>
      <c r="C150" s="9" t="s">
        <v>882</v>
      </c>
      <c r="D150" s="9" t="str">
        <f aca="false">C150&amp;" - "&amp;E150</f>
        <v>Oil Filter Element - Universal</v>
      </c>
      <c r="E150" s="9" t="s">
        <v>68</v>
      </c>
      <c r="F150" s="9" t="s">
        <v>369</v>
      </c>
      <c r="G150" s="10" t="n">
        <f aca="false">IF($AK150=0,"",INDEX('Part types'!$P:$P,$AK150))</f>
        <v>15</v>
      </c>
      <c r="H150" s="10" t="n">
        <f aca="false">IF($AK150=0,"",INDEX('Part types'!$Q:$Q,$AK150))</f>
        <v>10</v>
      </c>
      <c r="I150" s="10" t="n">
        <f aca="false">IF($AK150=0,"",INDEX('Part types'!$R:$R,$AK150))</f>
        <v>8</v>
      </c>
      <c r="J150" s="10" t="n">
        <f aca="false">IF($AK150=0,"",INDEX('Part types'!$S:$S,$AK150))</f>
        <v>0.3</v>
      </c>
      <c r="K150" s="11" t="s">
        <v>875</v>
      </c>
      <c r="L150" s="11" t="s">
        <v>883</v>
      </c>
      <c r="M150" s="11" t="str">
        <f aca="false">L150&amp;" - "&amp;N150</f>
        <v>عنصر فلتر الزيت - عام</v>
      </c>
      <c r="N150" s="11" t="s">
        <v>72</v>
      </c>
      <c r="O150" s="11" t="s">
        <v>371</v>
      </c>
      <c r="P150" s="10" t="n">
        <f aca="false">G150</f>
        <v>15</v>
      </c>
      <c r="Q150" s="10" t="n">
        <f aca="false">H150</f>
        <v>10</v>
      </c>
      <c r="R150" s="10" t="n">
        <f aca="false">I150</f>
        <v>8</v>
      </c>
      <c r="S150" s="10" t="n">
        <f aca="false">J150</f>
        <v>0.3</v>
      </c>
      <c r="T150" s="12" t="s">
        <v>877</v>
      </c>
      <c r="U150" s="12" t="s">
        <v>884</v>
      </c>
      <c r="V150" s="9" t="str">
        <f aca="false">U150&amp;" - "&amp;W150</f>
        <v>机油滤芯 - 通用</v>
      </c>
      <c r="W150" s="12" t="s">
        <v>76</v>
      </c>
      <c r="X150" s="12" t="s">
        <v>373</v>
      </c>
      <c r="Y150" s="10" t="n">
        <f aca="false">G150</f>
        <v>15</v>
      </c>
      <c r="Z150" s="10" t="n">
        <f aca="false">H150</f>
        <v>10</v>
      </c>
      <c r="AA150" s="10" t="n">
        <f aca="false">I150</f>
        <v>8</v>
      </c>
      <c r="AB150" s="10" t="n">
        <f aca="false">J150</f>
        <v>0.3</v>
      </c>
      <c r="AC150" s="9" t="s">
        <v>879</v>
      </c>
      <c r="AD150" s="9" t="s">
        <v>885</v>
      </c>
      <c r="AE150" s="9" t="str">
        <f aca="false">IF($AK150=0,"",INDEX('Part types'!$T:$T,$AK150)&amp;"")</f>
        <v>Combustion engine (petrol, diesel, hybrid, range extender)</v>
      </c>
      <c r="AF150" s="9" t="str">
        <f aca="false">IF($AK150=0,"",INDEX('Part types'!$U:$U,$AK150)&amp;"")</f>
        <v/>
      </c>
      <c r="AG150" s="9" t="str">
        <f aca="false">IF($AK150=0,"",INDEX('Part types'!$V:$V,$AK150)&amp;"")</f>
        <v>Estimate: size class S</v>
      </c>
      <c r="AH150" s="9" t="str">
        <f aca="false">IF($AK150=0,"",INDEX('Part types'!$W:$W,$AK150)&amp;"")</f>
        <v>Engine Oil Filter Element</v>
      </c>
      <c r="AI150" s="11" t="str">
        <f aca="false">IF($AK150=0,"",INDEX('Part types'!$X:$X,$AK150)&amp;"")</f>
        <v>قلب الفلتر</v>
      </c>
      <c r="AJ150" s="9" t="str">
        <f aca="false">IF($AK150=0,"",INDEX('Part types'!$Y:$Y,$AK150)&amp;"")</f>
        <v/>
      </c>
      <c r="AK150" s="9" t="n">
        <f aca="false">IFERROR(MATCH($AD150,'Part types'!$E:$E,0),0)</f>
        <v>144</v>
      </c>
    </row>
    <row r="151" customFormat="false" ht="15" hidden="false" customHeight="false" outlineLevel="0" collapsed="false">
      <c r="A151" s="9" t="s">
        <v>886</v>
      </c>
      <c r="B151" s="9" t="s">
        <v>873</v>
      </c>
      <c r="C151" s="9" t="s">
        <v>887</v>
      </c>
      <c r="D151" s="9" t="str">
        <f aca="false">C151&amp;" - "&amp;E151</f>
        <v>Air Filter - Universal</v>
      </c>
      <c r="E151" s="9" t="s">
        <v>68</v>
      </c>
      <c r="F151" s="9" t="s">
        <v>403</v>
      </c>
      <c r="G151" s="10" t="n">
        <f aca="false">IF($AK151=0,"",INDEX('Part types'!$P:$P,$AK151))</f>
        <v>30</v>
      </c>
      <c r="H151" s="10" t="n">
        <f aca="false">IF($AK151=0,"",INDEX('Part types'!$Q:$Q,$AK151))</f>
        <v>20</v>
      </c>
      <c r="I151" s="10" t="n">
        <f aca="false">IF($AK151=0,"",INDEX('Part types'!$R:$R,$AK151))</f>
        <v>15</v>
      </c>
      <c r="J151" s="10" t="n">
        <f aca="false">IF($AK151=0,"",INDEX('Part types'!$S:$S,$AK151))</f>
        <v>1.8</v>
      </c>
      <c r="K151" s="11" t="s">
        <v>875</v>
      </c>
      <c r="L151" s="11" t="s">
        <v>888</v>
      </c>
      <c r="M151" s="11" t="str">
        <f aca="false">L151&amp;" - "&amp;N151</f>
        <v>فلتر الهواء - عام</v>
      </c>
      <c r="N151" s="11" t="s">
        <v>72</v>
      </c>
      <c r="O151" s="11" t="s">
        <v>406</v>
      </c>
      <c r="P151" s="10" t="n">
        <f aca="false">G151</f>
        <v>30</v>
      </c>
      <c r="Q151" s="10" t="n">
        <f aca="false">H151</f>
        <v>20</v>
      </c>
      <c r="R151" s="10" t="n">
        <f aca="false">I151</f>
        <v>15</v>
      </c>
      <c r="S151" s="10" t="n">
        <f aca="false">J151</f>
        <v>1.8</v>
      </c>
      <c r="T151" s="12" t="s">
        <v>877</v>
      </c>
      <c r="U151" s="12" t="s">
        <v>889</v>
      </c>
      <c r="V151" s="9" t="str">
        <f aca="false">U151&amp;" - "&amp;W151</f>
        <v>空气滤清器 - 通用</v>
      </c>
      <c r="W151" s="12" t="s">
        <v>76</v>
      </c>
      <c r="X151" s="12" t="s">
        <v>409</v>
      </c>
      <c r="Y151" s="10" t="n">
        <f aca="false">G151</f>
        <v>30</v>
      </c>
      <c r="Z151" s="10" t="n">
        <f aca="false">H151</f>
        <v>20</v>
      </c>
      <c r="AA151" s="10" t="n">
        <f aca="false">I151</f>
        <v>15</v>
      </c>
      <c r="AB151" s="10" t="n">
        <f aca="false">J151</f>
        <v>1.8</v>
      </c>
      <c r="AC151" s="9" t="s">
        <v>879</v>
      </c>
      <c r="AD151" s="9" t="s">
        <v>890</v>
      </c>
      <c r="AE151" s="9" t="str">
        <f aca="false">IF($AK151=0,"",INDEX('Part types'!$T:$T,$AK151)&amp;"")</f>
        <v>Combustion engine (petrol, diesel, hybrid, range extender)</v>
      </c>
      <c r="AF151" s="9" t="str">
        <f aca="false">IF($AK151=0,"",INDEX('Part types'!$U:$U,$AK151)&amp;"")</f>
        <v/>
      </c>
      <c r="AG151" s="9" t="str">
        <f aca="false">IF($AK151=0,"",INDEX('Part types'!$V:$V,$AK151)&amp;"")</f>
        <v>Estimate: size class M2</v>
      </c>
      <c r="AH151" s="9" t="str">
        <f aca="false">IF($AK151=0,"",INDEX('Part types'!$W:$W,$AK151)&amp;"")</f>
        <v/>
      </c>
      <c r="AI151" s="11" t="str">
        <f aca="false">IF($AK151=0,"",INDEX('Part types'!$X:$X,$AK151)&amp;"")</f>
        <v/>
      </c>
      <c r="AJ151" s="9" t="str">
        <f aca="false">IF($AK151=0,"",INDEX('Part types'!$Y:$Y,$AK151)&amp;"")</f>
        <v/>
      </c>
      <c r="AK151" s="9" t="n">
        <f aca="false">IFERROR(MATCH($AD151,'Part types'!$E:$E,0),0)</f>
        <v>145</v>
      </c>
    </row>
    <row r="152" customFormat="false" ht="15" hidden="false" customHeight="false" outlineLevel="0" collapsed="false">
      <c r="A152" s="9" t="s">
        <v>891</v>
      </c>
      <c r="B152" s="9" t="s">
        <v>873</v>
      </c>
      <c r="C152" s="9" t="s">
        <v>892</v>
      </c>
      <c r="D152" s="9" t="str">
        <f aca="false">C152&amp;" - "&amp;E152</f>
        <v>Cabin Air Filter - Universal</v>
      </c>
      <c r="E152" s="9" t="s">
        <v>68</v>
      </c>
      <c r="F152" s="9" t="s">
        <v>893</v>
      </c>
      <c r="G152" s="10" t="n">
        <f aca="false">IF($AK152=0,"",INDEX('Part types'!$P:$P,$AK152))</f>
        <v>15</v>
      </c>
      <c r="H152" s="10" t="n">
        <f aca="false">IF($AK152=0,"",INDEX('Part types'!$Q:$Q,$AK152))</f>
        <v>10</v>
      </c>
      <c r="I152" s="10" t="n">
        <f aca="false">IF($AK152=0,"",INDEX('Part types'!$R:$R,$AK152))</f>
        <v>8</v>
      </c>
      <c r="J152" s="10" t="n">
        <f aca="false">IF($AK152=0,"",INDEX('Part types'!$S:$S,$AK152))</f>
        <v>0.3</v>
      </c>
      <c r="K152" s="11" t="s">
        <v>875</v>
      </c>
      <c r="L152" s="11" t="s">
        <v>894</v>
      </c>
      <c r="M152" s="11" t="str">
        <f aca="false">L152&amp;" - "&amp;N152</f>
        <v>فلتر المكيف - عام</v>
      </c>
      <c r="N152" s="11" t="s">
        <v>72</v>
      </c>
      <c r="O152" s="11" t="s">
        <v>895</v>
      </c>
      <c r="P152" s="10" t="n">
        <f aca="false">G152</f>
        <v>15</v>
      </c>
      <c r="Q152" s="10" t="n">
        <f aca="false">H152</f>
        <v>10</v>
      </c>
      <c r="R152" s="10" t="n">
        <f aca="false">I152</f>
        <v>8</v>
      </c>
      <c r="S152" s="10" t="n">
        <f aca="false">J152</f>
        <v>0.3</v>
      </c>
      <c r="T152" s="12" t="s">
        <v>877</v>
      </c>
      <c r="U152" s="12" t="s">
        <v>896</v>
      </c>
      <c r="V152" s="9" t="str">
        <f aca="false">U152&amp;" - "&amp;W152</f>
        <v>空调滤清器 - 通用</v>
      </c>
      <c r="W152" s="12" t="s">
        <v>76</v>
      </c>
      <c r="X152" s="12" t="s">
        <v>897</v>
      </c>
      <c r="Y152" s="10" t="n">
        <f aca="false">G152</f>
        <v>15</v>
      </c>
      <c r="Z152" s="10" t="n">
        <f aca="false">H152</f>
        <v>10</v>
      </c>
      <c r="AA152" s="10" t="n">
        <f aca="false">I152</f>
        <v>8</v>
      </c>
      <c r="AB152" s="10" t="n">
        <f aca="false">J152</f>
        <v>0.3</v>
      </c>
      <c r="AC152" s="9" t="s">
        <v>879</v>
      </c>
      <c r="AD152" s="9" t="s">
        <v>898</v>
      </c>
      <c r="AE152" s="9" t="str">
        <f aca="false">IF($AK152=0,"",INDEX('Part types'!$T:$T,$AK152)&amp;"")</f>
        <v>All vehicles</v>
      </c>
      <c r="AF152" s="9" t="str">
        <f aca="false">IF($AK152=0,"",INDEX('Part types'!$U:$U,$AK152)&amp;"")</f>
        <v/>
      </c>
      <c r="AG152" s="9" t="str">
        <f aca="false">IF($AK152=0,"",INDEX('Part types'!$V:$V,$AK152)&amp;"")</f>
        <v>Estimate: size class S</v>
      </c>
      <c r="AH152" s="9" t="str">
        <f aca="false">IF($AK152=0,"",INDEX('Part types'!$W:$W,$AK152)&amp;"")</f>
        <v/>
      </c>
      <c r="AI152" s="11" t="str">
        <f aca="false">IF($AK152=0,"",INDEX('Part types'!$X:$X,$AK152)&amp;"")</f>
        <v>فلتر المقصورة</v>
      </c>
      <c r="AJ152" s="9" t="str">
        <f aca="false">IF($AK152=0,"",INDEX('Part types'!$Y:$Y,$AK152)&amp;"")</f>
        <v/>
      </c>
      <c r="AK152" s="9" t="n">
        <f aca="false">IFERROR(MATCH($AD152,'Part types'!$E:$E,0),0)</f>
        <v>146</v>
      </c>
    </row>
    <row r="153" customFormat="false" ht="15" hidden="false" customHeight="false" outlineLevel="0" collapsed="false">
      <c r="A153" s="9" t="s">
        <v>899</v>
      </c>
      <c r="B153" s="9" t="s">
        <v>873</v>
      </c>
      <c r="C153" s="9" t="s">
        <v>900</v>
      </c>
      <c r="D153" s="9" t="str">
        <f aca="false">C153&amp;" - "&amp;E153</f>
        <v>Carbon Cabin Filter - Universal</v>
      </c>
      <c r="E153" s="9" t="s">
        <v>68</v>
      </c>
      <c r="F153" s="9" t="s">
        <v>893</v>
      </c>
      <c r="G153" s="10" t="n">
        <f aca="false">IF($AK153=0,"",INDEX('Part types'!$P:$P,$AK153))</f>
        <v>15</v>
      </c>
      <c r="H153" s="10" t="n">
        <f aca="false">IF($AK153=0,"",INDEX('Part types'!$Q:$Q,$AK153))</f>
        <v>10</v>
      </c>
      <c r="I153" s="10" t="n">
        <f aca="false">IF($AK153=0,"",INDEX('Part types'!$R:$R,$AK153))</f>
        <v>8</v>
      </c>
      <c r="J153" s="10" t="n">
        <f aca="false">IF($AK153=0,"",INDEX('Part types'!$S:$S,$AK153))</f>
        <v>0.3</v>
      </c>
      <c r="K153" s="11" t="s">
        <v>875</v>
      </c>
      <c r="L153" s="11" t="s">
        <v>901</v>
      </c>
      <c r="M153" s="11" t="str">
        <f aca="false">L153&amp;" - "&amp;N153</f>
        <v>فلتر مكيف بالكربون النشط - عام</v>
      </c>
      <c r="N153" s="11" t="s">
        <v>72</v>
      </c>
      <c r="O153" s="11" t="s">
        <v>895</v>
      </c>
      <c r="P153" s="10" t="n">
        <f aca="false">G153</f>
        <v>15</v>
      </c>
      <c r="Q153" s="10" t="n">
        <f aca="false">H153</f>
        <v>10</v>
      </c>
      <c r="R153" s="10" t="n">
        <f aca="false">I153</f>
        <v>8</v>
      </c>
      <c r="S153" s="10" t="n">
        <f aca="false">J153</f>
        <v>0.3</v>
      </c>
      <c r="T153" s="12" t="s">
        <v>877</v>
      </c>
      <c r="U153" s="12" t="s">
        <v>902</v>
      </c>
      <c r="V153" s="9" t="str">
        <f aca="false">U153&amp;" - "&amp;W153</f>
        <v>活性炭空调滤清器 - 通用</v>
      </c>
      <c r="W153" s="12" t="s">
        <v>76</v>
      </c>
      <c r="X153" s="12" t="s">
        <v>897</v>
      </c>
      <c r="Y153" s="10" t="n">
        <f aca="false">G153</f>
        <v>15</v>
      </c>
      <c r="Z153" s="10" t="n">
        <f aca="false">H153</f>
        <v>10</v>
      </c>
      <c r="AA153" s="10" t="n">
        <f aca="false">I153</f>
        <v>8</v>
      </c>
      <c r="AB153" s="10" t="n">
        <f aca="false">J153</f>
        <v>0.3</v>
      </c>
      <c r="AC153" s="9" t="s">
        <v>879</v>
      </c>
      <c r="AD153" s="9" t="s">
        <v>903</v>
      </c>
      <c r="AE153" s="9" t="str">
        <f aca="false">IF($AK153=0,"",INDEX('Part types'!$T:$T,$AK153)&amp;"")</f>
        <v>All vehicles</v>
      </c>
      <c r="AF153" s="9" t="str">
        <f aca="false">IF($AK153=0,"",INDEX('Part types'!$U:$U,$AK153)&amp;"")</f>
        <v/>
      </c>
      <c r="AG153" s="9" t="str">
        <f aca="false">IF($AK153=0,"",INDEX('Part types'!$V:$V,$AK153)&amp;"")</f>
        <v>Estimate: size class S</v>
      </c>
      <c r="AH153" s="9" t="str">
        <f aca="false">IF($AK153=0,"",INDEX('Part types'!$W:$W,$AK153)&amp;"")</f>
        <v>Activated Carbon Cabin Filter</v>
      </c>
      <c r="AI153" s="11" t="str">
        <f aca="false">IF($AK153=0,"",INDEX('Part types'!$X:$X,$AK153)&amp;"")</f>
        <v/>
      </c>
      <c r="AJ153" s="9" t="str">
        <f aca="false">IF($AK153=0,"",INDEX('Part types'!$Y:$Y,$AK153)&amp;"")</f>
        <v/>
      </c>
      <c r="AK153" s="9" t="n">
        <f aca="false">IFERROR(MATCH($AD153,'Part types'!$E:$E,0),0)</f>
        <v>147</v>
      </c>
    </row>
    <row r="154" customFormat="false" ht="15" hidden="false" customHeight="false" outlineLevel="0" collapsed="false">
      <c r="A154" s="9" t="s">
        <v>904</v>
      </c>
      <c r="B154" s="9" t="s">
        <v>873</v>
      </c>
      <c r="C154" s="9" t="s">
        <v>905</v>
      </c>
      <c r="D154" s="9" t="str">
        <f aca="false">C154&amp;" - "&amp;E154</f>
        <v>Fuel Filter - Universal</v>
      </c>
      <c r="E154" s="9" t="s">
        <v>68</v>
      </c>
      <c r="F154" s="9" t="s">
        <v>561</v>
      </c>
      <c r="G154" s="10" t="n">
        <f aca="false">IF($AK154=0,"",INDEX('Part types'!$P:$P,$AK154))</f>
        <v>15</v>
      </c>
      <c r="H154" s="10" t="n">
        <f aca="false">IF($AK154=0,"",INDEX('Part types'!$Q:$Q,$AK154))</f>
        <v>10</v>
      </c>
      <c r="I154" s="10" t="n">
        <f aca="false">IF($AK154=0,"",INDEX('Part types'!$R:$R,$AK154))</f>
        <v>8</v>
      </c>
      <c r="J154" s="10" t="n">
        <f aca="false">IF($AK154=0,"",INDEX('Part types'!$S:$S,$AK154))</f>
        <v>0.3</v>
      </c>
      <c r="K154" s="11" t="s">
        <v>875</v>
      </c>
      <c r="L154" s="11" t="s">
        <v>906</v>
      </c>
      <c r="M154" s="11" t="str">
        <f aca="false">L154&amp;" - "&amp;N154</f>
        <v>فلتر الوقود - عام</v>
      </c>
      <c r="N154" s="11" t="s">
        <v>72</v>
      </c>
      <c r="O154" s="11" t="s">
        <v>563</v>
      </c>
      <c r="P154" s="10" t="n">
        <f aca="false">G154</f>
        <v>15</v>
      </c>
      <c r="Q154" s="10" t="n">
        <f aca="false">H154</f>
        <v>10</v>
      </c>
      <c r="R154" s="10" t="n">
        <f aca="false">I154</f>
        <v>8</v>
      </c>
      <c r="S154" s="10" t="n">
        <f aca="false">J154</f>
        <v>0.3</v>
      </c>
      <c r="T154" s="12" t="s">
        <v>877</v>
      </c>
      <c r="U154" s="12" t="s">
        <v>907</v>
      </c>
      <c r="V154" s="9" t="str">
        <f aca="false">U154&amp;" - "&amp;W154</f>
        <v>汽油滤清器 - 通用</v>
      </c>
      <c r="W154" s="12" t="s">
        <v>76</v>
      </c>
      <c r="X154" s="12" t="s">
        <v>565</v>
      </c>
      <c r="Y154" s="10" t="n">
        <f aca="false">G154</f>
        <v>15</v>
      </c>
      <c r="Z154" s="10" t="n">
        <f aca="false">H154</f>
        <v>10</v>
      </c>
      <c r="AA154" s="10" t="n">
        <f aca="false">I154</f>
        <v>8</v>
      </c>
      <c r="AB154" s="10" t="n">
        <f aca="false">J154</f>
        <v>0.3</v>
      </c>
      <c r="AC154" s="9" t="s">
        <v>879</v>
      </c>
      <c r="AD154" s="9" t="s">
        <v>908</v>
      </c>
      <c r="AE154" s="9" t="str">
        <f aca="false">IF($AK154=0,"",INDEX('Part types'!$T:$T,$AK154)&amp;"")</f>
        <v>Combustion engine (petrol, diesel, hybrid, range extender)</v>
      </c>
      <c r="AF154" s="9" t="str">
        <f aca="false">IF($AK154=0,"",INDEX('Part types'!$U:$U,$AK154)&amp;"")</f>
        <v/>
      </c>
      <c r="AG154" s="9" t="str">
        <f aca="false">IF($AK154=0,"",INDEX('Part types'!$V:$V,$AK154)&amp;"")</f>
        <v>Estimate: size class S</v>
      </c>
      <c r="AH154" s="9" t="str">
        <f aca="false">IF($AK154=0,"",INDEX('Part types'!$W:$W,$AK154)&amp;"")</f>
        <v/>
      </c>
      <c r="AI154" s="11" t="str">
        <f aca="false">IF($AK154=0,"",INDEX('Part types'!$X:$X,$AK154)&amp;"")</f>
        <v>بنزين</v>
      </c>
      <c r="AJ154" s="9" t="str">
        <f aca="false">IF($AK154=0,"",INDEX('Part types'!$Y:$Y,$AK154)&amp;"")</f>
        <v/>
      </c>
      <c r="AK154" s="9" t="n">
        <f aca="false">IFERROR(MATCH($AD154,'Part types'!$E:$E,0),0)</f>
        <v>148</v>
      </c>
    </row>
    <row r="155" customFormat="false" ht="15" hidden="false" customHeight="false" outlineLevel="0" collapsed="false">
      <c r="A155" s="9" t="s">
        <v>909</v>
      </c>
      <c r="B155" s="9" t="s">
        <v>873</v>
      </c>
      <c r="C155" s="9" t="s">
        <v>910</v>
      </c>
      <c r="D155" s="9" t="str">
        <f aca="false">C155&amp;" - "&amp;E155</f>
        <v>Diesel Fuel Filter - Universal</v>
      </c>
      <c r="E155" s="9" t="s">
        <v>68</v>
      </c>
      <c r="F155" s="9" t="s">
        <v>561</v>
      </c>
      <c r="G155" s="10" t="n">
        <f aca="false">IF($AK155=0,"",INDEX('Part types'!$P:$P,$AK155))</f>
        <v>25</v>
      </c>
      <c r="H155" s="10" t="n">
        <f aca="false">IF($AK155=0,"",INDEX('Part types'!$Q:$Q,$AK155))</f>
        <v>15</v>
      </c>
      <c r="I155" s="10" t="n">
        <f aca="false">IF($AK155=0,"",INDEX('Part types'!$R:$R,$AK155))</f>
        <v>10</v>
      </c>
      <c r="J155" s="10" t="n">
        <f aca="false">IF($AK155=0,"",INDEX('Part types'!$S:$S,$AK155))</f>
        <v>0.9</v>
      </c>
      <c r="K155" s="11" t="s">
        <v>875</v>
      </c>
      <c r="L155" s="11" t="s">
        <v>911</v>
      </c>
      <c r="M155" s="11" t="str">
        <f aca="false">L155&amp;" - "&amp;N155</f>
        <v>فلتر الديزل - عام</v>
      </c>
      <c r="N155" s="11" t="s">
        <v>72</v>
      </c>
      <c r="O155" s="11" t="s">
        <v>563</v>
      </c>
      <c r="P155" s="10" t="n">
        <f aca="false">G155</f>
        <v>25</v>
      </c>
      <c r="Q155" s="10" t="n">
        <f aca="false">H155</f>
        <v>15</v>
      </c>
      <c r="R155" s="10" t="n">
        <f aca="false">I155</f>
        <v>10</v>
      </c>
      <c r="S155" s="10" t="n">
        <f aca="false">J155</f>
        <v>0.9</v>
      </c>
      <c r="T155" s="12" t="s">
        <v>877</v>
      </c>
      <c r="U155" s="12" t="s">
        <v>912</v>
      </c>
      <c r="V155" s="9" t="str">
        <f aca="false">U155&amp;" - "&amp;W155</f>
        <v>柴油滤清器 - 通用</v>
      </c>
      <c r="W155" s="12" t="s">
        <v>76</v>
      </c>
      <c r="X155" s="12" t="s">
        <v>565</v>
      </c>
      <c r="Y155" s="10" t="n">
        <f aca="false">G155</f>
        <v>25</v>
      </c>
      <c r="Z155" s="10" t="n">
        <f aca="false">H155</f>
        <v>15</v>
      </c>
      <c r="AA155" s="10" t="n">
        <f aca="false">I155</f>
        <v>10</v>
      </c>
      <c r="AB155" s="10" t="n">
        <f aca="false">J155</f>
        <v>0.9</v>
      </c>
      <c r="AC155" s="9" t="s">
        <v>879</v>
      </c>
      <c r="AD155" s="9" t="s">
        <v>913</v>
      </c>
      <c r="AE155" s="9" t="str">
        <f aca="false">IF($AK155=0,"",INDEX('Part types'!$T:$T,$AK155)&amp;"")</f>
        <v>Combustion engine (petrol, diesel, hybrid, range extender)</v>
      </c>
      <c r="AF155" s="9" t="str">
        <f aca="false">IF($AK155=0,"",INDEX('Part types'!$U:$U,$AK155)&amp;"")</f>
        <v/>
      </c>
      <c r="AG155" s="9" t="str">
        <f aca="false">IF($AK155=0,"",INDEX('Part types'!$V:$V,$AK155)&amp;"")</f>
        <v>Estimate: size class M</v>
      </c>
      <c r="AH155" s="9" t="str">
        <f aca="false">IF($AK155=0,"",INDEX('Part types'!$W:$W,$AK155)&amp;"")</f>
        <v/>
      </c>
      <c r="AI155" s="11" t="str">
        <f aca="false">IF($AK155=0,"",INDEX('Part types'!$X:$X,$AK155)&amp;"")</f>
        <v/>
      </c>
      <c r="AJ155" s="9" t="str">
        <f aca="false">IF($AK155=0,"",INDEX('Part types'!$Y:$Y,$AK155)&amp;"")</f>
        <v/>
      </c>
      <c r="AK155" s="9" t="n">
        <f aca="false">IFERROR(MATCH($AD155,'Part types'!$E:$E,0),0)</f>
        <v>149</v>
      </c>
    </row>
    <row r="156" customFormat="false" ht="15" hidden="false" customHeight="false" outlineLevel="0" collapsed="false">
      <c r="A156" s="9" t="s">
        <v>914</v>
      </c>
      <c r="B156" s="9" t="s">
        <v>873</v>
      </c>
      <c r="C156" s="9" t="s">
        <v>915</v>
      </c>
      <c r="D156" s="9" t="str">
        <f aca="false">C156&amp;" - "&amp;E156</f>
        <v>Fuel Water Separator - Universal</v>
      </c>
      <c r="E156" s="9" t="s">
        <v>68</v>
      </c>
      <c r="F156" s="9" t="s">
        <v>561</v>
      </c>
      <c r="G156" s="10" t="n">
        <f aca="false">IF($AK156=0,"",INDEX('Part types'!$P:$P,$AK156))</f>
        <v>25</v>
      </c>
      <c r="H156" s="10" t="n">
        <f aca="false">IF($AK156=0,"",INDEX('Part types'!$Q:$Q,$AK156))</f>
        <v>15</v>
      </c>
      <c r="I156" s="10" t="n">
        <f aca="false">IF($AK156=0,"",INDEX('Part types'!$R:$R,$AK156))</f>
        <v>10</v>
      </c>
      <c r="J156" s="10" t="n">
        <f aca="false">IF($AK156=0,"",INDEX('Part types'!$S:$S,$AK156))</f>
        <v>0.9</v>
      </c>
      <c r="K156" s="11" t="s">
        <v>875</v>
      </c>
      <c r="L156" s="11" t="s">
        <v>916</v>
      </c>
      <c r="M156" s="11" t="str">
        <f aca="false">L156&amp;" - "&amp;N156</f>
        <v>فاصل الماء من الوقود - عام</v>
      </c>
      <c r="N156" s="11" t="s">
        <v>72</v>
      </c>
      <c r="O156" s="11" t="s">
        <v>563</v>
      </c>
      <c r="P156" s="10" t="n">
        <f aca="false">G156</f>
        <v>25</v>
      </c>
      <c r="Q156" s="10" t="n">
        <f aca="false">H156</f>
        <v>15</v>
      </c>
      <c r="R156" s="10" t="n">
        <f aca="false">I156</f>
        <v>10</v>
      </c>
      <c r="S156" s="10" t="n">
        <f aca="false">J156</f>
        <v>0.9</v>
      </c>
      <c r="T156" s="12" t="s">
        <v>877</v>
      </c>
      <c r="U156" s="12" t="s">
        <v>917</v>
      </c>
      <c r="V156" s="9" t="str">
        <f aca="false">U156&amp;" - "&amp;W156</f>
        <v>油水分离器 - 通用</v>
      </c>
      <c r="W156" s="12" t="s">
        <v>76</v>
      </c>
      <c r="X156" s="12" t="s">
        <v>565</v>
      </c>
      <c r="Y156" s="10" t="n">
        <f aca="false">G156</f>
        <v>25</v>
      </c>
      <c r="Z156" s="10" t="n">
        <f aca="false">H156</f>
        <v>15</v>
      </c>
      <c r="AA156" s="10" t="n">
        <f aca="false">I156</f>
        <v>10</v>
      </c>
      <c r="AB156" s="10" t="n">
        <f aca="false">J156</f>
        <v>0.9</v>
      </c>
      <c r="AC156" s="9" t="s">
        <v>879</v>
      </c>
      <c r="AD156" s="9" t="s">
        <v>918</v>
      </c>
      <c r="AE156" s="9" t="str">
        <f aca="false">IF($AK156=0,"",INDEX('Part types'!$T:$T,$AK156)&amp;"")</f>
        <v>Combustion engine (petrol, diesel, hybrid, range extender)</v>
      </c>
      <c r="AF156" s="9" t="str">
        <f aca="false">IF($AK156=0,"",INDEX('Part types'!$U:$U,$AK156)&amp;"")</f>
        <v/>
      </c>
      <c r="AG156" s="9" t="str">
        <f aca="false">IF($AK156=0,"",INDEX('Part types'!$V:$V,$AK156)&amp;"")</f>
        <v>Estimate: size class M</v>
      </c>
      <c r="AH156" s="9" t="str">
        <f aca="false">IF($AK156=0,"",INDEX('Part types'!$W:$W,$AK156)&amp;"")</f>
        <v/>
      </c>
      <c r="AI156" s="11" t="str">
        <f aca="false">IF($AK156=0,"",INDEX('Part types'!$X:$X,$AK156)&amp;"")</f>
        <v/>
      </c>
      <c r="AJ156" s="9" t="str">
        <f aca="false">IF($AK156=0,"",INDEX('Part types'!$Y:$Y,$AK156)&amp;"")</f>
        <v/>
      </c>
      <c r="AK156" s="9" t="n">
        <f aca="false">IFERROR(MATCH($AD156,'Part types'!$E:$E,0),0)</f>
        <v>150</v>
      </c>
    </row>
    <row r="157" customFormat="false" ht="15" hidden="false" customHeight="false" outlineLevel="0" collapsed="false">
      <c r="A157" s="9" t="s">
        <v>919</v>
      </c>
      <c r="B157" s="9" t="s">
        <v>873</v>
      </c>
      <c r="C157" s="9" t="s">
        <v>920</v>
      </c>
      <c r="D157" s="9" t="str">
        <f aca="false">C157&amp;" - "&amp;E157</f>
        <v>Fuel Tank Strainer - Universal</v>
      </c>
      <c r="E157" s="9" t="s">
        <v>68</v>
      </c>
      <c r="F157" s="9" t="s">
        <v>520</v>
      </c>
      <c r="G157" s="10" t="n">
        <f aca="false">IF($AK157=0,"",INDEX('Part types'!$P:$P,$AK157))</f>
        <v>10</v>
      </c>
      <c r="H157" s="10" t="n">
        <f aca="false">IF($AK157=0,"",INDEX('Part types'!$Q:$Q,$AK157))</f>
        <v>8</v>
      </c>
      <c r="I157" s="10" t="n">
        <f aca="false">IF($AK157=0,"",INDEX('Part types'!$R:$R,$AK157))</f>
        <v>6</v>
      </c>
      <c r="J157" s="10" t="n">
        <f aca="false">IF($AK157=0,"",INDEX('Part types'!$S:$S,$AK157))</f>
        <v>0.1</v>
      </c>
      <c r="K157" s="11" t="s">
        <v>875</v>
      </c>
      <c r="L157" s="11" t="s">
        <v>921</v>
      </c>
      <c r="M157" s="11" t="str">
        <f aca="false">L157&amp;" - "&amp;N157</f>
        <v>مصفاة خزان الوقود - عام</v>
      </c>
      <c r="N157" s="11" t="s">
        <v>72</v>
      </c>
      <c r="O157" s="11" t="s">
        <v>523</v>
      </c>
      <c r="P157" s="10" t="n">
        <f aca="false">G157</f>
        <v>10</v>
      </c>
      <c r="Q157" s="10" t="n">
        <f aca="false">H157</f>
        <v>8</v>
      </c>
      <c r="R157" s="10" t="n">
        <f aca="false">I157</f>
        <v>6</v>
      </c>
      <c r="S157" s="10" t="n">
        <f aca="false">J157</f>
        <v>0.1</v>
      </c>
      <c r="T157" s="12" t="s">
        <v>877</v>
      </c>
      <c r="U157" s="12" t="s">
        <v>922</v>
      </c>
      <c r="V157" s="9" t="str">
        <f aca="false">U157&amp;" - "&amp;W157</f>
        <v>油箱滤网 - 通用</v>
      </c>
      <c r="W157" s="12" t="s">
        <v>76</v>
      </c>
      <c r="X157" s="12" t="s">
        <v>526</v>
      </c>
      <c r="Y157" s="10" t="n">
        <f aca="false">G157</f>
        <v>10</v>
      </c>
      <c r="Z157" s="10" t="n">
        <f aca="false">H157</f>
        <v>8</v>
      </c>
      <c r="AA157" s="10" t="n">
        <f aca="false">I157</f>
        <v>6</v>
      </c>
      <c r="AB157" s="10" t="n">
        <f aca="false">J157</f>
        <v>0.1</v>
      </c>
      <c r="AC157" s="9" t="s">
        <v>879</v>
      </c>
      <c r="AD157" s="9" t="s">
        <v>923</v>
      </c>
      <c r="AE157" s="9" t="str">
        <f aca="false">IF($AK157=0,"",INDEX('Part types'!$T:$T,$AK157)&amp;"")</f>
        <v>Combustion engine (petrol, diesel, hybrid, range extender)</v>
      </c>
      <c r="AF157" s="9" t="str">
        <f aca="false">IF($AK157=0,"",INDEX('Part types'!$U:$U,$AK157)&amp;"")</f>
        <v/>
      </c>
      <c r="AG157" s="9" t="str">
        <f aca="false">IF($AK157=0,"",INDEX('Part types'!$V:$V,$AK157)&amp;"")</f>
        <v>Estimate: size class XS</v>
      </c>
      <c r="AH157" s="9" t="str">
        <f aca="false">IF($AK157=0,"",INDEX('Part types'!$W:$W,$AK157)&amp;"")</f>
        <v/>
      </c>
      <c r="AI157" s="11" t="str">
        <f aca="false">IF($AK157=0,"",INDEX('Part types'!$X:$X,$AK157)&amp;"")</f>
        <v/>
      </c>
      <c r="AJ157" s="9" t="str">
        <f aca="false">IF($AK157=0,"",INDEX('Part types'!$Y:$Y,$AK157)&amp;"")</f>
        <v/>
      </c>
      <c r="AK157" s="9" t="n">
        <f aca="false">IFERROR(MATCH($AD157,'Part types'!$E:$E,0),0)</f>
        <v>151</v>
      </c>
    </row>
    <row r="158" customFormat="false" ht="15" hidden="false" customHeight="false" outlineLevel="0" collapsed="false">
      <c r="A158" s="9" t="s">
        <v>924</v>
      </c>
      <c r="B158" s="9" t="s">
        <v>873</v>
      </c>
      <c r="C158" s="9" t="s">
        <v>925</v>
      </c>
      <c r="D158" s="9" t="str">
        <f aca="false">C158&amp;" - "&amp;E158</f>
        <v>Transmission Oil Filter - Universal</v>
      </c>
      <c r="E158" s="9" t="s">
        <v>68</v>
      </c>
      <c r="F158" s="9" t="s">
        <v>926</v>
      </c>
      <c r="G158" s="10" t="n">
        <f aca="false">IF($AK158=0,"",INDEX('Part types'!$P:$P,$AK158))</f>
        <v>25</v>
      </c>
      <c r="H158" s="10" t="n">
        <f aca="false">IF($AK158=0,"",INDEX('Part types'!$Q:$Q,$AK158))</f>
        <v>15</v>
      </c>
      <c r="I158" s="10" t="n">
        <f aca="false">IF($AK158=0,"",INDEX('Part types'!$R:$R,$AK158))</f>
        <v>10</v>
      </c>
      <c r="J158" s="10" t="n">
        <f aca="false">IF($AK158=0,"",INDEX('Part types'!$S:$S,$AK158))</f>
        <v>0.9</v>
      </c>
      <c r="K158" s="11" t="s">
        <v>875</v>
      </c>
      <c r="L158" s="11" t="s">
        <v>927</v>
      </c>
      <c r="M158" s="11" t="str">
        <f aca="false">L158&amp;" - "&amp;N158</f>
        <v>فلتر زيت ناقل الحركة - عام</v>
      </c>
      <c r="N158" s="11" t="s">
        <v>72</v>
      </c>
      <c r="O158" s="11" t="s">
        <v>928</v>
      </c>
      <c r="P158" s="10" t="n">
        <f aca="false">G158</f>
        <v>25</v>
      </c>
      <c r="Q158" s="10" t="n">
        <f aca="false">H158</f>
        <v>15</v>
      </c>
      <c r="R158" s="10" t="n">
        <f aca="false">I158</f>
        <v>10</v>
      </c>
      <c r="S158" s="10" t="n">
        <f aca="false">J158</f>
        <v>0.9</v>
      </c>
      <c r="T158" s="12" t="s">
        <v>877</v>
      </c>
      <c r="U158" s="12" t="s">
        <v>929</v>
      </c>
      <c r="V158" s="9" t="str">
        <f aca="false">U158&amp;" - "&amp;W158</f>
        <v>变速箱滤清器 - 通用</v>
      </c>
      <c r="W158" s="12" t="s">
        <v>76</v>
      </c>
      <c r="X158" s="12" t="s">
        <v>930</v>
      </c>
      <c r="Y158" s="10" t="n">
        <f aca="false">G158</f>
        <v>25</v>
      </c>
      <c r="Z158" s="10" t="n">
        <f aca="false">H158</f>
        <v>15</v>
      </c>
      <c r="AA158" s="10" t="n">
        <f aca="false">I158</f>
        <v>10</v>
      </c>
      <c r="AB158" s="10" t="n">
        <f aca="false">J158</f>
        <v>0.9</v>
      </c>
      <c r="AC158" s="9" t="s">
        <v>879</v>
      </c>
      <c r="AD158" s="9" t="s">
        <v>931</v>
      </c>
      <c r="AE158" s="9" t="str">
        <f aca="false">IF($AK158=0,"",INDEX('Part types'!$T:$T,$AK158)&amp;"")</f>
        <v>Combustion engine (petrol, diesel, hybrid, range extender)</v>
      </c>
      <c r="AF158" s="9" t="str">
        <f aca="false">IF($AK158=0,"",INDEX('Part types'!$U:$U,$AK158)&amp;"")</f>
        <v/>
      </c>
      <c r="AG158" s="9" t="str">
        <f aca="false">IF($AK158=0,"",INDEX('Part types'!$V:$V,$AK158)&amp;"")</f>
        <v>Estimate: size class M</v>
      </c>
      <c r="AH158" s="9" t="str">
        <f aca="false">IF($AK158=0,"",INDEX('Part types'!$W:$W,$AK158)&amp;"")</f>
        <v/>
      </c>
      <c r="AI158" s="11" t="str">
        <f aca="false">IF($AK158=0,"",INDEX('Part types'!$X:$X,$AK158)&amp;"")</f>
        <v/>
      </c>
      <c r="AJ158" s="9" t="str">
        <f aca="false">IF($AK158=0,"",INDEX('Part types'!$Y:$Y,$AK158)&amp;"")</f>
        <v/>
      </c>
      <c r="AK158" s="9" t="n">
        <f aca="false">IFERROR(MATCH($AD158,'Part types'!$E:$E,0),0)</f>
        <v>152</v>
      </c>
    </row>
    <row r="159" customFormat="false" ht="15" hidden="false" customHeight="false" outlineLevel="0" collapsed="false">
      <c r="A159" s="9" t="s">
        <v>932</v>
      </c>
      <c r="B159" s="9" t="s">
        <v>873</v>
      </c>
      <c r="C159" s="9" t="s">
        <v>933</v>
      </c>
      <c r="D159" s="9" t="str">
        <f aca="false">C159&amp;" - "&amp;E159</f>
        <v>Steering Fluid Filter - Universal</v>
      </c>
      <c r="E159" s="9" t="s">
        <v>68</v>
      </c>
      <c r="F159" s="9" t="s">
        <v>934</v>
      </c>
      <c r="G159" s="10" t="n">
        <f aca="false">IF($AK159=0,"",INDEX('Part types'!$P:$P,$AK159))</f>
        <v>10</v>
      </c>
      <c r="H159" s="10" t="n">
        <f aca="false">IF($AK159=0,"",INDEX('Part types'!$Q:$Q,$AK159))</f>
        <v>8</v>
      </c>
      <c r="I159" s="10" t="n">
        <f aca="false">IF($AK159=0,"",INDEX('Part types'!$R:$R,$AK159))</f>
        <v>6</v>
      </c>
      <c r="J159" s="10" t="n">
        <f aca="false">IF($AK159=0,"",INDEX('Part types'!$S:$S,$AK159))</f>
        <v>0.1</v>
      </c>
      <c r="K159" s="11" t="s">
        <v>875</v>
      </c>
      <c r="L159" s="11" t="s">
        <v>935</v>
      </c>
      <c r="M159" s="11" t="str">
        <f aca="false">L159&amp;" - "&amp;N159</f>
        <v>فلتر زيت الباور - عام</v>
      </c>
      <c r="N159" s="11" t="s">
        <v>72</v>
      </c>
      <c r="O159" s="11" t="s">
        <v>936</v>
      </c>
      <c r="P159" s="10" t="n">
        <f aca="false">G159</f>
        <v>10</v>
      </c>
      <c r="Q159" s="10" t="n">
        <f aca="false">H159</f>
        <v>8</v>
      </c>
      <c r="R159" s="10" t="n">
        <f aca="false">I159</f>
        <v>6</v>
      </c>
      <c r="S159" s="10" t="n">
        <f aca="false">J159</f>
        <v>0.1</v>
      </c>
      <c r="T159" s="12" t="s">
        <v>877</v>
      </c>
      <c r="U159" s="12" t="s">
        <v>937</v>
      </c>
      <c r="V159" s="9" t="str">
        <f aca="false">U159&amp;" - "&amp;W159</f>
        <v>转向油滤清器 - 通用</v>
      </c>
      <c r="W159" s="12" t="s">
        <v>76</v>
      </c>
      <c r="X159" s="12" t="s">
        <v>938</v>
      </c>
      <c r="Y159" s="10" t="n">
        <f aca="false">G159</f>
        <v>10</v>
      </c>
      <c r="Z159" s="10" t="n">
        <f aca="false">H159</f>
        <v>8</v>
      </c>
      <c r="AA159" s="10" t="n">
        <f aca="false">I159</f>
        <v>6</v>
      </c>
      <c r="AB159" s="10" t="n">
        <f aca="false">J159</f>
        <v>0.1</v>
      </c>
      <c r="AC159" s="9" t="s">
        <v>879</v>
      </c>
      <c r="AD159" s="9" t="s">
        <v>939</v>
      </c>
      <c r="AE159" s="9" t="str">
        <f aca="false">IF($AK159=0,"",INDEX('Part types'!$T:$T,$AK159)&amp;"")</f>
        <v>All vehicles</v>
      </c>
      <c r="AF159" s="9" t="str">
        <f aca="false">IF($AK159=0,"",INDEX('Part types'!$U:$U,$AK159)&amp;"")</f>
        <v/>
      </c>
      <c r="AG159" s="9" t="str">
        <f aca="false">IF($AK159=0,"",INDEX('Part types'!$V:$V,$AK159)&amp;"")</f>
        <v>Estimate: size class XS</v>
      </c>
      <c r="AH159" s="9" t="str">
        <f aca="false">IF($AK159=0,"",INDEX('Part types'!$W:$W,$AK159)&amp;"")</f>
        <v>Power Steering Fluid Filter</v>
      </c>
      <c r="AI159" s="11" t="str">
        <f aca="false">IF($AK159=0,"",INDEX('Part types'!$X:$X,$AK159)&amp;"")</f>
        <v/>
      </c>
      <c r="AJ159" s="9" t="str">
        <f aca="false">IF($AK159=0,"",INDEX('Part types'!$Y:$Y,$AK159)&amp;"")</f>
        <v/>
      </c>
      <c r="AK159" s="9" t="n">
        <f aca="false">IFERROR(MATCH($AD159,'Part types'!$E:$E,0),0)</f>
        <v>153</v>
      </c>
    </row>
    <row r="160" customFormat="false" ht="15" hidden="false" customHeight="false" outlineLevel="0" collapsed="false">
      <c r="A160" s="9" t="s">
        <v>940</v>
      </c>
      <c r="B160" s="9" t="s">
        <v>873</v>
      </c>
      <c r="C160" s="9" t="s">
        <v>941</v>
      </c>
      <c r="D160" s="9" t="str">
        <f aca="false">C160&amp;" - "&amp;E160</f>
        <v>Crankcase Breather Filter - Universal</v>
      </c>
      <c r="E160" s="9" t="s">
        <v>68</v>
      </c>
      <c r="F160" s="9" t="s">
        <v>110</v>
      </c>
      <c r="G160" s="10" t="n">
        <f aca="false">IF($AK160=0,"",INDEX('Part types'!$P:$P,$AK160))</f>
        <v>10</v>
      </c>
      <c r="H160" s="10" t="n">
        <f aca="false">IF($AK160=0,"",INDEX('Part types'!$Q:$Q,$AK160))</f>
        <v>8</v>
      </c>
      <c r="I160" s="10" t="n">
        <f aca="false">IF($AK160=0,"",INDEX('Part types'!$R:$R,$AK160))</f>
        <v>6</v>
      </c>
      <c r="J160" s="10" t="n">
        <f aca="false">IF($AK160=0,"",INDEX('Part types'!$S:$S,$AK160))</f>
        <v>0.1</v>
      </c>
      <c r="K160" s="11" t="s">
        <v>875</v>
      </c>
      <c r="L160" s="11" t="s">
        <v>942</v>
      </c>
      <c r="M160" s="11" t="str">
        <f aca="false">L160&amp;" - "&amp;N160</f>
        <v>فلتر تهوية علبة المرفق - عام</v>
      </c>
      <c r="N160" s="11" t="s">
        <v>72</v>
      </c>
      <c r="O160" s="11" t="s">
        <v>112</v>
      </c>
      <c r="P160" s="10" t="n">
        <f aca="false">G160</f>
        <v>10</v>
      </c>
      <c r="Q160" s="10" t="n">
        <f aca="false">H160</f>
        <v>8</v>
      </c>
      <c r="R160" s="10" t="n">
        <f aca="false">I160</f>
        <v>6</v>
      </c>
      <c r="S160" s="10" t="n">
        <f aca="false">J160</f>
        <v>0.1</v>
      </c>
      <c r="T160" s="12" t="s">
        <v>877</v>
      </c>
      <c r="U160" s="12" t="s">
        <v>943</v>
      </c>
      <c r="V160" s="9" t="str">
        <f aca="false">U160&amp;" - "&amp;W160</f>
        <v>曲轴箱通风滤清器 - 通用</v>
      </c>
      <c r="W160" s="12" t="s">
        <v>76</v>
      </c>
      <c r="X160" s="12" t="s">
        <v>114</v>
      </c>
      <c r="Y160" s="10" t="n">
        <f aca="false">G160</f>
        <v>10</v>
      </c>
      <c r="Z160" s="10" t="n">
        <f aca="false">H160</f>
        <v>8</v>
      </c>
      <c r="AA160" s="10" t="n">
        <f aca="false">I160</f>
        <v>6</v>
      </c>
      <c r="AB160" s="10" t="n">
        <f aca="false">J160</f>
        <v>0.1</v>
      </c>
      <c r="AC160" s="9" t="s">
        <v>879</v>
      </c>
      <c r="AD160" s="9" t="s">
        <v>944</v>
      </c>
      <c r="AE160" s="9" t="str">
        <f aca="false">IF($AK160=0,"",INDEX('Part types'!$T:$T,$AK160)&amp;"")</f>
        <v>Combustion engine (petrol, diesel, hybrid, range extender)</v>
      </c>
      <c r="AF160" s="9" t="str">
        <f aca="false">IF($AK160=0,"",INDEX('Part types'!$U:$U,$AK160)&amp;"")</f>
        <v/>
      </c>
      <c r="AG160" s="9" t="str">
        <f aca="false">IF($AK160=0,"",INDEX('Part types'!$V:$V,$AK160)&amp;"")</f>
        <v>Estimate: size class XS</v>
      </c>
      <c r="AH160" s="9" t="str">
        <f aca="false">IF($AK160=0,"",INDEX('Part types'!$W:$W,$AK160)&amp;"")</f>
        <v/>
      </c>
      <c r="AI160" s="11" t="str">
        <f aca="false">IF($AK160=0,"",INDEX('Part types'!$X:$X,$AK160)&amp;"")</f>
        <v/>
      </c>
      <c r="AJ160" s="9" t="str">
        <f aca="false">IF($AK160=0,"",INDEX('Part types'!$Y:$Y,$AK160)&amp;"")</f>
        <v/>
      </c>
      <c r="AK160" s="9" t="n">
        <f aca="false">IFERROR(MATCH($AD160,'Part types'!$E:$E,0),0)</f>
        <v>154</v>
      </c>
    </row>
    <row r="161" customFormat="false" ht="15" hidden="false" customHeight="false" outlineLevel="0" collapsed="false">
      <c r="A161" s="9" t="s">
        <v>945</v>
      </c>
      <c r="B161" s="9" t="s">
        <v>873</v>
      </c>
      <c r="C161" s="9" t="s">
        <v>946</v>
      </c>
      <c r="D161" s="9" t="str">
        <f aca="false">C161&amp;" - "&amp;E161</f>
        <v>Battery Coolant Filter - Universal</v>
      </c>
      <c r="E161" s="9" t="s">
        <v>68</v>
      </c>
      <c r="F161" s="9" t="s">
        <v>947</v>
      </c>
      <c r="G161" s="10" t="n">
        <f aca="false">IF($AK161=0,"",INDEX('Part types'!$P:$P,$AK161))</f>
        <v>15</v>
      </c>
      <c r="H161" s="10" t="n">
        <f aca="false">IF($AK161=0,"",INDEX('Part types'!$Q:$Q,$AK161))</f>
        <v>10</v>
      </c>
      <c r="I161" s="10" t="n">
        <f aca="false">IF($AK161=0,"",INDEX('Part types'!$R:$R,$AK161))</f>
        <v>8</v>
      </c>
      <c r="J161" s="10" t="n">
        <f aca="false">IF($AK161=0,"",INDEX('Part types'!$S:$S,$AK161))</f>
        <v>0.3</v>
      </c>
      <c r="K161" s="11" t="s">
        <v>875</v>
      </c>
      <c r="L161" s="11" t="s">
        <v>948</v>
      </c>
      <c r="M161" s="11" t="str">
        <f aca="false">L161&amp;" - "&amp;N161</f>
        <v>فلتر سائل تبريد البطارية - عام</v>
      </c>
      <c r="N161" s="11" t="s">
        <v>72</v>
      </c>
      <c r="O161" s="11" t="s">
        <v>949</v>
      </c>
      <c r="P161" s="10" t="n">
        <f aca="false">G161</f>
        <v>15</v>
      </c>
      <c r="Q161" s="10" t="n">
        <f aca="false">H161</f>
        <v>10</v>
      </c>
      <c r="R161" s="10" t="n">
        <f aca="false">I161</f>
        <v>8</v>
      </c>
      <c r="S161" s="10" t="n">
        <f aca="false">J161</f>
        <v>0.3</v>
      </c>
      <c r="T161" s="12" t="s">
        <v>877</v>
      </c>
      <c r="U161" s="12" t="s">
        <v>950</v>
      </c>
      <c r="V161" s="9" t="str">
        <f aca="false">U161&amp;" - "&amp;W161</f>
        <v>电池冷却液滤清器 - 通用</v>
      </c>
      <c r="W161" s="12" t="s">
        <v>76</v>
      </c>
      <c r="X161" s="12" t="s">
        <v>951</v>
      </c>
      <c r="Y161" s="10" t="n">
        <f aca="false">G161</f>
        <v>15</v>
      </c>
      <c r="Z161" s="10" t="n">
        <f aca="false">H161</f>
        <v>10</v>
      </c>
      <c r="AA161" s="10" t="n">
        <f aca="false">I161</f>
        <v>8</v>
      </c>
      <c r="AB161" s="10" t="n">
        <f aca="false">J161</f>
        <v>0.3</v>
      </c>
      <c r="AC161" s="9" t="s">
        <v>879</v>
      </c>
      <c r="AD161" s="9" t="s">
        <v>952</v>
      </c>
      <c r="AE161" s="9" t="str">
        <f aca="false">IF($AK161=0,"",INDEX('Part types'!$T:$T,$AK161)&amp;"")</f>
        <v>Electrified (hybrid, plug-in, range extender, EV)</v>
      </c>
      <c r="AF161" s="9" t="str">
        <f aca="false">IF($AK161=0,"",INDEX('Part types'!$U:$U,$AK161)&amp;"")</f>
        <v/>
      </c>
      <c r="AG161" s="9" t="str">
        <f aca="false">IF($AK161=0,"",INDEX('Part types'!$V:$V,$AK161)&amp;"")</f>
        <v>Estimate: size class S</v>
      </c>
      <c r="AH161" s="9" t="str">
        <f aca="false">IF($AK161=0,"",INDEX('Part types'!$W:$W,$AK161)&amp;"")</f>
        <v/>
      </c>
      <c r="AI161" s="11" t="str">
        <f aca="false">IF($AK161=0,"",INDEX('Part types'!$X:$X,$AK161)&amp;"")</f>
        <v/>
      </c>
      <c r="AJ161" s="9" t="str">
        <f aca="false">IF($AK161=0,"",INDEX('Part types'!$Y:$Y,$AK161)&amp;"")</f>
        <v/>
      </c>
      <c r="AK161" s="9" t="n">
        <f aca="false">IFERROR(MATCH($AD161,'Part types'!$E:$E,0),0)</f>
        <v>155</v>
      </c>
    </row>
    <row r="162" customFormat="false" ht="15" hidden="false" customHeight="false" outlineLevel="0" collapsed="false">
      <c r="A162" s="9" t="s">
        <v>953</v>
      </c>
      <c r="B162" s="9" t="s">
        <v>954</v>
      </c>
      <c r="C162" s="9" t="s">
        <v>955</v>
      </c>
      <c r="D162" s="9" t="str">
        <f aca="false">C162&amp;" "&amp;INDEX('Part types'!$I:$I,$AK162)</f>
        <v>Engine Oil 1 L</v>
      </c>
      <c r="E162" s="9" t="s">
        <v>68</v>
      </c>
      <c r="F162" s="9" t="s">
        <v>956</v>
      </c>
      <c r="G162" s="10" t="n">
        <f aca="false">IF($AK162=0,"",INDEX('Part types'!$P:$P,$AK162))</f>
        <v>10</v>
      </c>
      <c r="H162" s="10" t="n">
        <f aca="false">IF($AK162=0,"",INDEX('Part types'!$Q:$Q,$AK162))</f>
        <v>8</v>
      </c>
      <c r="I162" s="10" t="n">
        <f aca="false">IF($AK162=0,"",INDEX('Part types'!$R:$R,$AK162))</f>
        <v>24</v>
      </c>
      <c r="J162" s="10" t="n">
        <f aca="false">IF($AK162=0,"",INDEX('Part types'!$S:$S,$AK162))</f>
        <v>0.95</v>
      </c>
      <c r="K162" s="11" t="s">
        <v>957</v>
      </c>
      <c r="L162" s="11" t="s">
        <v>958</v>
      </c>
      <c r="M162" s="11" t="str">
        <f aca="false">L162&amp;" "&amp;INDEX('Part types'!$J:$J,$AK162)</f>
        <v>زيت محرك 1 لتر</v>
      </c>
      <c r="N162" s="11" t="s">
        <v>72</v>
      </c>
      <c r="O162" s="11" t="s">
        <v>959</v>
      </c>
      <c r="P162" s="10" t="n">
        <f aca="false">G162</f>
        <v>10</v>
      </c>
      <c r="Q162" s="10" t="n">
        <f aca="false">H162</f>
        <v>8</v>
      </c>
      <c r="R162" s="10" t="n">
        <f aca="false">I162</f>
        <v>24</v>
      </c>
      <c r="S162" s="10" t="n">
        <f aca="false">J162</f>
        <v>0.95</v>
      </c>
      <c r="T162" s="12" t="s">
        <v>960</v>
      </c>
      <c r="U162" s="12" t="s">
        <v>961</v>
      </c>
      <c r="V162" s="9" t="str">
        <f aca="false">U162&amp;" "&amp;INDEX('Part types'!$K:$K,$AK162)</f>
        <v>发动机机油 1升</v>
      </c>
      <c r="W162" s="12" t="s">
        <v>76</v>
      </c>
      <c r="X162" s="12" t="s">
        <v>962</v>
      </c>
      <c r="Y162" s="10" t="n">
        <f aca="false">G162</f>
        <v>10</v>
      </c>
      <c r="Z162" s="10" t="n">
        <f aca="false">H162</f>
        <v>8</v>
      </c>
      <c r="AA162" s="10" t="n">
        <f aca="false">I162</f>
        <v>24</v>
      </c>
      <c r="AB162" s="10" t="n">
        <f aca="false">J162</f>
        <v>0.95</v>
      </c>
      <c r="AC162" s="9" t="s">
        <v>963</v>
      </c>
      <c r="AD162" s="9" t="s">
        <v>964</v>
      </c>
      <c r="AE162" s="9" t="str">
        <f aca="false">IF($AK162=0,"",INDEX('Part types'!$T:$T,$AK162)&amp;"")</f>
        <v>Combustion engine (petrol, diesel, hybrid, range extender)</v>
      </c>
      <c r="AF162" s="9" t="str">
        <f aca="false">IF($AK162=0,"",INDEX('Part types'!$U:$U,$AK162)&amp;"")</f>
        <v>Liquid / flammable</v>
      </c>
      <c r="AG162" s="9" t="str">
        <f aca="false">IF($AK162=0,"",INDEX('Part types'!$V:$V,$AK162)&amp;"")</f>
        <v>Estimate: item-specific</v>
      </c>
      <c r="AH162" s="9" t="str">
        <f aca="false">IF($AK162=0,"",INDEX('Part types'!$W:$W,$AK162)&amp;"")</f>
        <v/>
      </c>
      <c r="AI162" s="11" t="str">
        <f aca="false">IF($AK162=0,"",INDEX('Part types'!$X:$X,$AK162)&amp;"")</f>
        <v/>
      </c>
      <c r="AJ162" s="9" t="str">
        <f aca="false">IF($AK162=0,"",INDEX('Part types'!$Y:$Y,$AK162)&amp;"")</f>
        <v/>
      </c>
      <c r="AK162" s="9" t="n">
        <f aca="false">IFERROR(MATCH($AD162,'Part types'!$E:$E,0),0)</f>
        <v>156</v>
      </c>
    </row>
    <row r="163" customFormat="false" ht="15" hidden="false" customHeight="false" outlineLevel="0" collapsed="false">
      <c r="A163" s="9" t="s">
        <v>965</v>
      </c>
      <c r="B163" s="9" t="s">
        <v>954</v>
      </c>
      <c r="C163" s="9" t="s">
        <v>955</v>
      </c>
      <c r="D163" s="9" t="str">
        <f aca="false">C163&amp;" "&amp;INDEX('Part types'!$I:$I,$AK163)</f>
        <v>Engine Oil 4 L</v>
      </c>
      <c r="E163" s="9" t="s">
        <v>68</v>
      </c>
      <c r="F163" s="9" t="s">
        <v>956</v>
      </c>
      <c r="G163" s="10" t="n">
        <f aca="false">IF($AK163=0,"",INDEX('Part types'!$P:$P,$AK163))</f>
        <v>20</v>
      </c>
      <c r="H163" s="10" t="n">
        <f aca="false">IF($AK163=0,"",INDEX('Part types'!$Q:$Q,$AK163))</f>
        <v>12</v>
      </c>
      <c r="I163" s="10" t="n">
        <f aca="false">IF($AK163=0,"",INDEX('Part types'!$R:$R,$AK163))</f>
        <v>28</v>
      </c>
      <c r="J163" s="10" t="n">
        <f aca="false">IF($AK163=0,"",INDEX('Part types'!$S:$S,$AK163))</f>
        <v>3.7</v>
      </c>
      <c r="K163" s="11" t="s">
        <v>957</v>
      </c>
      <c r="L163" s="11" t="s">
        <v>958</v>
      </c>
      <c r="M163" s="11" t="str">
        <f aca="false">L163&amp;" "&amp;INDEX('Part types'!$J:$J,$AK163)</f>
        <v>زيت محرك 4 لتر</v>
      </c>
      <c r="N163" s="11" t="s">
        <v>72</v>
      </c>
      <c r="O163" s="11" t="s">
        <v>959</v>
      </c>
      <c r="P163" s="10" t="n">
        <f aca="false">G163</f>
        <v>20</v>
      </c>
      <c r="Q163" s="10" t="n">
        <f aca="false">H163</f>
        <v>12</v>
      </c>
      <c r="R163" s="10" t="n">
        <f aca="false">I163</f>
        <v>28</v>
      </c>
      <c r="S163" s="10" t="n">
        <f aca="false">J163</f>
        <v>3.7</v>
      </c>
      <c r="T163" s="12" t="s">
        <v>960</v>
      </c>
      <c r="U163" s="12" t="s">
        <v>961</v>
      </c>
      <c r="V163" s="9" t="str">
        <f aca="false">U163&amp;" "&amp;INDEX('Part types'!$K:$K,$AK163)</f>
        <v>发动机机油 4升</v>
      </c>
      <c r="W163" s="12" t="s">
        <v>76</v>
      </c>
      <c r="X163" s="12" t="s">
        <v>962</v>
      </c>
      <c r="Y163" s="10" t="n">
        <f aca="false">G163</f>
        <v>20</v>
      </c>
      <c r="Z163" s="10" t="n">
        <f aca="false">H163</f>
        <v>12</v>
      </c>
      <c r="AA163" s="10" t="n">
        <f aca="false">I163</f>
        <v>28</v>
      </c>
      <c r="AB163" s="10" t="n">
        <f aca="false">J163</f>
        <v>3.7</v>
      </c>
      <c r="AC163" s="9" t="s">
        <v>963</v>
      </c>
      <c r="AD163" s="9" t="s">
        <v>966</v>
      </c>
      <c r="AE163" s="9" t="str">
        <f aca="false">IF($AK163=0,"",INDEX('Part types'!$T:$T,$AK163)&amp;"")</f>
        <v>Combustion engine (petrol, diesel, hybrid, range extender)</v>
      </c>
      <c r="AF163" s="9" t="str">
        <f aca="false">IF($AK163=0,"",INDEX('Part types'!$U:$U,$AK163)&amp;"")</f>
        <v>Liquid / flammable</v>
      </c>
      <c r="AG163" s="9" t="str">
        <f aca="false">IF($AK163=0,"",INDEX('Part types'!$V:$V,$AK163)&amp;"")</f>
        <v>Estimate: item-specific</v>
      </c>
      <c r="AH163" s="9" t="str">
        <f aca="false">IF($AK163=0,"",INDEX('Part types'!$W:$W,$AK163)&amp;"")</f>
        <v/>
      </c>
      <c r="AI163" s="11" t="str">
        <f aca="false">IF($AK163=0,"",INDEX('Part types'!$X:$X,$AK163)&amp;"")</f>
        <v/>
      </c>
      <c r="AJ163" s="9" t="str">
        <f aca="false">IF($AK163=0,"",INDEX('Part types'!$Y:$Y,$AK163)&amp;"")</f>
        <v/>
      </c>
      <c r="AK163" s="9" t="n">
        <f aca="false">IFERROR(MATCH($AD163,'Part types'!$E:$E,0),0)</f>
        <v>157</v>
      </c>
    </row>
    <row r="164" customFormat="false" ht="15" hidden="false" customHeight="false" outlineLevel="0" collapsed="false">
      <c r="A164" s="9" t="s">
        <v>967</v>
      </c>
      <c r="B164" s="9" t="s">
        <v>954</v>
      </c>
      <c r="C164" s="9" t="s">
        <v>955</v>
      </c>
      <c r="D164" s="9" t="str">
        <f aca="false">C164&amp;" "&amp;INDEX('Part types'!$I:$I,$AK164)</f>
        <v>Engine Oil 5 L</v>
      </c>
      <c r="E164" s="9" t="s">
        <v>68</v>
      </c>
      <c r="F164" s="9" t="s">
        <v>956</v>
      </c>
      <c r="G164" s="10" t="n">
        <f aca="false">IF($AK164=0,"",INDEX('Part types'!$P:$P,$AK164))</f>
        <v>22</v>
      </c>
      <c r="H164" s="10" t="n">
        <f aca="false">IF($AK164=0,"",INDEX('Part types'!$Q:$Q,$AK164))</f>
        <v>14</v>
      </c>
      <c r="I164" s="10" t="n">
        <f aca="false">IF($AK164=0,"",INDEX('Part types'!$R:$R,$AK164))</f>
        <v>28</v>
      </c>
      <c r="J164" s="10" t="n">
        <f aca="false">IF($AK164=0,"",INDEX('Part types'!$S:$S,$AK164))</f>
        <v>4.6</v>
      </c>
      <c r="K164" s="11" t="s">
        <v>957</v>
      </c>
      <c r="L164" s="11" t="s">
        <v>958</v>
      </c>
      <c r="M164" s="11" t="str">
        <f aca="false">L164&amp;" "&amp;INDEX('Part types'!$J:$J,$AK164)</f>
        <v>زيت محرك 5 لتر</v>
      </c>
      <c r="N164" s="11" t="s">
        <v>72</v>
      </c>
      <c r="O164" s="11" t="s">
        <v>959</v>
      </c>
      <c r="P164" s="10" t="n">
        <f aca="false">G164</f>
        <v>22</v>
      </c>
      <c r="Q164" s="10" t="n">
        <f aca="false">H164</f>
        <v>14</v>
      </c>
      <c r="R164" s="10" t="n">
        <f aca="false">I164</f>
        <v>28</v>
      </c>
      <c r="S164" s="10" t="n">
        <f aca="false">J164</f>
        <v>4.6</v>
      </c>
      <c r="T164" s="12" t="s">
        <v>960</v>
      </c>
      <c r="U164" s="12" t="s">
        <v>961</v>
      </c>
      <c r="V164" s="9" t="str">
        <f aca="false">U164&amp;" "&amp;INDEX('Part types'!$K:$K,$AK164)</f>
        <v>发动机机油 5升</v>
      </c>
      <c r="W164" s="12" t="s">
        <v>76</v>
      </c>
      <c r="X164" s="12" t="s">
        <v>962</v>
      </c>
      <c r="Y164" s="10" t="n">
        <f aca="false">G164</f>
        <v>22</v>
      </c>
      <c r="Z164" s="10" t="n">
        <f aca="false">H164</f>
        <v>14</v>
      </c>
      <c r="AA164" s="10" t="n">
        <f aca="false">I164</f>
        <v>28</v>
      </c>
      <c r="AB164" s="10" t="n">
        <f aca="false">J164</f>
        <v>4.6</v>
      </c>
      <c r="AC164" s="9" t="s">
        <v>963</v>
      </c>
      <c r="AD164" s="9" t="s">
        <v>968</v>
      </c>
      <c r="AE164" s="9" t="str">
        <f aca="false">IF($AK164=0,"",INDEX('Part types'!$T:$T,$AK164)&amp;"")</f>
        <v>Combustion engine (petrol, diesel, hybrid, range extender)</v>
      </c>
      <c r="AF164" s="9" t="str">
        <f aca="false">IF($AK164=0,"",INDEX('Part types'!$U:$U,$AK164)&amp;"")</f>
        <v>Liquid / flammable</v>
      </c>
      <c r="AG164" s="9" t="str">
        <f aca="false">IF($AK164=0,"",INDEX('Part types'!$V:$V,$AK164)&amp;"")</f>
        <v>Estimate: item-specific</v>
      </c>
      <c r="AH164" s="9" t="str">
        <f aca="false">IF($AK164=0,"",INDEX('Part types'!$W:$W,$AK164)&amp;"")</f>
        <v/>
      </c>
      <c r="AI164" s="11" t="str">
        <f aca="false">IF($AK164=0,"",INDEX('Part types'!$X:$X,$AK164)&amp;"")</f>
        <v/>
      </c>
      <c r="AJ164" s="9" t="str">
        <f aca="false">IF($AK164=0,"",INDEX('Part types'!$Y:$Y,$AK164)&amp;"")</f>
        <v/>
      </c>
      <c r="AK164" s="9" t="n">
        <f aca="false">IFERROR(MATCH($AD164,'Part types'!$E:$E,0),0)</f>
        <v>158</v>
      </c>
    </row>
    <row r="165" customFormat="false" ht="15" hidden="false" customHeight="false" outlineLevel="0" collapsed="false">
      <c r="A165" s="9" t="s">
        <v>969</v>
      </c>
      <c r="B165" s="9" t="s">
        <v>954</v>
      </c>
      <c r="C165" s="9" t="s">
        <v>970</v>
      </c>
      <c r="D165" s="9" t="str">
        <f aca="false">C165&amp;" "&amp;INDEX('Part types'!$I:$I,$AK165)</f>
        <v>Automatic Transmission Fluid 1 L</v>
      </c>
      <c r="E165" s="9" t="s">
        <v>68</v>
      </c>
      <c r="F165" s="9" t="s">
        <v>956</v>
      </c>
      <c r="G165" s="10" t="n">
        <f aca="false">IF($AK165=0,"",INDEX('Part types'!$P:$P,$AK165))</f>
        <v>10</v>
      </c>
      <c r="H165" s="10" t="n">
        <f aca="false">IF($AK165=0,"",INDEX('Part types'!$Q:$Q,$AK165))</f>
        <v>8</v>
      </c>
      <c r="I165" s="10" t="n">
        <f aca="false">IF($AK165=0,"",INDEX('Part types'!$R:$R,$AK165))</f>
        <v>24</v>
      </c>
      <c r="J165" s="10" t="n">
        <f aca="false">IF($AK165=0,"",INDEX('Part types'!$S:$S,$AK165))</f>
        <v>0.95</v>
      </c>
      <c r="K165" s="11" t="s">
        <v>957</v>
      </c>
      <c r="L165" s="11" t="s">
        <v>971</v>
      </c>
      <c r="M165" s="11" t="str">
        <f aca="false">L165&amp;" "&amp;INDEX('Part types'!$J:$J,$AK165)</f>
        <v>زيت ناقل حركة أوتوماتيك 1 لتر</v>
      </c>
      <c r="N165" s="11" t="s">
        <v>72</v>
      </c>
      <c r="O165" s="11" t="s">
        <v>959</v>
      </c>
      <c r="P165" s="10" t="n">
        <f aca="false">G165</f>
        <v>10</v>
      </c>
      <c r="Q165" s="10" t="n">
        <f aca="false">H165</f>
        <v>8</v>
      </c>
      <c r="R165" s="10" t="n">
        <f aca="false">I165</f>
        <v>24</v>
      </c>
      <c r="S165" s="10" t="n">
        <f aca="false">J165</f>
        <v>0.95</v>
      </c>
      <c r="T165" s="12" t="s">
        <v>960</v>
      </c>
      <c r="U165" s="12" t="s">
        <v>972</v>
      </c>
      <c r="V165" s="9" t="str">
        <f aca="false">U165&amp;" "&amp;INDEX('Part types'!$K:$K,$AK165)</f>
        <v>自动变速箱油 1升</v>
      </c>
      <c r="W165" s="12" t="s">
        <v>76</v>
      </c>
      <c r="X165" s="12" t="s">
        <v>962</v>
      </c>
      <c r="Y165" s="10" t="n">
        <f aca="false">G165</f>
        <v>10</v>
      </c>
      <c r="Z165" s="10" t="n">
        <f aca="false">H165</f>
        <v>8</v>
      </c>
      <c r="AA165" s="10" t="n">
        <f aca="false">I165</f>
        <v>24</v>
      </c>
      <c r="AB165" s="10" t="n">
        <f aca="false">J165</f>
        <v>0.95</v>
      </c>
      <c r="AC165" s="9" t="s">
        <v>963</v>
      </c>
      <c r="AD165" s="9" t="s">
        <v>973</v>
      </c>
      <c r="AE165" s="9" t="str">
        <f aca="false">IF($AK165=0,"",INDEX('Part types'!$T:$T,$AK165)&amp;"")</f>
        <v>Combustion engine (petrol, diesel, hybrid, range extender)</v>
      </c>
      <c r="AF165" s="9" t="str">
        <f aca="false">IF($AK165=0,"",INDEX('Part types'!$U:$U,$AK165)&amp;"")</f>
        <v>Liquid / flammable</v>
      </c>
      <c r="AG165" s="9" t="str">
        <f aca="false">IF($AK165=0,"",INDEX('Part types'!$V:$V,$AK165)&amp;"")</f>
        <v>Estimate: item-specific</v>
      </c>
      <c r="AH165" s="9" t="str">
        <f aca="false">IF($AK165=0,"",INDEX('Part types'!$W:$W,$AK165)&amp;"")</f>
        <v>Automatic Transmission Fluid ATF</v>
      </c>
      <c r="AI165" s="11" t="str">
        <f aca="false">IF($AK165=0,"",INDEX('Part types'!$X:$X,$AK165)&amp;"")</f>
        <v/>
      </c>
      <c r="AJ165" s="9" t="str">
        <f aca="false">IF($AK165=0,"",INDEX('Part types'!$Y:$Y,$AK165)&amp;"")</f>
        <v/>
      </c>
      <c r="AK165" s="9" t="n">
        <f aca="false">IFERROR(MATCH($AD165,'Part types'!$E:$E,0),0)</f>
        <v>159</v>
      </c>
    </row>
    <row r="166" customFormat="false" ht="15" hidden="false" customHeight="false" outlineLevel="0" collapsed="false">
      <c r="A166" s="9" t="s">
        <v>974</v>
      </c>
      <c r="B166" s="9" t="s">
        <v>954</v>
      </c>
      <c r="C166" s="9" t="s">
        <v>970</v>
      </c>
      <c r="D166" s="9" t="str">
        <f aca="false">C166&amp;" "&amp;INDEX('Part types'!$I:$I,$AK166)</f>
        <v>Automatic Transmission Fluid 4 L</v>
      </c>
      <c r="E166" s="9" t="s">
        <v>68</v>
      </c>
      <c r="F166" s="9" t="s">
        <v>956</v>
      </c>
      <c r="G166" s="10" t="n">
        <f aca="false">IF($AK166=0,"",INDEX('Part types'!$P:$P,$AK166))</f>
        <v>20</v>
      </c>
      <c r="H166" s="10" t="n">
        <f aca="false">IF($AK166=0,"",INDEX('Part types'!$Q:$Q,$AK166))</f>
        <v>12</v>
      </c>
      <c r="I166" s="10" t="n">
        <f aca="false">IF($AK166=0,"",INDEX('Part types'!$R:$R,$AK166))</f>
        <v>28</v>
      </c>
      <c r="J166" s="10" t="n">
        <f aca="false">IF($AK166=0,"",INDEX('Part types'!$S:$S,$AK166))</f>
        <v>3.7</v>
      </c>
      <c r="K166" s="11" t="s">
        <v>957</v>
      </c>
      <c r="L166" s="11" t="s">
        <v>971</v>
      </c>
      <c r="M166" s="11" t="str">
        <f aca="false">L166&amp;" "&amp;INDEX('Part types'!$J:$J,$AK166)</f>
        <v>زيت ناقل حركة أوتوماتيك 4 لتر</v>
      </c>
      <c r="N166" s="11" t="s">
        <v>72</v>
      </c>
      <c r="O166" s="11" t="s">
        <v>959</v>
      </c>
      <c r="P166" s="10" t="n">
        <f aca="false">G166</f>
        <v>20</v>
      </c>
      <c r="Q166" s="10" t="n">
        <f aca="false">H166</f>
        <v>12</v>
      </c>
      <c r="R166" s="10" t="n">
        <f aca="false">I166</f>
        <v>28</v>
      </c>
      <c r="S166" s="10" t="n">
        <f aca="false">J166</f>
        <v>3.7</v>
      </c>
      <c r="T166" s="12" t="s">
        <v>960</v>
      </c>
      <c r="U166" s="12" t="s">
        <v>972</v>
      </c>
      <c r="V166" s="9" t="str">
        <f aca="false">U166&amp;" "&amp;INDEX('Part types'!$K:$K,$AK166)</f>
        <v>自动变速箱油 4升</v>
      </c>
      <c r="W166" s="12" t="s">
        <v>76</v>
      </c>
      <c r="X166" s="12" t="s">
        <v>962</v>
      </c>
      <c r="Y166" s="10" t="n">
        <f aca="false">G166</f>
        <v>20</v>
      </c>
      <c r="Z166" s="10" t="n">
        <f aca="false">H166</f>
        <v>12</v>
      </c>
      <c r="AA166" s="10" t="n">
        <f aca="false">I166</f>
        <v>28</v>
      </c>
      <c r="AB166" s="10" t="n">
        <f aca="false">J166</f>
        <v>3.7</v>
      </c>
      <c r="AC166" s="9" t="s">
        <v>963</v>
      </c>
      <c r="AD166" s="9" t="s">
        <v>975</v>
      </c>
      <c r="AE166" s="9" t="str">
        <f aca="false">IF($AK166=0,"",INDEX('Part types'!$T:$T,$AK166)&amp;"")</f>
        <v>Combustion engine (petrol, diesel, hybrid, range extender)</v>
      </c>
      <c r="AF166" s="9" t="str">
        <f aca="false">IF($AK166=0,"",INDEX('Part types'!$U:$U,$AK166)&amp;"")</f>
        <v>Liquid / flammable</v>
      </c>
      <c r="AG166" s="9" t="str">
        <f aca="false">IF($AK166=0,"",INDEX('Part types'!$V:$V,$AK166)&amp;"")</f>
        <v>Estimate: item-specific</v>
      </c>
      <c r="AH166" s="9" t="str">
        <f aca="false">IF($AK166=0,"",INDEX('Part types'!$W:$W,$AK166)&amp;"")</f>
        <v>Automatic Transmission Fluid ATF</v>
      </c>
      <c r="AI166" s="11" t="str">
        <f aca="false">IF($AK166=0,"",INDEX('Part types'!$X:$X,$AK166)&amp;"")</f>
        <v/>
      </c>
      <c r="AJ166" s="9" t="str">
        <f aca="false">IF($AK166=0,"",INDEX('Part types'!$Y:$Y,$AK166)&amp;"")</f>
        <v/>
      </c>
      <c r="AK166" s="9" t="n">
        <f aca="false">IFERROR(MATCH($AD166,'Part types'!$E:$E,0),0)</f>
        <v>160</v>
      </c>
    </row>
    <row r="167" customFormat="false" ht="15" hidden="false" customHeight="false" outlineLevel="0" collapsed="false">
      <c r="A167" s="9" t="s">
        <v>976</v>
      </c>
      <c r="B167" s="9" t="s">
        <v>954</v>
      </c>
      <c r="C167" s="9" t="s">
        <v>977</v>
      </c>
      <c r="D167" s="9" t="str">
        <f aca="false">C167&amp;" "&amp;INDEX('Part types'!$I:$I,$AK167)</f>
        <v>CVT Fluid 4 L</v>
      </c>
      <c r="E167" s="9" t="s">
        <v>68</v>
      </c>
      <c r="F167" s="9" t="s">
        <v>956</v>
      </c>
      <c r="G167" s="10" t="n">
        <f aca="false">IF($AK167=0,"",INDEX('Part types'!$P:$P,$AK167))</f>
        <v>20</v>
      </c>
      <c r="H167" s="10" t="n">
        <f aca="false">IF($AK167=0,"",INDEX('Part types'!$Q:$Q,$AK167))</f>
        <v>12</v>
      </c>
      <c r="I167" s="10" t="n">
        <f aca="false">IF($AK167=0,"",INDEX('Part types'!$R:$R,$AK167))</f>
        <v>28</v>
      </c>
      <c r="J167" s="10" t="n">
        <f aca="false">IF($AK167=0,"",INDEX('Part types'!$S:$S,$AK167))</f>
        <v>3.7</v>
      </c>
      <c r="K167" s="11" t="s">
        <v>957</v>
      </c>
      <c r="L167" s="11" t="s">
        <v>978</v>
      </c>
      <c r="M167" s="11" t="str">
        <f aca="false">L167&amp;" "&amp;INDEX('Part types'!$J:$J,$AK167)</f>
        <v>زيت ناقل حركة CVT 4 لتر</v>
      </c>
      <c r="N167" s="11" t="s">
        <v>72</v>
      </c>
      <c r="O167" s="11" t="s">
        <v>959</v>
      </c>
      <c r="P167" s="10" t="n">
        <f aca="false">G167</f>
        <v>20</v>
      </c>
      <c r="Q167" s="10" t="n">
        <f aca="false">H167</f>
        <v>12</v>
      </c>
      <c r="R167" s="10" t="n">
        <f aca="false">I167</f>
        <v>28</v>
      </c>
      <c r="S167" s="10" t="n">
        <f aca="false">J167</f>
        <v>3.7</v>
      </c>
      <c r="T167" s="12" t="s">
        <v>960</v>
      </c>
      <c r="U167" s="9" t="s">
        <v>979</v>
      </c>
      <c r="V167" s="9" t="str">
        <f aca="false">U167&amp;" "&amp;INDEX('Part types'!$K:$K,$AK167)</f>
        <v>CVT变速箱油 4升</v>
      </c>
      <c r="W167" s="12" t="s">
        <v>76</v>
      </c>
      <c r="X167" s="12" t="s">
        <v>962</v>
      </c>
      <c r="Y167" s="10" t="n">
        <f aca="false">G167</f>
        <v>20</v>
      </c>
      <c r="Z167" s="10" t="n">
        <f aca="false">H167</f>
        <v>12</v>
      </c>
      <c r="AA167" s="10" t="n">
        <f aca="false">I167</f>
        <v>28</v>
      </c>
      <c r="AB167" s="10" t="n">
        <f aca="false">J167</f>
        <v>3.7</v>
      </c>
      <c r="AC167" s="9" t="s">
        <v>963</v>
      </c>
      <c r="AD167" s="9" t="s">
        <v>980</v>
      </c>
      <c r="AE167" s="9" t="str">
        <f aca="false">IF($AK167=0,"",INDEX('Part types'!$T:$T,$AK167)&amp;"")</f>
        <v>Combustion engine (petrol, diesel, hybrid, range extender)</v>
      </c>
      <c r="AF167" s="9" t="str">
        <f aca="false">IF($AK167=0,"",INDEX('Part types'!$U:$U,$AK167)&amp;"")</f>
        <v>Liquid / flammable</v>
      </c>
      <c r="AG167" s="9" t="str">
        <f aca="false">IF($AK167=0,"",INDEX('Part types'!$V:$V,$AK167)&amp;"")</f>
        <v>Estimate: item-specific</v>
      </c>
      <c r="AH167" s="9" t="str">
        <f aca="false">IF($AK167=0,"",INDEX('Part types'!$W:$W,$AK167)&amp;"")</f>
        <v/>
      </c>
      <c r="AI167" s="11" t="str">
        <f aca="false">IF($AK167=0,"",INDEX('Part types'!$X:$X,$AK167)&amp;"")</f>
        <v/>
      </c>
      <c r="AJ167" s="9" t="str">
        <f aca="false">IF($AK167=0,"",INDEX('Part types'!$Y:$Y,$AK167)&amp;"")</f>
        <v/>
      </c>
      <c r="AK167" s="9" t="n">
        <f aca="false">IFERROR(MATCH($AD167,'Part types'!$E:$E,0),0)</f>
        <v>161</v>
      </c>
    </row>
    <row r="168" customFormat="false" ht="15" hidden="false" customHeight="false" outlineLevel="0" collapsed="false">
      <c r="A168" s="9" t="s">
        <v>981</v>
      </c>
      <c r="B168" s="9" t="s">
        <v>954</v>
      </c>
      <c r="C168" s="9" t="s">
        <v>982</v>
      </c>
      <c r="D168" s="9" t="str">
        <f aca="false">C168&amp;" "&amp;INDEX('Part types'!$I:$I,$AK168)</f>
        <v>Manual Gear Oil 1 L</v>
      </c>
      <c r="E168" s="9" t="s">
        <v>68</v>
      </c>
      <c r="F168" s="9" t="s">
        <v>956</v>
      </c>
      <c r="G168" s="10" t="n">
        <f aca="false">IF($AK168=0,"",INDEX('Part types'!$P:$P,$AK168))</f>
        <v>10</v>
      </c>
      <c r="H168" s="10" t="n">
        <f aca="false">IF($AK168=0,"",INDEX('Part types'!$Q:$Q,$AK168))</f>
        <v>8</v>
      </c>
      <c r="I168" s="10" t="n">
        <f aca="false">IF($AK168=0,"",INDEX('Part types'!$R:$R,$AK168))</f>
        <v>24</v>
      </c>
      <c r="J168" s="10" t="n">
        <f aca="false">IF($AK168=0,"",INDEX('Part types'!$S:$S,$AK168))</f>
        <v>0.95</v>
      </c>
      <c r="K168" s="11" t="s">
        <v>957</v>
      </c>
      <c r="L168" s="11" t="s">
        <v>983</v>
      </c>
      <c r="M168" s="11" t="str">
        <f aca="false">L168&amp;" "&amp;INDEX('Part types'!$J:$J,$AK168)</f>
        <v>زيت قير عادي 1 لتر</v>
      </c>
      <c r="N168" s="11" t="s">
        <v>72</v>
      </c>
      <c r="O168" s="11" t="s">
        <v>959</v>
      </c>
      <c r="P168" s="10" t="n">
        <f aca="false">G168</f>
        <v>10</v>
      </c>
      <c r="Q168" s="10" t="n">
        <f aca="false">H168</f>
        <v>8</v>
      </c>
      <c r="R168" s="10" t="n">
        <f aca="false">I168</f>
        <v>24</v>
      </c>
      <c r="S168" s="10" t="n">
        <f aca="false">J168</f>
        <v>0.95</v>
      </c>
      <c r="T168" s="12" t="s">
        <v>960</v>
      </c>
      <c r="U168" s="12" t="s">
        <v>984</v>
      </c>
      <c r="V168" s="9" t="str">
        <f aca="false">U168&amp;" "&amp;INDEX('Part types'!$K:$K,$AK168)</f>
        <v>手动变速箱油 1升</v>
      </c>
      <c r="W168" s="12" t="s">
        <v>76</v>
      </c>
      <c r="X168" s="12" t="s">
        <v>962</v>
      </c>
      <c r="Y168" s="10" t="n">
        <f aca="false">G168</f>
        <v>10</v>
      </c>
      <c r="Z168" s="10" t="n">
        <f aca="false">H168</f>
        <v>8</v>
      </c>
      <c r="AA168" s="10" t="n">
        <f aca="false">I168</f>
        <v>24</v>
      </c>
      <c r="AB168" s="10" t="n">
        <f aca="false">J168</f>
        <v>0.95</v>
      </c>
      <c r="AC168" s="9" t="s">
        <v>963</v>
      </c>
      <c r="AD168" s="9" t="s">
        <v>985</v>
      </c>
      <c r="AE168" s="9" t="str">
        <f aca="false">IF($AK168=0,"",INDEX('Part types'!$T:$T,$AK168)&amp;"")</f>
        <v>Combustion engine (petrol, diesel, hybrid, range extender)</v>
      </c>
      <c r="AF168" s="9" t="str">
        <f aca="false">IF($AK168=0,"",INDEX('Part types'!$U:$U,$AK168)&amp;"")</f>
        <v>Liquid / flammable</v>
      </c>
      <c r="AG168" s="9" t="str">
        <f aca="false">IF($AK168=0,"",INDEX('Part types'!$V:$V,$AK168)&amp;"")</f>
        <v>Estimate: item-specific</v>
      </c>
      <c r="AH168" s="9" t="str">
        <f aca="false">IF($AK168=0,"",INDEX('Part types'!$W:$W,$AK168)&amp;"")</f>
        <v/>
      </c>
      <c r="AI168" s="11" t="str">
        <f aca="false">IF($AK168=0,"",INDEX('Part types'!$X:$X,$AK168)&amp;"")</f>
        <v/>
      </c>
      <c r="AJ168" s="9" t="str">
        <f aca="false">IF($AK168=0,"",INDEX('Part types'!$Y:$Y,$AK168)&amp;"")</f>
        <v/>
      </c>
      <c r="AK168" s="9" t="n">
        <f aca="false">IFERROR(MATCH($AD168,'Part types'!$E:$E,0),0)</f>
        <v>162</v>
      </c>
    </row>
    <row r="169" customFormat="false" ht="15" hidden="false" customHeight="false" outlineLevel="0" collapsed="false">
      <c r="A169" s="9" t="s">
        <v>986</v>
      </c>
      <c r="B169" s="9" t="s">
        <v>954</v>
      </c>
      <c r="C169" s="9" t="s">
        <v>987</v>
      </c>
      <c r="D169" s="9" t="str">
        <f aca="false">C169&amp;" "&amp;INDEX('Part types'!$I:$I,$AK169)</f>
        <v>Differential Oil 1 L</v>
      </c>
      <c r="E169" s="9" t="s">
        <v>68</v>
      </c>
      <c r="F169" s="9" t="s">
        <v>956</v>
      </c>
      <c r="G169" s="10" t="n">
        <f aca="false">IF($AK169=0,"",INDEX('Part types'!$P:$P,$AK169))</f>
        <v>10</v>
      </c>
      <c r="H169" s="10" t="n">
        <f aca="false">IF($AK169=0,"",INDEX('Part types'!$Q:$Q,$AK169))</f>
        <v>8</v>
      </c>
      <c r="I169" s="10" t="n">
        <f aca="false">IF($AK169=0,"",INDEX('Part types'!$R:$R,$AK169))</f>
        <v>24</v>
      </c>
      <c r="J169" s="10" t="n">
        <f aca="false">IF($AK169=0,"",INDEX('Part types'!$S:$S,$AK169))</f>
        <v>0.95</v>
      </c>
      <c r="K169" s="11" t="s">
        <v>957</v>
      </c>
      <c r="L169" s="11" t="s">
        <v>988</v>
      </c>
      <c r="M169" s="11" t="str">
        <f aca="false">L169&amp;" "&amp;INDEX('Part types'!$J:$J,$AK169)</f>
        <v>زيت الدفرنس 1 لتر</v>
      </c>
      <c r="N169" s="11" t="s">
        <v>72</v>
      </c>
      <c r="O169" s="11" t="s">
        <v>959</v>
      </c>
      <c r="P169" s="10" t="n">
        <f aca="false">G169</f>
        <v>10</v>
      </c>
      <c r="Q169" s="10" t="n">
        <f aca="false">H169</f>
        <v>8</v>
      </c>
      <c r="R169" s="10" t="n">
        <f aca="false">I169</f>
        <v>24</v>
      </c>
      <c r="S169" s="10" t="n">
        <f aca="false">J169</f>
        <v>0.95</v>
      </c>
      <c r="T169" s="12" t="s">
        <v>960</v>
      </c>
      <c r="U169" s="12" t="s">
        <v>989</v>
      </c>
      <c r="V169" s="9" t="str">
        <f aca="false">U169&amp;" "&amp;INDEX('Part types'!$K:$K,$AK169)</f>
        <v>差速器油 1升</v>
      </c>
      <c r="W169" s="12" t="s">
        <v>76</v>
      </c>
      <c r="X169" s="12" t="s">
        <v>962</v>
      </c>
      <c r="Y169" s="10" t="n">
        <f aca="false">G169</f>
        <v>10</v>
      </c>
      <c r="Z169" s="10" t="n">
        <f aca="false">H169</f>
        <v>8</v>
      </c>
      <c r="AA169" s="10" t="n">
        <f aca="false">I169</f>
        <v>24</v>
      </c>
      <c r="AB169" s="10" t="n">
        <f aca="false">J169</f>
        <v>0.95</v>
      </c>
      <c r="AC169" s="9" t="s">
        <v>963</v>
      </c>
      <c r="AD169" s="9" t="s">
        <v>990</v>
      </c>
      <c r="AE169" s="9" t="str">
        <f aca="false">IF($AK169=0,"",INDEX('Part types'!$T:$T,$AK169)&amp;"")</f>
        <v>All vehicles</v>
      </c>
      <c r="AF169" s="9" t="str">
        <f aca="false">IF($AK169=0,"",INDEX('Part types'!$U:$U,$AK169)&amp;"")</f>
        <v>Liquid / flammable</v>
      </c>
      <c r="AG169" s="9" t="str">
        <f aca="false">IF($AK169=0,"",INDEX('Part types'!$V:$V,$AK169)&amp;"")</f>
        <v>Estimate: item-specific</v>
      </c>
      <c r="AH169" s="9" t="str">
        <f aca="false">IF($AK169=0,"",INDEX('Part types'!$W:$W,$AK169)&amp;"")</f>
        <v>Differential Gear Oil</v>
      </c>
      <c r="AI169" s="11" t="str">
        <f aca="false">IF($AK169=0,"",INDEX('Part types'!$X:$X,$AK169)&amp;"")</f>
        <v/>
      </c>
      <c r="AJ169" s="9" t="str">
        <f aca="false">IF($AK169=0,"",INDEX('Part types'!$Y:$Y,$AK169)&amp;"")</f>
        <v/>
      </c>
      <c r="AK169" s="9" t="n">
        <f aca="false">IFERROR(MATCH($AD169,'Part types'!$E:$E,0),0)</f>
        <v>163</v>
      </c>
    </row>
    <row r="170" customFormat="false" ht="15" hidden="false" customHeight="false" outlineLevel="0" collapsed="false">
      <c r="A170" s="9" t="s">
        <v>991</v>
      </c>
      <c r="B170" s="9" t="s">
        <v>954</v>
      </c>
      <c r="C170" s="9" t="s">
        <v>992</v>
      </c>
      <c r="D170" s="9" t="str">
        <f aca="false">C170&amp;" "&amp;INDEX('Part types'!$I:$I,$AK170)</f>
        <v>EV Gear Oil 1 L</v>
      </c>
      <c r="E170" s="9" t="s">
        <v>68</v>
      </c>
      <c r="F170" s="9" t="s">
        <v>956</v>
      </c>
      <c r="G170" s="10" t="n">
        <f aca="false">IF($AK170=0,"",INDEX('Part types'!$P:$P,$AK170))</f>
        <v>10</v>
      </c>
      <c r="H170" s="10" t="n">
        <f aca="false">IF($AK170=0,"",INDEX('Part types'!$Q:$Q,$AK170))</f>
        <v>8</v>
      </c>
      <c r="I170" s="10" t="n">
        <f aca="false">IF($AK170=0,"",INDEX('Part types'!$R:$R,$AK170))</f>
        <v>24</v>
      </c>
      <c r="J170" s="10" t="n">
        <f aca="false">IF($AK170=0,"",INDEX('Part types'!$S:$S,$AK170))</f>
        <v>0.95</v>
      </c>
      <c r="K170" s="11" t="s">
        <v>957</v>
      </c>
      <c r="L170" s="11" t="s">
        <v>993</v>
      </c>
      <c r="M170" s="11" t="str">
        <f aca="false">L170&amp;" "&amp;INDEX('Part types'!$J:$J,$AK170)</f>
        <v>زيت علبة تخفيض السرعة للسيارات الكهربائية 1 لتر</v>
      </c>
      <c r="N170" s="11" t="s">
        <v>72</v>
      </c>
      <c r="O170" s="11" t="s">
        <v>959</v>
      </c>
      <c r="P170" s="10" t="n">
        <f aca="false">G170</f>
        <v>10</v>
      </c>
      <c r="Q170" s="10" t="n">
        <f aca="false">H170</f>
        <v>8</v>
      </c>
      <c r="R170" s="10" t="n">
        <f aca="false">I170</f>
        <v>24</v>
      </c>
      <c r="S170" s="10" t="n">
        <f aca="false">J170</f>
        <v>0.95</v>
      </c>
      <c r="T170" s="12" t="s">
        <v>960</v>
      </c>
      <c r="U170" s="12" t="s">
        <v>994</v>
      </c>
      <c r="V170" s="9" t="str">
        <f aca="false">U170&amp;" "&amp;INDEX('Part types'!$K:$K,$AK170)</f>
        <v>电动车减速器油 1升</v>
      </c>
      <c r="W170" s="12" t="s">
        <v>76</v>
      </c>
      <c r="X170" s="12" t="s">
        <v>962</v>
      </c>
      <c r="Y170" s="10" t="n">
        <f aca="false">G170</f>
        <v>10</v>
      </c>
      <c r="Z170" s="10" t="n">
        <f aca="false">H170</f>
        <v>8</v>
      </c>
      <c r="AA170" s="10" t="n">
        <f aca="false">I170</f>
        <v>24</v>
      </c>
      <c r="AB170" s="10" t="n">
        <f aca="false">J170</f>
        <v>0.95</v>
      </c>
      <c r="AC170" s="9" t="s">
        <v>963</v>
      </c>
      <c r="AD170" s="9" t="s">
        <v>995</v>
      </c>
      <c r="AE170" s="9" t="str">
        <f aca="false">IF($AK170=0,"",INDEX('Part types'!$T:$T,$AK170)&amp;"")</f>
        <v>Electrified (hybrid, plug-in, range extender, EV)</v>
      </c>
      <c r="AF170" s="9" t="str">
        <f aca="false">IF($AK170=0,"",INDEX('Part types'!$U:$U,$AK170)&amp;"")</f>
        <v>Liquid / flammable</v>
      </c>
      <c r="AG170" s="9" t="str">
        <f aca="false">IF($AK170=0,"",INDEX('Part types'!$V:$V,$AK170)&amp;"")</f>
        <v>Estimate: item-specific</v>
      </c>
      <c r="AH170" s="9" t="str">
        <f aca="false">IF($AK170=0,"",INDEX('Part types'!$W:$W,$AK170)&amp;"")</f>
        <v>Reduction Gear Oil for EV</v>
      </c>
      <c r="AI170" s="11" t="str">
        <f aca="false">IF($AK170=0,"",INDEX('Part types'!$X:$X,$AK170)&amp;"")</f>
        <v/>
      </c>
      <c r="AJ170" s="9" t="str">
        <f aca="false">IF($AK170=0,"",INDEX('Part types'!$Y:$Y,$AK170)&amp;"")</f>
        <v/>
      </c>
      <c r="AK170" s="9" t="n">
        <f aca="false">IFERROR(MATCH($AD170,'Part types'!$E:$E,0),0)</f>
        <v>164</v>
      </c>
    </row>
    <row r="171" customFormat="false" ht="15" hidden="false" customHeight="false" outlineLevel="0" collapsed="false">
      <c r="A171" s="9" t="s">
        <v>996</v>
      </c>
      <c r="B171" s="9" t="s">
        <v>954</v>
      </c>
      <c r="C171" s="9" t="s">
        <v>997</v>
      </c>
      <c r="D171" s="9" t="str">
        <f aca="false">C171&amp;" "&amp;INDEX('Part types'!$I:$I,$AK171)</f>
        <v>Brake Fluid DOT4 500 ml</v>
      </c>
      <c r="E171" s="9" t="s">
        <v>68</v>
      </c>
      <c r="F171" s="9" t="s">
        <v>956</v>
      </c>
      <c r="G171" s="10" t="n">
        <f aca="false">IF($AK171=0,"",INDEX('Part types'!$P:$P,$AK171))</f>
        <v>8</v>
      </c>
      <c r="H171" s="10" t="n">
        <f aca="false">IF($AK171=0,"",INDEX('Part types'!$Q:$Q,$AK171))</f>
        <v>8</v>
      </c>
      <c r="I171" s="10" t="n">
        <f aca="false">IF($AK171=0,"",INDEX('Part types'!$R:$R,$AK171))</f>
        <v>20</v>
      </c>
      <c r="J171" s="10" t="n">
        <f aca="false">IF($AK171=0,"",INDEX('Part types'!$S:$S,$AK171))</f>
        <v>0.55</v>
      </c>
      <c r="K171" s="11" t="s">
        <v>957</v>
      </c>
      <c r="L171" s="11" t="s">
        <v>998</v>
      </c>
      <c r="M171" s="11" t="str">
        <f aca="false">L171&amp;" "&amp;INDEX('Part types'!$J:$J,$AK171)</f>
        <v>زيت فرامل DOT4 500 مل</v>
      </c>
      <c r="N171" s="11" t="s">
        <v>72</v>
      </c>
      <c r="O171" s="11" t="s">
        <v>959</v>
      </c>
      <c r="P171" s="10" t="n">
        <f aca="false">G171</f>
        <v>8</v>
      </c>
      <c r="Q171" s="10" t="n">
        <f aca="false">H171</f>
        <v>8</v>
      </c>
      <c r="R171" s="10" t="n">
        <f aca="false">I171</f>
        <v>20</v>
      </c>
      <c r="S171" s="10" t="n">
        <f aca="false">J171</f>
        <v>0.55</v>
      </c>
      <c r="T171" s="12" t="s">
        <v>960</v>
      </c>
      <c r="U171" s="12" t="s">
        <v>999</v>
      </c>
      <c r="V171" s="9" t="str">
        <f aca="false">U171&amp;" "&amp;INDEX('Part types'!$K:$K,$AK171)</f>
        <v>制动液 DOT4 500毫升</v>
      </c>
      <c r="W171" s="12" t="s">
        <v>76</v>
      </c>
      <c r="X171" s="12" t="s">
        <v>962</v>
      </c>
      <c r="Y171" s="10" t="n">
        <f aca="false">G171</f>
        <v>8</v>
      </c>
      <c r="Z171" s="10" t="n">
        <f aca="false">H171</f>
        <v>8</v>
      </c>
      <c r="AA171" s="10" t="n">
        <f aca="false">I171</f>
        <v>20</v>
      </c>
      <c r="AB171" s="10" t="n">
        <f aca="false">J171</f>
        <v>0.55</v>
      </c>
      <c r="AC171" s="9" t="s">
        <v>963</v>
      </c>
      <c r="AD171" s="9" t="s">
        <v>1000</v>
      </c>
      <c r="AE171" s="9" t="str">
        <f aca="false">IF($AK171=0,"",INDEX('Part types'!$T:$T,$AK171)&amp;"")</f>
        <v>All vehicles</v>
      </c>
      <c r="AF171" s="9" t="str">
        <f aca="false">IF($AK171=0,"",INDEX('Part types'!$U:$U,$AK171)&amp;"")</f>
        <v>Liquid / flammable</v>
      </c>
      <c r="AG171" s="9" t="str">
        <f aca="false">IF($AK171=0,"",INDEX('Part types'!$V:$V,$AK171)&amp;"")</f>
        <v>Estimate: item-specific</v>
      </c>
      <c r="AH171" s="9" t="str">
        <f aca="false">IF($AK171=0,"",INDEX('Part types'!$W:$W,$AK171)&amp;"")</f>
        <v>Brake Fluid DOT 4</v>
      </c>
      <c r="AI171" s="11" t="str">
        <f aca="false">IF($AK171=0,"",INDEX('Part types'!$X:$X,$AK171)&amp;"")</f>
        <v/>
      </c>
      <c r="AJ171" s="9" t="str">
        <f aca="false">IF($AK171=0,"",INDEX('Part types'!$Y:$Y,$AK171)&amp;"")</f>
        <v/>
      </c>
      <c r="AK171" s="9" t="n">
        <f aca="false">IFERROR(MATCH($AD171,'Part types'!$E:$E,0),0)</f>
        <v>165</v>
      </c>
    </row>
    <row r="172" customFormat="false" ht="15" hidden="false" customHeight="false" outlineLevel="0" collapsed="false">
      <c r="A172" s="9" t="s">
        <v>1001</v>
      </c>
      <c r="B172" s="9" t="s">
        <v>954</v>
      </c>
      <c r="C172" s="9" t="s">
        <v>1002</v>
      </c>
      <c r="D172" s="9" t="str">
        <f aca="false">C172&amp;" "&amp;INDEX('Part types'!$I:$I,$AK172)</f>
        <v>Coolant Antifreeze 4 L</v>
      </c>
      <c r="E172" s="9" t="s">
        <v>68</v>
      </c>
      <c r="F172" s="9" t="s">
        <v>956</v>
      </c>
      <c r="G172" s="10" t="n">
        <f aca="false">IF($AK172=0,"",INDEX('Part types'!$P:$P,$AK172))</f>
        <v>20</v>
      </c>
      <c r="H172" s="10" t="n">
        <f aca="false">IF($AK172=0,"",INDEX('Part types'!$Q:$Q,$AK172))</f>
        <v>12</v>
      </c>
      <c r="I172" s="10" t="n">
        <f aca="false">IF($AK172=0,"",INDEX('Part types'!$R:$R,$AK172))</f>
        <v>28</v>
      </c>
      <c r="J172" s="10" t="n">
        <f aca="false">IF($AK172=0,"",INDEX('Part types'!$S:$S,$AK172))</f>
        <v>4.2</v>
      </c>
      <c r="K172" s="11" t="s">
        <v>957</v>
      </c>
      <c r="L172" s="11" t="s">
        <v>1003</v>
      </c>
      <c r="M172" s="11" t="str">
        <f aca="false">L172&amp;" "&amp;INDEX('Part types'!$J:$J,$AK172)</f>
        <v>سائل تبريد مضاد للتجمد 4 لتر</v>
      </c>
      <c r="N172" s="11" t="s">
        <v>72</v>
      </c>
      <c r="O172" s="11" t="s">
        <v>959</v>
      </c>
      <c r="P172" s="10" t="n">
        <f aca="false">G172</f>
        <v>20</v>
      </c>
      <c r="Q172" s="10" t="n">
        <f aca="false">H172</f>
        <v>12</v>
      </c>
      <c r="R172" s="10" t="n">
        <f aca="false">I172</f>
        <v>28</v>
      </c>
      <c r="S172" s="10" t="n">
        <f aca="false">J172</f>
        <v>4.2</v>
      </c>
      <c r="T172" s="12" t="s">
        <v>960</v>
      </c>
      <c r="U172" s="12" t="s">
        <v>1004</v>
      </c>
      <c r="V172" s="9" t="str">
        <f aca="false">U172&amp;" "&amp;INDEX('Part types'!$K:$K,$AK172)</f>
        <v>冷却液 防冻液 4升</v>
      </c>
      <c r="W172" s="12" t="s">
        <v>76</v>
      </c>
      <c r="X172" s="12" t="s">
        <v>962</v>
      </c>
      <c r="Y172" s="10" t="n">
        <f aca="false">G172</f>
        <v>20</v>
      </c>
      <c r="Z172" s="10" t="n">
        <f aca="false">H172</f>
        <v>12</v>
      </c>
      <c r="AA172" s="10" t="n">
        <f aca="false">I172</f>
        <v>28</v>
      </c>
      <c r="AB172" s="10" t="n">
        <f aca="false">J172</f>
        <v>4.2</v>
      </c>
      <c r="AC172" s="9" t="s">
        <v>963</v>
      </c>
      <c r="AD172" s="9" t="s">
        <v>1005</v>
      </c>
      <c r="AE172" s="9" t="str">
        <f aca="false">IF($AK172=0,"",INDEX('Part types'!$T:$T,$AK172)&amp;"")</f>
        <v>All vehicles</v>
      </c>
      <c r="AF172" s="9" t="str">
        <f aca="false">IF($AK172=0,"",INDEX('Part types'!$U:$U,$AK172)&amp;"")</f>
        <v>Liquid / flammable</v>
      </c>
      <c r="AG172" s="9" t="str">
        <f aca="false">IF($AK172=0,"",INDEX('Part types'!$V:$V,$AK172)&amp;"")</f>
        <v>Estimate: item-specific</v>
      </c>
      <c r="AH172" s="9" t="str">
        <f aca="false">IF($AK172=0,"",INDEX('Part types'!$W:$W,$AK172)&amp;"")</f>
        <v>Coolant Antifreeze</v>
      </c>
      <c r="AI172" s="11" t="str">
        <f aca="false">IF($AK172=0,"",INDEX('Part types'!$X:$X,$AK172)&amp;"")</f>
        <v/>
      </c>
      <c r="AJ172" s="9" t="str">
        <f aca="false">IF($AK172=0,"",INDEX('Part types'!$Y:$Y,$AK172)&amp;"")</f>
        <v/>
      </c>
      <c r="AK172" s="9" t="n">
        <f aca="false">IFERROR(MATCH($AD172,'Part types'!$E:$E,0),0)</f>
        <v>166</v>
      </c>
    </row>
    <row r="173" customFormat="false" ht="15" hidden="false" customHeight="false" outlineLevel="0" collapsed="false">
      <c r="A173" s="9" t="s">
        <v>1006</v>
      </c>
      <c r="B173" s="9" t="s">
        <v>954</v>
      </c>
      <c r="C173" s="9" t="s">
        <v>1002</v>
      </c>
      <c r="D173" s="9" t="str">
        <f aca="false">C173&amp;" "&amp;INDEX('Part types'!$I:$I,$AK173)</f>
        <v>Coolant Concentrate 1 L</v>
      </c>
      <c r="E173" s="9" t="s">
        <v>68</v>
      </c>
      <c r="F173" s="9" t="s">
        <v>956</v>
      </c>
      <c r="G173" s="10" t="n">
        <f aca="false">IF($AK173=0,"",INDEX('Part types'!$P:$P,$AK173))</f>
        <v>10</v>
      </c>
      <c r="H173" s="10" t="n">
        <f aca="false">IF($AK173=0,"",INDEX('Part types'!$Q:$Q,$AK173))</f>
        <v>8</v>
      </c>
      <c r="I173" s="10" t="n">
        <f aca="false">IF($AK173=0,"",INDEX('Part types'!$R:$R,$AK173))</f>
        <v>24</v>
      </c>
      <c r="J173" s="10" t="n">
        <f aca="false">IF($AK173=0,"",INDEX('Part types'!$S:$S,$AK173))</f>
        <v>1.1</v>
      </c>
      <c r="K173" s="11" t="s">
        <v>957</v>
      </c>
      <c r="L173" s="11" t="s">
        <v>1003</v>
      </c>
      <c r="M173" s="11" t="str">
        <f aca="false">L173&amp;" "&amp;INDEX('Part types'!$J:$J,$AK173)</f>
        <v>سائل تبريد مركز 1 لتر</v>
      </c>
      <c r="N173" s="11" t="s">
        <v>72</v>
      </c>
      <c r="O173" s="11" t="s">
        <v>959</v>
      </c>
      <c r="P173" s="10" t="n">
        <f aca="false">G173</f>
        <v>10</v>
      </c>
      <c r="Q173" s="10" t="n">
        <f aca="false">H173</f>
        <v>8</v>
      </c>
      <c r="R173" s="10" t="n">
        <f aca="false">I173</f>
        <v>24</v>
      </c>
      <c r="S173" s="10" t="n">
        <f aca="false">J173</f>
        <v>1.1</v>
      </c>
      <c r="T173" s="12" t="s">
        <v>960</v>
      </c>
      <c r="U173" s="12" t="s">
        <v>1004</v>
      </c>
      <c r="V173" s="9" t="str">
        <f aca="false">U173&amp;" "&amp;INDEX('Part types'!$K:$K,$AK173)</f>
        <v>冷却液 浓缩液 1升</v>
      </c>
      <c r="W173" s="12" t="s">
        <v>76</v>
      </c>
      <c r="X173" s="12" t="s">
        <v>962</v>
      </c>
      <c r="Y173" s="10" t="n">
        <f aca="false">G173</f>
        <v>10</v>
      </c>
      <c r="Z173" s="10" t="n">
        <f aca="false">H173</f>
        <v>8</v>
      </c>
      <c r="AA173" s="10" t="n">
        <f aca="false">I173</f>
        <v>24</v>
      </c>
      <c r="AB173" s="10" t="n">
        <f aca="false">J173</f>
        <v>1.1</v>
      </c>
      <c r="AC173" s="9" t="s">
        <v>963</v>
      </c>
      <c r="AD173" s="9" t="s">
        <v>1007</v>
      </c>
      <c r="AE173" s="9" t="str">
        <f aca="false">IF($AK173=0,"",INDEX('Part types'!$T:$T,$AK173)&amp;"")</f>
        <v>All vehicles</v>
      </c>
      <c r="AF173" s="9" t="str">
        <f aca="false">IF($AK173=0,"",INDEX('Part types'!$U:$U,$AK173)&amp;"")</f>
        <v>Liquid / flammable</v>
      </c>
      <c r="AG173" s="9" t="str">
        <f aca="false">IF($AK173=0,"",INDEX('Part types'!$V:$V,$AK173)&amp;"")</f>
        <v>Estimate: item-specific</v>
      </c>
      <c r="AH173" s="9" t="str">
        <f aca="false">IF($AK173=0,"",INDEX('Part types'!$W:$W,$AK173)&amp;"")</f>
        <v>Coolant Concentrate</v>
      </c>
      <c r="AI173" s="11" t="str">
        <f aca="false">IF($AK173=0,"",INDEX('Part types'!$X:$X,$AK173)&amp;"")</f>
        <v/>
      </c>
      <c r="AJ173" s="9" t="str">
        <f aca="false">IF($AK173=0,"",INDEX('Part types'!$Y:$Y,$AK173)&amp;"")</f>
        <v/>
      </c>
      <c r="AK173" s="9" t="n">
        <f aca="false">IFERROR(MATCH($AD173,'Part types'!$E:$E,0),0)</f>
        <v>167</v>
      </c>
    </row>
    <row r="174" customFormat="false" ht="15" hidden="false" customHeight="false" outlineLevel="0" collapsed="false">
      <c r="A174" s="9" t="s">
        <v>1008</v>
      </c>
      <c r="B174" s="9" t="s">
        <v>954</v>
      </c>
      <c r="C174" s="9" t="s">
        <v>1009</v>
      </c>
      <c r="D174" s="9" t="str">
        <f aca="false">C174&amp;" "&amp;INDEX('Part types'!$I:$I,$AK174)</f>
        <v>EV Coolant 4 L</v>
      </c>
      <c r="E174" s="9" t="s">
        <v>68</v>
      </c>
      <c r="F174" s="9" t="s">
        <v>956</v>
      </c>
      <c r="G174" s="10" t="n">
        <f aca="false">IF($AK174=0,"",INDEX('Part types'!$P:$P,$AK174))</f>
        <v>20</v>
      </c>
      <c r="H174" s="10" t="n">
        <f aca="false">IF($AK174=0,"",INDEX('Part types'!$Q:$Q,$AK174))</f>
        <v>12</v>
      </c>
      <c r="I174" s="10" t="n">
        <f aca="false">IF($AK174=0,"",INDEX('Part types'!$R:$R,$AK174))</f>
        <v>28</v>
      </c>
      <c r="J174" s="10" t="n">
        <f aca="false">IF($AK174=0,"",INDEX('Part types'!$S:$S,$AK174))</f>
        <v>4.2</v>
      </c>
      <c r="K174" s="11" t="s">
        <v>957</v>
      </c>
      <c r="L174" s="11" t="s">
        <v>1010</v>
      </c>
      <c r="M174" s="11" t="str">
        <f aca="false">L174&amp;" "&amp;INDEX('Part types'!$J:$J,$AK174)</f>
        <v>سائل تبريد السيارات الكهربائية 4 لتر</v>
      </c>
      <c r="N174" s="11" t="s">
        <v>72</v>
      </c>
      <c r="O174" s="11" t="s">
        <v>959</v>
      </c>
      <c r="P174" s="10" t="n">
        <f aca="false">G174</f>
        <v>20</v>
      </c>
      <c r="Q174" s="10" t="n">
        <f aca="false">H174</f>
        <v>12</v>
      </c>
      <c r="R174" s="10" t="n">
        <f aca="false">I174</f>
        <v>28</v>
      </c>
      <c r="S174" s="10" t="n">
        <f aca="false">J174</f>
        <v>4.2</v>
      </c>
      <c r="T174" s="12" t="s">
        <v>960</v>
      </c>
      <c r="U174" s="12" t="s">
        <v>1011</v>
      </c>
      <c r="V174" s="9" t="str">
        <f aca="false">U174&amp;" "&amp;INDEX('Part types'!$K:$K,$AK174)</f>
        <v>电动车冷却液 4升</v>
      </c>
      <c r="W174" s="12" t="s">
        <v>76</v>
      </c>
      <c r="X174" s="12" t="s">
        <v>962</v>
      </c>
      <c r="Y174" s="10" t="n">
        <f aca="false">G174</f>
        <v>20</v>
      </c>
      <c r="Z174" s="10" t="n">
        <f aca="false">H174</f>
        <v>12</v>
      </c>
      <c r="AA174" s="10" t="n">
        <f aca="false">I174</f>
        <v>28</v>
      </c>
      <c r="AB174" s="10" t="n">
        <f aca="false">J174</f>
        <v>4.2</v>
      </c>
      <c r="AC174" s="9" t="s">
        <v>963</v>
      </c>
      <c r="AD174" s="9" t="s">
        <v>1012</v>
      </c>
      <c r="AE174" s="9" t="str">
        <f aca="false">IF($AK174=0,"",INDEX('Part types'!$T:$T,$AK174)&amp;"")</f>
        <v>Electrified (hybrid, plug-in, range extender, EV)</v>
      </c>
      <c r="AF174" s="9" t="str">
        <f aca="false">IF($AK174=0,"",INDEX('Part types'!$U:$U,$AK174)&amp;"")</f>
        <v>Liquid / flammable</v>
      </c>
      <c r="AG174" s="9" t="str">
        <f aca="false">IF($AK174=0,"",INDEX('Part types'!$V:$V,$AK174)&amp;"")</f>
        <v>Estimate: item-specific</v>
      </c>
      <c r="AH174" s="9" t="str">
        <f aca="false">IF($AK174=0,"",INDEX('Part types'!$W:$W,$AK174)&amp;"")</f>
        <v>EV Battery Coolant</v>
      </c>
      <c r="AI174" s="11" t="str">
        <f aca="false">IF($AK174=0,"",INDEX('Part types'!$X:$X,$AK174)&amp;"")</f>
        <v/>
      </c>
      <c r="AJ174" s="9" t="str">
        <f aca="false">IF($AK174=0,"",INDEX('Part types'!$Y:$Y,$AK174)&amp;"")</f>
        <v/>
      </c>
      <c r="AK174" s="9" t="n">
        <f aca="false">IFERROR(MATCH($AD174,'Part types'!$E:$E,0),0)</f>
        <v>168</v>
      </c>
    </row>
    <row r="175" customFormat="false" ht="15" hidden="false" customHeight="false" outlineLevel="0" collapsed="false">
      <c r="A175" s="9" t="s">
        <v>1013</v>
      </c>
      <c r="B175" s="9" t="s">
        <v>954</v>
      </c>
      <c r="C175" s="9" t="s">
        <v>1014</v>
      </c>
      <c r="D175" s="9" t="str">
        <f aca="false">C175&amp;" "&amp;INDEX('Part types'!$I:$I,$AK175)</f>
        <v>Steering Fluid 1 L</v>
      </c>
      <c r="E175" s="9" t="s">
        <v>68</v>
      </c>
      <c r="F175" s="9" t="s">
        <v>956</v>
      </c>
      <c r="G175" s="10" t="n">
        <f aca="false">IF($AK175=0,"",INDEX('Part types'!$P:$P,$AK175))</f>
        <v>10</v>
      </c>
      <c r="H175" s="10" t="n">
        <f aca="false">IF($AK175=0,"",INDEX('Part types'!$Q:$Q,$AK175))</f>
        <v>8</v>
      </c>
      <c r="I175" s="10" t="n">
        <f aca="false">IF($AK175=0,"",INDEX('Part types'!$R:$R,$AK175))</f>
        <v>24</v>
      </c>
      <c r="J175" s="10" t="n">
        <f aca="false">IF($AK175=0,"",INDEX('Part types'!$S:$S,$AK175))</f>
        <v>0.95</v>
      </c>
      <c r="K175" s="11" t="s">
        <v>957</v>
      </c>
      <c r="L175" s="11" t="s">
        <v>1015</v>
      </c>
      <c r="M175" s="11" t="str">
        <f aca="false">L175&amp;" "&amp;INDEX('Part types'!$J:$J,$AK175)</f>
        <v>زيت باور 1 لتر</v>
      </c>
      <c r="N175" s="11" t="s">
        <v>72</v>
      </c>
      <c r="O175" s="11" t="s">
        <v>959</v>
      </c>
      <c r="P175" s="10" t="n">
        <f aca="false">G175</f>
        <v>10</v>
      </c>
      <c r="Q175" s="10" t="n">
        <f aca="false">H175</f>
        <v>8</v>
      </c>
      <c r="R175" s="10" t="n">
        <f aca="false">I175</f>
        <v>24</v>
      </c>
      <c r="S175" s="10" t="n">
        <f aca="false">J175</f>
        <v>0.95</v>
      </c>
      <c r="T175" s="12" t="s">
        <v>960</v>
      </c>
      <c r="U175" s="12" t="s">
        <v>1016</v>
      </c>
      <c r="V175" s="9" t="str">
        <f aca="false">U175&amp;" "&amp;INDEX('Part types'!$K:$K,$AK175)</f>
        <v>转向助力油 1升</v>
      </c>
      <c r="W175" s="12" t="s">
        <v>76</v>
      </c>
      <c r="X175" s="12" t="s">
        <v>962</v>
      </c>
      <c r="Y175" s="10" t="n">
        <f aca="false">G175</f>
        <v>10</v>
      </c>
      <c r="Z175" s="10" t="n">
        <f aca="false">H175</f>
        <v>8</v>
      </c>
      <c r="AA175" s="10" t="n">
        <f aca="false">I175</f>
        <v>24</v>
      </c>
      <c r="AB175" s="10" t="n">
        <f aca="false">J175</f>
        <v>0.95</v>
      </c>
      <c r="AC175" s="9" t="s">
        <v>963</v>
      </c>
      <c r="AD175" s="9" t="s">
        <v>1017</v>
      </c>
      <c r="AE175" s="9" t="str">
        <f aca="false">IF($AK175=0,"",INDEX('Part types'!$T:$T,$AK175)&amp;"")</f>
        <v>All vehicles</v>
      </c>
      <c r="AF175" s="9" t="str">
        <f aca="false">IF($AK175=0,"",INDEX('Part types'!$U:$U,$AK175)&amp;"")</f>
        <v>Liquid / flammable</v>
      </c>
      <c r="AG175" s="9" t="str">
        <f aca="false">IF($AK175=0,"",INDEX('Part types'!$V:$V,$AK175)&amp;"")</f>
        <v>Estimate: item-specific</v>
      </c>
      <c r="AH175" s="9" t="str">
        <f aca="false">IF($AK175=0,"",INDEX('Part types'!$W:$W,$AK175)&amp;"")</f>
        <v>Power Steering Fluid</v>
      </c>
      <c r="AI175" s="11" t="str">
        <f aca="false">IF($AK175=0,"",INDEX('Part types'!$X:$X,$AK175)&amp;"")</f>
        <v/>
      </c>
      <c r="AJ175" s="9" t="str">
        <f aca="false">IF($AK175=0,"",INDEX('Part types'!$Y:$Y,$AK175)&amp;"")</f>
        <v/>
      </c>
      <c r="AK175" s="9" t="n">
        <f aca="false">IFERROR(MATCH($AD175,'Part types'!$E:$E,0),0)</f>
        <v>169</v>
      </c>
    </row>
    <row r="176" customFormat="false" ht="15" hidden="false" customHeight="false" outlineLevel="0" collapsed="false">
      <c r="A176" s="9" t="s">
        <v>1018</v>
      </c>
      <c r="B176" s="9" t="s">
        <v>954</v>
      </c>
      <c r="C176" s="9" t="s">
        <v>1019</v>
      </c>
      <c r="D176" s="9" t="str">
        <f aca="false">C176&amp;" "&amp;INDEX('Part types'!$I:$I,$AK176)</f>
        <v>Washer Fluid 4 L</v>
      </c>
      <c r="E176" s="9" t="s">
        <v>68</v>
      </c>
      <c r="F176" s="9" t="s">
        <v>956</v>
      </c>
      <c r="G176" s="10" t="n">
        <f aca="false">IF($AK176=0,"",INDEX('Part types'!$P:$P,$AK176))</f>
        <v>20</v>
      </c>
      <c r="H176" s="10" t="n">
        <f aca="false">IF($AK176=0,"",INDEX('Part types'!$Q:$Q,$AK176))</f>
        <v>12</v>
      </c>
      <c r="I176" s="10" t="n">
        <f aca="false">IF($AK176=0,"",INDEX('Part types'!$R:$R,$AK176))</f>
        <v>28</v>
      </c>
      <c r="J176" s="10" t="n">
        <f aca="false">IF($AK176=0,"",INDEX('Part types'!$S:$S,$AK176))</f>
        <v>4.1</v>
      </c>
      <c r="K176" s="11" t="s">
        <v>957</v>
      </c>
      <c r="L176" s="11" t="s">
        <v>1020</v>
      </c>
      <c r="M176" s="11" t="str">
        <f aca="false">L176&amp;" "&amp;INDEX('Part types'!$J:$J,$AK176)</f>
        <v>سائل مسح الزجاج 4 لتر</v>
      </c>
      <c r="N176" s="11" t="s">
        <v>72</v>
      </c>
      <c r="O176" s="11" t="s">
        <v>959</v>
      </c>
      <c r="P176" s="10" t="n">
        <f aca="false">G176</f>
        <v>20</v>
      </c>
      <c r="Q176" s="10" t="n">
        <f aca="false">H176</f>
        <v>12</v>
      </c>
      <c r="R176" s="10" t="n">
        <f aca="false">I176</f>
        <v>28</v>
      </c>
      <c r="S176" s="10" t="n">
        <f aca="false">J176</f>
        <v>4.1</v>
      </c>
      <c r="T176" s="12" t="s">
        <v>960</v>
      </c>
      <c r="U176" s="12" t="s">
        <v>1021</v>
      </c>
      <c r="V176" s="9" t="str">
        <f aca="false">U176&amp;" "&amp;INDEX('Part types'!$K:$K,$AK176)</f>
        <v>玻璃水 4升</v>
      </c>
      <c r="W176" s="12" t="s">
        <v>76</v>
      </c>
      <c r="X176" s="12" t="s">
        <v>962</v>
      </c>
      <c r="Y176" s="10" t="n">
        <f aca="false">G176</f>
        <v>20</v>
      </c>
      <c r="Z176" s="10" t="n">
        <f aca="false">H176</f>
        <v>12</v>
      </c>
      <c r="AA176" s="10" t="n">
        <f aca="false">I176</f>
        <v>28</v>
      </c>
      <c r="AB176" s="10" t="n">
        <f aca="false">J176</f>
        <v>4.1</v>
      </c>
      <c r="AC176" s="9" t="s">
        <v>963</v>
      </c>
      <c r="AD176" s="9" t="s">
        <v>1022</v>
      </c>
      <c r="AE176" s="9" t="str">
        <f aca="false">IF($AK176=0,"",INDEX('Part types'!$T:$T,$AK176)&amp;"")</f>
        <v>All vehicles</v>
      </c>
      <c r="AF176" s="9" t="str">
        <f aca="false">IF($AK176=0,"",INDEX('Part types'!$U:$U,$AK176)&amp;"")</f>
        <v>Liquid / flammable</v>
      </c>
      <c r="AG176" s="9" t="str">
        <f aca="false">IF($AK176=0,"",INDEX('Part types'!$V:$V,$AK176)&amp;"")</f>
        <v>Estimate: item-specific</v>
      </c>
      <c r="AH176" s="9" t="str">
        <f aca="false">IF($AK176=0,"",INDEX('Part types'!$W:$W,$AK176)&amp;"")</f>
        <v>Windshield Washer Fluid</v>
      </c>
      <c r="AI176" s="11" t="str">
        <f aca="false">IF($AK176=0,"",INDEX('Part types'!$X:$X,$AK176)&amp;"")</f>
        <v/>
      </c>
      <c r="AJ176" s="9" t="str">
        <f aca="false">IF($AK176=0,"",INDEX('Part types'!$Y:$Y,$AK176)&amp;"")</f>
        <v/>
      </c>
      <c r="AK176" s="9" t="n">
        <f aca="false">IFERROR(MATCH($AD176,'Part types'!$E:$E,0),0)</f>
        <v>170</v>
      </c>
    </row>
    <row r="177" customFormat="false" ht="15" hidden="false" customHeight="false" outlineLevel="0" collapsed="false">
      <c r="A177" s="9" t="s">
        <v>1023</v>
      </c>
      <c r="B177" s="9" t="s">
        <v>954</v>
      </c>
      <c r="C177" s="9" t="s">
        <v>1024</v>
      </c>
      <c r="D177" s="9" t="str">
        <f aca="false">C177&amp;" "&amp;INDEX('Part types'!$I:$I,$AK177)</f>
        <v>AdBlue 10 L</v>
      </c>
      <c r="E177" s="9" t="s">
        <v>68</v>
      </c>
      <c r="F177" s="9" t="s">
        <v>956</v>
      </c>
      <c r="G177" s="10" t="n">
        <f aca="false">IF($AK177=0,"",INDEX('Part types'!$P:$P,$AK177))</f>
        <v>20</v>
      </c>
      <c r="H177" s="10" t="n">
        <f aca="false">IF($AK177=0,"",INDEX('Part types'!$Q:$Q,$AK177))</f>
        <v>15</v>
      </c>
      <c r="I177" s="10" t="n">
        <f aca="false">IF($AK177=0,"",INDEX('Part types'!$R:$R,$AK177))</f>
        <v>30</v>
      </c>
      <c r="J177" s="10" t="n">
        <f aca="false">IF($AK177=0,"",INDEX('Part types'!$S:$S,$AK177))</f>
        <v>10.5</v>
      </c>
      <c r="K177" s="11" t="s">
        <v>957</v>
      </c>
      <c r="L177" s="11" t="s">
        <v>1025</v>
      </c>
      <c r="M177" s="11" t="str">
        <f aca="false">L177&amp;" "&amp;INDEX('Part types'!$J:$J,$AK177)</f>
        <v>محلول أدبلو 10 لتر</v>
      </c>
      <c r="N177" s="11" t="s">
        <v>72</v>
      </c>
      <c r="O177" s="11" t="s">
        <v>959</v>
      </c>
      <c r="P177" s="10" t="n">
        <f aca="false">G177</f>
        <v>20</v>
      </c>
      <c r="Q177" s="10" t="n">
        <f aca="false">H177</f>
        <v>15</v>
      </c>
      <c r="R177" s="10" t="n">
        <f aca="false">I177</f>
        <v>30</v>
      </c>
      <c r="S177" s="10" t="n">
        <f aca="false">J177</f>
        <v>10.5</v>
      </c>
      <c r="T177" s="12" t="s">
        <v>960</v>
      </c>
      <c r="U177" s="12" t="s">
        <v>1026</v>
      </c>
      <c r="V177" s="9" t="str">
        <f aca="false">U177&amp;" "&amp;INDEX('Part types'!$K:$K,$AK177)</f>
        <v>尿素溶液 10升</v>
      </c>
      <c r="W177" s="12" t="s">
        <v>76</v>
      </c>
      <c r="X177" s="12" t="s">
        <v>962</v>
      </c>
      <c r="Y177" s="10" t="n">
        <f aca="false">G177</f>
        <v>20</v>
      </c>
      <c r="Z177" s="10" t="n">
        <f aca="false">H177</f>
        <v>15</v>
      </c>
      <c r="AA177" s="10" t="n">
        <f aca="false">I177</f>
        <v>30</v>
      </c>
      <c r="AB177" s="10" t="n">
        <f aca="false">J177</f>
        <v>10.5</v>
      </c>
      <c r="AC177" s="9" t="s">
        <v>963</v>
      </c>
      <c r="AD177" s="9" t="s">
        <v>1027</v>
      </c>
      <c r="AE177" s="9" t="str">
        <f aca="false">IF($AK177=0,"",INDEX('Part types'!$T:$T,$AK177)&amp;"")</f>
        <v>Combustion engine (petrol, diesel, hybrid, range extender)</v>
      </c>
      <c r="AF177" s="9" t="str">
        <f aca="false">IF($AK177=0,"",INDEX('Part types'!$U:$U,$AK177)&amp;"")</f>
        <v>Liquid / flammable</v>
      </c>
      <c r="AG177" s="9" t="str">
        <f aca="false">IF($AK177=0,"",INDEX('Part types'!$V:$V,$AK177)&amp;"")</f>
        <v>Estimate: item-specific</v>
      </c>
      <c r="AH177" s="9" t="str">
        <f aca="false">IF($AK177=0,"",INDEX('Part types'!$W:$W,$AK177)&amp;"")</f>
        <v>AdBlue Urea Solution</v>
      </c>
      <c r="AI177" s="11" t="str">
        <f aca="false">IF($AK177=0,"",INDEX('Part types'!$X:$X,$AK177)&amp;"")</f>
        <v/>
      </c>
      <c r="AJ177" s="9" t="str">
        <f aca="false">IF($AK177=0,"",INDEX('Part types'!$Y:$Y,$AK177)&amp;"")</f>
        <v/>
      </c>
      <c r="AK177" s="9" t="n">
        <f aca="false">IFERROR(MATCH($AD177,'Part types'!$E:$E,0),0)</f>
        <v>171</v>
      </c>
    </row>
    <row r="178" customFormat="false" ht="15" hidden="false" customHeight="false" outlineLevel="0" collapsed="false">
      <c r="A178" s="9" t="s">
        <v>1028</v>
      </c>
      <c r="B178" s="9" t="s">
        <v>1029</v>
      </c>
      <c r="C178" s="9" t="s">
        <v>1030</v>
      </c>
      <c r="D178" s="9" t="str">
        <f aca="false">C178&amp;" "&amp;INDEX('Part types'!$I:$I,$AK178)</f>
        <v>Multipurpose Grease 400 g</v>
      </c>
      <c r="E178" s="9" t="s">
        <v>68</v>
      </c>
      <c r="F178" s="9" t="s">
        <v>956</v>
      </c>
      <c r="G178" s="10" t="n">
        <f aca="false">IF($AK178=0,"",INDEX('Part types'!$P:$P,$AK178))</f>
        <v>8</v>
      </c>
      <c r="H178" s="10" t="n">
        <f aca="false">IF($AK178=0,"",INDEX('Part types'!$Q:$Q,$AK178))</f>
        <v>8</v>
      </c>
      <c r="I178" s="10" t="n">
        <f aca="false">IF($AK178=0,"",INDEX('Part types'!$R:$R,$AK178))</f>
        <v>12</v>
      </c>
      <c r="J178" s="10" t="n">
        <f aca="false">IF($AK178=0,"",INDEX('Part types'!$S:$S,$AK178))</f>
        <v>0.45</v>
      </c>
      <c r="K178" s="11" t="s">
        <v>1031</v>
      </c>
      <c r="L178" s="11" t="s">
        <v>1032</v>
      </c>
      <c r="M178" s="11" t="str">
        <f aca="false">L178&amp;" "&amp;INDEX('Part types'!$J:$J,$AK178)</f>
        <v>شحم متعدد الاستخدامات 400 جم</v>
      </c>
      <c r="N178" s="11" t="s">
        <v>72</v>
      </c>
      <c r="O178" s="11" t="s">
        <v>959</v>
      </c>
      <c r="P178" s="10" t="n">
        <f aca="false">G178</f>
        <v>8</v>
      </c>
      <c r="Q178" s="10" t="n">
        <f aca="false">H178</f>
        <v>8</v>
      </c>
      <c r="R178" s="10" t="n">
        <f aca="false">I178</f>
        <v>12</v>
      </c>
      <c r="S178" s="10" t="n">
        <f aca="false">J178</f>
        <v>0.45</v>
      </c>
      <c r="T178" s="12" t="s">
        <v>1033</v>
      </c>
      <c r="U178" s="12" t="s">
        <v>1034</v>
      </c>
      <c r="V178" s="9" t="str">
        <f aca="false">U178&amp;" "&amp;INDEX('Part types'!$K:$K,$AK178)</f>
        <v>多用途润滑脂 400克</v>
      </c>
      <c r="W178" s="12" t="s">
        <v>76</v>
      </c>
      <c r="X178" s="12" t="s">
        <v>962</v>
      </c>
      <c r="Y178" s="10" t="n">
        <f aca="false">G178</f>
        <v>8</v>
      </c>
      <c r="Z178" s="10" t="n">
        <f aca="false">H178</f>
        <v>8</v>
      </c>
      <c r="AA178" s="10" t="n">
        <f aca="false">I178</f>
        <v>12</v>
      </c>
      <c r="AB178" s="10" t="n">
        <f aca="false">J178</f>
        <v>0.45</v>
      </c>
      <c r="AC178" s="9" t="s">
        <v>1035</v>
      </c>
      <c r="AD178" s="9" t="s">
        <v>1036</v>
      </c>
      <c r="AE178" s="9" t="str">
        <f aca="false">IF($AK178=0,"",INDEX('Part types'!$T:$T,$AK178)&amp;"")</f>
        <v>All vehicles</v>
      </c>
      <c r="AF178" s="9" t="str">
        <f aca="false">IF($AK178=0,"",INDEX('Part types'!$U:$U,$AK178)&amp;"")</f>
        <v>Liquid / flammable</v>
      </c>
      <c r="AG178" s="9" t="str">
        <f aca="false">IF($AK178=0,"",INDEX('Part types'!$V:$V,$AK178)&amp;"")</f>
        <v>Estimate: item-specific</v>
      </c>
      <c r="AH178" s="9" t="str">
        <f aca="false">IF($AK178=0,"",INDEX('Part types'!$W:$W,$AK178)&amp;"")</f>
        <v/>
      </c>
      <c r="AI178" s="11" t="str">
        <f aca="false">IF($AK178=0,"",INDEX('Part types'!$X:$X,$AK178)&amp;"")</f>
        <v/>
      </c>
      <c r="AJ178" s="9" t="str">
        <f aca="false">IF($AK178=0,"",INDEX('Part types'!$Y:$Y,$AK178)&amp;"")</f>
        <v/>
      </c>
      <c r="AK178" s="9" t="n">
        <f aca="false">IFERROR(MATCH($AD178,'Part types'!$E:$E,0),0)</f>
        <v>172</v>
      </c>
    </row>
    <row r="179" customFormat="false" ht="15" hidden="false" customHeight="false" outlineLevel="0" collapsed="false">
      <c r="A179" s="9" t="s">
        <v>1037</v>
      </c>
      <c r="B179" s="9" t="s">
        <v>1029</v>
      </c>
      <c r="C179" s="9" t="s">
        <v>1038</v>
      </c>
      <c r="D179" s="9" t="str">
        <f aca="false">C179&amp;" "&amp;INDEX('Part types'!$I:$I,$AK179)</f>
        <v>Bearing Grease 400 g</v>
      </c>
      <c r="E179" s="9" t="s">
        <v>68</v>
      </c>
      <c r="F179" s="9" t="s">
        <v>956</v>
      </c>
      <c r="G179" s="10" t="n">
        <f aca="false">IF($AK179=0,"",INDEX('Part types'!$P:$P,$AK179))</f>
        <v>8</v>
      </c>
      <c r="H179" s="10" t="n">
        <f aca="false">IF($AK179=0,"",INDEX('Part types'!$Q:$Q,$AK179))</f>
        <v>8</v>
      </c>
      <c r="I179" s="10" t="n">
        <f aca="false">IF($AK179=0,"",INDEX('Part types'!$R:$R,$AK179))</f>
        <v>12</v>
      </c>
      <c r="J179" s="10" t="n">
        <f aca="false">IF($AK179=0,"",INDEX('Part types'!$S:$S,$AK179))</f>
        <v>0.45</v>
      </c>
      <c r="K179" s="11" t="s">
        <v>1031</v>
      </c>
      <c r="L179" s="11" t="s">
        <v>1039</v>
      </c>
      <c r="M179" s="11" t="str">
        <f aca="false">L179&amp;" "&amp;INDEX('Part types'!$J:$J,$AK179)</f>
        <v>شحم رولمان 400 جم</v>
      </c>
      <c r="N179" s="11" t="s">
        <v>72</v>
      </c>
      <c r="O179" s="11" t="s">
        <v>959</v>
      </c>
      <c r="P179" s="10" t="n">
        <f aca="false">G179</f>
        <v>8</v>
      </c>
      <c r="Q179" s="10" t="n">
        <f aca="false">H179</f>
        <v>8</v>
      </c>
      <c r="R179" s="10" t="n">
        <f aca="false">I179</f>
        <v>12</v>
      </c>
      <c r="S179" s="10" t="n">
        <f aca="false">J179</f>
        <v>0.45</v>
      </c>
      <c r="T179" s="12" t="s">
        <v>1033</v>
      </c>
      <c r="U179" s="12" t="s">
        <v>1040</v>
      </c>
      <c r="V179" s="9" t="str">
        <f aca="false">U179&amp;" "&amp;INDEX('Part types'!$K:$K,$AK179)</f>
        <v>轴承润滑脂 400克</v>
      </c>
      <c r="W179" s="12" t="s">
        <v>76</v>
      </c>
      <c r="X179" s="12" t="s">
        <v>962</v>
      </c>
      <c r="Y179" s="10" t="n">
        <f aca="false">G179</f>
        <v>8</v>
      </c>
      <c r="Z179" s="10" t="n">
        <f aca="false">H179</f>
        <v>8</v>
      </c>
      <c r="AA179" s="10" t="n">
        <f aca="false">I179</f>
        <v>12</v>
      </c>
      <c r="AB179" s="10" t="n">
        <f aca="false">J179</f>
        <v>0.45</v>
      </c>
      <c r="AC179" s="9" t="s">
        <v>1035</v>
      </c>
      <c r="AD179" s="9" t="s">
        <v>1041</v>
      </c>
      <c r="AE179" s="9" t="str">
        <f aca="false">IF($AK179=0,"",INDEX('Part types'!$T:$T,$AK179)&amp;"")</f>
        <v>All vehicles</v>
      </c>
      <c r="AF179" s="9" t="str">
        <f aca="false">IF($AK179=0,"",INDEX('Part types'!$U:$U,$AK179)&amp;"")</f>
        <v>Liquid / flammable</v>
      </c>
      <c r="AG179" s="9" t="str">
        <f aca="false">IF($AK179=0,"",INDEX('Part types'!$V:$V,$AK179)&amp;"")</f>
        <v>Estimate: item-specific</v>
      </c>
      <c r="AH179" s="9" t="str">
        <f aca="false">IF($AK179=0,"",INDEX('Part types'!$W:$W,$AK179)&amp;"")</f>
        <v>Wheel Bearing Grease</v>
      </c>
      <c r="AI179" s="11" t="str">
        <f aca="false">IF($AK179=0,"",INDEX('Part types'!$X:$X,$AK179)&amp;"")</f>
        <v/>
      </c>
      <c r="AJ179" s="9" t="str">
        <f aca="false">IF($AK179=0,"",INDEX('Part types'!$Y:$Y,$AK179)&amp;"")</f>
        <v/>
      </c>
      <c r="AK179" s="9" t="n">
        <f aca="false">IFERROR(MATCH($AD179,'Part types'!$E:$E,0),0)</f>
        <v>173</v>
      </c>
    </row>
    <row r="180" customFormat="false" ht="15" hidden="false" customHeight="false" outlineLevel="0" collapsed="false">
      <c r="A180" s="9" t="s">
        <v>1042</v>
      </c>
      <c r="B180" s="9" t="s">
        <v>1029</v>
      </c>
      <c r="C180" s="9" t="s">
        <v>1043</v>
      </c>
      <c r="D180" s="9" t="str">
        <f aca="false">C180&amp;" "&amp;INDEX('Part types'!$I:$I,$AK180)</f>
        <v>Brake Cleaner 500 ml</v>
      </c>
      <c r="E180" s="9" t="s">
        <v>68</v>
      </c>
      <c r="F180" s="9" t="s">
        <v>956</v>
      </c>
      <c r="G180" s="10" t="n">
        <f aca="false">IF($AK180=0,"",INDEX('Part types'!$P:$P,$AK180))</f>
        <v>7</v>
      </c>
      <c r="H180" s="10" t="n">
        <f aca="false">IF($AK180=0,"",INDEX('Part types'!$Q:$Q,$AK180))</f>
        <v>7</v>
      </c>
      <c r="I180" s="10" t="n">
        <f aca="false">IF($AK180=0,"",INDEX('Part types'!$R:$R,$AK180))</f>
        <v>23</v>
      </c>
      <c r="J180" s="10" t="n">
        <f aca="false">IF($AK180=0,"",INDEX('Part types'!$S:$S,$AK180))</f>
        <v>0.45</v>
      </c>
      <c r="K180" s="11" t="s">
        <v>1031</v>
      </c>
      <c r="L180" s="11" t="s">
        <v>1044</v>
      </c>
      <c r="M180" s="11" t="str">
        <f aca="false">L180&amp;" "&amp;INDEX('Part types'!$J:$J,$AK180)</f>
        <v>منظف فرامل 500 مل</v>
      </c>
      <c r="N180" s="11" t="s">
        <v>72</v>
      </c>
      <c r="O180" s="11" t="s">
        <v>959</v>
      </c>
      <c r="P180" s="10" t="n">
        <f aca="false">G180</f>
        <v>7</v>
      </c>
      <c r="Q180" s="10" t="n">
        <f aca="false">H180</f>
        <v>7</v>
      </c>
      <c r="R180" s="10" t="n">
        <f aca="false">I180</f>
        <v>23</v>
      </c>
      <c r="S180" s="10" t="n">
        <f aca="false">J180</f>
        <v>0.45</v>
      </c>
      <c r="T180" s="12" t="s">
        <v>1033</v>
      </c>
      <c r="U180" s="12" t="s">
        <v>1045</v>
      </c>
      <c r="V180" s="9" t="str">
        <f aca="false">U180&amp;" "&amp;INDEX('Part types'!$K:$K,$AK180)</f>
        <v>制动器清洁剂 500毫升</v>
      </c>
      <c r="W180" s="12" t="s">
        <v>76</v>
      </c>
      <c r="X180" s="12" t="s">
        <v>962</v>
      </c>
      <c r="Y180" s="10" t="n">
        <f aca="false">G180</f>
        <v>7</v>
      </c>
      <c r="Z180" s="10" t="n">
        <f aca="false">H180</f>
        <v>7</v>
      </c>
      <c r="AA180" s="10" t="n">
        <f aca="false">I180</f>
        <v>23</v>
      </c>
      <c r="AB180" s="10" t="n">
        <f aca="false">J180</f>
        <v>0.45</v>
      </c>
      <c r="AC180" s="9" t="s">
        <v>1035</v>
      </c>
      <c r="AD180" s="9" t="s">
        <v>1046</v>
      </c>
      <c r="AE180" s="9" t="str">
        <f aca="false">IF($AK180=0,"",INDEX('Part types'!$T:$T,$AK180)&amp;"")</f>
        <v>All vehicles</v>
      </c>
      <c r="AF180" s="9" t="str">
        <f aca="false">IF($AK180=0,"",INDEX('Part types'!$U:$U,$AK180)&amp;"")</f>
        <v>Liquid / flammable; Pressurised gas</v>
      </c>
      <c r="AG180" s="9" t="str">
        <f aca="false">IF($AK180=0,"",INDEX('Part types'!$V:$V,$AK180)&amp;"")</f>
        <v>Estimate: item-specific</v>
      </c>
      <c r="AH180" s="9" t="str">
        <f aca="false">IF($AK180=0,"",INDEX('Part types'!$W:$W,$AK180)&amp;"")</f>
        <v>Brake Cleaner Spray</v>
      </c>
      <c r="AI180" s="11" t="str">
        <f aca="false">IF($AK180=0,"",INDEX('Part types'!$X:$X,$AK180)&amp;"")</f>
        <v/>
      </c>
      <c r="AJ180" s="9" t="str">
        <f aca="false">IF($AK180=0,"",INDEX('Part types'!$Y:$Y,$AK180)&amp;"")</f>
        <v/>
      </c>
      <c r="AK180" s="9" t="n">
        <f aca="false">IFERROR(MATCH($AD180,'Part types'!$E:$E,0),0)</f>
        <v>174</v>
      </c>
    </row>
    <row r="181" customFormat="false" ht="15" hidden="false" customHeight="false" outlineLevel="0" collapsed="false">
      <c r="A181" s="9" t="s">
        <v>1047</v>
      </c>
      <c r="B181" s="9" t="s">
        <v>1029</v>
      </c>
      <c r="C181" s="9" t="s">
        <v>1048</v>
      </c>
      <c r="D181" s="9" t="str">
        <f aca="false">C181&amp;" "&amp;INDEX('Part types'!$I:$I,$AK181)</f>
        <v>Throttle Cleaner 400 ml</v>
      </c>
      <c r="E181" s="9" t="s">
        <v>68</v>
      </c>
      <c r="F181" s="9" t="s">
        <v>956</v>
      </c>
      <c r="G181" s="10" t="n">
        <f aca="false">IF($AK181=0,"",INDEX('Part types'!$P:$P,$AK181))</f>
        <v>7</v>
      </c>
      <c r="H181" s="10" t="n">
        <f aca="false">IF($AK181=0,"",INDEX('Part types'!$Q:$Q,$AK181))</f>
        <v>7</v>
      </c>
      <c r="I181" s="10" t="n">
        <f aca="false">IF($AK181=0,"",INDEX('Part types'!$R:$R,$AK181))</f>
        <v>22</v>
      </c>
      <c r="J181" s="10" t="n">
        <f aca="false">IF($AK181=0,"",INDEX('Part types'!$S:$S,$AK181))</f>
        <v>0.4</v>
      </c>
      <c r="K181" s="11" t="s">
        <v>1031</v>
      </c>
      <c r="L181" s="11" t="s">
        <v>1049</v>
      </c>
      <c r="M181" s="11" t="str">
        <f aca="false">L181&amp;" "&amp;INDEX('Part types'!$J:$J,$AK181)</f>
        <v>منظف الثروتل 400 مل</v>
      </c>
      <c r="N181" s="11" t="s">
        <v>72</v>
      </c>
      <c r="O181" s="11" t="s">
        <v>959</v>
      </c>
      <c r="P181" s="10" t="n">
        <f aca="false">G181</f>
        <v>7</v>
      </c>
      <c r="Q181" s="10" t="n">
        <f aca="false">H181</f>
        <v>7</v>
      </c>
      <c r="R181" s="10" t="n">
        <f aca="false">I181</f>
        <v>22</v>
      </c>
      <c r="S181" s="10" t="n">
        <f aca="false">J181</f>
        <v>0.4</v>
      </c>
      <c r="T181" s="12" t="s">
        <v>1033</v>
      </c>
      <c r="U181" s="12" t="s">
        <v>1050</v>
      </c>
      <c r="V181" s="9" t="str">
        <f aca="false">U181&amp;" "&amp;INDEX('Part types'!$K:$K,$AK181)</f>
        <v>节气门清洗剂 400毫升</v>
      </c>
      <c r="W181" s="12" t="s">
        <v>76</v>
      </c>
      <c r="X181" s="12" t="s">
        <v>962</v>
      </c>
      <c r="Y181" s="10" t="n">
        <f aca="false">G181</f>
        <v>7</v>
      </c>
      <c r="Z181" s="10" t="n">
        <f aca="false">H181</f>
        <v>7</v>
      </c>
      <c r="AA181" s="10" t="n">
        <f aca="false">I181</f>
        <v>22</v>
      </c>
      <c r="AB181" s="10" t="n">
        <f aca="false">J181</f>
        <v>0.4</v>
      </c>
      <c r="AC181" s="9" t="s">
        <v>1035</v>
      </c>
      <c r="AD181" s="9" t="s">
        <v>1051</v>
      </c>
      <c r="AE181" s="9" t="str">
        <f aca="false">IF($AK181=0,"",INDEX('Part types'!$T:$T,$AK181)&amp;"")</f>
        <v>Combustion engine (petrol, diesel, hybrid, range extender)</v>
      </c>
      <c r="AF181" s="9" t="str">
        <f aca="false">IF($AK181=0,"",INDEX('Part types'!$U:$U,$AK181)&amp;"")</f>
        <v>Liquid / flammable; Pressurised gas</v>
      </c>
      <c r="AG181" s="9" t="str">
        <f aca="false">IF($AK181=0,"",INDEX('Part types'!$V:$V,$AK181)&amp;"")</f>
        <v>Estimate: item-specific</v>
      </c>
      <c r="AH181" s="9" t="str">
        <f aca="false">IF($AK181=0,"",INDEX('Part types'!$W:$W,$AK181)&amp;"")</f>
        <v>Throttle Body Cleaner Spray</v>
      </c>
      <c r="AI181" s="11" t="str">
        <f aca="false">IF($AK181=0,"",INDEX('Part types'!$X:$X,$AK181)&amp;"")</f>
        <v/>
      </c>
      <c r="AJ181" s="9" t="str">
        <f aca="false">IF($AK181=0,"",INDEX('Part types'!$Y:$Y,$AK181)&amp;"")</f>
        <v/>
      </c>
      <c r="AK181" s="9" t="n">
        <f aca="false">IFERROR(MATCH($AD181,'Part types'!$E:$E,0),0)</f>
        <v>175</v>
      </c>
    </row>
    <row r="182" customFormat="false" ht="15" hidden="false" customHeight="false" outlineLevel="0" collapsed="false">
      <c r="A182" s="9" t="s">
        <v>1052</v>
      </c>
      <c r="B182" s="9" t="s">
        <v>1029</v>
      </c>
      <c r="C182" s="9" t="s">
        <v>1053</v>
      </c>
      <c r="D182" s="9" t="str">
        <f aca="false">C182&amp;" "&amp;INDEX('Part types'!$I:$I,$AK182)</f>
        <v>Fuel Cleaner 300 ml</v>
      </c>
      <c r="E182" s="9" t="s">
        <v>68</v>
      </c>
      <c r="F182" s="9" t="s">
        <v>956</v>
      </c>
      <c r="G182" s="10" t="n">
        <f aca="false">IF($AK182=0,"",INDEX('Part types'!$P:$P,$AK182))</f>
        <v>6</v>
      </c>
      <c r="H182" s="10" t="n">
        <f aca="false">IF($AK182=0,"",INDEX('Part types'!$Q:$Q,$AK182))</f>
        <v>6</v>
      </c>
      <c r="I182" s="10" t="n">
        <f aca="false">IF($AK182=0,"",INDEX('Part types'!$R:$R,$AK182))</f>
        <v>18</v>
      </c>
      <c r="J182" s="10" t="n">
        <f aca="false">IF($AK182=0,"",INDEX('Part types'!$S:$S,$AK182))</f>
        <v>0.35</v>
      </c>
      <c r="K182" s="11" t="s">
        <v>1031</v>
      </c>
      <c r="L182" s="11" t="s">
        <v>1054</v>
      </c>
      <c r="M182" s="11" t="str">
        <f aca="false">L182&amp;" "&amp;INDEX('Part types'!$J:$J,$AK182)</f>
        <v>منظف نظام الوقود 300 مل</v>
      </c>
      <c r="N182" s="11" t="s">
        <v>72</v>
      </c>
      <c r="O182" s="11" t="s">
        <v>959</v>
      </c>
      <c r="P182" s="10" t="n">
        <f aca="false">G182</f>
        <v>6</v>
      </c>
      <c r="Q182" s="10" t="n">
        <f aca="false">H182</f>
        <v>6</v>
      </c>
      <c r="R182" s="10" t="n">
        <f aca="false">I182</f>
        <v>18</v>
      </c>
      <c r="S182" s="10" t="n">
        <f aca="false">J182</f>
        <v>0.35</v>
      </c>
      <c r="T182" s="12" t="s">
        <v>1033</v>
      </c>
      <c r="U182" s="12" t="s">
        <v>1055</v>
      </c>
      <c r="V182" s="9" t="str">
        <f aca="false">U182&amp;" "&amp;INDEX('Part types'!$K:$K,$AK182)</f>
        <v>燃油系统清洗剂 300毫升</v>
      </c>
      <c r="W182" s="12" t="s">
        <v>76</v>
      </c>
      <c r="X182" s="12" t="s">
        <v>962</v>
      </c>
      <c r="Y182" s="10" t="n">
        <f aca="false">G182</f>
        <v>6</v>
      </c>
      <c r="Z182" s="10" t="n">
        <f aca="false">H182</f>
        <v>6</v>
      </c>
      <c r="AA182" s="10" t="n">
        <f aca="false">I182</f>
        <v>18</v>
      </c>
      <c r="AB182" s="10" t="n">
        <f aca="false">J182</f>
        <v>0.35</v>
      </c>
      <c r="AC182" s="9" t="s">
        <v>1035</v>
      </c>
      <c r="AD182" s="9" t="s">
        <v>1056</v>
      </c>
      <c r="AE182" s="9" t="str">
        <f aca="false">IF($AK182=0,"",INDEX('Part types'!$T:$T,$AK182)&amp;"")</f>
        <v>Combustion engine (petrol, diesel, hybrid, range extender)</v>
      </c>
      <c r="AF182" s="9" t="str">
        <f aca="false">IF($AK182=0,"",INDEX('Part types'!$U:$U,$AK182)&amp;"")</f>
        <v>Liquid / flammable</v>
      </c>
      <c r="AG182" s="9" t="str">
        <f aca="false">IF($AK182=0,"",INDEX('Part types'!$V:$V,$AK182)&amp;"")</f>
        <v>Estimate: item-specific</v>
      </c>
      <c r="AH182" s="9" t="str">
        <f aca="false">IF($AK182=0,"",INDEX('Part types'!$W:$W,$AK182)&amp;"")</f>
        <v>Fuel System Cleaner</v>
      </c>
      <c r="AI182" s="11" t="str">
        <f aca="false">IF($AK182=0,"",INDEX('Part types'!$X:$X,$AK182)&amp;"")</f>
        <v/>
      </c>
      <c r="AJ182" s="9" t="str">
        <f aca="false">IF($AK182=0,"",INDEX('Part types'!$Y:$Y,$AK182)&amp;"")</f>
        <v/>
      </c>
      <c r="AK182" s="9" t="n">
        <f aca="false">IFERROR(MATCH($AD182,'Part types'!$E:$E,0),0)</f>
        <v>176</v>
      </c>
    </row>
    <row r="183" customFormat="false" ht="15" hidden="false" customHeight="false" outlineLevel="0" collapsed="false">
      <c r="A183" s="9" t="s">
        <v>1057</v>
      </c>
      <c r="B183" s="9" t="s">
        <v>1029</v>
      </c>
      <c r="C183" s="9" t="s">
        <v>1058</v>
      </c>
      <c r="D183" s="9" t="str">
        <f aca="false">C183&amp;" "&amp;INDEX('Part types'!$I:$I,$AK183)</f>
        <v>Engine Flush 300 ml</v>
      </c>
      <c r="E183" s="9" t="s">
        <v>68</v>
      </c>
      <c r="F183" s="9" t="s">
        <v>956</v>
      </c>
      <c r="G183" s="10" t="n">
        <f aca="false">IF($AK183=0,"",INDEX('Part types'!$P:$P,$AK183))</f>
        <v>6</v>
      </c>
      <c r="H183" s="10" t="n">
        <f aca="false">IF($AK183=0,"",INDEX('Part types'!$Q:$Q,$AK183))</f>
        <v>6</v>
      </c>
      <c r="I183" s="10" t="n">
        <f aca="false">IF($AK183=0,"",INDEX('Part types'!$R:$R,$AK183))</f>
        <v>18</v>
      </c>
      <c r="J183" s="10" t="n">
        <f aca="false">IF($AK183=0,"",INDEX('Part types'!$S:$S,$AK183))</f>
        <v>0.35</v>
      </c>
      <c r="K183" s="11" t="s">
        <v>1031</v>
      </c>
      <c r="L183" s="11" t="s">
        <v>1059</v>
      </c>
      <c r="M183" s="11" t="str">
        <f aca="false">L183&amp;" "&amp;INDEX('Part types'!$J:$J,$AK183)</f>
        <v>منظف داخلي للمحرك 300 مل</v>
      </c>
      <c r="N183" s="11" t="s">
        <v>72</v>
      </c>
      <c r="O183" s="11" t="s">
        <v>959</v>
      </c>
      <c r="P183" s="10" t="n">
        <f aca="false">G183</f>
        <v>6</v>
      </c>
      <c r="Q183" s="10" t="n">
        <f aca="false">H183</f>
        <v>6</v>
      </c>
      <c r="R183" s="10" t="n">
        <f aca="false">I183</f>
        <v>18</v>
      </c>
      <c r="S183" s="10" t="n">
        <f aca="false">J183</f>
        <v>0.35</v>
      </c>
      <c r="T183" s="12" t="s">
        <v>1033</v>
      </c>
      <c r="U183" s="12" t="s">
        <v>1060</v>
      </c>
      <c r="V183" s="9" t="str">
        <f aca="false">U183&amp;" "&amp;INDEX('Part types'!$K:$K,$AK183)</f>
        <v>发动机内部清洗剂 300毫升</v>
      </c>
      <c r="W183" s="12" t="s">
        <v>76</v>
      </c>
      <c r="X183" s="12" t="s">
        <v>962</v>
      </c>
      <c r="Y183" s="10" t="n">
        <f aca="false">G183</f>
        <v>6</v>
      </c>
      <c r="Z183" s="10" t="n">
        <f aca="false">H183</f>
        <v>6</v>
      </c>
      <c r="AA183" s="10" t="n">
        <f aca="false">I183</f>
        <v>18</v>
      </c>
      <c r="AB183" s="10" t="n">
        <f aca="false">J183</f>
        <v>0.35</v>
      </c>
      <c r="AC183" s="9" t="s">
        <v>1035</v>
      </c>
      <c r="AD183" s="9" t="s">
        <v>1061</v>
      </c>
      <c r="AE183" s="9" t="str">
        <f aca="false">IF($AK183=0,"",INDEX('Part types'!$T:$T,$AK183)&amp;"")</f>
        <v>Combustion engine (petrol, diesel, hybrid, range extender)</v>
      </c>
      <c r="AF183" s="9" t="str">
        <f aca="false">IF($AK183=0,"",INDEX('Part types'!$U:$U,$AK183)&amp;"")</f>
        <v>Liquid / flammable</v>
      </c>
      <c r="AG183" s="9" t="str">
        <f aca="false">IF($AK183=0,"",INDEX('Part types'!$V:$V,$AK183)&amp;"")</f>
        <v>Estimate: item-specific</v>
      </c>
      <c r="AH183" s="9" t="str">
        <f aca="false">IF($AK183=0,"",INDEX('Part types'!$W:$W,$AK183)&amp;"")</f>
        <v/>
      </c>
      <c r="AI183" s="11" t="str">
        <f aca="false">IF($AK183=0,"",INDEX('Part types'!$X:$X,$AK183)&amp;"")</f>
        <v/>
      </c>
      <c r="AJ183" s="9" t="str">
        <f aca="false">IF($AK183=0,"",INDEX('Part types'!$Y:$Y,$AK183)&amp;"")</f>
        <v/>
      </c>
      <c r="AK183" s="9" t="n">
        <f aca="false">IFERROR(MATCH($AD183,'Part types'!$E:$E,0),0)</f>
        <v>177</v>
      </c>
    </row>
    <row r="184" customFormat="false" ht="15" hidden="false" customHeight="false" outlineLevel="0" collapsed="false">
      <c r="A184" s="9" t="s">
        <v>1062</v>
      </c>
      <c r="B184" s="9" t="s">
        <v>1029</v>
      </c>
      <c r="C184" s="9" t="s">
        <v>1063</v>
      </c>
      <c r="D184" s="9" t="str">
        <f aca="false">C184&amp;" "&amp;INDEX('Part types'!$I:$I,$AK184)</f>
        <v>Radiator Stop Leak 250 ml</v>
      </c>
      <c r="E184" s="9" t="s">
        <v>68</v>
      </c>
      <c r="F184" s="9" t="s">
        <v>956</v>
      </c>
      <c r="G184" s="10" t="n">
        <f aca="false">IF($AK184=0,"",INDEX('Part types'!$P:$P,$AK184))</f>
        <v>6</v>
      </c>
      <c r="H184" s="10" t="n">
        <f aca="false">IF($AK184=0,"",INDEX('Part types'!$Q:$Q,$AK184))</f>
        <v>6</v>
      </c>
      <c r="I184" s="10" t="n">
        <f aca="false">IF($AK184=0,"",INDEX('Part types'!$R:$R,$AK184))</f>
        <v>16</v>
      </c>
      <c r="J184" s="10" t="n">
        <f aca="false">IF($AK184=0,"",INDEX('Part types'!$S:$S,$AK184))</f>
        <v>0.3</v>
      </c>
      <c r="K184" s="11" t="s">
        <v>1031</v>
      </c>
      <c r="L184" s="11" t="s">
        <v>1064</v>
      </c>
      <c r="M184" s="11" t="str">
        <f aca="false">L184&amp;" "&amp;INDEX('Part types'!$J:$J,$AK184)</f>
        <v>سد تسريب الرديتر 250 مل</v>
      </c>
      <c r="N184" s="11" t="s">
        <v>72</v>
      </c>
      <c r="O184" s="11" t="s">
        <v>959</v>
      </c>
      <c r="P184" s="10" t="n">
        <f aca="false">G184</f>
        <v>6</v>
      </c>
      <c r="Q184" s="10" t="n">
        <f aca="false">H184</f>
        <v>6</v>
      </c>
      <c r="R184" s="10" t="n">
        <f aca="false">I184</f>
        <v>16</v>
      </c>
      <c r="S184" s="10" t="n">
        <f aca="false">J184</f>
        <v>0.3</v>
      </c>
      <c r="T184" s="12" t="s">
        <v>1033</v>
      </c>
      <c r="U184" s="12" t="s">
        <v>1065</v>
      </c>
      <c r="V184" s="9" t="str">
        <f aca="false">U184&amp;" "&amp;INDEX('Part types'!$K:$K,$AK184)</f>
        <v>水箱堵漏剂 250毫升</v>
      </c>
      <c r="W184" s="12" t="s">
        <v>76</v>
      </c>
      <c r="X184" s="12" t="s">
        <v>962</v>
      </c>
      <c r="Y184" s="10" t="n">
        <f aca="false">G184</f>
        <v>6</v>
      </c>
      <c r="Z184" s="10" t="n">
        <f aca="false">H184</f>
        <v>6</v>
      </c>
      <c r="AA184" s="10" t="n">
        <f aca="false">I184</f>
        <v>16</v>
      </c>
      <c r="AB184" s="10" t="n">
        <f aca="false">J184</f>
        <v>0.3</v>
      </c>
      <c r="AC184" s="9" t="s">
        <v>1035</v>
      </c>
      <c r="AD184" s="9" t="s">
        <v>1066</v>
      </c>
      <c r="AE184" s="9" t="str">
        <f aca="false">IF($AK184=0,"",INDEX('Part types'!$T:$T,$AK184)&amp;"")</f>
        <v>Combustion engine (petrol, diesel, hybrid, range extender)</v>
      </c>
      <c r="AF184" s="9" t="str">
        <f aca="false">IF($AK184=0,"",INDEX('Part types'!$U:$U,$AK184)&amp;"")</f>
        <v>Liquid / flammable</v>
      </c>
      <c r="AG184" s="9" t="str">
        <f aca="false">IF($AK184=0,"",INDEX('Part types'!$V:$V,$AK184)&amp;"")</f>
        <v>Estimate: item-specific</v>
      </c>
      <c r="AH184" s="9" t="str">
        <f aca="false">IF($AK184=0,"",INDEX('Part types'!$W:$W,$AK184)&amp;"")</f>
        <v/>
      </c>
      <c r="AI184" s="11" t="str">
        <f aca="false">IF($AK184=0,"",INDEX('Part types'!$X:$X,$AK184)&amp;"")</f>
        <v/>
      </c>
      <c r="AJ184" s="9" t="str">
        <f aca="false">IF($AK184=0,"",INDEX('Part types'!$Y:$Y,$AK184)&amp;"")</f>
        <v/>
      </c>
      <c r="AK184" s="9" t="n">
        <f aca="false">IFERROR(MATCH($AD184,'Part types'!$E:$E,0),0)</f>
        <v>178</v>
      </c>
    </row>
    <row r="185" customFormat="false" ht="15" hidden="false" customHeight="false" outlineLevel="0" collapsed="false">
      <c r="A185" s="9" t="s">
        <v>1067</v>
      </c>
      <c r="B185" s="9" t="s">
        <v>1029</v>
      </c>
      <c r="C185" s="9" t="s">
        <v>1068</v>
      </c>
      <c r="D185" s="9" t="str">
        <f aca="false">C185&amp;" "&amp;INDEX('Part types'!$I:$I,$AK185)</f>
        <v>Thread Locker 10 ml</v>
      </c>
      <c r="E185" s="9" t="s">
        <v>68</v>
      </c>
      <c r="F185" s="9" t="s">
        <v>956</v>
      </c>
      <c r="G185" s="10" t="n">
        <f aca="false">IF($AK185=0,"",INDEX('Part types'!$P:$P,$AK185))</f>
        <v>6</v>
      </c>
      <c r="H185" s="10" t="n">
        <f aca="false">IF($AK185=0,"",INDEX('Part types'!$Q:$Q,$AK185))</f>
        <v>4</v>
      </c>
      <c r="I185" s="10" t="n">
        <f aca="false">IF($AK185=0,"",INDEX('Part types'!$R:$R,$AK185))</f>
        <v>3</v>
      </c>
      <c r="J185" s="10" t="n">
        <f aca="false">IF($AK185=0,"",INDEX('Part types'!$S:$S,$AK185))</f>
        <v>0.02</v>
      </c>
      <c r="K185" s="11" t="s">
        <v>1031</v>
      </c>
      <c r="L185" s="11" t="s">
        <v>1069</v>
      </c>
      <c r="M185" s="11" t="str">
        <f aca="false">L185&amp;" "&amp;INDEX('Part types'!$J:$J,$AK185)</f>
        <v>لاصق براغي 10 مل</v>
      </c>
      <c r="N185" s="11" t="s">
        <v>72</v>
      </c>
      <c r="O185" s="11" t="s">
        <v>959</v>
      </c>
      <c r="P185" s="10" t="n">
        <f aca="false">G185</f>
        <v>6</v>
      </c>
      <c r="Q185" s="10" t="n">
        <f aca="false">H185</f>
        <v>4</v>
      </c>
      <c r="R185" s="10" t="n">
        <f aca="false">I185</f>
        <v>3</v>
      </c>
      <c r="S185" s="10" t="n">
        <f aca="false">J185</f>
        <v>0.02</v>
      </c>
      <c r="T185" s="12" t="s">
        <v>1033</v>
      </c>
      <c r="U185" s="12" t="s">
        <v>1070</v>
      </c>
      <c r="V185" s="9" t="str">
        <f aca="false">U185&amp;" "&amp;INDEX('Part types'!$K:$K,$AK185)</f>
        <v>螺纹锁固胶 10毫升</v>
      </c>
      <c r="W185" s="12" t="s">
        <v>76</v>
      </c>
      <c r="X185" s="12" t="s">
        <v>962</v>
      </c>
      <c r="Y185" s="10" t="n">
        <f aca="false">G185</f>
        <v>6</v>
      </c>
      <c r="Z185" s="10" t="n">
        <f aca="false">H185</f>
        <v>4</v>
      </c>
      <c r="AA185" s="10" t="n">
        <f aca="false">I185</f>
        <v>3</v>
      </c>
      <c r="AB185" s="10" t="n">
        <f aca="false">J185</f>
        <v>0.02</v>
      </c>
      <c r="AC185" s="9" t="s">
        <v>1035</v>
      </c>
      <c r="AD185" s="9" t="s">
        <v>1071</v>
      </c>
      <c r="AE185" s="9" t="str">
        <f aca="false">IF($AK185=0,"",INDEX('Part types'!$T:$T,$AK185)&amp;"")</f>
        <v>All vehicles</v>
      </c>
      <c r="AF185" s="9" t="str">
        <f aca="false">IF($AK185=0,"",INDEX('Part types'!$U:$U,$AK185)&amp;"")</f>
        <v>Liquid / flammable</v>
      </c>
      <c r="AG185" s="9" t="str">
        <f aca="false">IF($AK185=0,"",INDEX('Part types'!$V:$V,$AK185)&amp;"")</f>
        <v>Estimate: size class T</v>
      </c>
      <c r="AH185" s="9" t="str">
        <f aca="false">IF($AK185=0,"",INDEX('Part types'!$W:$W,$AK185)&amp;"")</f>
        <v/>
      </c>
      <c r="AI185" s="11" t="str">
        <f aca="false">IF($AK185=0,"",INDEX('Part types'!$X:$X,$AK185)&amp;"")</f>
        <v/>
      </c>
      <c r="AJ185" s="9" t="str">
        <f aca="false">IF($AK185=0,"",INDEX('Part types'!$Y:$Y,$AK185)&amp;"")</f>
        <v/>
      </c>
      <c r="AK185" s="9" t="n">
        <f aca="false">IFERROR(MATCH($AD185,'Part types'!$E:$E,0),0)</f>
        <v>179</v>
      </c>
    </row>
    <row r="186" customFormat="false" ht="15" hidden="false" customHeight="false" outlineLevel="0" collapsed="false">
      <c r="A186" s="9" t="s">
        <v>1072</v>
      </c>
      <c r="B186" s="9" t="s">
        <v>1029</v>
      </c>
      <c r="C186" s="9" t="s">
        <v>1073</v>
      </c>
      <c r="D186" s="9" t="str">
        <f aca="false">C186&amp;" "&amp;INDEX('Part types'!$I:$I,$AK186)</f>
        <v>Silicone Sealant 80 g</v>
      </c>
      <c r="E186" s="9" t="s">
        <v>68</v>
      </c>
      <c r="F186" s="9" t="s">
        <v>956</v>
      </c>
      <c r="G186" s="10" t="n">
        <f aca="false">IF($AK186=0,"",INDEX('Part types'!$P:$P,$AK186))</f>
        <v>10</v>
      </c>
      <c r="H186" s="10" t="n">
        <f aca="false">IF($AK186=0,"",INDEX('Part types'!$Q:$Q,$AK186))</f>
        <v>8</v>
      </c>
      <c r="I186" s="10" t="n">
        <f aca="false">IF($AK186=0,"",INDEX('Part types'!$R:$R,$AK186))</f>
        <v>6</v>
      </c>
      <c r="J186" s="10" t="n">
        <f aca="false">IF($AK186=0,"",INDEX('Part types'!$S:$S,$AK186))</f>
        <v>0.1</v>
      </c>
      <c r="K186" s="11" t="s">
        <v>1031</v>
      </c>
      <c r="L186" s="11" t="s">
        <v>1074</v>
      </c>
      <c r="M186" s="11" t="str">
        <f aca="false">L186&amp;" "&amp;INDEX('Part types'!$J:$J,$AK186)</f>
        <v>سيليكون مانع تسرب 80 جم</v>
      </c>
      <c r="N186" s="11" t="s">
        <v>72</v>
      </c>
      <c r="O186" s="11" t="s">
        <v>959</v>
      </c>
      <c r="P186" s="10" t="n">
        <f aca="false">G186</f>
        <v>10</v>
      </c>
      <c r="Q186" s="10" t="n">
        <f aca="false">H186</f>
        <v>8</v>
      </c>
      <c r="R186" s="10" t="n">
        <f aca="false">I186</f>
        <v>6</v>
      </c>
      <c r="S186" s="10" t="n">
        <f aca="false">J186</f>
        <v>0.1</v>
      </c>
      <c r="T186" s="12" t="s">
        <v>1033</v>
      </c>
      <c r="U186" s="12" t="s">
        <v>1075</v>
      </c>
      <c r="V186" s="9" t="str">
        <f aca="false">U186&amp;" "&amp;INDEX('Part types'!$K:$K,$AK186)</f>
        <v>硅酮密封胶 80克</v>
      </c>
      <c r="W186" s="12" t="s">
        <v>76</v>
      </c>
      <c r="X186" s="12" t="s">
        <v>962</v>
      </c>
      <c r="Y186" s="10" t="n">
        <f aca="false">G186</f>
        <v>10</v>
      </c>
      <c r="Z186" s="10" t="n">
        <f aca="false">H186</f>
        <v>8</v>
      </c>
      <c r="AA186" s="10" t="n">
        <f aca="false">I186</f>
        <v>6</v>
      </c>
      <c r="AB186" s="10" t="n">
        <f aca="false">J186</f>
        <v>0.1</v>
      </c>
      <c r="AC186" s="9" t="s">
        <v>1035</v>
      </c>
      <c r="AD186" s="9" t="s">
        <v>1076</v>
      </c>
      <c r="AE186" s="9" t="str">
        <f aca="false">IF($AK186=0,"",INDEX('Part types'!$T:$T,$AK186)&amp;"")</f>
        <v>All vehicles</v>
      </c>
      <c r="AF186" s="9" t="str">
        <f aca="false">IF($AK186=0,"",INDEX('Part types'!$U:$U,$AK186)&amp;"")</f>
        <v>Liquid / flammable</v>
      </c>
      <c r="AG186" s="9" t="str">
        <f aca="false">IF($AK186=0,"",INDEX('Part types'!$V:$V,$AK186)&amp;"")</f>
        <v>Estimate: size class XS</v>
      </c>
      <c r="AH186" s="9" t="str">
        <f aca="false">IF($AK186=0,"",INDEX('Part types'!$W:$W,$AK186)&amp;"")</f>
        <v>RTV Silicone Sealant</v>
      </c>
      <c r="AI186" s="11" t="str">
        <f aca="false">IF($AK186=0,"",INDEX('Part types'!$X:$X,$AK186)&amp;"")</f>
        <v/>
      </c>
      <c r="AJ186" s="9" t="str">
        <f aca="false">IF($AK186=0,"",INDEX('Part types'!$Y:$Y,$AK186)&amp;"")</f>
        <v/>
      </c>
      <c r="AK186" s="9" t="n">
        <f aca="false">IFERROR(MATCH($AD186,'Part types'!$E:$E,0),0)</f>
        <v>180</v>
      </c>
    </row>
    <row r="187" customFormat="false" ht="15" hidden="false" customHeight="false" outlineLevel="0" collapsed="false">
      <c r="A187" s="9" t="s">
        <v>1077</v>
      </c>
      <c r="B187" s="9" t="s">
        <v>1029</v>
      </c>
      <c r="C187" s="9" t="s">
        <v>1078</v>
      </c>
      <c r="D187" s="9" t="str">
        <f aca="false">C187&amp;" "&amp;INDEX('Part types'!$I:$I,$AK187)</f>
        <v>Anti-Seize Compound 100 g</v>
      </c>
      <c r="E187" s="9" t="s">
        <v>68</v>
      </c>
      <c r="F187" s="9" t="s">
        <v>956</v>
      </c>
      <c r="G187" s="10" t="n">
        <f aca="false">IF($AK187=0,"",INDEX('Part types'!$P:$P,$AK187))</f>
        <v>10</v>
      </c>
      <c r="H187" s="10" t="n">
        <f aca="false">IF($AK187=0,"",INDEX('Part types'!$Q:$Q,$AK187))</f>
        <v>8</v>
      </c>
      <c r="I187" s="10" t="n">
        <f aca="false">IF($AK187=0,"",INDEX('Part types'!$R:$R,$AK187))</f>
        <v>6</v>
      </c>
      <c r="J187" s="10" t="n">
        <f aca="false">IF($AK187=0,"",INDEX('Part types'!$S:$S,$AK187))</f>
        <v>0.1</v>
      </c>
      <c r="K187" s="11" t="s">
        <v>1031</v>
      </c>
      <c r="L187" s="11" t="s">
        <v>1079</v>
      </c>
      <c r="M187" s="11" t="str">
        <f aca="false">L187&amp;" "&amp;INDEX('Part types'!$J:$J,$AK187)</f>
        <v>معجون منع الالتصاق 100 جم</v>
      </c>
      <c r="N187" s="11" t="s">
        <v>72</v>
      </c>
      <c r="O187" s="11" t="s">
        <v>959</v>
      </c>
      <c r="P187" s="10" t="n">
        <f aca="false">G187</f>
        <v>10</v>
      </c>
      <c r="Q187" s="10" t="n">
        <f aca="false">H187</f>
        <v>8</v>
      </c>
      <c r="R187" s="10" t="n">
        <f aca="false">I187</f>
        <v>6</v>
      </c>
      <c r="S187" s="10" t="n">
        <f aca="false">J187</f>
        <v>0.1</v>
      </c>
      <c r="T187" s="12" t="s">
        <v>1033</v>
      </c>
      <c r="U187" s="12" t="s">
        <v>1080</v>
      </c>
      <c r="V187" s="9" t="str">
        <f aca="false">U187&amp;" "&amp;INDEX('Part types'!$K:$K,$AK187)</f>
        <v>防卡剂 100克</v>
      </c>
      <c r="W187" s="12" t="s">
        <v>76</v>
      </c>
      <c r="X187" s="12" t="s">
        <v>962</v>
      </c>
      <c r="Y187" s="10" t="n">
        <f aca="false">G187</f>
        <v>10</v>
      </c>
      <c r="Z187" s="10" t="n">
        <f aca="false">H187</f>
        <v>8</v>
      </c>
      <c r="AA187" s="10" t="n">
        <f aca="false">I187</f>
        <v>6</v>
      </c>
      <c r="AB187" s="10" t="n">
        <f aca="false">J187</f>
        <v>0.1</v>
      </c>
      <c r="AC187" s="9" t="s">
        <v>1035</v>
      </c>
      <c r="AD187" s="9" t="s">
        <v>1081</v>
      </c>
      <c r="AE187" s="9" t="str">
        <f aca="false">IF($AK187=0,"",INDEX('Part types'!$T:$T,$AK187)&amp;"")</f>
        <v>All vehicles</v>
      </c>
      <c r="AF187" s="9" t="str">
        <f aca="false">IF($AK187=0,"",INDEX('Part types'!$U:$U,$AK187)&amp;"")</f>
        <v>Liquid / flammable</v>
      </c>
      <c r="AG187" s="9" t="str">
        <f aca="false">IF($AK187=0,"",INDEX('Part types'!$V:$V,$AK187)&amp;"")</f>
        <v>Estimate: size class XS</v>
      </c>
      <c r="AH187" s="9" t="str">
        <f aca="false">IF($AK187=0,"",INDEX('Part types'!$W:$W,$AK187)&amp;"")</f>
        <v/>
      </c>
      <c r="AI187" s="11" t="str">
        <f aca="false">IF($AK187=0,"",INDEX('Part types'!$X:$X,$AK187)&amp;"")</f>
        <v/>
      </c>
      <c r="AJ187" s="9" t="str">
        <f aca="false">IF($AK187=0,"",INDEX('Part types'!$Y:$Y,$AK187)&amp;"")</f>
        <v/>
      </c>
      <c r="AK187" s="9" t="n">
        <f aca="false">IFERROR(MATCH($AD187,'Part types'!$E:$E,0),0)</f>
        <v>181</v>
      </c>
    </row>
    <row r="188" customFormat="false" ht="15" hidden="false" customHeight="false" outlineLevel="0" collapsed="false">
      <c r="A188" s="9" t="s">
        <v>1082</v>
      </c>
      <c r="B188" s="9" t="s">
        <v>1029</v>
      </c>
      <c r="C188" s="9" t="s">
        <v>1083</v>
      </c>
      <c r="D188" s="9" t="str">
        <f aca="false">C188&amp;" - "&amp;E188</f>
        <v>Battery Terminal Protector - Universal</v>
      </c>
      <c r="E188" s="9" t="s">
        <v>68</v>
      </c>
      <c r="F188" s="9" t="s">
        <v>956</v>
      </c>
      <c r="G188" s="10" t="n">
        <f aca="false">IF($AK188=0,"",INDEX('Part types'!$P:$P,$AK188))</f>
        <v>10</v>
      </c>
      <c r="H188" s="10" t="n">
        <f aca="false">IF($AK188=0,"",INDEX('Part types'!$Q:$Q,$AK188))</f>
        <v>8</v>
      </c>
      <c r="I188" s="10" t="n">
        <f aca="false">IF($AK188=0,"",INDEX('Part types'!$R:$R,$AK188))</f>
        <v>6</v>
      </c>
      <c r="J188" s="10" t="n">
        <f aca="false">IF($AK188=0,"",INDEX('Part types'!$S:$S,$AK188))</f>
        <v>0.1</v>
      </c>
      <c r="K188" s="11" t="s">
        <v>1031</v>
      </c>
      <c r="L188" s="11" t="s">
        <v>1084</v>
      </c>
      <c r="M188" s="11" t="str">
        <f aca="false">L188&amp;" - "&amp;N188</f>
        <v>حماية أقطاب البطارية - عام</v>
      </c>
      <c r="N188" s="11" t="s">
        <v>72</v>
      </c>
      <c r="O188" s="11" t="s">
        <v>959</v>
      </c>
      <c r="P188" s="10" t="n">
        <f aca="false">G188</f>
        <v>10</v>
      </c>
      <c r="Q188" s="10" t="n">
        <f aca="false">H188</f>
        <v>8</v>
      </c>
      <c r="R188" s="10" t="n">
        <f aca="false">I188</f>
        <v>6</v>
      </c>
      <c r="S188" s="10" t="n">
        <f aca="false">J188</f>
        <v>0.1</v>
      </c>
      <c r="T188" s="12" t="s">
        <v>1033</v>
      </c>
      <c r="U188" s="12" t="s">
        <v>1085</v>
      </c>
      <c r="V188" s="9" t="str">
        <f aca="false">U188&amp;" - "&amp;W188</f>
        <v>电瓶接线柱保护剂 - 通用</v>
      </c>
      <c r="W188" s="12" t="s">
        <v>76</v>
      </c>
      <c r="X188" s="12" t="s">
        <v>962</v>
      </c>
      <c r="Y188" s="10" t="n">
        <f aca="false">G188</f>
        <v>10</v>
      </c>
      <c r="Z188" s="10" t="n">
        <f aca="false">H188</f>
        <v>8</v>
      </c>
      <c r="AA188" s="10" t="n">
        <f aca="false">I188</f>
        <v>6</v>
      </c>
      <c r="AB188" s="10" t="n">
        <f aca="false">J188</f>
        <v>0.1</v>
      </c>
      <c r="AC188" s="9" t="s">
        <v>1035</v>
      </c>
      <c r="AD188" s="9" t="s">
        <v>1086</v>
      </c>
      <c r="AE188" s="9" t="str">
        <f aca="false">IF($AK188=0,"",INDEX('Part types'!$T:$T,$AK188)&amp;"")</f>
        <v>All vehicles</v>
      </c>
      <c r="AF188" s="9" t="str">
        <f aca="false">IF($AK188=0,"",INDEX('Part types'!$U:$U,$AK188)&amp;"")</f>
        <v>Liquid / flammable</v>
      </c>
      <c r="AG188" s="9" t="str">
        <f aca="false">IF($AK188=0,"",INDEX('Part types'!$V:$V,$AK188)&amp;"")</f>
        <v>Estimate: size class XS</v>
      </c>
      <c r="AH188" s="9" t="str">
        <f aca="false">IF($AK188=0,"",INDEX('Part types'!$W:$W,$AK188)&amp;"")</f>
        <v/>
      </c>
      <c r="AI188" s="11" t="str">
        <f aca="false">IF($AK188=0,"",INDEX('Part types'!$X:$X,$AK188)&amp;"")</f>
        <v/>
      </c>
      <c r="AJ188" s="9" t="str">
        <f aca="false">IF($AK188=0,"",INDEX('Part types'!$Y:$Y,$AK188)&amp;"")</f>
        <v/>
      </c>
      <c r="AK188" s="9" t="n">
        <f aca="false">IFERROR(MATCH($AD188,'Part types'!$E:$E,0),0)</f>
        <v>182</v>
      </c>
    </row>
    <row r="189" customFormat="false" ht="15" hidden="false" customHeight="false" outlineLevel="0" collapsed="false">
      <c r="A189" s="9" t="s">
        <v>1087</v>
      </c>
      <c r="B189" s="9" t="s">
        <v>1029</v>
      </c>
      <c r="C189" s="9" t="s">
        <v>1088</v>
      </c>
      <c r="D189" s="9" t="str">
        <f aca="false">C189&amp;" "&amp;INDEX('Part types'!$I:$I,$AK189)</f>
        <v>Refrigerant R134a 500 g</v>
      </c>
      <c r="E189" s="9" t="s">
        <v>68</v>
      </c>
      <c r="F189" s="9" t="s">
        <v>956</v>
      </c>
      <c r="G189" s="10" t="n">
        <f aca="false">IF($AK189=0,"",INDEX('Part types'!$P:$P,$AK189))</f>
        <v>7</v>
      </c>
      <c r="H189" s="10" t="n">
        <f aca="false">IF($AK189=0,"",INDEX('Part types'!$Q:$Q,$AK189))</f>
        <v>7</v>
      </c>
      <c r="I189" s="10" t="n">
        <f aca="false">IF($AK189=0,"",INDEX('Part types'!$R:$R,$AK189))</f>
        <v>25</v>
      </c>
      <c r="J189" s="10" t="n">
        <f aca="false">IF($AK189=0,"",INDEX('Part types'!$S:$S,$AK189))</f>
        <v>0.6</v>
      </c>
      <c r="K189" s="11" t="s">
        <v>1031</v>
      </c>
      <c r="L189" s="11" t="s">
        <v>1089</v>
      </c>
      <c r="M189" s="11" t="str">
        <f aca="false">L189&amp;" "&amp;INDEX('Part types'!$J:$J,$AK189)</f>
        <v>غاز تكييف R134a 500 جم</v>
      </c>
      <c r="N189" s="11" t="s">
        <v>72</v>
      </c>
      <c r="O189" s="11" t="s">
        <v>959</v>
      </c>
      <c r="P189" s="10" t="n">
        <f aca="false">G189</f>
        <v>7</v>
      </c>
      <c r="Q189" s="10" t="n">
        <f aca="false">H189</f>
        <v>7</v>
      </c>
      <c r="R189" s="10" t="n">
        <f aca="false">I189</f>
        <v>25</v>
      </c>
      <c r="S189" s="10" t="n">
        <f aca="false">J189</f>
        <v>0.6</v>
      </c>
      <c r="T189" s="12" t="s">
        <v>1033</v>
      </c>
      <c r="U189" s="12" t="s">
        <v>1090</v>
      </c>
      <c r="V189" s="9" t="str">
        <f aca="false">U189&amp;" "&amp;INDEX('Part types'!$K:$K,$AK189)</f>
        <v>制冷剂 R134a 500克</v>
      </c>
      <c r="W189" s="12" t="s">
        <v>76</v>
      </c>
      <c r="X189" s="12" t="s">
        <v>962</v>
      </c>
      <c r="Y189" s="10" t="n">
        <f aca="false">G189</f>
        <v>7</v>
      </c>
      <c r="Z189" s="10" t="n">
        <f aca="false">H189</f>
        <v>7</v>
      </c>
      <c r="AA189" s="10" t="n">
        <f aca="false">I189</f>
        <v>25</v>
      </c>
      <c r="AB189" s="10" t="n">
        <f aca="false">J189</f>
        <v>0.6</v>
      </c>
      <c r="AC189" s="9" t="s">
        <v>1035</v>
      </c>
      <c r="AD189" s="9" t="s">
        <v>1091</v>
      </c>
      <c r="AE189" s="9" t="str">
        <f aca="false">IF($AK189=0,"",INDEX('Part types'!$T:$T,$AK189)&amp;"")</f>
        <v>All vehicles</v>
      </c>
      <c r="AF189" s="9" t="str">
        <f aca="false">IF($AK189=0,"",INDEX('Part types'!$U:$U,$AK189)&amp;"")</f>
        <v>Liquid / flammable; Pressurised gas</v>
      </c>
      <c r="AG189" s="9" t="str">
        <f aca="false">IF($AK189=0,"",INDEX('Part types'!$V:$V,$AK189)&amp;"")</f>
        <v>Estimate: item-specific</v>
      </c>
      <c r="AH189" s="9" t="str">
        <f aca="false">IF($AK189=0,"",INDEX('Part types'!$W:$W,$AK189)&amp;"")</f>
        <v>Refrigerant R134a</v>
      </c>
      <c r="AI189" s="11" t="str">
        <f aca="false">IF($AK189=0,"",INDEX('Part types'!$X:$X,$AK189)&amp;"")</f>
        <v/>
      </c>
      <c r="AJ189" s="9" t="str">
        <f aca="false">IF($AK189=0,"",INDEX('Part types'!$Y:$Y,$AK189)&amp;"")</f>
        <v/>
      </c>
      <c r="AK189" s="9" t="n">
        <f aca="false">IFERROR(MATCH($AD189,'Part types'!$E:$E,0),0)</f>
        <v>183</v>
      </c>
    </row>
    <row r="190" customFormat="false" ht="15" hidden="false" customHeight="false" outlineLevel="0" collapsed="false">
      <c r="A190" s="9" t="s">
        <v>1092</v>
      </c>
      <c r="B190" s="9" t="s">
        <v>1029</v>
      </c>
      <c r="C190" s="9" t="s">
        <v>1088</v>
      </c>
      <c r="D190" s="9" t="str">
        <f aca="false">C190&amp;" "&amp;INDEX('Part types'!$I:$I,$AK190)</f>
        <v>Refrigerant R1234yf 500 g</v>
      </c>
      <c r="E190" s="9" t="s">
        <v>68</v>
      </c>
      <c r="F190" s="9" t="s">
        <v>956</v>
      </c>
      <c r="G190" s="10" t="n">
        <f aca="false">IF($AK190=0,"",INDEX('Part types'!$P:$P,$AK190))</f>
        <v>7</v>
      </c>
      <c r="H190" s="10" t="n">
        <f aca="false">IF($AK190=0,"",INDEX('Part types'!$Q:$Q,$AK190))</f>
        <v>7</v>
      </c>
      <c r="I190" s="10" t="n">
        <f aca="false">IF($AK190=0,"",INDEX('Part types'!$R:$R,$AK190))</f>
        <v>25</v>
      </c>
      <c r="J190" s="10" t="n">
        <f aca="false">IF($AK190=0,"",INDEX('Part types'!$S:$S,$AK190))</f>
        <v>0.6</v>
      </c>
      <c r="K190" s="11" t="s">
        <v>1031</v>
      </c>
      <c r="L190" s="11" t="s">
        <v>1089</v>
      </c>
      <c r="M190" s="11" t="str">
        <f aca="false">L190&amp;" "&amp;INDEX('Part types'!$J:$J,$AK190)</f>
        <v>غاز تكييف R1234yf 500 جم</v>
      </c>
      <c r="N190" s="11" t="s">
        <v>72</v>
      </c>
      <c r="O190" s="11" t="s">
        <v>959</v>
      </c>
      <c r="P190" s="10" t="n">
        <f aca="false">G190</f>
        <v>7</v>
      </c>
      <c r="Q190" s="10" t="n">
        <f aca="false">H190</f>
        <v>7</v>
      </c>
      <c r="R190" s="10" t="n">
        <f aca="false">I190</f>
        <v>25</v>
      </c>
      <c r="S190" s="10" t="n">
        <f aca="false">J190</f>
        <v>0.6</v>
      </c>
      <c r="T190" s="12" t="s">
        <v>1033</v>
      </c>
      <c r="U190" s="12" t="s">
        <v>1090</v>
      </c>
      <c r="V190" s="9" t="str">
        <f aca="false">U190&amp;" "&amp;INDEX('Part types'!$K:$K,$AK190)</f>
        <v>制冷剂 R1234yf 500克</v>
      </c>
      <c r="W190" s="12" t="s">
        <v>76</v>
      </c>
      <c r="X190" s="12" t="s">
        <v>962</v>
      </c>
      <c r="Y190" s="10" t="n">
        <f aca="false">G190</f>
        <v>7</v>
      </c>
      <c r="Z190" s="10" t="n">
        <f aca="false">H190</f>
        <v>7</v>
      </c>
      <c r="AA190" s="10" t="n">
        <f aca="false">I190</f>
        <v>25</v>
      </c>
      <c r="AB190" s="10" t="n">
        <f aca="false">J190</f>
        <v>0.6</v>
      </c>
      <c r="AC190" s="9" t="s">
        <v>1035</v>
      </c>
      <c r="AD190" s="9" t="s">
        <v>1093</v>
      </c>
      <c r="AE190" s="9" t="str">
        <f aca="false">IF($AK190=0,"",INDEX('Part types'!$T:$T,$AK190)&amp;"")</f>
        <v>All vehicles</v>
      </c>
      <c r="AF190" s="9" t="str">
        <f aca="false">IF($AK190=0,"",INDEX('Part types'!$U:$U,$AK190)&amp;"")</f>
        <v>Liquid / flammable; Pressurised gas</v>
      </c>
      <c r="AG190" s="9" t="str">
        <f aca="false">IF($AK190=0,"",INDEX('Part types'!$V:$V,$AK190)&amp;"")</f>
        <v>Estimate: item-specific</v>
      </c>
      <c r="AH190" s="9" t="str">
        <f aca="false">IF($AK190=0,"",INDEX('Part types'!$W:$W,$AK190)&amp;"")</f>
        <v>Refrigerant R1234yf</v>
      </c>
      <c r="AI190" s="11" t="str">
        <f aca="false">IF($AK190=0,"",INDEX('Part types'!$X:$X,$AK190)&amp;"")</f>
        <v/>
      </c>
      <c r="AJ190" s="9" t="str">
        <f aca="false">IF($AK190=0,"",INDEX('Part types'!$Y:$Y,$AK190)&amp;"")</f>
        <v/>
      </c>
      <c r="AK190" s="9" t="n">
        <f aca="false">IFERROR(MATCH($AD190,'Part types'!$E:$E,0),0)</f>
        <v>184</v>
      </c>
    </row>
    <row r="191" customFormat="false" ht="15" hidden="false" customHeight="false" outlineLevel="0" collapsed="false">
      <c r="A191" s="9" t="s">
        <v>1094</v>
      </c>
      <c r="B191" s="9" t="s">
        <v>1029</v>
      </c>
      <c r="C191" s="9" t="s">
        <v>1095</v>
      </c>
      <c r="D191" s="9" t="str">
        <f aca="false">C191&amp;" "&amp;INDEX('Part types'!$I:$I,$AK191)</f>
        <v>Compressor Oil PAG 250 ml</v>
      </c>
      <c r="E191" s="9" t="s">
        <v>68</v>
      </c>
      <c r="F191" s="9" t="s">
        <v>956</v>
      </c>
      <c r="G191" s="10" t="n">
        <f aca="false">IF($AK191=0,"",INDEX('Part types'!$P:$P,$AK191))</f>
        <v>6</v>
      </c>
      <c r="H191" s="10" t="n">
        <f aca="false">IF($AK191=0,"",INDEX('Part types'!$Q:$Q,$AK191))</f>
        <v>6</v>
      </c>
      <c r="I191" s="10" t="n">
        <f aca="false">IF($AK191=0,"",INDEX('Part types'!$R:$R,$AK191))</f>
        <v>16</v>
      </c>
      <c r="J191" s="10" t="n">
        <f aca="false">IF($AK191=0,"",INDEX('Part types'!$S:$S,$AK191))</f>
        <v>0.3</v>
      </c>
      <c r="K191" s="11" t="s">
        <v>1031</v>
      </c>
      <c r="L191" s="11" t="s">
        <v>1096</v>
      </c>
      <c r="M191" s="11" t="str">
        <f aca="false">L191&amp;" "&amp;INDEX('Part types'!$J:$J,$AK191)</f>
        <v>زيت كمبروسر التكييف PAG 250 مل</v>
      </c>
      <c r="N191" s="11" t="s">
        <v>72</v>
      </c>
      <c r="O191" s="11" t="s">
        <v>959</v>
      </c>
      <c r="P191" s="10" t="n">
        <f aca="false">G191</f>
        <v>6</v>
      </c>
      <c r="Q191" s="10" t="n">
        <f aca="false">H191</f>
        <v>6</v>
      </c>
      <c r="R191" s="10" t="n">
        <f aca="false">I191</f>
        <v>16</v>
      </c>
      <c r="S191" s="10" t="n">
        <f aca="false">J191</f>
        <v>0.3</v>
      </c>
      <c r="T191" s="12" t="s">
        <v>1033</v>
      </c>
      <c r="U191" s="12" t="s">
        <v>1097</v>
      </c>
      <c r="V191" s="9" t="str">
        <f aca="false">U191&amp;" "&amp;INDEX('Part types'!$K:$K,$AK191)</f>
        <v>空调压缩机油 PAG 250毫升</v>
      </c>
      <c r="W191" s="12" t="s">
        <v>76</v>
      </c>
      <c r="X191" s="12" t="s">
        <v>962</v>
      </c>
      <c r="Y191" s="10" t="n">
        <f aca="false">G191</f>
        <v>6</v>
      </c>
      <c r="Z191" s="10" t="n">
        <f aca="false">H191</f>
        <v>6</v>
      </c>
      <c r="AA191" s="10" t="n">
        <f aca="false">I191</f>
        <v>16</v>
      </c>
      <c r="AB191" s="10" t="n">
        <f aca="false">J191</f>
        <v>0.3</v>
      </c>
      <c r="AC191" s="9" t="s">
        <v>1035</v>
      </c>
      <c r="AD191" s="9" t="s">
        <v>1098</v>
      </c>
      <c r="AE191" s="9" t="str">
        <f aca="false">IF($AK191=0,"",INDEX('Part types'!$T:$T,$AK191)&amp;"")</f>
        <v>All vehicles</v>
      </c>
      <c r="AF191" s="9" t="str">
        <f aca="false">IF($AK191=0,"",INDEX('Part types'!$U:$U,$AK191)&amp;"")</f>
        <v>Liquid / flammable</v>
      </c>
      <c r="AG191" s="9" t="str">
        <f aca="false">IF($AK191=0,"",INDEX('Part types'!$V:$V,$AK191)&amp;"")</f>
        <v>Estimate: item-specific</v>
      </c>
      <c r="AH191" s="9" t="str">
        <f aca="false">IF($AK191=0,"",INDEX('Part types'!$W:$W,$AK191)&amp;"")</f>
        <v>A/C Compressor Oil PAG</v>
      </c>
      <c r="AI191" s="11" t="str">
        <f aca="false">IF($AK191=0,"",INDEX('Part types'!$X:$X,$AK191)&amp;"")</f>
        <v/>
      </c>
      <c r="AJ191" s="9" t="str">
        <f aca="false">IF($AK191=0,"",INDEX('Part types'!$Y:$Y,$AK191)&amp;"")</f>
        <v/>
      </c>
      <c r="AK191" s="9" t="n">
        <f aca="false">IFERROR(MATCH($AD191,'Part types'!$E:$E,0),0)</f>
        <v>185</v>
      </c>
    </row>
    <row r="192" customFormat="false" ht="15" hidden="false" customHeight="false" outlineLevel="0" collapsed="false">
      <c r="A192" s="9" t="s">
        <v>1099</v>
      </c>
      <c r="B192" s="9" t="s">
        <v>1029</v>
      </c>
      <c r="C192" s="9" t="s">
        <v>1100</v>
      </c>
      <c r="D192" s="9" t="str">
        <f aca="false">C192&amp;" "&amp;INDEX('Part types'!$I:$I,$AK192)</f>
        <v>Tire Sealant 450 ml</v>
      </c>
      <c r="E192" s="9" t="s">
        <v>68</v>
      </c>
      <c r="F192" s="9" t="s">
        <v>956</v>
      </c>
      <c r="G192" s="10" t="n">
        <f aca="false">IF($AK192=0,"",INDEX('Part types'!$P:$P,$AK192))</f>
        <v>7</v>
      </c>
      <c r="H192" s="10" t="n">
        <f aca="false">IF($AK192=0,"",INDEX('Part types'!$Q:$Q,$AK192))</f>
        <v>7</v>
      </c>
      <c r="I192" s="10" t="n">
        <f aca="false">IF($AK192=0,"",INDEX('Part types'!$R:$R,$AK192))</f>
        <v>22</v>
      </c>
      <c r="J192" s="10" t="n">
        <f aca="false">IF($AK192=0,"",INDEX('Part types'!$S:$S,$AK192))</f>
        <v>0.5</v>
      </c>
      <c r="K192" s="11" t="s">
        <v>1031</v>
      </c>
      <c r="L192" s="11" t="s">
        <v>1101</v>
      </c>
      <c r="M192" s="11" t="str">
        <f aca="false">L192&amp;" "&amp;INDEX('Part types'!$J:$J,$AK192)</f>
        <v>معجون إصلاح الإطارات 450 مل</v>
      </c>
      <c r="N192" s="11" t="s">
        <v>72</v>
      </c>
      <c r="O192" s="11" t="s">
        <v>959</v>
      </c>
      <c r="P192" s="10" t="n">
        <f aca="false">G192</f>
        <v>7</v>
      </c>
      <c r="Q192" s="10" t="n">
        <f aca="false">H192</f>
        <v>7</v>
      </c>
      <c r="R192" s="10" t="n">
        <f aca="false">I192</f>
        <v>22</v>
      </c>
      <c r="S192" s="10" t="n">
        <f aca="false">J192</f>
        <v>0.5</v>
      </c>
      <c r="T192" s="12" t="s">
        <v>1033</v>
      </c>
      <c r="U192" s="12" t="s">
        <v>1102</v>
      </c>
      <c r="V192" s="9" t="str">
        <f aca="false">U192&amp;" "&amp;INDEX('Part types'!$K:$K,$AK192)</f>
        <v>轮胎密封剂 450毫升</v>
      </c>
      <c r="W192" s="12" t="s">
        <v>76</v>
      </c>
      <c r="X192" s="12" t="s">
        <v>962</v>
      </c>
      <c r="Y192" s="10" t="n">
        <f aca="false">G192</f>
        <v>7</v>
      </c>
      <c r="Z192" s="10" t="n">
        <f aca="false">H192</f>
        <v>7</v>
      </c>
      <c r="AA192" s="10" t="n">
        <f aca="false">I192</f>
        <v>22</v>
      </c>
      <c r="AB192" s="10" t="n">
        <f aca="false">J192</f>
        <v>0.5</v>
      </c>
      <c r="AC192" s="9" t="s">
        <v>1035</v>
      </c>
      <c r="AD192" s="9" t="s">
        <v>1103</v>
      </c>
      <c r="AE192" s="9" t="str">
        <f aca="false">IF($AK192=0,"",INDEX('Part types'!$T:$T,$AK192)&amp;"")</f>
        <v>All vehicles</v>
      </c>
      <c r="AF192" s="9" t="str">
        <f aca="false">IF($AK192=0,"",INDEX('Part types'!$U:$U,$AK192)&amp;"")</f>
        <v>Liquid / flammable; Pressurised gas</v>
      </c>
      <c r="AG192" s="9" t="str">
        <f aca="false">IF($AK192=0,"",INDEX('Part types'!$V:$V,$AK192)&amp;"")</f>
        <v>Estimate: item-specific</v>
      </c>
      <c r="AH192" s="9" t="str">
        <f aca="false">IF($AK192=0,"",INDEX('Part types'!$W:$W,$AK192)&amp;"")</f>
        <v/>
      </c>
      <c r="AI192" s="11" t="str">
        <f aca="false">IF($AK192=0,"",INDEX('Part types'!$X:$X,$AK192)&amp;"")</f>
        <v/>
      </c>
      <c r="AJ192" s="9" t="str">
        <f aca="false">IF($AK192=0,"",INDEX('Part types'!$Y:$Y,$AK192)&amp;"")</f>
        <v/>
      </c>
      <c r="AK192" s="9" t="n">
        <f aca="false">IFERROR(MATCH($AD192,'Part types'!$E:$E,0),0)</f>
        <v>186</v>
      </c>
    </row>
    <row r="193" customFormat="false" ht="15" hidden="false" customHeight="false" outlineLevel="0" collapsed="false">
      <c r="A193" s="9" t="s">
        <v>1104</v>
      </c>
      <c r="B193" s="9" t="s">
        <v>926</v>
      </c>
      <c r="C193" s="9" t="s">
        <v>1105</v>
      </c>
      <c r="D193" s="9" t="str">
        <f aca="false">C193&amp;" - "&amp;E193</f>
        <v>Automatic Transmission Assembly - Universal</v>
      </c>
      <c r="E193" s="9" t="s">
        <v>68</v>
      </c>
      <c r="F193" s="9" t="s">
        <v>926</v>
      </c>
      <c r="G193" s="10" t="n">
        <f aca="false">IF($AK193=0,"",INDEX('Part types'!$P:$P,$AK193))</f>
        <v>70</v>
      </c>
      <c r="H193" s="10" t="n">
        <f aca="false">IF($AK193=0,"",INDEX('Part types'!$Q:$Q,$AK193))</f>
        <v>50</v>
      </c>
      <c r="I193" s="10" t="n">
        <f aca="false">IF($AK193=0,"",INDEX('Part types'!$R:$R,$AK193))</f>
        <v>50</v>
      </c>
      <c r="J193" s="10" t="n">
        <f aca="false">IF($AK193=0,"",INDEX('Part types'!$S:$S,$AK193))</f>
        <v>70</v>
      </c>
      <c r="K193" s="11" t="s">
        <v>928</v>
      </c>
      <c r="L193" s="11" t="s">
        <v>1106</v>
      </c>
      <c r="M193" s="11" t="str">
        <f aca="false">L193&amp;" - "&amp;N193</f>
        <v>ناقل حركة أوتوماتيك كامل - عام</v>
      </c>
      <c r="N193" s="11" t="s">
        <v>72</v>
      </c>
      <c r="O193" s="11" t="s">
        <v>928</v>
      </c>
      <c r="P193" s="10" t="n">
        <f aca="false">G193</f>
        <v>70</v>
      </c>
      <c r="Q193" s="10" t="n">
        <f aca="false">H193</f>
        <v>50</v>
      </c>
      <c r="R193" s="10" t="n">
        <f aca="false">I193</f>
        <v>50</v>
      </c>
      <c r="S193" s="10" t="n">
        <f aca="false">J193</f>
        <v>70</v>
      </c>
      <c r="T193" s="12" t="s">
        <v>930</v>
      </c>
      <c r="U193" s="12" t="s">
        <v>1107</v>
      </c>
      <c r="V193" s="9" t="str">
        <f aca="false">U193&amp;" - "&amp;W193</f>
        <v>自动变速箱总成 - 通用</v>
      </c>
      <c r="W193" s="12" t="s">
        <v>76</v>
      </c>
      <c r="X193" s="12" t="s">
        <v>930</v>
      </c>
      <c r="Y193" s="10" t="n">
        <f aca="false">G193</f>
        <v>70</v>
      </c>
      <c r="Z193" s="10" t="n">
        <f aca="false">H193</f>
        <v>50</v>
      </c>
      <c r="AA193" s="10" t="n">
        <f aca="false">I193</f>
        <v>50</v>
      </c>
      <c r="AB193" s="10" t="n">
        <f aca="false">J193</f>
        <v>70</v>
      </c>
      <c r="AC193" s="9" t="s">
        <v>1108</v>
      </c>
      <c r="AD193" s="9" t="s">
        <v>1109</v>
      </c>
      <c r="AE193" s="9" t="str">
        <f aca="false">IF($AK193=0,"",INDEX('Part types'!$T:$T,$AK193)&amp;"")</f>
        <v>Combustion engine (petrol, diesel, hybrid, range extender)</v>
      </c>
      <c r="AF193" s="9" t="str">
        <f aca="false">IF($AK193=0,"",INDEX('Part types'!$U:$U,$AK193)&amp;"")</f>
        <v>Heavy (over 30 kg)</v>
      </c>
      <c r="AG193" s="9" t="str">
        <f aca="false">IF($AK193=0,"",INDEX('Part types'!$V:$V,$AK193)&amp;"")</f>
        <v>Estimate: item-specific</v>
      </c>
      <c r="AH193" s="9" t="str">
        <f aca="false">IF($AK193=0,"",INDEX('Part types'!$W:$W,$AK193)&amp;"")</f>
        <v/>
      </c>
      <c r="AI193" s="11" t="str">
        <f aca="false">IF($AK193=0,"",INDEX('Part types'!$X:$X,$AK193)&amp;"")</f>
        <v/>
      </c>
      <c r="AJ193" s="9" t="str">
        <f aca="false">IF($AK193=0,"",INDEX('Part types'!$Y:$Y,$AK193)&amp;"")</f>
        <v/>
      </c>
      <c r="AK193" s="9" t="n">
        <f aca="false">IFERROR(MATCH($AD193,'Part types'!$E:$E,0),0)</f>
        <v>187</v>
      </c>
    </row>
    <row r="194" customFormat="false" ht="15" hidden="false" customHeight="false" outlineLevel="0" collapsed="false">
      <c r="A194" s="9" t="s">
        <v>1110</v>
      </c>
      <c r="B194" s="9" t="s">
        <v>926</v>
      </c>
      <c r="C194" s="9" t="s">
        <v>1111</v>
      </c>
      <c r="D194" s="9" t="str">
        <f aca="false">C194&amp;" - "&amp;E194</f>
        <v>Manual Transmission Assembly - Universal</v>
      </c>
      <c r="E194" s="9" t="s">
        <v>68</v>
      </c>
      <c r="F194" s="9" t="s">
        <v>926</v>
      </c>
      <c r="G194" s="10" t="n">
        <f aca="false">IF($AK194=0,"",INDEX('Part types'!$P:$P,$AK194))</f>
        <v>60</v>
      </c>
      <c r="H194" s="10" t="n">
        <f aca="false">IF($AK194=0,"",INDEX('Part types'!$Q:$Q,$AK194))</f>
        <v>45</v>
      </c>
      <c r="I194" s="10" t="n">
        <f aca="false">IF($AK194=0,"",INDEX('Part types'!$R:$R,$AK194))</f>
        <v>45</v>
      </c>
      <c r="J194" s="10" t="n">
        <f aca="false">IF($AK194=0,"",INDEX('Part types'!$S:$S,$AK194))</f>
        <v>45</v>
      </c>
      <c r="K194" s="11" t="s">
        <v>928</v>
      </c>
      <c r="L194" s="11" t="s">
        <v>1112</v>
      </c>
      <c r="M194" s="11" t="str">
        <f aca="false">L194&amp;" - "&amp;N194</f>
        <v>ناقل حركة عادي كامل - عام</v>
      </c>
      <c r="N194" s="11" t="s">
        <v>72</v>
      </c>
      <c r="O194" s="11" t="s">
        <v>928</v>
      </c>
      <c r="P194" s="10" t="n">
        <f aca="false">G194</f>
        <v>60</v>
      </c>
      <c r="Q194" s="10" t="n">
        <f aca="false">H194</f>
        <v>45</v>
      </c>
      <c r="R194" s="10" t="n">
        <f aca="false">I194</f>
        <v>45</v>
      </c>
      <c r="S194" s="10" t="n">
        <f aca="false">J194</f>
        <v>45</v>
      </c>
      <c r="T194" s="12" t="s">
        <v>930</v>
      </c>
      <c r="U194" s="12" t="s">
        <v>1113</v>
      </c>
      <c r="V194" s="9" t="str">
        <f aca="false">U194&amp;" - "&amp;W194</f>
        <v>手动变速箱总成 - 通用</v>
      </c>
      <c r="W194" s="12" t="s">
        <v>76</v>
      </c>
      <c r="X194" s="12" t="s">
        <v>930</v>
      </c>
      <c r="Y194" s="10" t="n">
        <f aca="false">G194</f>
        <v>60</v>
      </c>
      <c r="Z194" s="10" t="n">
        <f aca="false">H194</f>
        <v>45</v>
      </c>
      <c r="AA194" s="10" t="n">
        <f aca="false">I194</f>
        <v>45</v>
      </c>
      <c r="AB194" s="10" t="n">
        <f aca="false">J194</f>
        <v>45</v>
      </c>
      <c r="AC194" s="9" t="s">
        <v>1108</v>
      </c>
      <c r="AD194" s="9" t="s">
        <v>1114</v>
      </c>
      <c r="AE194" s="9" t="str">
        <f aca="false">IF($AK194=0,"",INDEX('Part types'!$T:$T,$AK194)&amp;"")</f>
        <v>Combustion engine (petrol, diesel, hybrid, range extender)</v>
      </c>
      <c r="AF194" s="9" t="str">
        <f aca="false">IF($AK194=0,"",INDEX('Part types'!$U:$U,$AK194)&amp;"")</f>
        <v>Heavy (over 30 kg)</v>
      </c>
      <c r="AG194" s="9" t="str">
        <f aca="false">IF($AK194=0,"",INDEX('Part types'!$V:$V,$AK194)&amp;"")</f>
        <v>Estimate: item-specific</v>
      </c>
      <c r="AH194" s="9" t="str">
        <f aca="false">IF($AK194=0,"",INDEX('Part types'!$W:$W,$AK194)&amp;"")</f>
        <v/>
      </c>
      <c r="AI194" s="11" t="str">
        <f aca="false">IF($AK194=0,"",INDEX('Part types'!$X:$X,$AK194)&amp;"")</f>
        <v/>
      </c>
      <c r="AJ194" s="9" t="str">
        <f aca="false">IF($AK194=0,"",INDEX('Part types'!$Y:$Y,$AK194)&amp;"")</f>
        <v/>
      </c>
      <c r="AK194" s="9" t="n">
        <f aca="false">IFERROR(MATCH($AD194,'Part types'!$E:$E,0),0)</f>
        <v>188</v>
      </c>
    </row>
    <row r="195" customFormat="false" ht="15" hidden="false" customHeight="false" outlineLevel="0" collapsed="false">
      <c r="A195" s="9" t="s">
        <v>1115</v>
      </c>
      <c r="B195" s="9" t="s">
        <v>926</v>
      </c>
      <c r="C195" s="9" t="s">
        <v>1116</v>
      </c>
      <c r="D195" s="9" t="str">
        <f aca="false">C195&amp;" - "&amp;E195</f>
        <v>Transmission Mount - Universal</v>
      </c>
      <c r="E195" s="9" t="s">
        <v>68</v>
      </c>
      <c r="F195" s="9" t="s">
        <v>926</v>
      </c>
      <c r="G195" s="10" t="n">
        <f aca="false">IF($AK195=0,"",INDEX('Part types'!$P:$P,$AK195))</f>
        <v>30</v>
      </c>
      <c r="H195" s="10" t="n">
        <f aca="false">IF($AK195=0,"",INDEX('Part types'!$Q:$Q,$AK195))</f>
        <v>20</v>
      </c>
      <c r="I195" s="10" t="n">
        <f aca="false">IF($AK195=0,"",INDEX('Part types'!$R:$R,$AK195))</f>
        <v>15</v>
      </c>
      <c r="J195" s="10" t="n">
        <f aca="false">IF($AK195=0,"",INDEX('Part types'!$S:$S,$AK195))</f>
        <v>1.8</v>
      </c>
      <c r="K195" s="11" t="s">
        <v>928</v>
      </c>
      <c r="L195" s="11" t="s">
        <v>1117</v>
      </c>
      <c r="M195" s="11" t="str">
        <f aca="false">L195&amp;" - "&amp;N195</f>
        <v>قاعدة ناقل الحركة - عام</v>
      </c>
      <c r="N195" s="11" t="s">
        <v>72</v>
      </c>
      <c r="O195" s="11" t="s">
        <v>928</v>
      </c>
      <c r="P195" s="10" t="n">
        <f aca="false">G195</f>
        <v>30</v>
      </c>
      <c r="Q195" s="10" t="n">
        <f aca="false">H195</f>
        <v>20</v>
      </c>
      <c r="R195" s="10" t="n">
        <f aca="false">I195</f>
        <v>15</v>
      </c>
      <c r="S195" s="10" t="n">
        <f aca="false">J195</f>
        <v>1.8</v>
      </c>
      <c r="T195" s="12" t="s">
        <v>930</v>
      </c>
      <c r="U195" s="12" t="s">
        <v>1118</v>
      </c>
      <c r="V195" s="9" t="str">
        <f aca="false">U195&amp;" - "&amp;W195</f>
        <v>变速箱脚垫 - 通用</v>
      </c>
      <c r="W195" s="12" t="s">
        <v>76</v>
      </c>
      <c r="X195" s="12" t="s">
        <v>930</v>
      </c>
      <c r="Y195" s="10" t="n">
        <f aca="false">G195</f>
        <v>30</v>
      </c>
      <c r="Z195" s="10" t="n">
        <f aca="false">H195</f>
        <v>20</v>
      </c>
      <c r="AA195" s="10" t="n">
        <f aca="false">I195</f>
        <v>15</v>
      </c>
      <c r="AB195" s="10" t="n">
        <f aca="false">J195</f>
        <v>1.8</v>
      </c>
      <c r="AC195" s="9" t="s">
        <v>1108</v>
      </c>
      <c r="AD195" s="9" t="s">
        <v>1119</v>
      </c>
      <c r="AE195" s="9" t="str">
        <f aca="false">IF($AK195=0,"",INDEX('Part types'!$T:$T,$AK195)&amp;"")</f>
        <v>Combustion engine (petrol, diesel, hybrid, range extender)</v>
      </c>
      <c r="AF195" s="9" t="str">
        <f aca="false">IF($AK195=0,"",INDEX('Part types'!$U:$U,$AK195)&amp;"")</f>
        <v/>
      </c>
      <c r="AG195" s="9" t="str">
        <f aca="false">IF($AK195=0,"",INDEX('Part types'!$V:$V,$AK195)&amp;"")</f>
        <v>Estimate: size class M2</v>
      </c>
      <c r="AH195" s="9" t="str">
        <f aca="false">IF($AK195=0,"",INDEX('Part types'!$W:$W,$AK195)&amp;"")</f>
        <v/>
      </c>
      <c r="AI195" s="11" t="str">
        <f aca="false">IF($AK195=0,"",INDEX('Part types'!$X:$X,$AK195)&amp;"")</f>
        <v/>
      </c>
      <c r="AJ195" s="9" t="str">
        <f aca="false">IF($AK195=0,"",INDEX('Part types'!$Y:$Y,$AK195)&amp;"")</f>
        <v>悬置</v>
      </c>
      <c r="AK195" s="9" t="n">
        <f aca="false">IFERROR(MATCH($AD195,'Part types'!$E:$E,0),0)</f>
        <v>189</v>
      </c>
    </row>
    <row r="196" customFormat="false" ht="15" hidden="false" customHeight="false" outlineLevel="0" collapsed="false">
      <c r="A196" s="9" t="s">
        <v>1120</v>
      </c>
      <c r="B196" s="9" t="s">
        <v>926</v>
      </c>
      <c r="C196" s="9" t="s">
        <v>1121</v>
      </c>
      <c r="D196" s="9" t="str">
        <f aca="false">C196&amp;" - "&amp;E196</f>
        <v>Transmission Oil Pan - Universal</v>
      </c>
      <c r="E196" s="9" t="s">
        <v>68</v>
      </c>
      <c r="F196" s="9" t="s">
        <v>926</v>
      </c>
      <c r="G196" s="10" t="n">
        <f aca="false">IF($AK196=0,"",INDEX('Part types'!$P:$P,$AK196))</f>
        <v>40</v>
      </c>
      <c r="H196" s="10" t="n">
        <f aca="false">IF($AK196=0,"",INDEX('Part types'!$Q:$Q,$AK196))</f>
        <v>25</v>
      </c>
      <c r="I196" s="10" t="n">
        <f aca="false">IF($AK196=0,"",INDEX('Part types'!$R:$R,$AK196))</f>
        <v>15</v>
      </c>
      <c r="J196" s="10" t="n">
        <f aca="false">IF($AK196=0,"",INDEX('Part types'!$S:$S,$AK196))</f>
        <v>3</v>
      </c>
      <c r="K196" s="11" t="s">
        <v>928</v>
      </c>
      <c r="L196" s="11" t="s">
        <v>1122</v>
      </c>
      <c r="M196" s="11" t="str">
        <f aca="false">L196&amp;" - "&amp;N196</f>
        <v>حوض زيت ناقل الحركة - عام</v>
      </c>
      <c r="N196" s="11" t="s">
        <v>72</v>
      </c>
      <c r="O196" s="11" t="s">
        <v>928</v>
      </c>
      <c r="P196" s="10" t="n">
        <f aca="false">G196</f>
        <v>40</v>
      </c>
      <c r="Q196" s="10" t="n">
        <f aca="false">H196</f>
        <v>25</v>
      </c>
      <c r="R196" s="10" t="n">
        <f aca="false">I196</f>
        <v>15</v>
      </c>
      <c r="S196" s="10" t="n">
        <f aca="false">J196</f>
        <v>3</v>
      </c>
      <c r="T196" s="12" t="s">
        <v>930</v>
      </c>
      <c r="U196" s="12" t="s">
        <v>1123</v>
      </c>
      <c r="V196" s="9" t="str">
        <f aca="false">U196&amp;" - "&amp;W196</f>
        <v>变速箱油底壳 - 通用</v>
      </c>
      <c r="W196" s="12" t="s">
        <v>76</v>
      </c>
      <c r="X196" s="12" t="s">
        <v>930</v>
      </c>
      <c r="Y196" s="10" t="n">
        <f aca="false">G196</f>
        <v>40</v>
      </c>
      <c r="Z196" s="10" t="n">
        <f aca="false">H196</f>
        <v>25</v>
      </c>
      <c r="AA196" s="10" t="n">
        <f aca="false">I196</f>
        <v>15</v>
      </c>
      <c r="AB196" s="10" t="n">
        <f aca="false">J196</f>
        <v>3</v>
      </c>
      <c r="AC196" s="9" t="s">
        <v>1108</v>
      </c>
      <c r="AD196" s="9" t="s">
        <v>1124</v>
      </c>
      <c r="AE196" s="9" t="str">
        <f aca="false">IF($AK196=0,"",INDEX('Part types'!$T:$T,$AK196)&amp;"")</f>
        <v>Combustion engine (petrol, diesel, hybrid, range extender)</v>
      </c>
      <c r="AF196" s="9" t="str">
        <f aca="false">IF($AK196=0,"",INDEX('Part types'!$U:$U,$AK196)&amp;"")</f>
        <v/>
      </c>
      <c r="AG196" s="9" t="str">
        <f aca="false">IF($AK196=0,"",INDEX('Part types'!$V:$V,$AK196)&amp;"")</f>
        <v>Estimate: size class L</v>
      </c>
      <c r="AH196" s="9" t="str">
        <f aca="false">IF($AK196=0,"",INDEX('Part types'!$W:$W,$AK196)&amp;"")</f>
        <v/>
      </c>
      <c r="AI196" s="11" t="str">
        <f aca="false">IF($AK196=0,"",INDEX('Part types'!$X:$X,$AK196)&amp;"")</f>
        <v/>
      </c>
      <c r="AJ196" s="9" t="str">
        <f aca="false">IF($AK196=0,"",INDEX('Part types'!$Y:$Y,$AK196)&amp;"")</f>
        <v/>
      </c>
      <c r="AK196" s="9" t="n">
        <f aca="false">IFERROR(MATCH($AD196,'Part types'!$E:$E,0),0)</f>
        <v>190</v>
      </c>
    </row>
    <row r="197" customFormat="false" ht="15" hidden="false" customHeight="false" outlineLevel="0" collapsed="false">
      <c r="A197" s="9" t="s">
        <v>1125</v>
      </c>
      <c r="B197" s="9" t="s">
        <v>926</v>
      </c>
      <c r="C197" s="9" t="s">
        <v>1126</v>
      </c>
      <c r="D197" s="9" t="str">
        <f aca="false">C197&amp;" - "&amp;E197</f>
        <v>Transmission Pan Gasket - Universal</v>
      </c>
      <c r="E197" s="9" t="s">
        <v>68</v>
      </c>
      <c r="F197" s="9" t="s">
        <v>926</v>
      </c>
      <c r="G197" s="10" t="n">
        <f aca="false">IF($AK197=0,"",INDEX('Part types'!$P:$P,$AK197))</f>
        <v>15</v>
      </c>
      <c r="H197" s="10" t="n">
        <f aca="false">IF($AK197=0,"",INDEX('Part types'!$Q:$Q,$AK197))</f>
        <v>10</v>
      </c>
      <c r="I197" s="10" t="n">
        <f aca="false">IF($AK197=0,"",INDEX('Part types'!$R:$R,$AK197))</f>
        <v>8</v>
      </c>
      <c r="J197" s="10" t="n">
        <f aca="false">IF($AK197=0,"",INDEX('Part types'!$S:$S,$AK197))</f>
        <v>0.3</v>
      </c>
      <c r="K197" s="11" t="s">
        <v>928</v>
      </c>
      <c r="L197" s="11" t="s">
        <v>1127</v>
      </c>
      <c r="M197" s="11" t="str">
        <f aca="false">L197&amp;" - "&amp;N197</f>
        <v>جوان حوض ناقل الحركة - عام</v>
      </c>
      <c r="N197" s="11" t="s">
        <v>72</v>
      </c>
      <c r="O197" s="11" t="s">
        <v>928</v>
      </c>
      <c r="P197" s="10" t="n">
        <f aca="false">G197</f>
        <v>15</v>
      </c>
      <c r="Q197" s="10" t="n">
        <f aca="false">H197</f>
        <v>10</v>
      </c>
      <c r="R197" s="10" t="n">
        <f aca="false">I197</f>
        <v>8</v>
      </c>
      <c r="S197" s="10" t="n">
        <f aca="false">J197</f>
        <v>0.3</v>
      </c>
      <c r="T197" s="12" t="s">
        <v>930</v>
      </c>
      <c r="U197" s="12" t="s">
        <v>1128</v>
      </c>
      <c r="V197" s="9" t="str">
        <f aca="false">U197&amp;" - "&amp;W197</f>
        <v>变速箱油底壳垫 - 通用</v>
      </c>
      <c r="W197" s="12" t="s">
        <v>76</v>
      </c>
      <c r="X197" s="12" t="s">
        <v>930</v>
      </c>
      <c r="Y197" s="10" t="n">
        <f aca="false">G197</f>
        <v>15</v>
      </c>
      <c r="Z197" s="10" t="n">
        <f aca="false">H197</f>
        <v>10</v>
      </c>
      <c r="AA197" s="10" t="n">
        <f aca="false">I197</f>
        <v>8</v>
      </c>
      <c r="AB197" s="10" t="n">
        <f aca="false">J197</f>
        <v>0.3</v>
      </c>
      <c r="AC197" s="9" t="s">
        <v>1108</v>
      </c>
      <c r="AD197" s="9" t="s">
        <v>1129</v>
      </c>
      <c r="AE197" s="9" t="str">
        <f aca="false">IF($AK197=0,"",INDEX('Part types'!$T:$T,$AK197)&amp;"")</f>
        <v>Combustion engine (petrol, diesel, hybrid, range extender)</v>
      </c>
      <c r="AF197" s="9" t="str">
        <f aca="false">IF($AK197=0,"",INDEX('Part types'!$U:$U,$AK197)&amp;"")</f>
        <v/>
      </c>
      <c r="AG197" s="9" t="str">
        <f aca="false">IF($AK197=0,"",INDEX('Part types'!$V:$V,$AK197)&amp;"")</f>
        <v>Estimate: size class S</v>
      </c>
      <c r="AH197" s="9" t="str">
        <f aca="false">IF($AK197=0,"",INDEX('Part types'!$W:$W,$AK197)&amp;"")</f>
        <v/>
      </c>
      <c r="AI197" s="11" t="str">
        <f aca="false">IF($AK197=0,"",INDEX('Part types'!$X:$X,$AK197)&amp;"")</f>
        <v/>
      </c>
      <c r="AJ197" s="9" t="str">
        <f aca="false">IF($AK197=0,"",INDEX('Part types'!$Y:$Y,$AK197)&amp;"")</f>
        <v/>
      </c>
      <c r="AK197" s="9" t="n">
        <f aca="false">IFERROR(MATCH($AD197,'Part types'!$E:$E,0),0)</f>
        <v>191</v>
      </c>
    </row>
    <row r="198" customFormat="false" ht="15" hidden="false" customHeight="false" outlineLevel="0" collapsed="false">
      <c r="A198" s="9" t="s">
        <v>1130</v>
      </c>
      <c r="B198" s="9" t="s">
        <v>926</v>
      </c>
      <c r="C198" s="9" t="s">
        <v>1131</v>
      </c>
      <c r="D198" s="9" t="str">
        <f aca="false">C198&amp;" - "&amp;E198</f>
        <v>Transmission Valve Body - Universal</v>
      </c>
      <c r="E198" s="9" t="s">
        <v>68</v>
      </c>
      <c r="F198" s="9" t="s">
        <v>926</v>
      </c>
      <c r="G198" s="10" t="n">
        <f aca="false">IF($AK198=0,"",INDEX('Part types'!$P:$P,$AK198))</f>
        <v>35</v>
      </c>
      <c r="H198" s="10" t="n">
        <f aca="false">IF($AK198=0,"",INDEX('Part types'!$Q:$Q,$AK198))</f>
        <v>25</v>
      </c>
      <c r="I198" s="10" t="n">
        <f aca="false">IF($AK198=0,"",INDEX('Part types'!$R:$R,$AK198))</f>
        <v>12</v>
      </c>
      <c r="J198" s="10" t="n">
        <f aca="false">IF($AK198=0,"",INDEX('Part types'!$S:$S,$AK198))</f>
        <v>6</v>
      </c>
      <c r="K198" s="11" t="s">
        <v>928</v>
      </c>
      <c r="L198" s="11" t="s">
        <v>1132</v>
      </c>
      <c r="M198" s="11" t="str">
        <f aca="false">L198&amp;" - "&amp;N198</f>
        <v>وحدة الصمامات - عام</v>
      </c>
      <c r="N198" s="11" t="s">
        <v>72</v>
      </c>
      <c r="O198" s="11" t="s">
        <v>928</v>
      </c>
      <c r="P198" s="10" t="n">
        <f aca="false">G198</f>
        <v>35</v>
      </c>
      <c r="Q198" s="10" t="n">
        <f aca="false">H198</f>
        <v>25</v>
      </c>
      <c r="R198" s="10" t="n">
        <f aca="false">I198</f>
        <v>12</v>
      </c>
      <c r="S198" s="10" t="n">
        <f aca="false">J198</f>
        <v>6</v>
      </c>
      <c r="T198" s="12" t="s">
        <v>930</v>
      </c>
      <c r="U198" s="12" t="s">
        <v>1133</v>
      </c>
      <c r="V198" s="9" t="str">
        <f aca="false">U198&amp;" - "&amp;W198</f>
        <v>变速箱阀体 - 通用</v>
      </c>
      <c r="W198" s="12" t="s">
        <v>76</v>
      </c>
      <c r="X198" s="12" t="s">
        <v>930</v>
      </c>
      <c r="Y198" s="10" t="n">
        <f aca="false">G198</f>
        <v>35</v>
      </c>
      <c r="Z198" s="10" t="n">
        <f aca="false">H198</f>
        <v>25</v>
      </c>
      <c r="AA198" s="10" t="n">
        <f aca="false">I198</f>
        <v>12</v>
      </c>
      <c r="AB198" s="10" t="n">
        <f aca="false">J198</f>
        <v>6</v>
      </c>
      <c r="AC198" s="9" t="s">
        <v>1108</v>
      </c>
      <c r="AD198" s="9" t="s">
        <v>1134</v>
      </c>
      <c r="AE198" s="9" t="str">
        <f aca="false">IF($AK198=0,"",INDEX('Part types'!$T:$T,$AK198)&amp;"")</f>
        <v>Combustion engine (petrol, diesel, hybrid, range extender)</v>
      </c>
      <c r="AF198" s="9" t="str">
        <f aca="false">IF($AK198=0,"",INDEX('Part types'!$U:$U,$AK198)&amp;"")</f>
        <v/>
      </c>
      <c r="AG198" s="9" t="str">
        <f aca="false">IF($AK198=0,"",INDEX('Part types'!$V:$V,$AK198)&amp;"")</f>
        <v>Estimate: item-specific</v>
      </c>
      <c r="AH198" s="9" t="str">
        <f aca="false">IF($AK198=0,"",INDEX('Part types'!$W:$W,$AK198)&amp;"")</f>
        <v/>
      </c>
      <c r="AI198" s="11" t="str">
        <f aca="false">IF($AK198=0,"",INDEX('Part types'!$X:$X,$AK198)&amp;"")</f>
        <v>فالف بودي</v>
      </c>
      <c r="AJ198" s="9" t="str">
        <f aca="false">IF($AK198=0,"",INDEX('Part types'!$Y:$Y,$AK198)&amp;"")</f>
        <v/>
      </c>
      <c r="AK198" s="9" t="n">
        <f aca="false">IFERROR(MATCH($AD198,'Part types'!$E:$E,0),0)</f>
        <v>192</v>
      </c>
    </row>
    <row r="199" customFormat="false" ht="15" hidden="false" customHeight="false" outlineLevel="0" collapsed="false">
      <c r="A199" s="9" t="s">
        <v>1135</v>
      </c>
      <c r="B199" s="9" t="s">
        <v>926</v>
      </c>
      <c r="C199" s="9" t="s">
        <v>1136</v>
      </c>
      <c r="D199" s="9" t="str">
        <f aca="false">C199&amp;" - "&amp;E199</f>
        <v>Transmission Shift Solenoid - Universal</v>
      </c>
      <c r="E199" s="9" t="s">
        <v>68</v>
      </c>
      <c r="F199" s="9" t="s">
        <v>926</v>
      </c>
      <c r="G199" s="10" t="n">
        <f aca="false">IF($AK199=0,"",INDEX('Part types'!$P:$P,$AK199))</f>
        <v>10</v>
      </c>
      <c r="H199" s="10" t="n">
        <f aca="false">IF($AK199=0,"",INDEX('Part types'!$Q:$Q,$AK199))</f>
        <v>8</v>
      </c>
      <c r="I199" s="10" t="n">
        <f aca="false">IF($AK199=0,"",INDEX('Part types'!$R:$R,$AK199))</f>
        <v>6</v>
      </c>
      <c r="J199" s="10" t="n">
        <f aca="false">IF($AK199=0,"",INDEX('Part types'!$S:$S,$AK199))</f>
        <v>0.1</v>
      </c>
      <c r="K199" s="11" t="s">
        <v>928</v>
      </c>
      <c r="L199" s="11" t="s">
        <v>1137</v>
      </c>
      <c r="M199" s="11" t="str">
        <f aca="false">L199&amp;" - "&amp;N199</f>
        <v>سولينويد تغيير السرعات - عام</v>
      </c>
      <c r="N199" s="11" t="s">
        <v>72</v>
      </c>
      <c r="O199" s="11" t="s">
        <v>928</v>
      </c>
      <c r="P199" s="10" t="n">
        <f aca="false">G199</f>
        <v>10</v>
      </c>
      <c r="Q199" s="10" t="n">
        <f aca="false">H199</f>
        <v>8</v>
      </c>
      <c r="R199" s="10" t="n">
        <f aca="false">I199</f>
        <v>6</v>
      </c>
      <c r="S199" s="10" t="n">
        <f aca="false">J199</f>
        <v>0.1</v>
      </c>
      <c r="T199" s="12" t="s">
        <v>930</v>
      </c>
      <c r="U199" s="12" t="s">
        <v>1138</v>
      </c>
      <c r="V199" s="9" t="str">
        <f aca="false">U199&amp;" - "&amp;W199</f>
        <v>变速箱换挡电磁阀 - 通用</v>
      </c>
      <c r="W199" s="12" t="s">
        <v>76</v>
      </c>
      <c r="X199" s="12" t="s">
        <v>930</v>
      </c>
      <c r="Y199" s="10" t="n">
        <f aca="false">G199</f>
        <v>10</v>
      </c>
      <c r="Z199" s="10" t="n">
        <f aca="false">H199</f>
        <v>8</v>
      </c>
      <c r="AA199" s="10" t="n">
        <f aca="false">I199</f>
        <v>6</v>
      </c>
      <c r="AB199" s="10" t="n">
        <f aca="false">J199</f>
        <v>0.1</v>
      </c>
      <c r="AC199" s="9" t="s">
        <v>1108</v>
      </c>
      <c r="AD199" s="9" t="s">
        <v>1139</v>
      </c>
      <c r="AE199" s="9" t="str">
        <f aca="false">IF($AK199=0,"",INDEX('Part types'!$T:$T,$AK199)&amp;"")</f>
        <v>Combustion engine (petrol, diesel, hybrid, range extender)</v>
      </c>
      <c r="AF199" s="9" t="str">
        <f aca="false">IF($AK199=0,"",INDEX('Part types'!$U:$U,$AK199)&amp;"")</f>
        <v/>
      </c>
      <c r="AG199" s="9" t="str">
        <f aca="false">IF($AK199=0,"",INDEX('Part types'!$V:$V,$AK199)&amp;"")</f>
        <v>Estimate: size class XS</v>
      </c>
      <c r="AH199" s="9" t="str">
        <f aca="false">IF($AK199=0,"",INDEX('Part types'!$W:$W,$AK199)&amp;"")</f>
        <v/>
      </c>
      <c r="AI199" s="11" t="str">
        <f aca="false">IF($AK199=0,"",INDEX('Part types'!$X:$X,$AK199)&amp;"")</f>
        <v/>
      </c>
      <c r="AJ199" s="9" t="str">
        <f aca="false">IF($AK199=0,"",INDEX('Part types'!$Y:$Y,$AK199)&amp;"")</f>
        <v/>
      </c>
      <c r="AK199" s="9" t="n">
        <f aca="false">IFERROR(MATCH($AD199,'Part types'!$E:$E,0),0)</f>
        <v>193</v>
      </c>
    </row>
    <row r="200" customFormat="false" ht="15" hidden="false" customHeight="false" outlineLevel="0" collapsed="false">
      <c r="A200" s="9" t="s">
        <v>1140</v>
      </c>
      <c r="B200" s="9" t="s">
        <v>926</v>
      </c>
      <c r="C200" s="9" t="s">
        <v>1141</v>
      </c>
      <c r="D200" s="9" t="str">
        <f aca="false">C200&amp;" - "&amp;E200</f>
        <v>Mechatronic Unit - Universal</v>
      </c>
      <c r="E200" s="9" t="s">
        <v>68</v>
      </c>
      <c r="F200" s="9" t="s">
        <v>926</v>
      </c>
      <c r="G200" s="10" t="n">
        <f aca="false">IF($AK200=0,"",INDEX('Part types'!$P:$P,$AK200))</f>
        <v>30</v>
      </c>
      <c r="H200" s="10" t="n">
        <f aca="false">IF($AK200=0,"",INDEX('Part types'!$Q:$Q,$AK200))</f>
        <v>20</v>
      </c>
      <c r="I200" s="10" t="n">
        <f aca="false">IF($AK200=0,"",INDEX('Part types'!$R:$R,$AK200))</f>
        <v>15</v>
      </c>
      <c r="J200" s="10" t="n">
        <f aca="false">IF($AK200=0,"",INDEX('Part types'!$S:$S,$AK200))</f>
        <v>1.8</v>
      </c>
      <c r="K200" s="11" t="s">
        <v>928</v>
      </c>
      <c r="L200" s="11" t="s">
        <v>1142</v>
      </c>
      <c r="M200" s="11" t="str">
        <f aca="false">L200&amp;" - "&amp;N200</f>
        <v>وحدة الميكاترونيك - عام</v>
      </c>
      <c r="N200" s="11" t="s">
        <v>72</v>
      </c>
      <c r="O200" s="11" t="s">
        <v>928</v>
      </c>
      <c r="P200" s="10" t="n">
        <f aca="false">G200</f>
        <v>30</v>
      </c>
      <c r="Q200" s="10" t="n">
        <f aca="false">H200</f>
        <v>20</v>
      </c>
      <c r="R200" s="10" t="n">
        <f aca="false">I200</f>
        <v>15</v>
      </c>
      <c r="S200" s="10" t="n">
        <f aca="false">J200</f>
        <v>1.8</v>
      </c>
      <c r="T200" s="12" t="s">
        <v>930</v>
      </c>
      <c r="U200" s="12" t="s">
        <v>1143</v>
      </c>
      <c r="V200" s="9" t="str">
        <f aca="false">U200&amp;" - "&amp;W200</f>
        <v>机电单元 - 通用</v>
      </c>
      <c r="W200" s="12" t="s">
        <v>76</v>
      </c>
      <c r="X200" s="12" t="s">
        <v>930</v>
      </c>
      <c r="Y200" s="10" t="n">
        <f aca="false">G200</f>
        <v>30</v>
      </c>
      <c r="Z200" s="10" t="n">
        <f aca="false">H200</f>
        <v>20</v>
      </c>
      <c r="AA200" s="10" t="n">
        <f aca="false">I200</f>
        <v>15</v>
      </c>
      <c r="AB200" s="10" t="n">
        <f aca="false">J200</f>
        <v>1.8</v>
      </c>
      <c r="AC200" s="9" t="s">
        <v>1108</v>
      </c>
      <c r="AD200" s="9" t="s">
        <v>1144</v>
      </c>
      <c r="AE200" s="9" t="str">
        <f aca="false">IF($AK200=0,"",INDEX('Part types'!$T:$T,$AK200)&amp;"")</f>
        <v>Combustion engine (petrol, diesel, hybrid, range extender)</v>
      </c>
      <c r="AF200" s="9" t="str">
        <f aca="false">IF($AK200=0,"",INDEX('Part types'!$U:$U,$AK200)&amp;"")</f>
        <v/>
      </c>
      <c r="AG200" s="9" t="str">
        <f aca="false">IF($AK200=0,"",INDEX('Part types'!$V:$V,$AK200)&amp;"")</f>
        <v>Estimate: size class M2</v>
      </c>
      <c r="AH200" s="9" t="str">
        <f aca="false">IF($AK200=0,"",INDEX('Part types'!$W:$W,$AK200)&amp;"")</f>
        <v>DCT</v>
      </c>
      <c r="AI200" s="11" t="str">
        <f aca="false">IF($AK200=0,"",INDEX('Part types'!$X:$X,$AK200)&amp;"")</f>
        <v>DCT</v>
      </c>
      <c r="AJ200" s="9" t="str">
        <f aca="false">IF($AK200=0,"",INDEX('Part types'!$Y:$Y,$AK200)&amp;"")</f>
        <v>双离合变速箱</v>
      </c>
      <c r="AK200" s="9" t="n">
        <f aca="false">IFERROR(MATCH($AD200,'Part types'!$E:$E,0),0)</f>
        <v>194</v>
      </c>
    </row>
    <row r="201" customFormat="false" ht="15" hidden="false" customHeight="false" outlineLevel="0" collapsed="false">
      <c r="A201" s="9" t="s">
        <v>1145</v>
      </c>
      <c r="B201" s="9" t="s">
        <v>926</v>
      </c>
      <c r="C201" s="9" t="s">
        <v>1146</v>
      </c>
      <c r="D201" s="9" t="str">
        <f aca="false">C201&amp;" - "&amp;E201</f>
        <v>CVT Belt - Universal</v>
      </c>
      <c r="E201" s="9" t="s">
        <v>68</v>
      </c>
      <c r="F201" s="9" t="s">
        <v>926</v>
      </c>
      <c r="G201" s="10" t="n">
        <f aca="false">IF($AK201=0,"",INDEX('Part types'!$P:$P,$AK201))</f>
        <v>25</v>
      </c>
      <c r="H201" s="10" t="n">
        <f aca="false">IF($AK201=0,"",INDEX('Part types'!$Q:$Q,$AK201))</f>
        <v>15</v>
      </c>
      <c r="I201" s="10" t="n">
        <f aca="false">IF($AK201=0,"",INDEX('Part types'!$R:$R,$AK201))</f>
        <v>10</v>
      </c>
      <c r="J201" s="10" t="n">
        <f aca="false">IF($AK201=0,"",INDEX('Part types'!$S:$S,$AK201))</f>
        <v>0.9</v>
      </c>
      <c r="K201" s="11" t="s">
        <v>928</v>
      </c>
      <c r="L201" s="11" t="s">
        <v>1147</v>
      </c>
      <c r="M201" s="11" t="str">
        <f aca="false">L201&amp;" - "&amp;N201</f>
        <v>سير ناقل CVT - عام</v>
      </c>
      <c r="N201" s="11" t="s">
        <v>72</v>
      </c>
      <c r="O201" s="11" t="s">
        <v>928</v>
      </c>
      <c r="P201" s="10" t="n">
        <f aca="false">G201</f>
        <v>25</v>
      </c>
      <c r="Q201" s="10" t="n">
        <f aca="false">H201</f>
        <v>15</v>
      </c>
      <c r="R201" s="10" t="n">
        <f aca="false">I201</f>
        <v>10</v>
      </c>
      <c r="S201" s="10" t="n">
        <f aca="false">J201</f>
        <v>0.9</v>
      </c>
      <c r="T201" s="12" t="s">
        <v>930</v>
      </c>
      <c r="U201" s="9" t="s">
        <v>1148</v>
      </c>
      <c r="V201" s="9" t="str">
        <f aca="false">U201&amp;" - "&amp;W201</f>
        <v>CVT钢带 - 通用</v>
      </c>
      <c r="W201" s="12" t="s">
        <v>76</v>
      </c>
      <c r="X201" s="12" t="s">
        <v>930</v>
      </c>
      <c r="Y201" s="10" t="n">
        <f aca="false">G201</f>
        <v>25</v>
      </c>
      <c r="Z201" s="10" t="n">
        <f aca="false">H201</f>
        <v>15</v>
      </c>
      <c r="AA201" s="10" t="n">
        <f aca="false">I201</f>
        <v>10</v>
      </c>
      <c r="AB201" s="10" t="n">
        <f aca="false">J201</f>
        <v>0.9</v>
      </c>
      <c r="AC201" s="9" t="s">
        <v>1108</v>
      </c>
      <c r="AD201" s="9" t="s">
        <v>1149</v>
      </c>
      <c r="AE201" s="9" t="str">
        <f aca="false">IF($AK201=0,"",INDEX('Part types'!$T:$T,$AK201)&amp;"")</f>
        <v>Combustion engine (petrol, diesel, hybrid, range extender)</v>
      </c>
      <c r="AF201" s="9" t="str">
        <f aca="false">IF($AK201=0,"",INDEX('Part types'!$U:$U,$AK201)&amp;"")</f>
        <v/>
      </c>
      <c r="AG201" s="9" t="str">
        <f aca="false">IF($AK201=0,"",INDEX('Part types'!$V:$V,$AK201)&amp;"")</f>
        <v>Estimate: size class M</v>
      </c>
      <c r="AH201" s="9" t="str">
        <f aca="false">IF($AK201=0,"",INDEX('Part types'!$W:$W,$AK201)&amp;"")</f>
        <v>Chain</v>
      </c>
      <c r="AI201" s="11" t="str">
        <f aca="false">IF($AK201=0,"",INDEX('Part types'!$X:$X,$AK201)&amp;"")</f>
        <v>جنزير</v>
      </c>
      <c r="AJ201" s="9" t="str">
        <f aca="false">IF($AK201=0,"",INDEX('Part types'!$Y:$Y,$AK201)&amp;"")</f>
        <v/>
      </c>
      <c r="AK201" s="9" t="n">
        <f aca="false">IFERROR(MATCH($AD201,'Part types'!$E:$E,0),0)</f>
        <v>195</v>
      </c>
    </row>
    <row r="202" customFormat="false" ht="15" hidden="false" customHeight="false" outlineLevel="0" collapsed="false">
      <c r="A202" s="9" t="s">
        <v>1150</v>
      </c>
      <c r="B202" s="9" t="s">
        <v>926</v>
      </c>
      <c r="C202" s="9" t="s">
        <v>1151</v>
      </c>
      <c r="D202" s="9" t="str">
        <f aca="false">C202&amp;" - "&amp;E202</f>
        <v>CVT Pulley Set - Universal</v>
      </c>
      <c r="E202" s="9" t="s">
        <v>68</v>
      </c>
      <c r="F202" s="9" t="s">
        <v>926</v>
      </c>
      <c r="G202" s="10" t="n">
        <f aca="false">IF($AK202=0,"",INDEX('Part types'!$P:$P,$AK202))</f>
        <v>30</v>
      </c>
      <c r="H202" s="10" t="n">
        <f aca="false">IF($AK202=0,"",INDEX('Part types'!$Q:$Q,$AK202))</f>
        <v>25</v>
      </c>
      <c r="I202" s="10" t="n">
        <f aca="false">IF($AK202=0,"",INDEX('Part types'!$R:$R,$AK202))</f>
        <v>20</v>
      </c>
      <c r="J202" s="10" t="n">
        <f aca="false">IF($AK202=0,"",INDEX('Part types'!$S:$S,$AK202))</f>
        <v>10</v>
      </c>
      <c r="K202" s="11" t="s">
        <v>928</v>
      </c>
      <c r="L202" s="11" t="s">
        <v>1152</v>
      </c>
      <c r="M202" s="11" t="str">
        <f aca="false">L202&amp;" - "&amp;N202</f>
        <v>طقم بكرات CVT - عام</v>
      </c>
      <c r="N202" s="11" t="s">
        <v>72</v>
      </c>
      <c r="O202" s="11" t="s">
        <v>928</v>
      </c>
      <c r="P202" s="10" t="n">
        <f aca="false">G202</f>
        <v>30</v>
      </c>
      <c r="Q202" s="10" t="n">
        <f aca="false">H202</f>
        <v>25</v>
      </c>
      <c r="R202" s="10" t="n">
        <f aca="false">I202</f>
        <v>20</v>
      </c>
      <c r="S202" s="10" t="n">
        <f aca="false">J202</f>
        <v>10</v>
      </c>
      <c r="T202" s="12" t="s">
        <v>930</v>
      </c>
      <c r="U202" s="9" t="s">
        <v>1153</v>
      </c>
      <c r="V202" s="9" t="str">
        <f aca="false">U202&amp;" - "&amp;W202</f>
        <v>CVT锥轮套装 - 通用</v>
      </c>
      <c r="W202" s="12" t="s">
        <v>76</v>
      </c>
      <c r="X202" s="12" t="s">
        <v>930</v>
      </c>
      <c r="Y202" s="10" t="n">
        <f aca="false">G202</f>
        <v>30</v>
      </c>
      <c r="Z202" s="10" t="n">
        <f aca="false">H202</f>
        <v>25</v>
      </c>
      <c r="AA202" s="10" t="n">
        <f aca="false">I202</f>
        <v>20</v>
      </c>
      <c r="AB202" s="10" t="n">
        <f aca="false">J202</f>
        <v>10</v>
      </c>
      <c r="AC202" s="9" t="s">
        <v>1108</v>
      </c>
      <c r="AD202" s="9" t="s">
        <v>1154</v>
      </c>
      <c r="AE202" s="9" t="str">
        <f aca="false">IF($AK202=0,"",INDEX('Part types'!$T:$T,$AK202)&amp;"")</f>
        <v>Combustion engine (petrol, diesel, hybrid, range extender)</v>
      </c>
      <c r="AF202" s="9" t="str">
        <f aca="false">IF($AK202=0,"",INDEX('Part types'!$U:$U,$AK202)&amp;"")</f>
        <v/>
      </c>
      <c r="AG202" s="9" t="str">
        <f aca="false">IF($AK202=0,"",INDEX('Part types'!$V:$V,$AK202)&amp;"")</f>
        <v>Estimate: item-specific</v>
      </c>
      <c r="AH202" s="9" t="str">
        <f aca="false">IF($AK202=0,"",INDEX('Part types'!$W:$W,$AK202)&amp;"")</f>
        <v/>
      </c>
      <c r="AI202" s="11" t="str">
        <f aca="false">IF($AK202=0,"",INDEX('Part types'!$X:$X,$AK202)&amp;"")</f>
        <v/>
      </c>
      <c r="AJ202" s="9" t="str">
        <f aca="false">IF($AK202=0,"",INDEX('Part types'!$Y:$Y,$AK202)&amp;"")</f>
        <v/>
      </c>
      <c r="AK202" s="9" t="n">
        <f aca="false">IFERROR(MATCH($AD202,'Part types'!$E:$E,0),0)</f>
        <v>196</v>
      </c>
    </row>
    <row r="203" customFormat="false" ht="15" hidden="false" customHeight="false" outlineLevel="0" collapsed="false">
      <c r="A203" s="9" t="s">
        <v>1155</v>
      </c>
      <c r="B203" s="9" t="s">
        <v>926</v>
      </c>
      <c r="C203" s="9" t="s">
        <v>1156</v>
      </c>
      <c r="D203" s="9" t="str">
        <f aca="false">C203&amp;" - "&amp;E203</f>
        <v>Gear Shift Cable - Universal</v>
      </c>
      <c r="E203" s="9" t="s">
        <v>68</v>
      </c>
      <c r="F203" s="9" t="s">
        <v>926</v>
      </c>
      <c r="G203" s="10" t="n">
        <f aca="false">IF($AK203=0,"",INDEX('Part types'!$P:$P,$AK203))</f>
        <v>25</v>
      </c>
      <c r="H203" s="10" t="n">
        <f aca="false">IF($AK203=0,"",INDEX('Part types'!$Q:$Q,$AK203))</f>
        <v>15</v>
      </c>
      <c r="I203" s="10" t="n">
        <f aca="false">IF($AK203=0,"",INDEX('Part types'!$R:$R,$AK203))</f>
        <v>10</v>
      </c>
      <c r="J203" s="10" t="n">
        <f aca="false">IF($AK203=0,"",INDEX('Part types'!$S:$S,$AK203))</f>
        <v>0.9</v>
      </c>
      <c r="K203" s="11" t="s">
        <v>928</v>
      </c>
      <c r="L203" s="11" t="s">
        <v>1157</v>
      </c>
      <c r="M203" s="11" t="str">
        <f aca="false">L203&amp;" - "&amp;N203</f>
        <v>كابل تعشيق السرعات - عام</v>
      </c>
      <c r="N203" s="11" t="s">
        <v>72</v>
      </c>
      <c r="O203" s="11" t="s">
        <v>928</v>
      </c>
      <c r="P203" s="10" t="n">
        <f aca="false">G203</f>
        <v>25</v>
      </c>
      <c r="Q203" s="10" t="n">
        <f aca="false">H203</f>
        <v>15</v>
      </c>
      <c r="R203" s="10" t="n">
        <f aca="false">I203</f>
        <v>10</v>
      </c>
      <c r="S203" s="10" t="n">
        <f aca="false">J203</f>
        <v>0.9</v>
      </c>
      <c r="T203" s="12" t="s">
        <v>930</v>
      </c>
      <c r="U203" s="12" t="s">
        <v>1158</v>
      </c>
      <c r="V203" s="9" t="str">
        <f aca="false">U203&amp;" - "&amp;W203</f>
        <v>换挡拉索 - 通用</v>
      </c>
      <c r="W203" s="12" t="s">
        <v>76</v>
      </c>
      <c r="X203" s="12" t="s">
        <v>930</v>
      </c>
      <c r="Y203" s="10" t="n">
        <f aca="false">G203</f>
        <v>25</v>
      </c>
      <c r="Z203" s="10" t="n">
        <f aca="false">H203</f>
        <v>15</v>
      </c>
      <c r="AA203" s="10" t="n">
        <f aca="false">I203</f>
        <v>10</v>
      </c>
      <c r="AB203" s="10" t="n">
        <f aca="false">J203</f>
        <v>0.9</v>
      </c>
      <c r="AC203" s="9" t="s">
        <v>1108</v>
      </c>
      <c r="AD203" s="9" t="s">
        <v>1159</v>
      </c>
      <c r="AE203" s="9" t="str">
        <f aca="false">IF($AK203=0,"",INDEX('Part types'!$T:$T,$AK203)&amp;"")</f>
        <v>Combustion engine (petrol, diesel, hybrid, range extender)</v>
      </c>
      <c r="AF203" s="9" t="str">
        <f aca="false">IF($AK203=0,"",INDEX('Part types'!$U:$U,$AK203)&amp;"")</f>
        <v/>
      </c>
      <c r="AG203" s="9" t="str">
        <f aca="false">IF($AK203=0,"",INDEX('Part types'!$V:$V,$AK203)&amp;"")</f>
        <v>Estimate: size class M</v>
      </c>
      <c r="AH203" s="9" t="str">
        <f aca="false">IF($AK203=0,"",INDEX('Part types'!$W:$W,$AK203)&amp;"")</f>
        <v/>
      </c>
      <c r="AI203" s="11" t="str">
        <f aca="false">IF($AK203=0,"",INDEX('Part types'!$X:$X,$AK203)&amp;"")</f>
        <v/>
      </c>
      <c r="AJ203" s="9" t="str">
        <f aca="false">IF($AK203=0,"",INDEX('Part types'!$Y:$Y,$AK203)&amp;"")</f>
        <v/>
      </c>
      <c r="AK203" s="9" t="n">
        <f aca="false">IFERROR(MATCH($AD203,'Part types'!$E:$E,0),0)</f>
        <v>197</v>
      </c>
    </row>
    <row r="204" customFormat="false" ht="15" hidden="false" customHeight="false" outlineLevel="0" collapsed="false">
      <c r="A204" s="9" t="s">
        <v>1160</v>
      </c>
      <c r="B204" s="9" t="s">
        <v>926</v>
      </c>
      <c r="C204" s="9" t="s">
        <v>1161</v>
      </c>
      <c r="D204" s="9" t="str">
        <f aca="false">C204&amp;" - "&amp;E204</f>
        <v>Gear Shift Lever - Universal</v>
      </c>
      <c r="E204" s="9" t="s">
        <v>68</v>
      </c>
      <c r="F204" s="9" t="s">
        <v>1162</v>
      </c>
      <c r="G204" s="10" t="n">
        <f aca="false">IF($AK204=0,"",INDEX('Part types'!$P:$P,$AK204))</f>
        <v>30</v>
      </c>
      <c r="H204" s="10" t="n">
        <f aca="false">IF($AK204=0,"",INDEX('Part types'!$Q:$Q,$AK204))</f>
        <v>20</v>
      </c>
      <c r="I204" s="10" t="n">
        <f aca="false">IF($AK204=0,"",INDEX('Part types'!$R:$R,$AK204))</f>
        <v>15</v>
      </c>
      <c r="J204" s="10" t="n">
        <f aca="false">IF($AK204=0,"",INDEX('Part types'!$S:$S,$AK204))</f>
        <v>1.8</v>
      </c>
      <c r="K204" s="11" t="s">
        <v>928</v>
      </c>
      <c r="L204" s="11" t="s">
        <v>1163</v>
      </c>
      <c r="M204" s="11" t="str">
        <f aca="false">L204&amp;" - "&amp;N204</f>
        <v>ذراع تعشيق السرعات - عام</v>
      </c>
      <c r="N204" s="11" t="s">
        <v>72</v>
      </c>
      <c r="O204" s="11" t="s">
        <v>1164</v>
      </c>
      <c r="P204" s="10" t="n">
        <f aca="false">G204</f>
        <v>30</v>
      </c>
      <c r="Q204" s="10" t="n">
        <f aca="false">H204</f>
        <v>20</v>
      </c>
      <c r="R204" s="10" t="n">
        <f aca="false">I204</f>
        <v>15</v>
      </c>
      <c r="S204" s="10" t="n">
        <f aca="false">J204</f>
        <v>1.8</v>
      </c>
      <c r="T204" s="12" t="s">
        <v>930</v>
      </c>
      <c r="U204" s="12" t="s">
        <v>1165</v>
      </c>
      <c r="V204" s="9" t="str">
        <f aca="false">U204&amp;" - "&amp;W204</f>
        <v>换挡杆 - 通用</v>
      </c>
      <c r="W204" s="12" t="s">
        <v>76</v>
      </c>
      <c r="X204" s="12" t="s">
        <v>1166</v>
      </c>
      <c r="Y204" s="10" t="n">
        <f aca="false">G204</f>
        <v>30</v>
      </c>
      <c r="Z204" s="10" t="n">
        <f aca="false">H204</f>
        <v>20</v>
      </c>
      <c r="AA204" s="10" t="n">
        <f aca="false">I204</f>
        <v>15</v>
      </c>
      <c r="AB204" s="10" t="n">
        <f aca="false">J204</f>
        <v>1.8</v>
      </c>
      <c r="AC204" s="9" t="s">
        <v>1108</v>
      </c>
      <c r="AD204" s="9" t="s">
        <v>1167</v>
      </c>
      <c r="AE204" s="9" t="str">
        <f aca="false">IF($AK204=0,"",INDEX('Part types'!$T:$T,$AK204)&amp;"")</f>
        <v>Combustion engine (petrol, diesel, hybrid, range extender)</v>
      </c>
      <c r="AF204" s="9" t="str">
        <f aca="false">IF($AK204=0,"",INDEX('Part types'!$U:$U,$AK204)&amp;"")</f>
        <v/>
      </c>
      <c r="AG204" s="9" t="str">
        <f aca="false">IF($AK204=0,"",INDEX('Part types'!$V:$V,$AK204)&amp;"")</f>
        <v>Estimate: size class M2</v>
      </c>
      <c r="AH204" s="9" t="str">
        <f aca="false">IF($AK204=0,"",INDEX('Part types'!$W:$W,$AK204)&amp;"")</f>
        <v/>
      </c>
      <c r="AI204" s="11" t="str">
        <f aca="false">IF($AK204=0,"",INDEX('Part types'!$X:$X,$AK204)&amp;"")</f>
        <v/>
      </c>
      <c r="AJ204" s="9" t="str">
        <f aca="false">IF($AK204=0,"",INDEX('Part types'!$Y:$Y,$AK204)&amp;"")</f>
        <v/>
      </c>
      <c r="AK204" s="9" t="n">
        <f aca="false">IFERROR(MATCH($AD204,'Part types'!$E:$E,0),0)</f>
        <v>198</v>
      </c>
    </row>
    <row r="205" customFormat="false" ht="15" hidden="false" customHeight="false" outlineLevel="0" collapsed="false">
      <c r="A205" s="9" t="s">
        <v>1168</v>
      </c>
      <c r="B205" s="9" t="s">
        <v>926</v>
      </c>
      <c r="C205" s="9" t="s">
        <v>1169</v>
      </c>
      <c r="D205" s="9" t="str">
        <f aca="false">C205&amp;" - "&amp;E205</f>
        <v>Auto Gear Selector - Universal</v>
      </c>
      <c r="E205" s="9" t="s">
        <v>68</v>
      </c>
      <c r="F205" s="9" t="s">
        <v>1162</v>
      </c>
      <c r="G205" s="10" t="n">
        <f aca="false">IF($AK205=0,"",INDEX('Part types'!$P:$P,$AK205))</f>
        <v>40</v>
      </c>
      <c r="H205" s="10" t="n">
        <f aca="false">IF($AK205=0,"",INDEX('Part types'!$Q:$Q,$AK205))</f>
        <v>25</v>
      </c>
      <c r="I205" s="10" t="n">
        <f aca="false">IF($AK205=0,"",INDEX('Part types'!$R:$R,$AK205))</f>
        <v>15</v>
      </c>
      <c r="J205" s="10" t="n">
        <f aca="false">IF($AK205=0,"",INDEX('Part types'!$S:$S,$AK205))</f>
        <v>3</v>
      </c>
      <c r="K205" s="11" t="s">
        <v>928</v>
      </c>
      <c r="L205" s="11" t="s">
        <v>1170</v>
      </c>
      <c r="M205" s="11" t="str">
        <f aca="false">L205&amp;" - "&amp;N205</f>
        <v>مجموعة اختيار السرعات - عام</v>
      </c>
      <c r="N205" s="11" t="s">
        <v>72</v>
      </c>
      <c r="O205" s="11" t="s">
        <v>1164</v>
      </c>
      <c r="P205" s="10" t="n">
        <f aca="false">G205</f>
        <v>40</v>
      </c>
      <c r="Q205" s="10" t="n">
        <f aca="false">H205</f>
        <v>25</v>
      </c>
      <c r="R205" s="10" t="n">
        <f aca="false">I205</f>
        <v>15</v>
      </c>
      <c r="S205" s="10" t="n">
        <f aca="false">J205</f>
        <v>3</v>
      </c>
      <c r="T205" s="12" t="s">
        <v>930</v>
      </c>
      <c r="U205" s="12" t="s">
        <v>1171</v>
      </c>
      <c r="V205" s="9" t="str">
        <f aca="false">U205&amp;" - "&amp;W205</f>
        <v>自动挡换挡器总成 - 通用</v>
      </c>
      <c r="W205" s="12" t="s">
        <v>76</v>
      </c>
      <c r="X205" s="12" t="s">
        <v>1166</v>
      </c>
      <c r="Y205" s="10" t="n">
        <f aca="false">G205</f>
        <v>40</v>
      </c>
      <c r="Z205" s="10" t="n">
        <f aca="false">H205</f>
        <v>25</v>
      </c>
      <c r="AA205" s="10" t="n">
        <f aca="false">I205</f>
        <v>15</v>
      </c>
      <c r="AB205" s="10" t="n">
        <f aca="false">J205</f>
        <v>3</v>
      </c>
      <c r="AC205" s="9" t="s">
        <v>1108</v>
      </c>
      <c r="AD205" s="9" t="s">
        <v>1172</v>
      </c>
      <c r="AE205" s="9" t="str">
        <f aca="false">IF($AK205=0,"",INDEX('Part types'!$T:$T,$AK205)&amp;"")</f>
        <v>Combustion engine (petrol, diesel, hybrid, range extender)</v>
      </c>
      <c r="AF205" s="9" t="str">
        <f aca="false">IF($AK205=0,"",INDEX('Part types'!$U:$U,$AK205)&amp;"")</f>
        <v/>
      </c>
      <c r="AG205" s="9" t="str">
        <f aca="false">IF($AK205=0,"",INDEX('Part types'!$V:$V,$AK205)&amp;"")</f>
        <v>Estimate: size class L</v>
      </c>
      <c r="AH205" s="9" t="str">
        <f aca="false">IF($AK205=0,"",INDEX('Part types'!$W:$W,$AK205)&amp;"")</f>
        <v>Gear Selector Assembly; Automatic</v>
      </c>
      <c r="AI205" s="11" t="str">
        <f aca="false">IF($AK205=0,"",INDEX('Part types'!$X:$X,$AK205)&amp;"")</f>
        <v>أوتوماتيك</v>
      </c>
      <c r="AJ205" s="9" t="str">
        <f aca="false">IF($AK205=0,"",INDEX('Part types'!$Y:$Y,$AK205)&amp;"")</f>
        <v/>
      </c>
      <c r="AK205" s="9" t="n">
        <f aca="false">IFERROR(MATCH($AD205,'Part types'!$E:$E,0),0)</f>
        <v>199</v>
      </c>
    </row>
    <row r="206" customFormat="false" ht="15" hidden="false" customHeight="false" outlineLevel="0" collapsed="false">
      <c r="A206" s="9" t="s">
        <v>1173</v>
      </c>
      <c r="B206" s="9" t="s">
        <v>926</v>
      </c>
      <c r="C206" s="9" t="s">
        <v>1174</v>
      </c>
      <c r="D206" s="9" t="str">
        <f aca="false">C206&amp;" - "&amp;E206</f>
        <v>Output Shaft Seal - Left</v>
      </c>
      <c r="E206" s="9" t="s">
        <v>218</v>
      </c>
      <c r="F206" s="9" t="s">
        <v>926</v>
      </c>
      <c r="G206" s="10" t="n">
        <f aca="false">IF($AK206=0,"",INDEX('Part types'!$P:$P,$AK206))</f>
        <v>10</v>
      </c>
      <c r="H206" s="10" t="n">
        <f aca="false">IF($AK206=0,"",INDEX('Part types'!$Q:$Q,$AK206))</f>
        <v>8</v>
      </c>
      <c r="I206" s="10" t="n">
        <f aca="false">IF($AK206=0,"",INDEX('Part types'!$R:$R,$AK206))</f>
        <v>6</v>
      </c>
      <c r="J206" s="10" t="n">
        <f aca="false">IF($AK206=0,"",INDEX('Part types'!$S:$S,$AK206))</f>
        <v>0.1</v>
      </c>
      <c r="K206" s="11" t="s">
        <v>928</v>
      </c>
      <c r="L206" s="11" t="s">
        <v>1175</v>
      </c>
      <c r="M206" s="11" t="str">
        <f aca="false">L206&amp;" - "&amp;N206</f>
        <v>سيل عمود خرج ناقل الحركة - يسار</v>
      </c>
      <c r="N206" s="11" t="s">
        <v>220</v>
      </c>
      <c r="O206" s="11" t="s">
        <v>928</v>
      </c>
      <c r="P206" s="10" t="n">
        <f aca="false">G206</f>
        <v>10</v>
      </c>
      <c r="Q206" s="10" t="n">
        <f aca="false">H206</f>
        <v>8</v>
      </c>
      <c r="R206" s="10" t="n">
        <f aca="false">I206</f>
        <v>6</v>
      </c>
      <c r="S206" s="10" t="n">
        <f aca="false">J206</f>
        <v>0.1</v>
      </c>
      <c r="T206" s="12" t="s">
        <v>930</v>
      </c>
      <c r="U206" s="12" t="s">
        <v>1176</v>
      </c>
      <c r="V206" s="9" t="str">
        <f aca="false">U206&amp;" - "&amp;W206</f>
        <v>变速箱输出轴油封 - 左侧</v>
      </c>
      <c r="W206" s="12" t="s">
        <v>222</v>
      </c>
      <c r="X206" s="12" t="s">
        <v>930</v>
      </c>
      <c r="Y206" s="10" t="n">
        <f aca="false">G206</f>
        <v>10</v>
      </c>
      <c r="Z206" s="10" t="n">
        <f aca="false">H206</f>
        <v>8</v>
      </c>
      <c r="AA206" s="10" t="n">
        <f aca="false">I206</f>
        <v>6</v>
      </c>
      <c r="AB206" s="10" t="n">
        <f aca="false">J206</f>
        <v>0.1</v>
      </c>
      <c r="AC206" s="9" t="s">
        <v>1108</v>
      </c>
      <c r="AD206" s="9" t="s">
        <v>1177</v>
      </c>
      <c r="AE206" s="9" t="str">
        <f aca="false">IF($AK206=0,"",INDEX('Part types'!$T:$T,$AK206)&amp;"")</f>
        <v>Combustion engine (petrol, diesel, hybrid, range extender)</v>
      </c>
      <c r="AF206" s="9" t="str">
        <f aca="false">IF($AK206=0,"",INDEX('Part types'!$U:$U,$AK206)&amp;"")</f>
        <v/>
      </c>
      <c r="AG206" s="9" t="str">
        <f aca="false">IF($AK206=0,"",INDEX('Part types'!$V:$V,$AK206)&amp;"")</f>
        <v>Estimate: size class XS</v>
      </c>
      <c r="AH206" s="9" t="str">
        <f aca="false">IF($AK206=0,"",INDEX('Part types'!$W:$W,$AK206)&amp;"")</f>
        <v>Transmission Output Shaft Seal</v>
      </c>
      <c r="AI206" s="11" t="str">
        <f aca="false">IF($AK206=0,"",INDEX('Part types'!$X:$X,$AK206)&amp;"")</f>
        <v/>
      </c>
      <c r="AJ206" s="9" t="str">
        <f aca="false">IF($AK206=0,"",INDEX('Part types'!$Y:$Y,$AK206)&amp;"")</f>
        <v/>
      </c>
      <c r="AK206" s="9" t="n">
        <f aca="false">IFERROR(MATCH($AD206,'Part types'!$E:$E,0),0)</f>
        <v>200</v>
      </c>
    </row>
    <row r="207" customFormat="false" ht="15" hidden="false" customHeight="false" outlineLevel="0" collapsed="false">
      <c r="A207" s="9" t="s">
        <v>1178</v>
      </c>
      <c r="B207" s="9" t="s">
        <v>926</v>
      </c>
      <c r="C207" s="9" t="s">
        <v>1174</v>
      </c>
      <c r="D207" s="9" t="str">
        <f aca="false">C207&amp;" - "&amp;E207</f>
        <v>Output Shaft Seal - Right</v>
      </c>
      <c r="E207" s="9" t="s">
        <v>225</v>
      </c>
      <c r="F207" s="9" t="s">
        <v>926</v>
      </c>
      <c r="G207" s="10" t="n">
        <f aca="false">IF($AK207=0,"",INDEX('Part types'!$P:$P,$AK207))</f>
        <v>10</v>
      </c>
      <c r="H207" s="10" t="n">
        <f aca="false">IF($AK207=0,"",INDEX('Part types'!$Q:$Q,$AK207))</f>
        <v>8</v>
      </c>
      <c r="I207" s="10" t="n">
        <f aca="false">IF($AK207=0,"",INDEX('Part types'!$R:$R,$AK207))</f>
        <v>6</v>
      </c>
      <c r="J207" s="10" t="n">
        <f aca="false">IF($AK207=0,"",INDEX('Part types'!$S:$S,$AK207))</f>
        <v>0.1</v>
      </c>
      <c r="K207" s="11" t="s">
        <v>928</v>
      </c>
      <c r="L207" s="11" t="s">
        <v>1175</v>
      </c>
      <c r="M207" s="11" t="str">
        <f aca="false">L207&amp;" - "&amp;N207</f>
        <v>سيل عمود خرج ناقل الحركة - يمين</v>
      </c>
      <c r="N207" s="11" t="s">
        <v>226</v>
      </c>
      <c r="O207" s="11" t="s">
        <v>928</v>
      </c>
      <c r="P207" s="10" t="n">
        <f aca="false">G207</f>
        <v>10</v>
      </c>
      <c r="Q207" s="10" t="n">
        <f aca="false">H207</f>
        <v>8</v>
      </c>
      <c r="R207" s="10" t="n">
        <f aca="false">I207</f>
        <v>6</v>
      </c>
      <c r="S207" s="10" t="n">
        <f aca="false">J207</f>
        <v>0.1</v>
      </c>
      <c r="T207" s="12" t="s">
        <v>930</v>
      </c>
      <c r="U207" s="12" t="s">
        <v>1176</v>
      </c>
      <c r="V207" s="9" t="str">
        <f aca="false">U207&amp;" - "&amp;W207</f>
        <v>变速箱输出轴油封 - 右侧</v>
      </c>
      <c r="W207" s="12" t="s">
        <v>227</v>
      </c>
      <c r="X207" s="12" t="s">
        <v>930</v>
      </c>
      <c r="Y207" s="10" t="n">
        <f aca="false">G207</f>
        <v>10</v>
      </c>
      <c r="Z207" s="10" t="n">
        <f aca="false">H207</f>
        <v>8</v>
      </c>
      <c r="AA207" s="10" t="n">
        <f aca="false">I207</f>
        <v>6</v>
      </c>
      <c r="AB207" s="10" t="n">
        <f aca="false">J207</f>
        <v>0.1</v>
      </c>
      <c r="AC207" s="9" t="s">
        <v>1108</v>
      </c>
      <c r="AD207" s="9" t="s">
        <v>1177</v>
      </c>
      <c r="AE207" s="9" t="str">
        <f aca="false">IF($AK207=0,"",INDEX('Part types'!$T:$T,$AK207)&amp;"")</f>
        <v>Combustion engine (petrol, diesel, hybrid, range extender)</v>
      </c>
      <c r="AF207" s="9" t="str">
        <f aca="false">IF($AK207=0,"",INDEX('Part types'!$U:$U,$AK207)&amp;"")</f>
        <v/>
      </c>
      <c r="AG207" s="9" t="str">
        <f aca="false">IF($AK207=0,"",INDEX('Part types'!$V:$V,$AK207)&amp;"")</f>
        <v>Estimate: size class XS</v>
      </c>
      <c r="AH207" s="9" t="str">
        <f aca="false">IF($AK207=0,"",INDEX('Part types'!$W:$W,$AK207)&amp;"")</f>
        <v>Transmission Output Shaft Seal</v>
      </c>
      <c r="AI207" s="11" t="str">
        <f aca="false">IF($AK207=0,"",INDEX('Part types'!$X:$X,$AK207)&amp;"")</f>
        <v/>
      </c>
      <c r="AJ207" s="9" t="str">
        <f aca="false">IF($AK207=0,"",INDEX('Part types'!$Y:$Y,$AK207)&amp;"")</f>
        <v/>
      </c>
      <c r="AK207" s="9" t="n">
        <f aca="false">IFERROR(MATCH($AD207,'Part types'!$E:$E,0),0)</f>
        <v>200</v>
      </c>
    </row>
    <row r="208" customFormat="false" ht="15" hidden="false" customHeight="false" outlineLevel="0" collapsed="false">
      <c r="A208" s="9" t="s">
        <v>1179</v>
      </c>
      <c r="B208" s="9" t="s">
        <v>926</v>
      </c>
      <c r="C208" s="9" t="s">
        <v>1180</v>
      </c>
      <c r="D208" s="9" t="str">
        <f aca="false">C208&amp;" - "&amp;E208</f>
        <v>Input Shaft Seal - Universal</v>
      </c>
      <c r="E208" s="9" t="s">
        <v>68</v>
      </c>
      <c r="F208" s="9" t="s">
        <v>926</v>
      </c>
      <c r="G208" s="10" t="n">
        <f aca="false">IF($AK208=0,"",INDEX('Part types'!$P:$P,$AK208))</f>
        <v>10</v>
      </c>
      <c r="H208" s="10" t="n">
        <f aca="false">IF($AK208=0,"",INDEX('Part types'!$Q:$Q,$AK208))</f>
        <v>8</v>
      </c>
      <c r="I208" s="10" t="n">
        <f aca="false">IF($AK208=0,"",INDEX('Part types'!$R:$R,$AK208))</f>
        <v>6</v>
      </c>
      <c r="J208" s="10" t="n">
        <f aca="false">IF($AK208=0,"",INDEX('Part types'!$S:$S,$AK208))</f>
        <v>0.1</v>
      </c>
      <c r="K208" s="11" t="s">
        <v>928</v>
      </c>
      <c r="L208" s="11" t="s">
        <v>1181</v>
      </c>
      <c r="M208" s="11" t="str">
        <f aca="false">L208&amp;" - "&amp;N208</f>
        <v>سيل عمود دخل ناقل الحركة - عام</v>
      </c>
      <c r="N208" s="11" t="s">
        <v>72</v>
      </c>
      <c r="O208" s="11" t="s">
        <v>928</v>
      </c>
      <c r="P208" s="10" t="n">
        <f aca="false">G208</f>
        <v>10</v>
      </c>
      <c r="Q208" s="10" t="n">
        <f aca="false">H208</f>
        <v>8</v>
      </c>
      <c r="R208" s="10" t="n">
        <f aca="false">I208</f>
        <v>6</v>
      </c>
      <c r="S208" s="10" t="n">
        <f aca="false">J208</f>
        <v>0.1</v>
      </c>
      <c r="T208" s="12" t="s">
        <v>930</v>
      </c>
      <c r="U208" s="12" t="s">
        <v>1182</v>
      </c>
      <c r="V208" s="9" t="str">
        <f aca="false">U208&amp;" - "&amp;W208</f>
        <v>变速箱输入轴油封 - 通用</v>
      </c>
      <c r="W208" s="12" t="s">
        <v>76</v>
      </c>
      <c r="X208" s="12" t="s">
        <v>930</v>
      </c>
      <c r="Y208" s="10" t="n">
        <f aca="false">G208</f>
        <v>10</v>
      </c>
      <c r="Z208" s="10" t="n">
        <f aca="false">H208</f>
        <v>8</v>
      </c>
      <c r="AA208" s="10" t="n">
        <f aca="false">I208</f>
        <v>6</v>
      </c>
      <c r="AB208" s="10" t="n">
        <f aca="false">J208</f>
        <v>0.1</v>
      </c>
      <c r="AC208" s="9" t="s">
        <v>1108</v>
      </c>
      <c r="AD208" s="9" t="s">
        <v>1183</v>
      </c>
      <c r="AE208" s="9" t="str">
        <f aca="false">IF($AK208=0,"",INDEX('Part types'!$T:$T,$AK208)&amp;"")</f>
        <v>Combustion engine (petrol, diesel, hybrid, range extender)</v>
      </c>
      <c r="AF208" s="9" t="str">
        <f aca="false">IF($AK208=0,"",INDEX('Part types'!$U:$U,$AK208)&amp;"")</f>
        <v/>
      </c>
      <c r="AG208" s="9" t="str">
        <f aca="false">IF($AK208=0,"",INDEX('Part types'!$V:$V,$AK208)&amp;"")</f>
        <v>Estimate: size class XS</v>
      </c>
      <c r="AH208" s="9" t="str">
        <f aca="false">IF($AK208=0,"",INDEX('Part types'!$W:$W,$AK208)&amp;"")</f>
        <v>Transmission Input Shaft Seal</v>
      </c>
      <c r="AI208" s="11" t="str">
        <f aca="false">IF($AK208=0,"",INDEX('Part types'!$X:$X,$AK208)&amp;"")</f>
        <v/>
      </c>
      <c r="AJ208" s="9" t="str">
        <f aca="false">IF($AK208=0,"",INDEX('Part types'!$Y:$Y,$AK208)&amp;"")</f>
        <v/>
      </c>
      <c r="AK208" s="9" t="n">
        <f aca="false">IFERROR(MATCH($AD208,'Part types'!$E:$E,0),0)</f>
        <v>201</v>
      </c>
    </row>
    <row r="209" customFormat="false" ht="15" hidden="false" customHeight="false" outlineLevel="0" collapsed="false">
      <c r="A209" s="9" t="s">
        <v>1184</v>
      </c>
      <c r="B209" s="9" t="s">
        <v>926</v>
      </c>
      <c r="C209" s="9" t="s">
        <v>1185</v>
      </c>
      <c r="D209" s="9" t="str">
        <f aca="false">C209&amp;" - "&amp;E209</f>
        <v>Transmission Bearing Kit - Universal</v>
      </c>
      <c r="E209" s="9" t="s">
        <v>68</v>
      </c>
      <c r="F209" s="9" t="s">
        <v>926</v>
      </c>
      <c r="G209" s="10" t="n">
        <f aca="false">IF($AK209=0,"",INDEX('Part types'!$P:$P,$AK209))</f>
        <v>25</v>
      </c>
      <c r="H209" s="10" t="n">
        <f aca="false">IF($AK209=0,"",INDEX('Part types'!$Q:$Q,$AK209))</f>
        <v>15</v>
      </c>
      <c r="I209" s="10" t="n">
        <f aca="false">IF($AK209=0,"",INDEX('Part types'!$R:$R,$AK209))</f>
        <v>10</v>
      </c>
      <c r="J209" s="10" t="n">
        <f aca="false">IF($AK209=0,"",INDEX('Part types'!$S:$S,$AK209))</f>
        <v>0.9</v>
      </c>
      <c r="K209" s="11" t="s">
        <v>928</v>
      </c>
      <c r="L209" s="11" t="s">
        <v>1186</v>
      </c>
      <c r="M209" s="11" t="str">
        <f aca="false">L209&amp;" - "&amp;N209</f>
        <v>طقم رولمانات ناقل الحركة - عام</v>
      </c>
      <c r="N209" s="11" t="s">
        <v>72</v>
      </c>
      <c r="O209" s="11" t="s">
        <v>928</v>
      </c>
      <c r="P209" s="10" t="n">
        <f aca="false">G209</f>
        <v>25</v>
      </c>
      <c r="Q209" s="10" t="n">
        <f aca="false">H209</f>
        <v>15</v>
      </c>
      <c r="R209" s="10" t="n">
        <f aca="false">I209</f>
        <v>10</v>
      </c>
      <c r="S209" s="10" t="n">
        <f aca="false">J209</f>
        <v>0.9</v>
      </c>
      <c r="T209" s="12" t="s">
        <v>930</v>
      </c>
      <c r="U209" s="12" t="s">
        <v>1187</v>
      </c>
      <c r="V209" s="9" t="str">
        <f aca="false">U209&amp;" - "&amp;W209</f>
        <v>变速箱轴承套装 - 通用</v>
      </c>
      <c r="W209" s="12" t="s">
        <v>76</v>
      </c>
      <c r="X209" s="12" t="s">
        <v>930</v>
      </c>
      <c r="Y209" s="10" t="n">
        <f aca="false">G209</f>
        <v>25</v>
      </c>
      <c r="Z209" s="10" t="n">
        <f aca="false">H209</f>
        <v>15</v>
      </c>
      <c r="AA209" s="10" t="n">
        <f aca="false">I209</f>
        <v>10</v>
      </c>
      <c r="AB209" s="10" t="n">
        <f aca="false">J209</f>
        <v>0.9</v>
      </c>
      <c r="AC209" s="9" t="s">
        <v>1108</v>
      </c>
      <c r="AD209" s="9" t="s">
        <v>1188</v>
      </c>
      <c r="AE209" s="9" t="str">
        <f aca="false">IF($AK209=0,"",INDEX('Part types'!$T:$T,$AK209)&amp;"")</f>
        <v>Combustion engine (petrol, diesel, hybrid, range extender)</v>
      </c>
      <c r="AF209" s="9" t="str">
        <f aca="false">IF($AK209=0,"",INDEX('Part types'!$U:$U,$AK209)&amp;"")</f>
        <v/>
      </c>
      <c r="AG209" s="9" t="str">
        <f aca="false">IF($AK209=0,"",INDEX('Part types'!$V:$V,$AK209)&amp;"")</f>
        <v>Estimate: size class M</v>
      </c>
      <c r="AH209" s="9" t="str">
        <f aca="false">IF($AK209=0,"",INDEX('Part types'!$W:$W,$AK209)&amp;"")</f>
        <v/>
      </c>
      <c r="AI209" s="11" t="str">
        <f aca="false">IF($AK209=0,"",INDEX('Part types'!$X:$X,$AK209)&amp;"")</f>
        <v/>
      </c>
      <c r="AJ209" s="9" t="str">
        <f aca="false">IF($AK209=0,"",INDEX('Part types'!$Y:$Y,$AK209)&amp;"")</f>
        <v/>
      </c>
      <c r="AK209" s="9" t="n">
        <f aca="false">IFERROR(MATCH($AD209,'Part types'!$E:$E,0),0)</f>
        <v>202</v>
      </c>
    </row>
    <row r="210" customFormat="false" ht="15" hidden="false" customHeight="false" outlineLevel="0" collapsed="false">
      <c r="A210" s="9" t="s">
        <v>1189</v>
      </c>
      <c r="B210" s="9" t="s">
        <v>926</v>
      </c>
      <c r="C210" s="9" t="s">
        <v>1190</v>
      </c>
      <c r="D210" s="9" t="str">
        <f aca="false">C210&amp;" - "&amp;E210</f>
        <v>Synchronizer Ring Set - Universal</v>
      </c>
      <c r="E210" s="9" t="s">
        <v>68</v>
      </c>
      <c r="F210" s="9" t="s">
        <v>926</v>
      </c>
      <c r="G210" s="10" t="n">
        <f aca="false">IF($AK210=0,"",INDEX('Part types'!$P:$P,$AK210))</f>
        <v>15</v>
      </c>
      <c r="H210" s="10" t="n">
        <f aca="false">IF($AK210=0,"",INDEX('Part types'!$Q:$Q,$AK210))</f>
        <v>10</v>
      </c>
      <c r="I210" s="10" t="n">
        <f aca="false">IF($AK210=0,"",INDEX('Part types'!$R:$R,$AK210))</f>
        <v>8</v>
      </c>
      <c r="J210" s="10" t="n">
        <f aca="false">IF($AK210=0,"",INDEX('Part types'!$S:$S,$AK210))</f>
        <v>0.3</v>
      </c>
      <c r="K210" s="11" t="s">
        <v>928</v>
      </c>
      <c r="L210" s="11" t="s">
        <v>1191</v>
      </c>
      <c r="M210" s="11" t="str">
        <f aca="false">L210&amp;" - "&amp;N210</f>
        <v>طقم حلقات التزامن - عام</v>
      </c>
      <c r="N210" s="11" t="s">
        <v>72</v>
      </c>
      <c r="O210" s="11" t="s">
        <v>928</v>
      </c>
      <c r="P210" s="10" t="n">
        <f aca="false">G210</f>
        <v>15</v>
      </c>
      <c r="Q210" s="10" t="n">
        <f aca="false">H210</f>
        <v>10</v>
      </c>
      <c r="R210" s="10" t="n">
        <f aca="false">I210</f>
        <v>8</v>
      </c>
      <c r="S210" s="10" t="n">
        <f aca="false">J210</f>
        <v>0.3</v>
      </c>
      <c r="T210" s="12" t="s">
        <v>930</v>
      </c>
      <c r="U210" s="12" t="s">
        <v>1192</v>
      </c>
      <c r="V210" s="9" t="str">
        <f aca="false">U210&amp;" - "&amp;W210</f>
        <v>同步器环套装 - 通用</v>
      </c>
      <c r="W210" s="12" t="s">
        <v>76</v>
      </c>
      <c r="X210" s="12" t="s">
        <v>930</v>
      </c>
      <c r="Y210" s="10" t="n">
        <f aca="false">G210</f>
        <v>15</v>
      </c>
      <c r="Z210" s="10" t="n">
        <f aca="false">H210</f>
        <v>10</v>
      </c>
      <c r="AA210" s="10" t="n">
        <f aca="false">I210</f>
        <v>8</v>
      </c>
      <c r="AB210" s="10" t="n">
        <f aca="false">J210</f>
        <v>0.3</v>
      </c>
      <c r="AC210" s="9" t="s">
        <v>1108</v>
      </c>
      <c r="AD210" s="9" t="s">
        <v>1193</v>
      </c>
      <c r="AE210" s="9" t="str">
        <f aca="false">IF($AK210=0,"",INDEX('Part types'!$T:$T,$AK210)&amp;"")</f>
        <v>Combustion engine (petrol, diesel, hybrid, range extender)</v>
      </c>
      <c r="AF210" s="9" t="str">
        <f aca="false">IF($AK210=0,"",INDEX('Part types'!$U:$U,$AK210)&amp;"")</f>
        <v/>
      </c>
      <c r="AG210" s="9" t="str">
        <f aca="false">IF($AK210=0,"",INDEX('Part types'!$V:$V,$AK210)&amp;"")</f>
        <v>Estimate: size class S</v>
      </c>
      <c r="AH210" s="9" t="str">
        <f aca="false">IF($AK210=0,"",INDEX('Part types'!$W:$W,$AK210)&amp;"")</f>
        <v/>
      </c>
      <c r="AI210" s="11" t="str">
        <f aca="false">IF($AK210=0,"",INDEX('Part types'!$X:$X,$AK210)&amp;"")</f>
        <v>سنكرو</v>
      </c>
      <c r="AJ210" s="9" t="str">
        <f aca="false">IF($AK210=0,"",INDEX('Part types'!$Y:$Y,$AK210)&amp;"")</f>
        <v/>
      </c>
      <c r="AK210" s="9" t="n">
        <f aca="false">IFERROR(MATCH($AD210,'Part types'!$E:$E,0),0)</f>
        <v>203</v>
      </c>
    </row>
    <row r="211" customFormat="false" ht="15" hidden="false" customHeight="false" outlineLevel="0" collapsed="false">
      <c r="A211" s="9" t="s">
        <v>1194</v>
      </c>
      <c r="B211" s="9" t="s">
        <v>926</v>
      </c>
      <c r="C211" s="9" t="s">
        <v>1195</v>
      </c>
      <c r="D211" s="9" t="str">
        <f aca="false">C211&amp;" - "&amp;E211</f>
        <v>Transmission Breather - Universal</v>
      </c>
      <c r="E211" s="9" t="s">
        <v>68</v>
      </c>
      <c r="F211" s="9" t="s">
        <v>926</v>
      </c>
      <c r="G211" s="10" t="n">
        <f aca="false">IF($AK211=0,"",INDEX('Part types'!$P:$P,$AK211))</f>
        <v>10</v>
      </c>
      <c r="H211" s="10" t="n">
        <f aca="false">IF($AK211=0,"",INDEX('Part types'!$Q:$Q,$AK211))</f>
        <v>8</v>
      </c>
      <c r="I211" s="10" t="n">
        <f aca="false">IF($AK211=0,"",INDEX('Part types'!$R:$R,$AK211))</f>
        <v>6</v>
      </c>
      <c r="J211" s="10" t="n">
        <f aca="false">IF($AK211=0,"",INDEX('Part types'!$S:$S,$AK211))</f>
        <v>0.1</v>
      </c>
      <c r="K211" s="11" t="s">
        <v>928</v>
      </c>
      <c r="L211" s="11" t="s">
        <v>1196</v>
      </c>
      <c r="M211" s="11" t="str">
        <f aca="false">L211&amp;" - "&amp;N211</f>
        <v>منفذ تهوية ناقل الحركة - عام</v>
      </c>
      <c r="N211" s="11" t="s">
        <v>72</v>
      </c>
      <c r="O211" s="11" t="s">
        <v>928</v>
      </c>
      <c r="P211" s="10" t="n">
        <f aca="false">G211</f>
        <v>10</v>
      </c>
      <c r="Q211" s="10" t="n">
        <f aca="false">H211</f>
        <v>8</v>
      </c>
      <c r="R211" s="10" t="n">
        <f aca="false">I211</f>
        <v>6</v>
      </c>
      <c r="S211" s="10" t="n">
        <f aca="false">J211</f>
        <v>0.1</v>
      </c>
      <c r="T211" s="12" t="s">
        <v>930</v>
      </c>
      <c r="U211" s="12" t="s">
        <v>1197</v>
      </c>
      <c r="V211" s="9" t="str">
        <f aca="false">U211&amp;" - "&amp;W211</f>
        <v>变速箱呼吸器 - 通用</v>
      </c>
      <c r="W211" s="12" t="s">
        <v>76</v>
      </c>
      <c r="X211" s="12" t="s">
        <v>930</v>
      </c>
      <c r="Y211" s="10" t="n">
        <f aca="false">G211</f>
        <v>10</v>
      </c>
      <c r="Z211" s="10" t="n">
        <f aca="false">H211</f>
        <v>8</v>
      </c>
      <c r="AA211" s="10" t="n">
        <f aca="false">I211</f>
        <v>6</v>
      </c>
      <c r="AB211" s="10" t="n">
        <f aca="false">J211</f>
        <v>0.1</v>
      </c>
      <c r="AC211" s="9" t="s">
        <v>1108</v>
      </c>
      <c r="AD211" s="9" t="s">
        <v>1198</v>
      </c>
      <c r="AE211" s="9" t="str">
        <f aca="false">IF($AK211=0,"",INDEX('Part types'!$T:$T,$AK211)&amp;"")</f>
        <v>Combustion engine (petrol, diesel, hybrid, range extender)</v>
      </c>
      <c r="AF211" s="9" t="str">
        <f aca="false">IF($AK211=0,"",INDEX('Part types'!$U:$U,$AK211)&amp;"")</f>
        <v/>
      </c>
      <c r="AG211" s="9" t="str">
        <f aca="false">IF($AK211=0,"",INDEX('Part types'!$V:$V,$AK211)&amp;"")</f>
        <v>Estimate: size class XS</v>
      </c>
      <c r="AH211" s="9" t="str">
        <f aca="false">IF($AK211=0,"",INDEX('Part types'!$W:$W,$AK211)&amp;"")</f>
        <v/>
      </c>
      <c r="AI211" s="11" t="str">
        <f aca="false">IF($AK211=0,"",INDEX('Part types'!$X:$X,$AK211)&amp;"")</f>
        <v/>
      </c>
      <c r="AJ211" s="9" t="str">
        <f aca="false">IF($AK211=0,"",INDEX('Part types'!$Y:$Y,$AK211)&amp;"")</f>
        <v/>
      </c>
      <c r="AK211" s="9" t="n">
        <f aca="false">IFERROR(MATCH($AD211,'Part types'!$E:$E,0),0)</f>
        <v>204</v>
      </c>
    </row>
    <row r="212" customFormat="false" ht="15" hidden="false" customHeight="false" outlineLevel="0" collapsed="false">
      <c r="A212" s="9" t="s">
        <v>1199</v>
      </c>
      <c r="B212" s="9" t="s">
        <v>926</v>
      </c>
      <c r="C212" s="9" t="s">
        <v>1200</v>
      </c>
      <c r="D212" s="9" t="str">
        <f aca="false">C212&amp;" - "&amp;E212</f>
        <v>Cooler Line Set - Universal</v>
      </c>
      <c r="E212" s="9" t="s">
        <v>68</v>
      </c>
      <c r="F212" s="9" t="s">
        <v>926</v>
      </c>
      <c r="G212" s="10" t="n">
        <f aca="false">IF($AK212=0,"",INDEX('Part types'!$P:$P,$AK212))</f>
        <v>30</v>
      </c>
      <c r="H212" s="10" t="n">
        <f aca="false">IF($AK212=0,"",INDEX('Part types'!$Q:$Q,$AK212))</f>
        <v>20</v>
      </c>
      <c r="I212" s="10" t="n">
        <f aca="false">IF($AK212=0,"",INDEX('Part types'!$R:$R,$AK212))</f>
        <v>15</v>
      </c>
      <c r="J212" s="10" t="n">
        <f aca="false">IF($AK212=0,"",INDEX('Part types'!$S:$S,$AK212))</f>
        <v>1.8</v>
      </c>
      <c r="K212" s="11" t="s">
        <v>928</v>
      </c>
      <c r="L212" s="11" t="s">
        <v>1201</v>
      </c>
      <c r="M212" s="11" t="str">
        <f aca="false">L212&amp;" - "&amp;N212</f>
        <v>طقم مواسير مبرد ناقل الحركة - عام</v>
      </c>
      <c r="N212" s="11" t="s">
        <v>72</v>
      </c>
      <c r="O212" s="11" t="s">
        <v>928</v>
      </c>
      <c r="P212" s="10" t="n">
        <f aca="false">G212</f>
        <v>30</v>
      </c>
      <c r="Q212" s="10" t="n">
        <f aca="false">H212</f>
        <v>20</v>
      </c>
      <c r="R212" s="10" t="n">
        <f aca="false">I212</f>
        <v>15</v>
      </c>
      <c r="S212" s="10" t="n">
        <f aca="false">J212</f>
        <v>1.8</v>
      </c>
      <c r="T212" s="12" t="s">
        <v>930</v>
      </c>
      <c r="U212" s="12" t="s">
        <v>1202</v>
      </c>
      <c r="V212" s="9" t="str">
        <f aca="false">U212&amp;" - "&amp;W212</f>
        <v>变速箱冷却管套装 - 通用</v>
      </c>
      <c r="W212" s="12" t="s">
        <v>76</v>
      </c>
      <c r="X212" s="12" t="s">
        <v>930</v>
      </c>
      <c r="Y212" s="10" t="n">
        <f aca="false">G212</f>
        <v>30</v>
      </c>
      <c r="Z212" s="10" t="n">
        <f aca="false">H212</f>
        <v>20</v>
      </c>
      <c r="AA212" s="10" t="n">
        <f aca="false">I212</f>
        <v>15</v>
      </c>
      <c r="AB212" s="10" t="n">
        <f aca="false">J212</f>
        <v>1.8</v>
      </c>
      <c r="AC212" s="9" t="s">
        <v>1108</v>
      </c>
      <c r="AD212" s="9" t="s">
        <v>1203</v>
      </c>
      <c r="AE212" s="9" t="str">
        <f aca="false">IF($AK212=0,"",INDEX('Part types'!$T:$T,$AK212)&amp;"")</f>
        <v>Combustion engine (petrol, diesel, hybrid, range extender)</v>
      </c>
      <c r="AF212" s="9" t="str">
        <f aca="false">IF($AK212=0,"",INDEX('Part types'!$U:$U,$AK212)&amp;"")</f>
        <v/>
      </c>
      <c r="AG212" s="9" t="str">
        <f aca="false">IF($AK212=0,"",INDEX('Part types'!$V:$V,$AK212)&amp;"")</f>
        <v>Estimate: size class M2</v>
      </c>
      <c r="AH212" s="9" t="str">
        <f aca="false">IF($AK212=0,"",INDEX('Part types'!$W:$W,$AK212)&amp;"")</f>
        <v>Transmission Cooler Line Set</v>
      </c>
      <c r="AI212" s="11" t="str">
        <f aca="false">IF($AK212=0,"",INDEX('Part types'!$X:$X,$AK212)&amp;"")</f>
        <v/>
      </c>
      <c r="AJ212" s="9" t="str">
        <f aca="false">IF($AK212=0,"",INDEX('Part types'!$Y:$Y,$AK212)&amp;"")</f>
        <v/>
      </c>
      <c r="AK212" s="9" t="n">
        <f aca="false">IFERROR(MATCH($AD212,'Part types'!$E:$E,0),0)</f>
        <v>205</v>
      </c>
    </row>
    <row r="213" customFormat="false" ht="15" hidden="false" customHeight="false" outlineLevel="0" collapsed="false">
      <c r="A213" s="9" t="s">
        <v>1204</v>
      </c>
      <c r="B213" s="9" t="s">
        <v>1205</v>
      </c>
      <c r="C213" s="9" t="s">
        <v>1206</v>
      </c>
      <c r="D213" s="9" t="str">
        <f aca="false">C213&amp;" - "&amp;E213</f>
        <v>Clutch Kit - Universal</v>
      </c>
      <c r="E213" s="9" t="s">
        <v>68</v>
      </c>
      <c r="F213" s="9" t="s">
        <v>1207</v>
      </c>
      <c r="G213" s="10" t="n">
        <f aca="false">IF($AK213=0,"",INDEX('Part types'!$P:$P,$AK213))</f>
        <v>30</v>
      </c>
      <c r="H213" s="10" t="n">
        <f aca="false">IF($AK213=0,"",INDEX('Part types'!$Q:$Q,$AK213))</f>
        <v>30</v>
      </c>
      <c r="I213" s="10" t="n">
        <f aca="false">IF($AK213=0,"",INDEX('Part types'!$R:$R,$AK213))</f>
        <v>15</v>
      </c>
      <c r="J213" s="10" t="n">
        <f aca="false">IF($AK213=0,"",INDEX('Part types'!$S:$S,$AK213))</f>
        <v>6</v>
      </c>
      <c r="K213" s="11" t="s">
        <v>1208</v>
      </c>
      <c r="L213" s="11" t="s">
        <v>1209</v>
      </c>
      <c r="M213" s="11" t="str">
        <f aca="false">L213&amp;" - "&amp;N213</f>
        <v>طقم دبرياج - عام</v>
      </c>
      <c r="N213" s="11" t="s">
        <v>72</v>
      </c>
      <c r="O213" s="11" t="s">
        <v>1210</v>
      </c>
      <c r="P213" s="10" t="n">
        <f aca="false">G213</f>
        <v>30</v>
      </c>
      <c r="Q213" s="10" t="n">
        <f aca="false">H213</f>
        <v>30</v>
      </c>
      <c r="R213" s="10" t="n">
        <f aca="false">I213</f>
        <v>15</v>
      </c>
      <c r="S213" s="10" t="n">
        <f aca="false">J213</f>
        <v>6</v>
      </c>
      <c r="T213" s="12" t="s">
        <v>1211</v>
      </c>
      <c r="U213" s="12" t="s">
        <v>1212</v>
      </c>
      <c r="V213" s="9" t="str">
        <f aca="false">U213&amp;" - "&amp;W213</f>
        <v>离合器套装 - 通用</v>
      </c>
      <c r="W213" s="12" t="s">
        <v>76</v>
      </c>
      <c r="X213" s="12" t="s">
        <v>1213</v>
      </c>
      <c r="Y213" s="10" t="n">
        <f aca="false">G213</f>
        <v>30</v>
      </c>
      <c r="Z213" s="10" t="n">
        <f aca="false">H213</f>
        <v>30</v>
      </c>
      <c r="AA213" s="10" t="n">
        <f aca="false">I213</f>
        <v>15</v>
      </c>
      <c r="AB213" s="10" t="n">
        <f aca="false">J213</f>
        <v>6</v>
      </c>
      <c r="AC213" s="9" t="s">
        <v>1214</v>
      </c>
      <c r="AD213" s="9" t="s">
        <v>1215</v>
      </c>
      <c r="AE213" s="9" t="str">
        <f aca="false">IF($AK213=0,"",INDEX('Part types'!$T:$T,$AK213)&amp;"")</f>
        <v>Combustion engine (petrol, diesel, hybrid, range extender)</v>
      </c>
      <c r="AF213" s="9" t="str">
        <f aca="false">IF($AK213=0,"",INDEX('Part types'!$U:$U,$AK213)&amp;"")</f>
        <v/>
      </c>
      <c r="AG213" s="9" t="str">
        <f aca="false">IF($AK213=0,"",INDEX('Part types'!$V:$V,$AK213)&amp;"")</f>
        <v>Estimate: item-specific</v>
      </c>
      <c r="AH213" s="9" t="str">
        <f aca="false">IF($AK213=0,"",INDEX('Part types'!$W:$W,$AK213)&amp;"")</f>
        <v/>
      </c>
      <c r="AI213" s="11" t="str">
        <f aca="false">IF($AK213=0,"",INDEX('Part types'!$X:$X,$AK213)&amp;"")</f>
        <v>كلتش</v>
      </c>
      <c r="AJ213" s="9" t="str">
        <f aca="false">IF($AK213=0,"",INDEX('Part types'!$Y:$Y,$AK213)&amp;"")</f>
        <v/>
      </c>
      <c r="AK213" s="9" t="n">
        <f aca="false">IFERROR(MATCH($AD213,'Part types'!$E:$E,0),0)</f>
        <v>206</v>
      </c>
    </row>
    <row r="214" customFormat="false" ht="15" hidden="false" customHeight="false" outlineLevel="0" collapsed="false">
      <c r="A214" s="9" t="s">
        <v>1216</v>
      </c>
      <c r="B214" s="9" t="s">
        <v>1205</v>
      </c>
      <c r="C214" s="9" t="s">
        <v>1217</v>
      </c>
      <c r="D214" s="9" t="str">
        <f aca="false">C214&amp;" - "&amp;E214</f>
        <v>Clutch Disc - Universal</v>
      </c>
      <c r="E214" s="9" t="s">
        <v>68</v>
      </c>
      <c r="F214" s="9" t="s">
        <v>1207</v>
      </c>
      <c r="G214" s="10" t="n">
        <f aca="false">IF($AK214=0,"",INDEX('Part types'!$P:$P,$AK214))</f>
        <v>26</v>
      </c>
      <c r="H214" s="10" t="n">
        <f aca="false">IF($AK214=0,"",INDEX('Part types'!$Q:$Q,$AK214))</f>
        <v>26</v>
      </c>
      <c r="I214" s="10" t="n">
        <f aca="false">IF($AK214=0,"",INDEX('Part types'!$R:$R,$AK214))</f>
        <v>5</v>
      </c>
      <c r="J214" s="10" t="n">
        <f aca="false">IF($AK214=0,"",INDEX('Part types'!$S:$S,$AK214))</f>
        <v>1.2</v>
      </c>
      <c r="K214" s="11" t="s">
        <v>1208</v>
      </c>
      <c r="L214" s="11" t="s">
        <v>1218</v>
      </c>
      <c r="M214" s="11" t="str">
        <f aca="false">L214&amp;" - "&amp;N214</f>
        <v>قرص الدبرياج - عام</v>
      </c>
      <c r="N214" s="11" t="s">
        <v>72</v>
      </c>
      <c r="O214" s="11" t="s">
        <v>1210</v>
      </c>
      <c r="P214" s="10" t="n">
        <f aca="false">G214</f>
        <v>26</v>
      </c>
      <c r="Q214" s="10" t="n">
        <f aca="false">H214</f>
        <v>26</v>
      </c>
      <c r="R214" s="10" t="n">
        <f aca="false">I214</f>
        <v>5</v>
      </c>
      <c r="S214" s="10" t="n">
        <f aca="false">J214</f>
        <v>1.2</v>
      </c>
      <c r="T214" s="12" t="s">
        <v>1211</v>
      </c>
      <c r="U214" s="12" t="s">
        <v>1219</v>
      </c>
      <c r="V214" s="9" t="str">
        <f aca="false">U214&amp;" - "&amp;W214</f>
        <v>离合器片 - 通用</v>
      </c>
      <c r="W214" s="12" t="s">
        <v>76</v>
      </c>
      <c r="X214" s="12" t="s">
        <v>1213</v>
      </c>
      <c r="Y214" s="10" t="n">
        <f aca="false">G214</f>
        <v>26</v>
      </c>
      <c r="Z214" s="10" t="n">
        <f aca="false">H214</f>
        <v>26</v>
      </c>
      <c r="AA214" s="10" t="n">
        <f aca="false">I214</f>
        <v>5</v>
      </c>
      <c r="AB214" s="10" t="n">
        <f aca="false">J214</f>
        <v>1.2</v>
      </c>
      <c r="AC214" s="9" t="s">
        <v>1214</v>
      </c>
      <c r="AD214" s="9" t="s">
        <v>1220</v>
      </c>
      <c r="AE214" s="9" t="str">
        <f aca="false">IF($AK214=0,"",INDEX('Part types'!$T:$T,$AK214)&amp;"")</f>
        <v>Combustion engine (petrol, diesel, hybrid, range extender)</v>
      </c>
      <c r="AF214" s="9" t="str">
        <f aca="false">IF($AK214=0,"",INDEX('Part types'!$U:$U,$AK214)&amp;"")</f>
        <v/>
      </c>
      <c r="AG214" s="9" t="str">
        <f aca="false">IF($AK214=0,"",INDEX('Part types'!$V:$V,$AK214)&amp;"")</f>
        <v>Estimate: item-specific</v>
      </c>
      <c r="AH214" s="9" t="str">
        <f aca="false">IF($AK214=0,"",INDEX('Part types'!$W:$W,$AK214)&amp;"")</f>
        <v/>
      </c>
      <c r="AI214" s="11" t="str">
        <f aca="false">IF($AK214=0,"",INDEX('Part types'!$X:$X,$AK214)&amp;"")</f>
        <v/>
      </c>
      <c r="AJ214" s="9" t="str">
        <f aca="false">IF($AK214=0,"",INDEX('Part types'!$Y:$Y,$AK214)&amp;"")</f>
        <v/>
      </c>
      <c r="AK214" s="9" t="n">
        <f aca="false">IFERROR(MATCH($AD214,'Part types'!$E:$E,0),0)</f>
        <v>207</v>
      </c>
    </row>
    <row r="215" customFormat="false" ht="15" hidden="false" customHeight="false" outlineLevel="0" collapsed="false">
      <c r="A215" s="9" t="s">
        <v>1221</v>
      </c>
      <c r="B215" s="9" t="s">
        <v>1205</v>
      </c>
      <c r="C215" s="9" t="s">
        <v>1222</v>
      </c>
      <c r="D215" s="9" t="str">
        <f aca="false">C215&amp;" - "&amp;E215</f>
        <v>Clutch Pressure Plate - Universal</v>
      </c>
      <c r="E215" s="9" t="s">
        <v>68</v>
      </c>
      <c r="F215" s="9" t="s">
        <v>1207</v>
      </c>
      <c r="G215" s="10" t="n">
        <f aca="false">IF($AK215=0,"",INDEX('Part types'!$P:$P,$AK215))</f>
        <v>26</v>
      </c>
      <c r="H215" s="10" t="n">
        <f aca="false">IF($AK215=0,"",INDEX('Part types'!$Q:$Q,$AK215))</f>
        <v>26</v>
      </c>
      <c r="I215" s="10" t="n">
        <f aca="false">IF($AK215=0,"",INDEX('Part types'!$R:$R,$AK215))</f>
        <v>10</v>
      </c>
      <c r="J215" s="10" t="n">
        <f aca="false">IF($AK215=0,"",INDEX('Part types'!$S:$S,$AK215))</f>
        <v>4</v>
      </c>
      <c r="K215" s="11" t="s">
        <v>1208</v>
      </c>
      <c r="L215" s="11" t="s">
        <v>1223</v>
      </c>
      <c r="M215" s="11" t="str">
        <f aca="false">L215&amp;" - "&amp;N215</f>
        <v>صحن الدبرياج - عام</v>
      </c>
      <c r="N215" s="11" t="s">
        <v>72</v>
      </c>
      <c r="O215" s="11" t="s">
        <v>1210</v>
      </c>
      <c r="P215" s="10" t="n">
        <f aca="false">G215</f>
        <v>26</v>
      </c>
      <c r="Q215" s="10" t="n">
        <f aca="false">H215</f>
        <v>26</v>
      </c>
      <c r="R215" s="10" t="n">
        <f aca="false">I215</f>
        <v>10</v>
      </c>
      <c r="S215" s="10" t="n">
        <f aca="false">J215</f>
        <v>4</v>
      </c>
      <c r="T215" s="12" t="s">
        <v>1211</v>
      </c>
      <c r="U215" s="12" t="s">
        <v>1224</v>
      </c>
      <c r="V215" s="9" t="str">
        <f aca="false">U215&amp;" - "&amp;W215</f>
        <v>离合器压盘 - 通用</v>
      </c>
      <c r="W215" s="12" t="s">
        <v>76</v>
      </c>
      <c r="X215" s="12" t="s">
        <v>1213</v>
      </c>
      <c r="Y215" s="10" t="n">
        <f aca="false">G215</f>
        <v>26</v>
      </c>
      <c r="Z215" s="10" t="n">
        <f aca="false">H215</f>
        <v>26</v>
      </c>
      <c r="AA215" s="10" t="n">
        <f aca="false">I215</f>
        <v>10</v>
      </c>
      <c r="AB215" s="10" t="n">
        <f aca="false">J215</f>
        <v>4</v>
      </c>
      <c r="AC215" s="9" t="s">
        <v>1214</v>
      </c>
      <c r="AD215" s="9" t="s">
        <v>1225</v>
      </c>
      <c r="AE215" s="9" t="str">
        <f aca="false">IF($AK215=0,"",INDEX('Part types'!$T:$T,$AK215)&amp;"")</f>
        <v>Combustion engine (petrol, diesel, hybrid, range extender)</v>
      </c>
      <c r="AF215" s="9" t="str">
        <f aca="false">IF($AK215=0,"",INDEX('Part types'!$U:$U,$AK215)&amp;"")</f>
        <v/>
      </c>
      <c r="AG215" s="9" t="str">
        <f aca="false">IF($AK215=0,"",INDEX('Part types'!$V:$V,$AK215)&amp;"")</f>
        <v>Estimate: item-specific</v>
      </c>
      <c r="AH215" s="9" t="str">
        <f aca="false">IF($AK215=0,"",INDEX('Part types'!$W:$W,$AK215)&amp;"")</f>
        <v/>
      </c>
      <c r="AI215" s="11" t="str">
        <f aca="false">IF($AK215=0,"",INDEX('Part types'!$X:$X,$AK215)&amp;"")</f>
        <v>بريشر</v>
      </c>
      <c r="AJ215" s="9" t="str">
        <f aca="false">IF($AK215=0,"",INDEX('Part types'!$Y:$Y,$AK215)&amp;"")</f>
        <v/>
      </c>
      <c r="AK215" s="9" t="n">
        <f aca="false">IFERROR(MATCH($AD215,'Part types'!$E:$E,0),0)</f>
        <v>208</v>
      </c>
    </row>
    <row r="216" customFormat="false" ht="15" hidden="false" customHeight="false" outlineLevel="0" collapsed="false">
      <c r="A216" s="9" t="s">
        <v>1226</v>
      </c>
      <c r="B216" s="9" t="s">
        <v>1205</v>
      </c>
      <c r="C216" s="9" t="s">
        <v>1227</v>
      </c>
      <c r="D216" s="9" t="str">
        <f aca="false">C216&amp;" - "&amp;E216</f>
        <v>Clutch Release Bearing - Universal</v>
      </c>
      <c r="E216" s="9" t="s">
        <v>68</v>
      </c>
      <c r="F216" s="9" t="s">
        <v>1207</v>
      </c>
      <c r="G216" s="10" t="n">
        <f aca="false">IF($AK216=0,"",INDEX('Part types'!$P:$P,$AK216))</f>
        <v>15</v>
      </c>
      <c r="H216" s="10" t="n">
        <f aca="false">IF($AK216=0,"",INDEX('Part types'!$Q:$Q,$AK216))</f>
        <v>10</v>
      </c>
      <c r="I216" s="10" t="n">
        <f aca="false">IF($AK216=0,"",INDEX('Part types'!$R:$R,$AK216))</f>
        <v>8</v>
      </c>
      <c r="J216" s="10" t="n">
        <f aca="false">IF($AK216=0,"",INDEX('Part types'!$S:$S,$AK216))</f>
        <v>0.3</v>
      </c>
      <c r="K216" s="11" t="s">
        <v>1208</v>
      </c>
      <c r="L216" s="11" t="s">
        <v>1228</v>
      </c>
      <c r="M216" s="11" t="str">
        <f aca="false">L216&amp;" - "&amp;N216</f>
        <v>رولمان الدبرياج - عام</v>
      </c>
      <c r="N216" s="11" t="s">
        <v>72</v>
      </c>
      <c r="O216" s="11" t="s">
        <v>1210</v>
      </c>
      <c r="P216" s="10" t="n">
        <f aca="false">G216</f>
        <v>15</v>
      </c>
      <c r="Q216" s="10" t="n">
        <f aca="false">H216</f>
        <v>10</v>
      </c>
      <c r="R216" s="10" t="n">
        <f aca="false">I216</f>
        <v>8</v>
      </c>
      <c r="S216" s="10" t="n">
        <f aca="false">J216</f>
        <v>0.3</v>
      </c>
      <c r="T216" s="12" t="s">
        <v>1211</v>
      </c>
      <c r="U216" s="12" t="s">
        <v>1229</v>
      </c>
      <c r="V216" s="9" t="str">
        <f aca="false">U216&amp;" - "&amp;W216</f>
        <v>离合器分离轴承 - 通用</v>
      </c>
      <c r="W216" s="12" t="s">
        <v>76</v>
      </c>
      <c r="X216" s="12" t="s">
        <v>1213</v>
      </c>
      <c r="Y216" s="10" t="n">
        <f aca="false">G216</f>
        <v>15</v>
      </c>
      <c r="Z216" s="10" t="n">
        <f aca="false">H216</f>
        <v>10</v>
      </c>
      <c r="AA216" s="10" t="n">
        <f aca="false">I216</f>
        <v>8</v>
      </c>
      <c r="AB216" s="10" t="n">
        <f aca="false">J216</f>
        <v>0.3</v>
      </c>
      <c r="AC216" s="9" t="s">
        <v>1214</v>
      </c>
      <c r="AD216" s="9" t="s">
        <v>1230</v>
      </c>
      <c r="AE216" s="9" t="str">
        <f aca="false">IF($AK216=0,"",INDEX('Part types'!$T:$T,$AK216)&amp;"")</f>
        <v>Combustion engine (petrol, diesel, hybrid, range extender)</v>
      </c>
      <c r="AF216" s="9" t="str">
        <f aca="false">IF($AK216=0,"",INDEX('Part types'!$U:$U,$AK216)&amp;"")</f>
        <v/>
      </c>
      <c r="AG216" s="9" t="str">
        <f aca="false">IF($AK216=0,"",INDEX('Part types'!$V:$V,$AK216)&amp;"")</f>
        <v>Estimate: size class S</v>
      </c>
      <c r="AH216" s="9" t="str">
        <f aca="false">IF($AK216=0,"",INDEX('Part types'!$W:$W,$AK216)&amp;"")</f>
        <v/>
      </c>
      <c r="AI216" s="11" t="str">
        <f aca="false">IF($AK216=0,"",INDEX('Part types'!$X:$X,$AK216)&amp;"")</f>
        <v/>
      </c>
      <c r="AJ216" s="9" t="str">
        <f aca="false">IF($AK216=0,"",INDEX('Part types'!$Y:$Y,$AK216)&amp;"")</f>
        <v/>
      </c>
      <c r="AK216" s="9" t="n">
        <f aca="false">IFERROR(MATCH($AD216,'Part types'!$E:$E,0),0)</f>
        <v>209</v>
      </c>
    </row>
    <row r="217" customFormat="false" ht="15" hidden="false" customHeight="false" outlineLevel="0" collapsed="false">
      <c r="A217" s="9" t="s">
        <v>1231</v>
      </c>
      <c r="B217" s="9" t="s">
        <v>1205</v>
      </c>
      <c r="C217" s="9" t="s">
        <v>1232</v>
      </c>
      <c r="D217" s="9" t="str">
        <f aca="false">C217&amp;" - "&amp;E217</f>
        <v>Clutch Master Cylinder - Universal</v>
      </c>
      <c r="E217" s="9" t="s">
        <v>68</v>
      </c>
      <c r="F217" s="9" t="s">
        <v>831</v>
      </c>
      <c r="G217" s="10" t="n">
        <f aca="false">IF($AK217=0,"",INDEX('Part types'!$P:$P,$AK217))</f>
        <v>25</v>
      </c>
      <c r="H217" s="10" t="n">
        <f aca="false">IF($AK217=0,"",INDEX('Part types'!$Q:$Q,$AK217))</f>
        <v>15</v>
      </c>
      <c r="I217" s="10" t="n">
        <f aca="false">IF($AK217=0,"",INDEX('Part types'!$R:$R,$AK217))</f>
        <v>10</v>
      </c>
      <c r="J217" s="10" t="n">
        <f aca="false">IF($AK217=0,"",INDEX('Part types'!$S:$S,$AK217))</f>
        <v>0.9</v>
      </c>
      <c r="K217" s="11" t="s">
        <v>1208</v>
      </c>
      <c r="L217" s="11" t="s">
        <v>1233</v>
      </c>
      <c r="M217" s="11" t="str">
        <f aca="false">L217&amp;" - "&amp;N217</f>
        <v>طلمبة الدبرياج الرئيسية - عام</v>
      </c>
      <c r="N217" s="11" t="s">
        <v>72</v>
      </c>
      <c r="O217" s="11" t="s">
        <v>833</v>
      </c>
      <c r="P217" s="10" t="n">
        <f aca="false">G217</f>
        <v>25</v>
      </c>
      <c r="Q217" s="10" t="n">
        <f aca="false">H217</f>
        <v>15</v>
      </c>
      <c r="R217" s="10" t="n">
        <f aca="false">I217</f>
        <v>10</v>
      </c>
      <c r="S217" s="10" t="n">
        <f aca="false">J217</f>
        <v>0.9</v>
      </c>
      <c r="T217" s="12" t="s">
        <v>1211</v>
      </c>
      <c r="U217" s="12" t="s">
        <v>1234</v>
      </c>
      <c r="V217" s="9" t="str">
        <f aca="false">U217&amp;" - "&amp;W217</f>
        <v>离合器总泵 - 通用</v>
      </c>
      <c r="W217" s="12" t="s">
        <v>76</v>
      </c>
      <c r="X217" s="12" t="s">
        <v>835</v>
      </c>
      <c r="Y217" s="10" t="n">
        <f aca="false">G217</f>
        <v>25</v>
      </c>
      <c r="Z217" s="10" t="n">
        <f aca="false">H217</f>
        <v>15</v>
      </c>
      <c r="AA217" s="10" t="n">
        <f aca="false">I217</f>
        <v>10</v>
      </c>
      <c r="AB217" s="10" t="n">
        <f aca="false">J217</f>
        <v>0.9</v>
      </c>
      <c r="AC217" s="9" t="s">
        <v>1214</v>
      </c>
      <c r="AD217" s="9" t="s">
        <v>1235</v>
      </c>
      <c r="AE217" s="9" t="str">
        <f aca="false">IF($AK217=0,"",INDEX('Part types'!$T:$T,$AK217)&amp;"")</f>
        <v>Combustion engine (petrol, diesel, hybrid, range extender)</v>
      </c>
      <c r="AF217" s="9" t="str">
        <f aca="false">IF($AK217=0,"",INDEX('Part types'!$U:$U,$AK217)&amp;"")</f>
        <v/>
      </c>
      <c r="AG217" s="9" t="str">
        <f aca="false">IF($AK217=0,"",INDEX('Part types'!$V:$V,$AK217)&amp;"")</f>
        <v>Estimate: size class M</v>
      </c>
      <c r="AH217" s="9" t="str">
        <f aca="false">IF($AK217=0,"",INDEX('Part types'!$W:$W,$AK217)&amp;"")</f>
        <v/>
      </c>
      <c r="AI217" s="11" t="str">
        <f aca="false">IF($AK217=0,"",INDEX('Part types'!$X:$X,$AK217)&amp;"")</f>
        <v/>
      </c>
      <c r="AJ217" s="9" t="str">
        <f aca="false">IF($AK217=0,"",INDEX('Part types'!$Y:$Y,$AK217)&amp;"")</f>
        <v/>
      </c>
      <c r="AK217" s="9" t="n">
        <f aca="false">IFERROR(MATCH($AD217,'Part types'!$E:$E,0),0)</f>
        <v>210</v>
      </c>
    </row>
    <row r="218" customFormat="false" ht="15" hidden="false" customHeight="false" outlineLevel="0" collapsed="false">
      <c r="A218" s="9" t="s">
        <v>1236</v>
      </c>
      <c r="B218" s="9" t="s">
        <v>1205</v>
      </c>
      <c r="C218" s="9" t="s">
        <v>1237</v>
      </c>
      <c r="D218" s="9" t="str">
        <f aca="false">C218&amp;" - "&amp;E218</f>
        <v>Clutch Slave Cylinder - Universal</v>
      </c>
      <c r="E218" s="9" t="s">
        <v>68</v>
      </c>
      <c r="F218" s="9" t="s">
        <v>1207</v>
      </c>
      <c r="G218" s="10" t="n">
        <f aca="false">IF($AK218=0,"",INDEX('Part types'!$P:$P,$AK218))</f>
        <v>25</v>
      </c>
      <c r="H218" s="10" t="n">
        <f aca="false">IF($AK218=0,"",INDEX('Part types'!$Q:$Q,$AK218))</f>
        <v>15</v>
      </c>
      <c r="I218" s="10" t="n">
        <f aca="false">IF($AK218=0,"",INDEX('Part types'!$R:$R,$AK218))</f>
        <v>10</v>
      </c>
      <c r="J218" s="10" t="n">
        <f aca="false">IF($AK218=0,"",INDEX('Part types'!$S:$S,$AK218))</f>
        <v>0.9</v>
      </c>
      <c r="K218" s="11" t="s">
        <v>1208</v>
      </c>
      <c r="L218" s="11" t="s">
        <v>1238</v>
      </c>
      <c r="M218" s="11" t="str">
        <f aca="false">L218&amp;" - "&amp;N218</f>
        <v>طلمبة الدبرياج الفرعية - عام</v>
      </c>
      <c r="N218" s="11" t="s">
        <v>72</v>
      </c>
      <c r="O218" s="11" t="s">
        <v>1210</v>
      </c>
      <c r="P218" s="10" t="n">
        <f aca="false">G218</f>
        <v>25</v>
      </c>
      <c r="Q218" s="10" t="n">
        <f aca="false">H218</f>
        <v>15</v>
      </c>
      <c r="R218" s="10" t="n">
        <f aca="false">I218</f>
        <v>10</v>
      </c>
      <c r="S218" s="10" t="n">
        <f aca="false">J218</f>
        <v>0.9</v>
      </c>
      <c r="T218" s="12" t="s">
        <v>1211</v>
      </c>
      <c r="U218" s="12" t="s">
        <v>1239</v>
      </c>
      <c r="V218" s="9" t="str">
        <f aca="false">U218&amp;" - "&amp;W218</f>
        <v>离合器分泵 - 通用</v>
      </c>
      <c r="W218" s="12" t="s">
        <v>76</v>
      </c>
      <c r="X218" s="12" t="s">
        <v>1213</v>
      </c>
      <c r="Y218" s="10" t="n">
        <f aca="false">G218</f>
        <v>25</v>
      </c>
      <c r="Z218" s="10" t="n">
        <f aca="false">H218</f>
        <v>15</v>
      </c>
      <c r="AA218" s="10" t="n">
        <f aca="false">I218</f>
        <v>10</v>
      </c>
      <c r="AB218" s="10" t="n">
        <f aca="false">J218</f>
        <v>0.9</v>
      </c>
      <c r="AC218" s="9" t="s">
        <v>1214</v>
      </c>
      <c r="AD218" s="9" t="s">
        <v>1240</v>
      </c>
      <c r="AE218" s="9" t="str">
        <f aca="false">IF($AK218=0,"",INDEX('Part types'!$T:$T,$AK218)&amp;"")</f>
        <v>Combustion engine (petrol, diesel, hybrid, range extender)</v>
      </c>
      <c r="AF218" s="9" t="str">
        <f aca="false">IF($AK218=0,"",INDEX('Part types'!$U:$U,$AK218)&amp;"")</f>
        <v/>
      </c>
      <c r="AG218" s="9" t="str">
        <f aca="false">IF($AK218=0,"",INDEX('Part types'!$V:$V,$AK218)&amp;"")</f>
        <v>Estimate: size class M</v>
      </c>
      <c r="AH218" s="9" t="str">
        <f aca="false">IF($AK218=0,"",INDEX('Part types'!$W:$W,$AK218)&amp;"")</f>
        <v/>
      </c>
      <c r="AI218" s="11" t="str">
        <f aca="false">IF($AK218=0,"",INDEX('Part types'!$X:$X,$AK218)&amp;"")</f>
        <v/>
      </c>
      <c r="AJ218" s="9" t="str">
        <f aca="false">IF($AK218=0,"",INDEX('Part types'!$Y:$Y,$AK218)&amp;"")</f>
        <v/>
      </c>
      <c r="AK218" s="9" t="n">
        <f aca="false">IFERROR(MATCH($AD218,'Part types'!$E:$E,0),0)</f>
        <v>211</v>
      </c>
    </row>
    <row r="219" customFormat="false" ht="15" hidden="false" customHeight="false" outlineLevel="0" collapsed="false">
      <c r="A219" s="9" t="s">
        <v>1241</v>
      </c>
      <c r="B219" s="9" t="s">
        <v>1205</v>
      </c>
      <c r="C219" s="9" t="s">
        <v>1242</v>
      </c>
      <c r="D219" s="9" t="str">
        <f aca="false">C219&amp;" - "&amp;E219</f>
        <v>Clutch Hose - Universal</v>
      </c>
      <c r="E219" s="9" t="s">
        <v>68</v>
      </c>
      <c r="F219" s="9" t="s">
        <v>1207</v>
      </c>
      <c r="G219" s="10" t="n">
        <f aca="false">IF($AK219=0,"",INDEX('Part types'!$P:$P,$AK219))</f>
        <v>15</v>
      </c>
      <c r="H219" s="10" t="n">
        <f aca="false">IF($AK219=0,"",INDEX('Part types'!$Q:$Q,$AK219))</f>
        <v>10</v>
      </c>
      <c r="I219" s="10" t="n">
        <f aca="false">IF($AK219=0,"",INDEX('Part types'!$R:$R,$AK219))</f>
        <v>8</v>
      </c>
      <c r="J219" s="10" t="n">
        <f aca="false">IF($AK219=0,"",INDEX('Part types'!$S:$S,$AK219))</f>
        <v>0.3</v>
      </c>
      <c r="K219" s="11" t="s">
        <v>1208</v>
      </c>
      <c r="L219" s="11" t="s">
        <v>1243</v>
      </c>
      <c r="M219" s="11" t="str">
        <f aca="false">L219&amp;" - "&amp;N219</f>
        <v>خرطوم الدبرياج - عام</v>
      </c>
      <c r="N219" s="11" t="s">
        <v>72</v>
      </c>
      <c r="O219" s="11" t="s">
        <v>1210</v>
      </c>
      <c r="P219" s="10" t="n">
        <f aca="false">G219</f>
        <v>15</v>
      </c>
      <c r="Q219" s="10" t="n">
        <f aca="false">H219</f>
        <v>10</v>
      </c>
      <c r="R219" s="10" t="n">
        <f aca="false">I219</f>
        <v>8</v>
      </c>
      <c r="S219" s="10" t="n">
        <f aca="false">J219</f>
        <v>0.3</v>
      </c>
      <c r="T219" s="12" t="s">
        <v>1211</v>
      </c>
      <c r="U219" s="12" t="s">
        <v>1244</v>
      </c>
      <c r="V219" s="9" t="str">
        <f aca="false">U219&amp;" - "&amp;W219</f>
        <v>离合器油管 - 通用</v>
      </c>
      <c r="W219" s="12" t="s">
        <v>76</v>
      </c>
      <c r="X219" s="12" t="s">
        <v>1213</v>
      </c>
      <c r="Y219" s="10" t="n">
        <f aca="false">G219</f>
        <v>15</v>
      </c>
      <c r="Z219" s="10" t="n">
        <f aca="false">H219</f>
        <v>10</v>
      </c>
      <c r="AA219" s="10" t="n">
        <f aca="false">I219</f>
        <v>8</v>
      </c>
      <c r="AB219" s="10" t="n">
        <f aca="false">J219</f>
        <v>0.3</v>
      </c>
      <c r="AC219" s="9" t="s">
        <v>1214</v>
      </c>
      <c r="AD219" s="9" t="s">
        <v>1245</v>
      </c>
      <c r="AE219" s="9" t="str">
        <f aca="false">IF($AK219=0,"",INDEX('Part types'!$T:$T,$AK219)&amp;"")</f>
        <v>Combustion engine (petrol, diesel, hybrid, range extender)</v>
      </c>
      <c r="AF219" s="9" t="str">
        <f aca="false">IF($AK219=0,"",INDEX('Part types'!$U:$U,$AK219)&amp;"")</f>
        <v/>
      </c>
      <c r="AG219" s="9" t="str">
        <f aca="false">IF($AK219=0,"",INDEX('Part types'!$V:$V,$AK219)&amp;"")</f>
        <v>Estimate: size class S</v>
      </c>
      <c r="AH219" s="9" t="str">
        <f aca="false">IF($AK219=0,"",INDEX('Part types'!$W:$W,$AK219)&amp;"")</f>
        <v/>
      </c>
      <c r="AI219" s="11" t="str">
        <f aca="false">IF($AK219=0,"",INDEX('Part types'!$X:$X,$AK219)&amp;"")</f>
        <v/>
      </c>
      <c r="AJ219" s="9" t="str">
        <f aca="false">IF($AK219=0,"",INDEX('Part types'!$Y:$Y,$AK219)&amp;"")</f>
        <v/>
      </c>
      <c r="AK219" s="9" t="n">
        <f aca="false">IFERROR(MATCH($AD219,'Part types'!$E:$E,0),0)</f>
        <v>212</v>
      </c>
    </row>
    <row r="220" customFormat="false" ht="15" hidden="false" customHeight="false" outlineLevel="0" collapsed="false">
      <c r="A220" s="9" t="s">
        <v>1246</v>
      </c>
      <c r="B220" s="9" t="s">
        <v>1205</v>
      </c>
      <c r="C220" s="9" t="s">
        <v>1247</v>
      </c>
      <c r="D220" s="9" t="str">
        <f aca="false">C220&amp;" - "&amp;E220</f>
        <v>Clutch Cable - Universal</v>
      </c>
      <c r="E220" s="9" t="s">
        <v>68</v>
      </c>
      <c r="F220" s="9" t="s">
        <v>1207</v>
      </c>
      <c r="G220" s="10" t="n">
        <f aca="false">IF($AK220=0,"",INDEX('Part types'!$P:$P,$AK220))</f>
        <v>25</v>
      </c>
      <c r="H220" s="10" t="n">
        <f aca="false">IF($AK220=0,"",INDEX('Part types'!$Q:$Q,$AK220))</f>
        <v>15</v>
      </c>
      <c r="I220" s="10" t="n">
        <f aca="false">IF($AK220=0,"",INDEX('Part types'!$R:$R,$AK220))</f>
        <v>10</v>
      </c>
      <c r="J220" s="10" t="n">
        <f aca="false">IF($AK220=0,"",INDEX('Part types'!$S:$S,$AK220))</f>
        <v>0.9</v>
      </c>
      <c r="K220" s="11" t="s">
        <v>1208</v>
      </c>
      <c r="L220" s="11" t="s">
        <v>1248</v>
      </c>
      <c r="M220" s="11" t="str">
        <f aca="false">L220&amp;" - "&amp;N220</f>
        <v>كابل الدبرياج - عام</v>
      </c>
      <c r="N220" s="11" t="s">
        <v>72</v>
      </c>
      <c r="O220" s="11" t="s">
        <v>1210</v>
      </c>
      <c r="P220" s="10" t="n">
        <f aca="false">G220</f>
        <v>25</v>
      </c>
      <c r="Q220" s="10" t="n">
        <f aca="false">H220</f>
        <v>15</v>
      </c>
      <c r="R220" s="10" t="n">
        <f aca="false">I220</f>
        <v>10</v>
      </c>
      <c r="S220" s="10" t="n">
        <f aca="false">J220</f>
        <v>0.9</v>
      </c>
      <c r="T220" s="12" t="s">
        <v>1211</v>
      </c>
      <c r="U220" s="12" t="s">
        <v>1249</v>
      </c>
      <c r="V220" s="9" t="str">
        <f aca="false">U220&amp;" - "&amp;W220</f>
        <v>离合器拉线 - 通用</v>
      </c>
      <c r="W220" s="12" t="s">
        <v>76</v>
      </c>
      <c r="X220" s="12" t="s">
        <v>1213</v>
      </c>
      <c r="Y220" s="10" t="n">
        <f aca="false">G220</f>
        <v>25</v>
      </c>
      <c r="Z220" s="10" t="n">
        <f aca="false">H220</f>
        <v>15</v>
      </c>
      <c r="AA220" s="10" t="n">
        <f aca="false">I220</f>
        <v>10</v>
      </c>
      <c r="AB220" s="10" t="n">
        <f aca="false">J220</f>
        <v>0.9</v>
      </c>
      <c r="AC220" s="9" t="s">
        <v>1214</v>
      </c>
      <c r="AD220" s="9" t="s">
        <v>1250</v>
      </c>
      <c r="AE220" s="9" t="str">
        <f aca="false">IF($AK220=0,"",INDEX('Part types'!$T:$T,$AK220)&amp;"")</f>
        <v>Combustion engine (petrol, diesel, hybrid, range extender)</v>
      </c>
      <c r="AF220" s="9" t="str">
        <f aca="false">IF($AK220=0,"",INDEX('Part types'!$U:$U,$AK220)&amp;"")</f>
        <v/>
      </c>
      <c r="AG220" s="9" t="str">
        <f aca="false">IF($AK220=0,"",INDEX('Part types'!$V:$V,$AK220)&amp;"")</f>
        <v>Estimate: size class M</v>
      </c>
      <c r="AH220" s="9" t="str">
        <f aca="false">IF($AK220=0,"",INDEX('Part types'!$W:$W,$AK220)&amp;"")</f>
        <v/>
      </c>
      <c r="AI220" s="11" t="str">
        <f aca="false">IF($AK220=0,"",INDEX('Part types'!$X:$X,$AK220)&amp;"")</f>
        <v/>
      </c>
      <c r="AJ220" s="9" t="str">
        <f aca="false">IF($AK220=0,"",INDEX('Part types'!$Y:$Y,$AK220)&amp;"")</f>
        <v/>
      </c>
      <c r="AK220" s="9" t="n">
        <f aca="false">IFERROR(MATCH($AD220,'Part types'!$E:$E,0),0)</f>
        <v>213</v>
      </c>
    </row>
    <row r="221" customFormat="false" ht="15" hidden="false" customHeight="false" outlineLevel="0" collapsed="false">
      <c r="A221" s="9" t="s">
        <v>1251</v>
      </c>
      <c r="B221" s="9" t="s">
        <v>1205</v>
      </c>
      <c r="C221" s="9" t="s">
        <v>1252</v>
      </c>
      <c r="D221" s="9" t="str">
        <f aca="false">C221&amp;" - "&amp;E221</f>
        <v>Flywheel - Universal</v>
      </c>
      <c r="E221" s="9" t="s">
        <v>68</v>
      </c>
      <c r="F221" s="9" t="s">
        <v>1207</v>
      </c>
      <c r="G221" s="10" t="n">
        <f aca="false">IF($AK221=0,"",INDEX('Part types'!$P:$P,$AK221))</f>
        <v>40</v>
      </c>
      <c r="H221" s="10" t="n">
        <f aca="false">IF($AK221=0,"",INDEX('Part types'!$Q:$Q,$AK221))</f>
        <v>40</v>
      </c>
      <c r="I221" s="10" t="n">
        <f aca="false">IF($AK221=0,"",INDEX('Part types'!$R:$R,$AK221))</f>
        <v>12</v>
      </c>
      <c r="J221" s="10" t="n">
        <f aca="false">IF($AK221=0,"",INDEX('Part types'!$S:$S,$AK221))</f>
        <v>9</v>
      </c>
      <c r="K221" s="11" t="s">
        <v>1208</v>
      </c>
      <c r="L221" s="11" t="s">
        <v>1253</v>
      </c>
      <c r="M221" s="11" t="str">
        <f aca="false">L221&amp;" - "&amp;N221</f>
        <v>الفولان - عام</v>
      </c>
      <c r="N221" s="11" t="s">
        <v>72</v>
      </c>
      <c r="O221" s="11" t="s">
        <v>1210</v>
      </c>
      <c r="P221" s="10" t="n">
        <f aca="false">G221</f>
        <v>40</v>
      </c>
      <c r="Q221" s="10" t="n">
        <f aca="false">H221</f>
        <v>40</v>
      </c>
      <c r="R221" s="10" t="n">
        <f aca="false">I221</f>
        <v>12</v>
      </c>
      <c r="S221" s="10" t="n">
        <f aca="false">J221</f>
        <v>9</v>
      </c>
      <c r="T221" s="12" t="s">
        <v>1211</v>
      </c>
      <c r="U221" s="12" t="s">
        <v>1254</v>
      </c>
      <c r="V221" s="9" t="str">
        <f aca="false">U221&amp;" - "&amp;W221</f>
        <v>飞轮 - 通用</v>
      </c>
      <c r="W221" s="12" t="s">
        <v>76</v>
      </c>
      <c r="X221" s="12" t="s">
        <v>1213</v>
      </c>
      <c r="Y221" s="10" t="n">
        <f aca="false">G221</f>
        <v>40</v>
      </c>
      <c r="Z221" s="10" t="n">
        <f aca="false">H221</f>
        <v>40</v>
      </c>
      <c r="AA221" s="10" t="n">
        <f aca="false">I221</f>
        <v>12</v>
      </c>
      <c r="AB221" s="10" t="n">
        <f aca="false">J221</f>
        <v>9</v>
      </c>
      <c r="AC221" s="9" t="s">
        <v>1214</v>
      </c>
      <c r="AD221" s="9" t="s">
        <v>1255</v>
      </c>
      <c r="AE221" s="9" t="str">
        <f aca="false">IF($AK221=0,"",INDEX('Part types'!$T:$T,$AK221)&amp;"")</f>
        <v>Combustion engine (petrol, diesel, hybrid, range extender)</v>
      </c>
      <c r="AF221" s="9" t="str">
        <f aca="false">IF($AK221=0,"",INDEX('Part types'!$U:$U,$AK221)&amp;"")</f>
        <v/>
      </c>
      <c r="AG221" s="9" t="str">
        <f aca="false">IF($AK221=0,"",INDEX('Part types'!$V:$V,$AK221)&amp;"")</f>
        <v>Estimate: item-specific</v>
      </c>
      <c r="AH221" s="9" t="str">
        <f aca="false">IF($AK221=0,"",INDEX('Part types'!$W:$W,$AK221)&amp;"")</f>
        <v/>
      </c>
      <c r="AI221" s="11" t="str">
        <f aca="false">IF($AK221=0,"",INDEX('Part types'!$X:$X,$AK221)&amp;"")</f>
        <v>دولاب الموازنة</v>
      </c>
      <c r="AJ221" s="9" t="str">
        <f aca="false">IF($AK221=0,"",INDEX('Part types'!$Y:$Y,$AK221)&amp;"")</f>
        <v/>
      </c>
      <c r="AK221" s="9" t="n">
        <f aca="false">IFERROR(MATCH($AD221,'Part types'!$E:$E,0),0)</f>
        <v>214</v>
      </c>
    </row>
    <row r="222" customFormat="false" ht="15" hidden="false" customHeight="false" outlineLevel="0" collapsed="false">
      <c r="A222" s="9" t="s">
        <v>1256</v>
      </c>
      <c r="B222" s="9" t="s">
        <v>1205</v>
      </c>
      <c r="C222" s="9" t="s">
        <v>1257</v>
      </c>
      <c r="D222" s="9" t="str">
        <f aca="false">C222&amp;" - "&amp;E222</f>
        <v>Dual Mass Flywheel - Universal</v>
      </c>
      <c r="E222" s="9" t="s">
        <v>68</v>
      </c>
      <c r="F222" s="9" t="s">
        <v>1207</v>
      </c>
      <c r="G222" s="10" t="n">
        <f aca="false">IF($AK222=0,"",INDEX('Part types'!$P:$P,$AK222))</f>
        <v>40</v>
      </c>
      <c r="H222" s="10" t="n">
        <f aca="false">IF($AK222=0,"",INDEX('Part types'!$Q:$Q,$AK222))</f>
        <v>40</v>
      </c>
      <c r="I222" s="10" t="n">
        <f aca="false">IF($AK222=0,"",INDEX('Part types'!$R:$R,$AK222))</f>
        <v>15</v>
      </c>
      <c r="J222" s="10" t="n">
        <f aca="false">IF($AK222=0,"",INDEX('Part types'!$S:$S,$AK222))</f>
        <v>12</v>
      </c>
      <c r="K222" s="11" t="s">
        <v>1208</v>
      </c>
      <c r="L222" s="11" t="s">
        <v>1258</v>
      </c>
      <c r="M222" s="11" t="str">
        <f aca="false">L222&amp;" - "&amp;N222</f>
        <v>فولان مزدوج الكتلة - عام</v>
      </c>
      <c r="N222" s="11" t="s">
        <v>72</v>
      </c>
      <c r="O222" s="11" t="s">
        <v>1210</v>
      </c>
      <c r="P222" s="10" t="n">
        <f aca="false">G222</f>
        <v>40</v>
      </c>
      <c r="Q222" s="10" t="n">
        <f aca="false">H222</f>
        <v>40</v>
      </c>
      <c r="R222" s="10" t="n">
        <f aca="false">I222</f>
        <v>15</v>
      </c>
      <c r="S222" s="10" t="n">
        <f aca="false">J222</f>
        <v>12</v>
      </c>
      <c r="T222" s="12" t="s">
        <v>1211</v>
      </c>
      <c r="U222" s="12" t="s">
        <v>1259</v>
      </c>
      <c r="V222" s="9" t="str">
        <f aca="false">U222&amp;" - "&amp;W222</f>
        <v>双质量飞轮 - 通用</v>
      </c>
      <c r="W222" s="12" t="s">
        <v>76</v>
      </c>
      <c r="X222" s="12" t="s">
        <v>1213</v>
      </c>
      <c r="Y222" s="10" t="n">
        <f aca="false">G222</f>
        <v>40</v>
      </c>
      <c r="Z222" s="10" t="n">
        <f aca="false">H222</f>
        <v>40</v>
      </c>
      <c r="AA222" s="10" t="n">
        <f aca="false">I222</f>
        <v>15</v>
      </c>
      <c r="AB222" s="10" t="n">
        <f aca="false">J222</f>
        <v>12</v>
      </c>
      <c r="AC222" s="9" t="s">
        <v>1214</v>
      </c>
      <c r="AD222" s="9" t="s">
        <v>1260</v>
      </c>
      <c r="AE222" s="9" t="str">
        <f aca="false">IF($AK222=0,"",INDEX('Part types'!$T:$T,$AK222)&amp;"")</f>
        <v>Combustion engine (petrol, diesel, hybrid, range extender)</v>
      </c>
      <c r="AF222" s="9" t="str">
        <f aca="false">IF($AK222=0,"",INDEX('Part types'!$U:$U,$AK222)&amp;"")</f>
        <v/>
      </c>
      <c r="AG222" s="9" t="str">
        <f aca="false">IF($AK222=0,"",INDEX('Part types'!$V:$V,$AK222)&amp;"")</f>
        <v>Estimate: item-specific</v>
      </c>
      <c r="AH222" s="9" t="str">
        <f aca="false">IF($AK222=0,"",INDEX('Part types'!$W:$W,$AK222)&amp;"")</f>
        <v/>
      </c>
      <c r="AI222" s="11" t="str">
        <f aca="false">IF($AK222=0,"",INDEX('Part types'!$X:$X,$AK222)&amp;"")</f>
        <v/>
      </c>
      <c r="AJ222" s="9" t="str">
        <f aca="false">IF($AK222=0,"",INDEX('Part types'!$Y:$Y,$AK222)&amp;"")</f>
        <v/>
      </c>
      <c r="AK222" s="9" t="n">
        <f aca="false">IFERROR(MATCH($AD222,'Part types'!$E:$E,0),0)</f>
        <v>215</v>
      </c>
    </row>
    <row r="223" customFormat="false" ht="15" hidden="false" customHeight="false" outlineLevel="0" collapsed="false">
      <c r="A223" s="9" t="s">
        <v>1261</v>
      </c>
      <c r="B223" s="9" t="s">
        <v>1205</v>
      </c>
      <c r="C223" s="9" t="s">
        <v>1262</v>
      </c>
      <c r="D223" s="9" t="str">
        <f aca="false">C223&amp;" - "&amp;E223</f>
        <v>Flexplate - Universal</v>
      </c>
      <c r="E223" s="9" t="s">
        <v>68</v>
      </c>
      <c r="F223" s="9" t="s">
        <v>1207</v>
      </c>
      <c r="G223" s="10" t="n">
        <f aca="false">IF($AK223=0,"",INDEX('Part types'!$P:$P,$AK223))</f>
        <v>40</v>
      </c>
      <c r="H223" s="10" t="n">
        <f aca="false">IF($AK223=0,"",INDEX('Part types'!$Q:$Q,$AK223))</f>
        <v>40</v>
      </c>
      <c r="I223" s="10" t="n">
        <f aca="false">IF($AK223=0,"",INDEX('Part types'!$R:$R,$AK223))</f>
        <v>6</v>
      </c>
      <c r="J223" s="10" t="n">
        <f aca="false">IF($AK223=0,"",INDEX('Part types'!$S:$S,$AK223))</f>
        <v>3</v>
      </c>
      <c r="K223" s="11" t="s">
        <v>1208</v>
      </c>
      <c r="L223" s="11" t="s">
        <v>1263</v>
      </c>
      <c r="M223" s="11" t="str">
        <f aca="false">L223&amp;" - "&amp;N223</f>
        <v>قرص الدفع المرن - عام</v>
      </c>
      <c r="N223" s="11" t="s">
        <v>72</v>
      </c>
      <c r="O223" s="11" t="s">
        <v>1210</v>
      </c>
      <c r="P223" s="10" t="n">
        <f aca="false">G223</f>
        <v>40</v>
      </c>
      <c r="Q223" s="10" t="n">
        <f aca="false">H223</f>
        <v>40</v>
      </c>
      <c r="R223" s="10" t="n">
        <f aca="false">I223</f>
        <v>6</v>
      </c>
      <c r="S223" s="10" t="n">
        <f aca="false">J223</f>
        <v>3</v>
      </c>
      <c r="T223" s="12" t="s">
        <v>1211</v>
      </c>
      <c r="U223" s="12" t="s">
        <v>1264</v>
      </c>
      <c r="V223" s="9" t="str">
        <f aca="false">U223&amp;" - "&amp;W223</f>
        <v>柔性飞轮盘 - 通用</v>
      </c>
      <c r="W223" s="12" t="s">
        <v>76</v>
      </c>
      <c r="X223" s="12" t="s">
        <v>1213</v>
      </c>
      <c r="Y223" s="10" t="n">
        <f aca="false">G223</f>
        <v>40</v>
      </c>
      <c r="Z223" s="10" t="n">
        <f aca="false">H223</f>
        <v>40</v>
      </c>
      <c r="AA223" s="10" t="n">
        <f aca="false">I223</f>
        <v>6</v>
      </c>
      <c r="AB223" s="10" t="n">
        <f aca="false">J223</f>
        <v>3</v>
      </c>
      <c r="AC223" s="9" t="s">
        <v>1214</v>
      </c>
      <c r="AD223" s="9" t="s">
        <v>1265</v>
      </c>
      <c r="AE223" s="9" t="str">
        <f aca="false">IF($AK223=0,"",INDEX('Part types'!$T:$T,$AK223)&amp;"")</f>
        <v>Combustion engine (petrol, diesel, hybrid, range extender)</v>
      </c>
      <c r="AF223" s="9" t="str">
        <f aca="false">IF($AK223=0,"",INDEX('Part types'!$U:$U,$AK223)&amp;"")</f>
        <v/>
      </c>
      <c r="AG223" s="9" t="str">
        <f aca="false">IF($AK223=0,"",INDEX('Part types'!$V:$V,$AK223)&amp;"")</f>
        <v>Estimate: item-specific</v>
      </c>
      <c r="AH223" s="9" t="str">
        <f aca="false">IF($AK223=0,"",INDEX('Part types'!$W:$W,$AK223)&amp;"")</f>
        <v/>
      </c>
      <c r="AI223" s="11" t="str">
        <f aca="false">IF($AK223=0,"",INDEX('Part types'!$X:$X,$AK223)&amp;"")</f>
        <v>فليكسبليت</v>
      </c>
      <c r="AJ223" s="9" t="str">
        <f aca="false">IF($AK223=0,"",INDEX('Part types'!$Y:$Y,$AK223)&amp;"")</f>
        <v/>
      </c>
      <c r="AK223" s="9" t="n">
        <f aca="false">IFERROR(MATCH($AD223,'Part types'!$E:$E,0),0)</f>
        <v>216</v>
      </c>
    </row>
    <row r="224" customFormat="false" ht="15" hidden="false" customHeight="false" outlineLevel="0" collapsed="false">
      <c r="A224" s="9" t="s">
        <v>1266</v>
      </c>
      <c r="B224" s="9" t="s">
        <v>1205</v>
      </c>
      <c r="C224" s="9" t="s">
        <v>1267</v>
      </c>
      <c r="D224" s="9" t="str">
        <f aca="false">C224&amp;" - "&amp;E224</f>
        <v>Torque Converter - Universal</v>
      </c>
      <c r="E224" s="9" t="s">
        <v>68</v>
      </c>
      <c r="F224" s="9" t="s">
        <v>926</v>
      </c>
      <c r="G224" s="10" t="n">
        <f aca="false">IF($AK224=0,"",INDEX('Part types'!$P:$P,$AK224))</f>
        <v>40</v>
      </c>
      <c r="H224" s="10" t="n">
        <f aca="false">IF($AK224=0,"",INDEX('Part types'!$Q:$Q,$AK224))</f>
        <v>40</v>
      </c>
      <c r="I224" s="10" t="n">
        <f aca="false">IF($AK224=0,"",INDEX('Part types'!$R:$R,$AK224))</f>
        <v>25</v>
      </c>
      <c r="J224" s="10" t="n">
        <f aca="false">IF($AK224=0,"",INDEX('Part types'!$S:$S,$AK224))</f>
        <v>14</v>
      </c>
      <c r="K224" s="11" t="s">
        <v>1208</v>
      </c>
      <c r="L224" s="11" t="s">
        <v>1268</v>
      </c>
      <c r="M224" s="11" t="str">
        <f aca="false">L224&amp;" - "&amp;N224</f>
        <v>محول العزم - عام</v>
      </c>
      <c r="N224" s="11" t="s">
        <v>72</v>
      </c>
      <c r="O224" s="11" t="s">
        <v>928</v>
      </c>
      <c r="P224" s="10" t="n">
        <f aca="false">G224</f>
        <v>40</v>
      </c>
      <c r="Q224" s="10" t="n">
        <f aca="false">H224</f>
        <v>40</v>
      </c>
      <c r="R224" s="10" t="n">
        <f aca="false">I224</f>
        <v>25</v>
      </c>
      <c r="S224" s="10" t="n">
        <f aca="false">J224</f>
        <v>14</v>
      </c>
      <c r="T224" s="12" t="s">
        <v>1211</v>
      </c>
      <c r="U224" s="12" t="s">
        <v>1269</v>
      </c>
      <c r="V224" s="9" t="str">
        <f aca="false">U224&amp;" - "&amp;W224</f>
        <v>液力变矩器 - 通用</v>
      </c>
      <c r="W224" s="12" t="s">
        <v>76</v>
      </c>
      <c r="X224" s="12" t="s">
        <v>930</v>
      </c>
      <c r="Y224" s="10" t="n">
        <f aca="false">G224</f>
        <v>40</v>
      </c>
      <c r="Z224" s="10" t="n">
        <f aca="false">H224</f>
        <v>40</v>
      </c>
      <c r="AA224" s="10" t="n">
        <f aca="false">I224</f>
        <v>25</v>
      </c>
      <c r="AB224" s="10" t="n">
        <f aca="false">J224</f>
        <v>14</v>
      </c>
      <c r="AC224" s="9" t="s">
        <v>1214</v>
      </c>
      <c r="AD224" s="9" t="s">
        <v>1270</v>
      </c>
      <c r="AE224" s="9" t="str">
        <f aca="false">IF($AK224=0,"",INDEX('Part types'!$T:$T,$AK224)&amp;"")</f>
        <v>Combustion engine (petrol, diesel, hybrid, range extender)</v>
      </c>
      <c r="AF224" s="9" t="str">
        <f aca="false">IF($AK224=0,"",INDEX('Part types'!$U:$U,$AK224)&amp;"")</f>
        <v/>
      </c>
      <c r="AG224" s="9" t="str">
        <f aca="false">IF($AK224=0,"",INDEX('Part types'!$V:$V,$AK224)&amp;"")</f>
        <v>Estimate: item-specific</v>
      </c>
      <c r="AH224" s="9" t="str">
        <f aca="false">IF($AK224=0,"",INDEX('Part types'!$W:$W,$AK224)&amp;"")</f>
        <v/>
      </c>
      <c r="AI224" s="11" t="str">
        <f aca="false">IF($AK224=0,"",INDEX('Part types'!$X:$X,$AK224)&amp;"")</f>
        <v/>
      </c>
      <c r="AJ224" s="9" t="str">
        <f aca="false">IF($AK224=0,"",INDEX('Part types'!$Y:$Y,$AK224)&amp;"")</f>
        <v/>
      </c>
      <c r="AK224" s="9" t="n">
        <f aca="false">IFERROR(MATCH($AD224,'Part types'!$E:$E,0),0)</f>
        <v>217</v>
      </c>
    </row>
    <row r="225" customFormat="false" ht="15" hidden="false" customHeight="false" outlineLevel="0" collapsed="false">
      <c r="A225" s="9" t="s">
        <v>1271</v>
      </c>
      <c r="B225" s="9" t="s">
        <v>1205</v>
      </c>
      <c r="C225" s="9" t="s">
        <v>1272</v>
      </c>
      <c r="D225" s="9" t="str">
        <f aca="false">C225&amp;" - "&amp;E225</f>
        <v>DCT Clutch Pack - Universal</v>
      </c>
      <c r="E225" s="9" t="s">
        <v>68</v>
      </c>
      <c r="F225" s="9" t="s">
        <v>1207</v>
      </c>
      <c r="G225" s="10" t="n">
        <f aca="false">IF($AK225=0,"",INDEX('Part types'!$P:$P,$AK225))</f>
        <v>30</v>
      </c>
      <c r="H225" s="10" t="n">
        <f aca="false">IF($AK225=0,"",INDEX('Part types'!$Q:$Q,$AK225))</f>
        <v>30</v>
      </c>
      <c r="I225" s="10" t="n">
        <f aca="false">IF($AK225=0,"",INDEX('Part types'!$R:$R,$AK225))</f>
        <v>15</v>
      </c>
      <c r="J225" s="10" t="n">
        <f aca="false">IF($AK225=0,"",INDEX('Part types'!$S:$S,$AK225))</f>
        <v>8</v>
      </c>
      <c r="K225" s="11" t="s">
        <v>1208</v>
      </c>
      <c r="L225" s="11" t="s">
        <v>1273</v>
      </c>
      <c r="M225" s="11" t="str">
        <f aca="false">L225&amp;" - "&amp;N225</f>
        <v>طقم قابض DCT المزدوج - عام</v>
      </c>
      <c r="N225" s="11" t="s">
        <v>72</v>
      </c>
      <c r="O225" s="11" t="s">
        <v>1210</v>
      </c>
      <c r="P225" s="10" t="n">
        <f aca="false">G225</f>
        <v>30</v>
      </c>
      <c r="Q225" s="10" t="n">
        <f aca="false">H225</f>
        <v>30</v>
      </c>
      <c r="R225" s="10" t="n">
        <f aca="false">I225</f>
        <v>15</v>
      </c>
      <c r="S225" s="10" t="n">
        <f aca="false">J225</f>
        <v>8</v>
      </c>
      <c r="T225" s="12" t="s">
        <v>1211</v>
      </c>
      <c r="U225" s="12" t="s">
        <v>1274</v>
      </c>
      <c r="V225" s="9" t="str">
        <f aca="false">U225&amp;" - "&amp;W225</f>
        <v>双离合器总成 - 通用</v>
      </c>
      <c r="W225" s="12" t="s">
        <v>76</v>
      </c>
      <c r="X225" s="12" t="s">
        <v>1213</v>
      </c>
      <c r="Y225" s="10" t="n">
        <f aca="false">G225</f>
        <v>30</v>
      </c>
      <c r="Z225" s="10" t="n">
        <f aca="false">H225</f>
        <v>30</v>
      </c>
      <c r="AA225" s="10" t="n">
        <f aca="false">I225</f>
        <v>15</v>
      </c>
      <c r="AB225" s="10" t="n">
        <f aca="false">J225</f>
        <v>8</v>
      </c>
      <c r="AC225" s="9" t="s">
        <v>1214</v>
      </c>
      <c r="AD225" s="9" t="s">
        <v>1275</v>
      </c>
      <c r="AE225" s="9" t="str">
        <f aca="false">IF($AK225=0,"",INDEX('Part types'!$T:$T,$AK225)&amp;"")</f>
        <v>Combustion engine (petrol, diesel, hybrid, range extender)</v>
      </c>
      <c r="AF225" s="9" t="str">
        <f aca="false">IF($AK225=0,"",INDEX('Part types'!$U:$U,$AK225)&amp;"")</f>
        <v/>
      </c>
      <c r="AG225" s="9" t="str">
        <f aca="false">IF($AK225=0,"",INDEX('Part types'!$V:$V,$AK225)&amp;"")</f>
        <v>Estimate: item-specific</v>
      </c>
      <c r="AH225" s="9" t="str">
        <f aca="false">IF($AK225=0,"",INDEX('Part types'!$W:$W,$AK225)&amp;"")</f>
        <v>DCT Dual Clutch Pack</v>
      </c>
      <c r="AI225" s="11" t="str">
        <f aca="false">IF($AK225=0,"",INDEX('Part types'!$X:$X,$AK225)&amp;"")</f>
        <v/>
      </c>
      <c r="AJ225" s="9" t="str">
        <f aca="false">IF($AK225=0,"",INDEX('Part types'!$Y:$Y,$AK225)&amp;"")</f>
        <v/>
      </c>
      <c r="AK225" s="9" t="n">
        <f aca="false">IFERROR(MATCH($AD225,'Part types'!$E:$E,0),0)</f>
        <v>218</v>
      </c>
    </row>
    <row r="226" customFormat="false" ht="15" hidden="false" customHeight="false" outlineLevel="0" collapsed="false">
      <c r="A226" s="9" t="s">
        <v>1276</v>
      </c>
      <c r="B226" s="9" t="s">
        <v>1277</v>
      </c>
      <c r="C226" s="9" t="s">
        <v>1278</v>
      </c>
      <c r="D226" s="9" t="str">
        <f aca="false">C226&amp;" - "&amp;E226</f>
        <v>Drive Shaft - Universal</v>
      </c>
      <c r="E226" s="9" t="s">
        <v>68</v>
      </c>
      <c r="F226" s="9" t="s">
        <v>1277</v>
      </c>
      <c r="G226" s="10" t="n">
        <f aca="false">IF($AK226=0,"",INDEX('Part types'!$P:$P,$AK226))</f>
        <v>150</v>
      </c>
      <c r="H226" s="10" t="n">
        <f aca="false">IF($AK226=0,"",INDEX('Part types'!$Q:$Q,$AK226))</f>
        <v>15</v>
      </c>
      <c r="I226" s="10" t="n">
        <f aca="false">IF($AK226=0,"",INDEX('Part types'!$R:$R,$AK226))</f>
        <v>15</v>
      </c>
      <c r="J226" s="10" t="n">
        <f aca="false">IF($AK226=0,"",INDEX('Part types'!$S:$S,$AK226))</f>
        <v>12</v>
      </c>
      <c r="K226" s="11" t="s">
        <v>1279</v>
      </c>
      <c r="L226" s="11" t="s">
        <v>1280</v>
      </c>
      <c r="M226" s="11" t="str">
        <f aca="false">L226&amp;" - "&amp;N226</f>
        <v>عمود الكردان - عام</v>
      </c>
      <c r="N226" s="11" t="s">
        <v>72</v>
      </c>
      <c r="O226" s="11" t="s">
        <v>1281</v>
      </c>
      <c r="P226" s="10" t="n">
        <f aca="false">G226</f>
        <v>150</v>
      </c>
      <c r="Q226" s="10" t="n">
        <f aca="false">H226</f>
        <v>15</v>
      </c>
      <c r="R226" s="10" t="n">
        <f aca="false">I226</f>
        <v>15</v>
      </c>
      <c r="S226" s="10" t="n">
        <f aca="false">J226</f>
        <v>12</v>
      </c>
      <c r="T226" s="12" t="s">
        <v>1282</v>
      </c>
      <c r="U226" s="12" t="s">
        <v>1283</v>
      </c>
      <c r="V226" s="9" t="str">
        <f aca="false">U226&amp;" - "&amp;W226</f>
        <v>传动轴 - 通用</v>
      </c>
      <c r="W226" s="12" t="s">
        <v>76</v>
      </c>
      <c r="X226" s="12" t="s">
        <v>1284</v>
      </c>
      <c r="Y226" s="10" t="n">
        <f aca="false">G226</f>
        <v>150</v>
      </c>
      <c r="Z226" s="10" t="n">
        <f aca="false">H226</f>
        <v>15</v>
      </c>
      <c r="AA226" s="10" t="n">
        <f aca="false">I226</f>
        <v>15</v>
      </c>
      <c r="AB226" s="10" t="n">
        <f aca="false">J226</f>
        <v>12</v>
      </c>
      <c r="AC226" s="9" t="s">
        <v>1285</v>
      </c>
      <c r="AD226" s="9" t="s">
        <v>1286</v>
      </c>
      <c r="AE226" s="9" t="str">
        <f aca="false">IF($AK226=0,"",INDEX('Part types'!$T:$T,$AK226)&amp;"")</f>
        <v>Combustion engine (petrol, diesel, hybrid, range extender)</v>
      </c>
      <c r="AF226" s="9" t="str">
        <f aca="false">IF($AK226=0,"",INDEX('Part types'!$U:$U,$AK226)&amp;"")</f>
        <v>Oversized (over 120 cm)</v>
      </c>
      <c r="AG226" s="9" t="str">
        <f aca="false">IF($AK226=0,"",INDEX('Part types'!$V:$V,$AK226)&amp;"")</f>
        <v>Estimate: item-specific</v>
      </c>
      <c r="AH226" s="9" t="str">
        <f aca="false">IF($AK226=0,"",INDEX('Part types'!$W:$W,$AK226)&amp;"")</f>
        <v>Propeller Shaft</v>
      </c>
      <c r="AI226" s="11" t="str">
        <f aca="false">IF($AK226=0,"",INDEX('Part types'!$X:$X,$AK226)&amp;"")</f>
        <v/>
      </c>
      <c r="AJ226" s="9" t="str">
        <f aca="false">IF($AK226=0,"",INDEX('Part types'!$Y:$Y,$AK226)&amp;"")</f>
        <v/>
      </c>
      <c r="AK226" s="9" t="n">
        <f aca="false">IFERROR(MATCH($AD226,'Part types'!$E:$E,0),0)</f>
        <v>219</v>
      </c>
    </row>
    <row r="227" customFormat="false" ht="15" hidden="false" customHeight="false" outlineLevel="0" collapsed="false">
      <c r="A227" s="9" t="s">
        <v>1287</v>
      </c>
      <c r="B227" s="9" t="s">
        <v>1277</v>
      </c>
      <c r="C227" s="9" t="s">
        <v>1288</v>
      </c>
      <c r="D227" s="9" t="str">
        <f aca="false">C227&amp;" - "&amp;E227</f>
        <v>Shaft Center Bearing - Universal</v>
      </c>
      <c r="E227" s="9" t="s">
        <v>68</v>
      </c>
      <c r="F227" s="9" t="s">
        <v>1277</v>
      </c>
      <c r="G227" s="10" t="n">
        <f aca="false">IF($AK227=0,"",INDEX('Part types'!$P:$P,$AK227))</f>
        <v>25</v>
      </c>
      <c r="H227" s="10" t="n">
        <f aca="false">IF($AK227=0,"",INDEX('Part types'!$Q:$Q,$AK227))</f>
        <v>15</v>
      </c>
      <c r="I227" s="10" t="n">
        <f aca="false">IF($AK227=0,"",INDEX('Part types'!$R:$R,$AK227))</f>
        <v>10</v>
      </c>
      <c r="J227" s="10" t="n">
        <f aca="false">IF($AK227=0,"",INDEX('Part types'!$S:$S,$AK227))</f>
        <v>0.9</v>
      </c>
      <c r="K227" s="11" t="s">
        <v>1279</v>
      </c>
      <c r="L227" s="11" t="s">
        <v>1289</v>
      </c>
      <c r="M227" s="11" t="str">
        <f aca="false">L227&amp;" - "&amp;N227</f>
        <v>رولمان الكردان الأوسط - عام</v>
      </c>
      <c r="N227" s="11" t="s">
        <v>72</v>
      </c>
      <c r="O227" s="11" t="s">
        <v>1281</v>
      </c>
      <c r="P227" s="10" t="n">
        <f aca="false">G227</f>
        <v>25</v>
      </c>
      <c r="Q227" s="10" t="n">
        <f aca="false">H227</f>
        <v>15</v>
      </c>
      <c r="R227" s="10" t="n">
        <f aca="false">I227</f>
        <v>10</v>
      </c>
      <c r="S227" s="10" t="n">
        <f aca="false">J227</f>
        <v>0.9</v>
      </c>
      <c r="T227" s="12" t="s">
        <v>1282</v>
      </c>
      <c r="U227" s="12" t="s">
        <v>1290</v>
      </c>
      <c r="V227" s="9" t="str">
        <f aca="false">U227&amp;" - "&amp;W227</f>
        <v>传动轴中间支撑轴承 - 通用</v>
      </c>
      <c r="W227" s="12" t="s">
        <v>76</v>
      </c>
      <c r="X227" s="12" t="s">
        <v>1284</v>
      </c>
      <c r="Y227" s="10" t="n">
        <f aca="false">G227</f>
        <v>25</v>
      </c>
      <c r="Z227" s="10" t="n">
        <f aca="false">H227</f>
        <v>15</v>
      </c>
      <c r="AA227" s="10" t="n">
        <f aca="false">I227</f>
        <v>10</v>
      </c>
      <c r="AB227" s="10" t="n">
        <f aca="false">J227</f>
        <v>0.9</v>
      </c>
      <c r="AC227" s="9" t="s">
        <v>1285</v>
      </c>
      <c r="AD227" s="9" t="s">
        <v>1291</v>
      </c>
      <c r="AE227" s="9" t="str">
        <f aca="false">IF($AK227=0,"",INDEX('Part types'!$T:$T,$AK227)&amp;"")</f>
        <v>Combustion engine (petrol, diesel, hybrid, range extender)</v>
      </c>
      <c r="AF227" s="9" t="str">
        <f aca="false">IF($AK227=0,"",INDEX('Part types'!$U:$U,$AK227)&amp;"")</f>
        <v/>
      </c>
      <c r="AG227" s="9" t="str">
        <f aca="false">IF($AK227=0,"",INDEX('Part types'!$V:$V,$AK227)&amp;"")</f>
        <v>Estimate: size class M</v>
      </c>
      <c r="AH227" s="9" t="str">
        <f aca="false">IF($AK227=0,"",INDEX('Part types'!$W:$W,$AK227)&amp;"")</f>
        <v>Drive Shaft Center Bearing</v>
      </c>
      <c r="AI227" s="11" t="str">
        <f aca="false">IF($AK227=0,"",INDEX('Part types'!$X:$X,$AK227)&amp;"")</f>
        <v/>
      </c>
      <c r="AJ227" s="9" t="str">
        <f aca="false">IF($AK227=0,"",INDEX('Part types'!$Y:$Y,$AK227)&amp;"")</f>
        <v/>
      </c>
      <c r="AK227" s="9" t="n">
        <f aca="false">IFERROR(MATCH($AD227,'Part types'!$E:$E,0),0)</f>
        <v>220</v>
      </c>
    </row>
    <row r="228" customFormat="false" ht="15" hidden="false" customHeight="false" outlineLevel="0" collapsed="false">
      <c r="A228" s="9" t="s">
        <v>1292</v>
      </c>
      <c r="B228" s="9" t="s">
        <v>1277</v>
      </c>
      <c r="C228" s="9" t="s">
        <v>1293</v>
      </c>
      <c r="D228" s="9" t="str">
        <f aca="false">C228&amp;" - "&amp;E228</f>
        <v>Universal Joint - Universal</v>
      </c>
      <c r="E228" s="9" t="s">
        <v>68</v>
      </c>
      <c r="F228" s="9" t="s">
        <v>1277</v>
      </c>
      <c r="G228" s="10" t="n">
        <f aca="false">IF($AK228=0,"",INDEX('Part types'!$P:$P,$AK228))</f>
        <v>15</v>
      </c>
      <c r="H228" s="10" t="n">
        <f aca="false">IF($AK228=0,"",INDEX('Part types'!$Q:$Q,$AK228))</f>
        <v>10</v>
      </c>
      <c r="I228" s="10" t="n">
        <f aca="false">IF($AK228=0,"",INDEX('Part types'!$R:$R,$AK228))</f>
        <v>8</v>
      </c>
      <c r="J228" s="10" t="n">
        <f aca="false">IF($AK228=0,"",INDEX('Part types'!$S:$S,$AK228))</f>
        <v>0.3</v>
      </c>
      <c r="K228" s="11" t="s">
        <v>1279</v>
      </c>
      <c r="L228" s="11" t="s">
        <v>1294</v>
      </c>
      <c r="M228" s="11" t="str">
        <f aca="false">L228&amp;" - "&amp;N228</f>
        <v>وصلة كردان - عام</v>
      </c>
      <c r="N228" s="11" t="s">
        <v>72</v>
      </c>
      <c r="O228" s="11" t="s">
        <v>1281</v>
      </c>
      <c r="P228" s="10" t="n">
        <f aca="false">G228</f>
        <v>15</v>
      </c>
      <c r="Q228" s="10" t="n">
        <f aca="false">H228</f>
        <v>10</v>
      </c>
      <c r="R228" s="10" t="n">
        <f aca="false">I228</f>
        <v>8</v>
      </c>
      <c r="S228" s="10" t="n">
        <f aca="false">J228</f>
        <v>0.3</v>
      </c>
      <c r="T228" s="12" t="s">
        <v>1282</v>
      </c>
      <c r="U228" s="12" t="s">
        <v>1295</v>
      </c>
      <c r="V228" s="9" t="str">
        <f aca="false">U228&amp;" - "&amp;W228</f>
        <v>万向节 - 通用</v>
      </c>
      <c r="W228" s="12" t="s">
        <v>76</v>
      </c>
      <c r="X228" s="12" t="s">
        <v>1284</v>
      </c>
      <c r="Y228" s="10" t="n">
        <f aca="false">G228</f>
        <v>15</v>
      </c>
      <c r="Z228" s="10" t="n">
        <f aca="false">H228</f>
        <v>10</v>
      </c>
      <c r="AA228" s="10" t="n">
        <f aca="false">I228</f>
        <v>8</v>
      </c>
      <c r="AB228" s="10" t="n">
        <f aca="false">J228</f>
        <v>0.3</v>
      </c>
      <c r="AC228" s="9" t="s">
        <v>1285</v>
      </c>
      <c r="AD228" s="9" t="s">
        <v>1296</v>
      </c>
      <c r="AE228" s="9" t="str">
        <f aca="false">IF($AK228=0,"",INDEX('Part types'!$T:$T,$AK228)&amp;"")</f>
        <v>Combustion engine (petrol, diesel, hybrid, range extender)</v>
      </c>
      <c r="AF228" s="9" t="str">
        <f aca="false">IF($AK228=0,"",INDEX('Part types'!$U:$U,$AK228)&amp;"")</f>
        <v/>
      </c>
      <c r="AG228" s="9" t="str">
        <f aca="false">IF($AK228=0,"",INDEX('Part types'!$V:$V,$AK228)&amp;"")</f>
        <v>Estimate: size class S</v>
      </c>
      <c r="AH228" s="9" t="str">
        <f aca="false">IF($AK228=0,"",INDEX('Part types'!$W:$W,$AK228)&amp;"")</f>
        <v>U-Joint</v>
      </c>
      <c r="AI228" s="11" t="str">
        <f aca="false">IF($AK228=0,"",INDEX('Part types'!$X:$X,$AK228)&amp;"")</f>
        <v>يونيفرسال</v>
      </c>
      <c r="AJ228" s="9" t="str">
        <f aca="false">IF($AK228=0,"",INDEX('Part types'!$Y:$Y,$AK228)&amp;"")</f>
        <v>十字轴</v>
      </c>
      <c r="AK228" s="9" t="n">
        <f aca="false">IFERROR(MATCH($AD228,'Part types'!$E:$E,0),0)</f>
        <v>221</v>
      </c>
    </row>
    <row r="229" customFormat="false" ht="15" hidden="false" customHeight="false" outlineLevel="0" collapsed="false">
      <c r="A229" s="9" t="s">
        <v>1297</v>
      </c>
      <c r="B229" s="9" t="s">
        <v>1277</v>
      </c>
      <c r="C229" s="9" t="s">
        <v>1298</v>
      </c>
      <c r="D229" s="9" t="str">
        <f aca="false">C229&amp;" - "&amp;E229</f>
        <v>Differential Assembly - Front</v>
      </c>
      <c r="E229" s="9" t="s">
        <v>161</v>
      </c>
      <c r="F229" s="9" t="s">
        <v>1277</v>
      </c>
      <c r="G229" s="10" t="n">
        <f aca="false">IF($AK229=0,"",INDEX('Part types'!$P:$P,$AK229))</f>
        <v>40</v>
      </c>
      <c r="H229" s="10" t="n">
        <f aca="false">IF($AK229=0,"",INDEX('Part types'!$Q:$Q,$AK229))</f>
        <v>35</v>
      </c>
      <c r="I229" s="10" t="n">
        <f aca="false">IF($AK229=0,"",INDEX('Part types'!$R:$R,$AK229))</f>
        <v>30</v>
      </c>
      <c r="J229" s="10" t="n">
        <f aca="false">IF($AK229=0,"",INDEX('Part types'!$S:$S,$AK229))</f>
        <v>25</v>
      </c>
      <c r="K229" s="11" t="s">
        <v>1279</v>
      </c>
      <c r="L229" s="11" t="s">
        <v>1299</v>
      </c>
      <c r="M229" s="11" t="str">
        <f aca="false">L229&amp;" - "&amp;N229</f>
        <v>دفرنس كامل - أمامي</v>
      </c>
      <c r="N229" s="11" t="s">
        <v>163</v>
      </c>
      <c r="O229" s="11" t="s">
        <v>1281</v>
      </c>
      <c r="P229" s="10" t="n">
        <f aca="false">G229</f>
        <v>40</v>
      </c>
      <c r="Q229" s="10" t="n">
        <f aca="false">H229</f>
        <v>35</v>
      </c>
      <c r="R229" s="10" t="n">
        <f aca="false">I229</f>
        <v>30</v>
      </c>
      <c r="S229" s="10" t="n">
        <f aca="false">J229</f>
        <v>25</v>
      </c>
      <c r="T229" s="12" t="s">
        <v>1282</v>
      </c>
      <c r="U229" s="12" t="s">
        <v>1300</v>
      </c>
      <c r="V229" s="9" t="str">
        <f aca="false">U229&amp;" - "&amp;W229</f>
        <v>差速器总成 - 前部</v>
      </c>
      <c r="W229" s="12" t="s">
        <v>165</v>
      </c>
      <c r="X229" s="12" t="s">
        <v>1284</v>
      </c>
      <c r="Y229" s="10" t="n">
        <f aca="false">G229</f>
        <v>40</v>
      </c>
      <c r="Z229" s="10" t="n">
        <f aca="false">H229</f>
        <v>35</v>
      </c>
      <c r="AA229" s="10" t="n">
        <f aca="false">I229</f>
        <v>30</v>
      </c>
      <c r="AB229" s="10" t="n">
        <f aca="false">J229</f>
        <v>25</v>
      </c>
      <c r="AC229" s="9" t="s">
        <v>1285</v>
      </c>
      <c r="AD229" s="9" t="s">
        <v>1301</v>
      </c>
      <c r="AE229" s="9" t="str">
        <f aca="false">IF($AK229=0,"",INDEX('Part types'!$T:$T,$AK229)&amp;"")</f>
        <v>All vehicles</v>
      </c>
      <c r="AF229" s="9" t="str">
        <f aca="false">IF($AK229=0,"",INDEX('Part types'!$U:$U,$AK229)&amp;"")</f>
        <v/>
      </c>
      <c r="AG229" s="9" t="str">
        <f aca="false">IF($AK229=0,"",INDEX('Part types'!$V:$V,$AK229)&amp;"")</f>
        <v>Estimate: item-specific</v>
      </c>
      <c r="AH229" s="9" t="str">
        <f aca="false">IF($AK229=0,"",INDEX('Part types'!$W:$W,$AK229)&amp;"")</f>
        <v/>
      </c>
      <c r="AI229" s="11" t="str">
        <f aca="false">IF($AK229=0,"",INDEX('Part types'!$X:$X,$AK229)&amp;"")</f>
        <v/>
      </c>
      <c r="AJ229" s="9" t="str">
        <f aca="false">IF($AK229=0,"",INDEX('Part types'!$Y:$Y,$AK229)&amp;"")</f>
        <v/>
      </c>
      <c r="AK229" s="9" t="n">
        <f aca="false">IFERROR(MATCH($AD229,'Part types'!$E:$E,0),0)</f>
        <v>222</v>
      </c>
    </row>
    <row r="230" customFormat="false" ht="15" hidden="false" customHeight="false" outlineLevel="0" collapsed="false">
      <c r="A230" s="9" t="s">
        <v>1302</v>
      </c>
      <c r="B230" s="9" t="s">
        <v>1277</v>
      </c>
      <c r="C230" s="9" t="s">
        <v>1298</v>
      </c>
      <c r="D230" s="9" t="str">
        <f aca="false">C230&amp;" - "&amp;E230</f>
        <v>Differential Assembly - Rear</v>
      </c>
      <c r="E230" s="9" t="s">
        <v>168</v>
      </c>
      <c r="F230" s="9" t="s">
        <v>1277</v>
      </c>
      <c r="G230" s="10" t="n">
        <f aca="false">IF($AK230=0,"",INDEX('Part types'!$P:$P,$AK230))</f>
        <v>40</v>
      </c>
      <c r="H230" s="10" t="n">
        <f aca="false">IF($AK230=0,"",INDEX('Part types'!$Q:$Q,$AK230))</f>
        <v>35</v>
      </c>
      <c r="I230" s="10" t="n">
        <f aca="false">IF($AK230=0,"",INDEX('Part types'!$R:$R,$AK230))</f>
        <v>30</v>
      </c>
      <c r="J230" s="10" t="n">
        <f aca="false">IF($AK230=0,"",INDEX('Part types'!$S:$S,$AK230))</f>
        <v>25</v>
      </c>
      <c r="K230" s="11" t="s">
        <v>1279</v>
      </c>
      <c r="L230" s="11" t="s">
        <v>1299</v>
      </c>
      <c r="M230" s="11" t="str">
        <f aca="false">L230&amp;" - "&amp;N230</f>
        <v>دفرنس كامل - خلفي</v>
      </c>
      <c r="N230" s="11" t="s">
        <v>169</v>
      </c>
      <c r="O230" s="11" t="s">
        <v>1281</v>
      </c>
      <c r="P230" s="10" t="n">
        <f aca="false">G230</f>
        <v>40</v>
      </c>
      <c r="Q230" s="10" t="n">
        <f aca="false">H230</f>
        <v>35</v>
      </c>
      <c r="R230" s="10" t="n">
        <f aca="false">I230</f>
        <v>30</v>
      </c>
      <c r="S230" s="10" t="n">
        <f aca="false">J230</f>
        <v>25</v>
      </c>
      <c r="T230" s="12" t="s">
        <v>1282</v>
      </c>
      <c r="U230" s="12" t="s">
        <v>1300</v>
      </c>
      <c r="V230" s="9" t="str">
        <f aca="false">U230&amp;" - "&amp;W230</f>
        <v>差速器总成 - 后部</v>
      </c>
      <c r="W230" s="12" t="s">
        <v>170</v>
      </c>
      <c r="X230" s="12" t="s">
        <v>1284</v>
      </c>
      <c r="Y230" s="10" t="n">
        <f aca="false">G230</f>
        <v>40</v>
      </c>
      <c r="Z230" s="10" t="n">
        <f aca="false">H230</f>
        <v>35</v>
      </c>
      <c r="AA230" s="10" t="n">
        <f aca="false">I230</f>
        <v>30</v>
      </c>
      <c r="AB230" s="10" t="n">
        <f aca="false">J230</f>
        <v>25</v>
      </c>
      <c r="AC230" s="9" t="s">
        <v>1285</v>
      </c>
      <c r="AD230" s="9" t="s">
        <v>1301</v>
      </c>
      <c r="AE230" s="9" t="str">
        <f aca="false">IF($AK230=0,"",INDEX('Part types'!$T:$T,$AK230)&amp;"")</f>
        <v>All vehicles</v>
      </c>
      <c r="AF230" s="9" t="str">
        <f aca="false">IF($AK230=0,"",INDEX('Part types'!$U:$U,$AK230)&amp;"")</f>
        <v/>
      </c>
      <c r="AG230" s="9" t="str">
        <f aca="false">IF($AK230=0,"",INDEX('Part types'!$V:$V,$AK230)&amp;"")</f>
        <v>Estimate: item-specific</v>
      </c>
      <c r="AH230" s="9" t="str">
        <f aca="false">IF($AK230=0,"",INDEX('Part types'!$W:$W,$AK230)&amp;"")</f>
        <v/>
      </c>
      <c r="AI230" s="11" t="str">
        <f aca="false">IF($AK230=0,"",INDEX('Part types'!$X:$X,$AK230)&amp;"")</f>
        <v/>
      </c>
      <c r="AJ230" s="9" t="str">
        <f aca="false">IF($AK230=0,"",INDEX('Part types'!$Y:$Y,$AK230)&amp;"")</f>
        <v/>
      </c>
      <c r="AK230" s="9" t="n">
        <f aca="false">IFERROR(MATCH($AD230,'Part types'!$E:$E,0),0)</f>
        <v>222</v>
      </c>
    </row>
    <row r="231" customFormat="false" ht="15" hidden="false" customHeight="false" outlineLevel="0" collapsed="false">
      <c r="A231" s="9" t="s">
        <v>1303</v>
      </c>
      <c r="B231" s="9" t="s">
        <v>1277</v>
      </c>
      <c r="C231" s="9" t="s">
        <v>1304</v>
      </c>
      <c r="D231" s="9" t="str">
        <f aca="false">C231&amp;" - "&amp;E231</f>
        <v>Differential Pinion Seal - Front</v>
      </c>
      <c r="E231" s="9" t="s">
        <v>161</v>
      </c>
      <c r="F231" s="9" t="s">
        <v>1277</v>
      </c>
      <c r="G231" s="10" t="n">
        <f aca="false">IF($AK231=0,"",INDEX('Part types'!$P:$P,$AK231))</f>
        <v>10</v>
      </c>
      <c r="H231" s="10" t="n">
        <f aca="false">IF($AK231=0,"",INDEX('Part types'!$Q:$Q,$AK231))</f>
        <v>8</v>
      </c>
      <c r="I231" s="10" t="n">
        <f aca="false">IF($AK231=0,"",INDEX('Part types'!$R:$R,$AK231))</f>
        <v>6</v>
      </c>
      <c r="J231" s="10" t="n">
        <f aca="false">IF($AK231=0,"",INDEX('Part types'!$S:$S,$AK231))</f>
        <v>0.1</v>
      </c>
      <c r="K231" s="11" t="s">
        <v>1279</v>
      </c>
      <c r="L231" s="11" t="s">
        <v>1305</v>
      </c>
      <c r="M231" s="11" t="str">
        <f aca="false">L231&amp;" - "&amp;N231</f>
        <v>سيل بنيون الدفرنس - أمامي</v>
      </c>
      <c r="N231" s="11" t="s">
        <v>163</v>
      </c>
      <c r="O231" s="11" t="s">
        <v>1281</v>
      </c>
      <c r="P231" s="10" t="n">
        <f aca="false">G231</f>
        <v>10</v>
      </c>
      <c r="Q231" s="10" t="n">
        <f aca="false">H231</f>
        <v>8</v>
      </c>
      <c r="R231" s="10" t="n">
        <f aca="false">I231</f>
        <v>6</v>
      </c>
      <c r="S231" s="10" t="n">
        <f aca="false">J231</f>
        <v>0.1</v>
      </c>
      <c r="T231" s="12" t="s">
        <v>1282</v>
      </c>
      <c r="U231" s="12" t="s">
        <v>1306</v>
      </c>
      <c r="V231" s="9" t="str">
        <f aca="false">U231&amp;" - "&amp;W231</f>
        <v>差速器主减速器油封 - 前部</v>
      </c>
      <c r="W231" s="12" t="s">
        <v>165</v>
      </c>
      <c r="X231" s="12" t="s">
        <v>1284</v>
      </c>
      <c r="Y231" s="10" t="n">
        <f aca="false">G231</f>
        <v>10</v>
      </c>
      <c r="Z231" s="10" t="n">
        <f aca="false">H231</f>
        <v>8</v>
      </c>
      <c r="AA231" s="10" t="n">
        <f aca="false">I231</f>
        <v>6</v>
      </c>
      <c r="AB231" s="10" t="n">
        <f aca="false">J231</f>
        <v>0.1</v>
      </c>
      <c r="AC231" s="9" t="s">
        <v>1285</v>
      </c>
      <c r="AD231" s="9" t="s">
        <v>1307</v>
      </c>
      <c r="AE231" s="9" t="str">
        <f aca="false">IF($AK231=0,"",INDEX('Part types'!$T:$T,$AK231)&amp;"")</f>
        <v>All vehicles</v>
      </c>
      <c r="AF231" s="9" t="str">
        <f aca="false">IF($AK231=0,"",INDEX('Part types'!$U:$U,$AK231)&amp;"")</f>
        <v/>
      </c>
      <c r="AG231" s="9" t="str">
        <f aca="false">IF($AK231=0,"",INDEX('Part types'!$V:$V,$AK231)&amp;"")</f>
        <v>Estimate: size class XS</v>
      </c>
      <c r="AH231" s="9" t="str">
        <f aca="false">IF($AK231=0,"",INDEX('Part types'!$W:$W,$AK231)&amp;"")</f>
        <v/>
      </c>
      <c r="AI231" s="11" t="str">
        <f aca="false">IF($AK231=0,"",INDEX('Part types'!$X:$X,$AK231)&amp;"")</f>
        <v/>
      </c>
      <c r="AJ231" s="9" t="str">
        <f aca="false">IF($AK231=0,"",INDEX('Part types'!$Y:$Y,$AK231)&amp;"")</f>
        <v/>
      </c>
      <c r="AK231" s="9" t="n">
        <f aca="false">IFERROR(MATCH($AD231,'Part types'!$E:$E,0),0)</f>
        <v>223</v>
      </c>
    </row>
    <row r="232" customFormat="false" ht="15" hidden="false" customHeight="false" outlineLevel="0" collapsed="false">
      <c r="A232" s="9" t="s">
        <v>1308</v>
      </c>
      <c r="B232" s="9" t="s">
        <v>1277</v>
      </c>
      <c r="C232" s="9" t="s">
        <v>1304</v>
      </c>
      <c r="D232" s="9" t="str">
        <f aca="false">C232&amp;" - "&amp;E232</f>
        <v>Differential Pinion Seal - Rear</v>
      </c>
      <c r="E232" s="9" t="s">
        <v>168</v>
      </c>
      <c r="F232" s="9" t="s">
        <v>1277</v>
      </c>
      <c r="G232" s="10" t="n">
        <f aca="false">IF($AK232=0,"",INDEX('Part types'!$P:$P,$AK232))</f>
        <v>10</v>
      </c>
      <c r="H232" s="10" t="n">
        <f aca="false">IF($AK232=0,"",INDEX('Part types'!$Q:$Q,$AK232))</f>
        <v>8</v>
      </c>
      <c r="I232" s="10" t="n">
        <f aca="false">IF($AK232=0,"",INDEX('Part types'!$R:$R,$AK232))</f>
        <v>6</v>
      </c>
      <c r="J232" s="10" t="n">
        <f aca="false">IF($AK232=0,"",INDEX('Part types'!$S:$S,$AK232))</f>
        <v>0.1</v>
      </c>
      <c r="K232" s="11" t="s">
        <v>1279</v>
      </c>
      <c r="L232" s="11" t="s">
        <v>1305</v>
      </c>
      <c r="M232" s="11" t="str">
        <f aca="false">L232&amp;" - "&amp;N232</f>
        <v>سيل بنيون الدفرنس - خلفي</v>
      </c>
      <c r="N232" s="11" t="s">
        <v>169</v>
      </c>
      <c r="O232" s="11" t="s">
        <v>1281</v>
      </c>
      <c r="P232" s="10" t="n">
        <f aca="false">G232</f>
        <v>10</v>
      </c>
      <c r="Q232" s="10" t="n">
        <f aca="false">H232</f>
        <v>8</v>
      </c>
      <c r="R232" s="10" t="n">
        <f aca="false">I232</f>
        <v>6</v>
      </c>
      <c r="S232" s="10" t="n">
        <f aca="false">J232</f>
        <v>0.1</v>
      </c>
      <c r="T232" s="12" t="s">
        <v>1282</v>
      </c>
      <c r="U232" s="12" t="s">
        <v>1306</v>
      </c>
      <c r="V232" s="9" t="str">
        <f aca="false">U232&amp;" - "&amp;W232</f>
        <v>差速器主减速器油封 - 后部</v>
      </c>
      <c r="W232" s="12" t="s">
        <v>170</v>
      </c>
      <c r="X232" s="12" t="s">
        <v>1284</v>
      </c>
      <c r="Y232" s="10" t="n">
        <f aca="false">G232</f>
        <v>10</v>
      </c>
      <c r="Z232" s="10" t="n">
        <f aca="false">H232</f>
        <v>8</v>
      </c>
      <c r="AA232" s="10" t="n">
        <f aca="false">I232</f>
        <v>6</v>
      </c>
      <c r="AB232" s="10" t="n">
        <f aca="false">J232</f>
        <v>0.1</v>
      </c>
      <c r="AC232" s="9" t="s">
        <v>1285</v>
      </c>
      <c r="AD232" s="9" t="s">
        <v>1307</v>
      </c>
      <c r="AE232" s="9" t="str">
        <f aca="false">IF($AK232=0,"",INDEX('Part types'!$T:$T,$AK232)&amp;"")</f>
        <v>All vehicles</v>
      </c>
      <c r="AF232" s="9" t="str">
        <f aca="false">IF($AK232=0,"",INDEX('Part types'!$U:$U,$AK232)&amp;"")</f>
        <v/>
      </c>
      <c r="AG232" s="9" t="str">
        <f aca="false">IF($AK232=0,"",INDEX('Part types'!$V:$V,$AK232)&amp;"")</f>
        <v>Estimate: size class XS</v>
      </c>
      <c r="AH232" s="9" t="str">
        <f aca="false">IF($AK232=0,"",INDEX('Part types'!$W:$W,$AK232)&amp;"")</f>
        <v/>
      </c>
      <c r="AI232" s="11" t="str">
        <f aca="false">IF($AK232=0,"",INDEX('Part types'!$X:$X,$AK232)&amp;"")</f>
        <v/>
      </c>
      <c r="AJ232" s="9" t="str">
        <f aca="false">IF($AK232=0,"",INDEX('Part types'!$Y:$Y,$AK232)&amp;"")</f>
        <v/>
      </c>
      <c r="AK232" s="9" t="n">
        <f aca="false">IFERROR(MATCH($AD232,'Part types'!$E:$E,0),0)</f>
        <v>223</v>
      </c>
    </row>
    <row r="233" customFormat="false" ht="15" hidden="false" customHeight="false" outlineLevel="0" collapsed="false">
      <c r="A233" s="9" t="s">
        <v>1309</v>
      </c>
      <c r="B233" s="9" t="s">
        <v>1277</v>
      </c>
      <c r="C233" s="9" t="s">
        <v>1310</v>
      </c>
      <c r="D233" s="9" t="str">
        <f aca="false">C233&amp;" - "&amp;E233</f>
        <v>Ring Pinion Set - Front</v>
      </c>
      <c r="E233" s="9" t="s">
        <v>161</v>
      </c>
      <c r="F233" s="9" t="s">
        <v>1277</v>
      </c>
      <c r="G233" s="10" t="n">
        <f aca="false">IF($AK233=0,"",INDEX('Part types'!$P:$P,$AK233))</f>
        <v>25</v>
      </c>
      <c r="H233" s="10" t="n">
        <f aca="false">IF($AK233=0,"",INDEX('Part types'!$Q:$Q,$AK233))</f>
        <v>25</v>
      </c>
      <c r="I233" s="10" t="n">
        <f aca="false">IF($AK233=0,"",INDEX('Part types'!$R:$R,$AK233))</f>
        <v>15</v>
      </c>
      <c r="J233" s="10" t="n">
        <f aca="false">IF($AK233=0,"",INDEX('Part types'!$S:$S,$AK233))</f>
        <v>9</v>
      </c>
      <c r="K233" s="11" t="s">
        <v>1279</v>
      </c>
      <c r="L233" s="11" t="s">
        <v>1311</v>
      </c>
      <c r="M233" s="11" t="str">
        <f aca="false">L233&amp;" - "&amp;N233</f>
        <v>طقم تروس الدفرنس - أمامي</v>
      </c>
      <c r="N233" s="11" t="s">
        <v>163</v>
      </c>
      <c r="O233" s="11" t="s">
        <v>1281</v>
      </c>
      <c r="P233" s="10" t="n">
        <f aca="false">G233</f>
        <v>25</v>
      </c>
      <c r="Q233" s="10" t="n">
        <f aca="false">H233</f>
        <v>25</v>
      </c>
      <c r="R233" s="10" t="n">
        <f aca="false">I233</f>
        <v>15</v>
      </c>
      <c r="S233" s="10" t="n">
        <f aca="false">J233</f>
        <v>9</v>
      </c>
      <c r="T233" s="12" t="s">
        <v>1282</v>
      </c>
      <c r="U233" s="12" t="s">
        <v>1312</v>
      </c>
      <c r="V233" s="9" t="str">
        <f aca="false">U233&amp;" - "&amp;W233</f>
        <v>差速器主从动齿轮套装 - 前部</v>
      </c>
      <c r="W233" s="12" t="s">
        <v>165</v>
      </c>
      <c r="X233" s="12" t="s">
        <v>1284</v>
      </c>
      <c r="Y233" s="10" t="n">
        <f aca="false">G233</f>
        <v>25</v>
      </c>
      <c r="Z233" s="10" t="n">
        <f aca="false">H233</f>
        <v>25</v>
      </c>
      <c r="AA233" s="10" t="n">
        <f aca="false">I233</f>
        <v>15</v>
      </c>
      <c r="AB233" s="10" t="n">
        <f aca="false">J233</f>
        <v>9</v>
      </c>
      <c r="AC233" s="9" t="s">
        <v>1285</v>
      </c>
      <c r="AD233" s="9" t="s">
        <v>1313</v>
      </c>
      <c r="AE233" s="9" t="str">
        <f aca="false">IF($AK233=0,"",INDEX('Part types'!$T:$T,$AK233)&amp;"")</f>
        <v>All vehicles</v>
      </c>
      <c r="AF233" s="9" t="str">
        <f aca="false">IF($AK233=0,"",INDEX('Part types'!$U:$U,$AK233)&amp;"")</f>
        <v/>
      </c>
      <c r="AG233" s="9" t="str">
        <f aca="false">IF($AK233=0,"",INDEX('Part types'!$V:$V,$AK233)&amp;"")</f>
        <v>Estimate: item-specific</v>
      </c>
      <c r="AH233" s="9" t="str">
        <f aca="false">IF($AK233=0,"",INDEX('Part types'!$W:$W,$AK233)&amp;"")</f>
        <v>Differential Ring and Pinion Gear Set</v>
      </c>
      <c r="AI233" s="11" t="str">
        <f aca="false">IF($AK233=0,"",INDEX('Part types'!$X:$X,$AK233)&amp;"")</f>
        <v>كرونة وبنيون</v>
      </c>
      <c r="AJ233" s="9" t="str">
        <f aca="false">IF($AK233=0,"",INDEX('Part types'!$Y:$Y,$AK233)&amp;"")</f>
        <v/>
      </c>
      <c r="AK233" s="9" t="n">
        <f aca="false">IFERROR(MATCH($AD233,'Part types'!$E:$E,0),0)</f>
        <v>224</v>
      </c>
    </row>
    <row r="234" customFormat="false" ht="15" hidden="false" customHeight="false" outlineLevel="0" collapsed="false">
      <c r="A234" s="9" t="s">
        <v>1314</v>
      </c>
      <c r="B234" s="9" t="s">
        <v>1277</v>
      </c>
      <c r="C234" s="9" t="s">
        <v>1310</v>
      </c>
      <c r="D234" s="9" t="str">
        <f aca="false">C234&amp;" - "&amp;E234</f>
        <v>Ring Pinion Set - Rear</v>
      </c>
      <c r="E234" s="9" t="s">
        <v>168</v>
      </c>
      <c r="F234" s="9" t="s">
        <v>1277</v>
      </c>
      <c r="G234" s="10" t="n">
        <f aca="false">IF($AK234=0,"",INDEX('Part types'!$P:$P,$AK234))</f>
        <v>25</v>
      </c>
      <c r="H234" s="10" t="n">
        <f aca="false">IF($AK234=0,"",INDEX('Part types'!$Q:$Q,$AK234))</f>
        <v>25</v>
      </c>
      <c r="I234" s="10" t="n">
        <f aca="false">IF($AK234=0,"",INDEX('Part types'!$R:$R,$AK234))</f>
        <v>15</v>
      </c>
      <c r="J234" s="10" t="n">
        <f aca="false">IF($AK234=0,"",INDEX('Part types'!$S:$S,$AK234))</f>
        <v>9</v>
      </c>
      <c r="K234" s="11" t="s">
        <v>1279</v>
      </c>
      <c r="L234" s="11" t="s">
        <v>1311</v>
      </c>
      <c r="M234" s="11" t="str">
        <f aca="false">L234&amp;" - "&amp;N234</f>
        <v>طقم تروس الدفرنس - خلفي</v>
      </c>
      <c r="N234" s="11" t="s">
        <v>169</v>
      </c>
      <c r="O234" s="11" t="s">
        <v>1281</v>
      </c>
      <c r="P234" s="10" t="n">
        <f aca="false">G234</f>
        <v>25</v>
      </c>
      <c r="Q234" s="10" t="n">
        <f aca="false">H234</f>
        <v>25</v>
      </c>
      <c r="R234" s="10" t="n">
        <f aca="false">I234</f>
        <v>15</v>
      </c>
      <c r="S234" s="10" t="n">
        <f aca="false">J234</f>
        <v>9</v>
      </c>
      <c r="T234" s="12" t="s">
        <v>1282</v>
      </c>
      <c r="U234" s="12" t="s">
        <v>1312</v>
      </c>
      <c r="V234" s="9" t="str">
        <f aca="false">U234&amp;" - "&amp;W234</f>
        <v>差速器主从动齿轮套装 - 后部</v>
      </c>
      <c r="W234" s="12" t="s">
        <v>170</v>
      </c>
      <c r="X234" s="12" t="s">
        <v>1284</v>
      </c>
      <c r="Y234" s="10" t="n">
        <f aca="false">G234</f>
        <v>25</v>
      </c>
      <c r="Z234" s="10" t="n">
        <f aca="false">H234</f>
        <v>25</v>
      </c>
      <c r="AA234" s="10" t="n">
        <f aca="false">I234</f>
        <v>15</v>
      </c>
      <c r="AB234" s="10" t="n">
        <f aca="false">J234</f>
        <v>9</v>
      </c>
      <c r="AC234" s="9" t="s">
        <v>1285</v>
      </c>
      <c r="AD234" s="9" t="s">
        <v>1313</v>
      </c>
      <c r="AE234" s="9" t="str">
        <f aca="false">IF($AK234=0,"",INDEX('Part types'!$T:$T,$AK234)&amp;"")</f>
        <v>All vehicles</v>
      </c>
      <c r="AF234" s="9" t="str">
        <f aca="false">IF($AK234=0,"",INDEX('Part types'!$U:$U,$AK234)&amp;"")</f>
        <v/>
      </c>
      <c r="AG234" s="9" t="str">
        <f aca="false">IF($AK234=0,"",INDEX('Part types'!$V:$V,$AK234)&amp;"")</f>
        <v>Estimate: item-specific</v>
      </c>
      <c r="AH234" s="9" t="str">
        <f aca="false">IF($AK234=0,"",INDEX('Part types'!$W:$W,$AK234)&amp;"")</f>
        <v>Differential Ring and Pinion Gear Set</v>
      </c>
      <c r="AI234" s="11" t="str">
        <f aca="false">IF($AK234=0,"",INDEX('Part types'!$X:$X,$AK234)&amp;"")</f>
        <v>كرونة وبنيون</v>
      </c>
      <c r="AJ234" s="9" t="str">
        <f aca="false">IF($AK234=0,"",INDEX('Part types'!$Y:$Y,$AK234)&amp;"")</f>
        <v/>
      </c>
      <c r="AK234" s="9" t="n">
        <f aca="false">IFERROR(MATCH($AD234,'Part types'!$E:$E,0),0)</f>
        <v>224</v>
      </c>
    </row>
    <row r="235" customFormat="false" ht="15" hidden="false" customHeight="false" outlineLevel="0" collapsed="false">
      <c r="A235" s="9" t="s">
        <v>1315</v>
      </c>
      <c r="B235" s="9" t="s">
        <v>1277</v>
      </c>
      <c r="C235" s="9" t="s">
        <v>1316</v>
      </c>
      <c r="D235" s="9" t="str">
        <f aca="false">C235&amp;" - "&amp;E235</f>
        <v>Differential Cover Gasket - Front</v>
      </c>
      <c r="E235" s="9" t="s">
        <v>161</v>
      </c>
      <c r="F235" s="9" t="s">
        <v>1277</v>
      </c>
      <c r="G235" s="10" t="n">
        <f aca="false">IF($AK235=0,"",INDEX('Part types'!$P:$P,$AK235))</f>
        <v>15</v>
      </c>
      <c r="H235" s="10" t="n">
        <f aca="false">IF($AK235=0,"",INDEX('Part types'!$Q:$Q,$AK235))</f>
        <v>10</v>
      </c>
      <c r="I235" s="10" t="n">
        <f aca="false">IF($AK235=0,"",INDEX('Part types'!$R:$R,$AK235))</f>
        <v>8</v>
      </c>
      <c r="J235" s="10" t="n">
        <f aca="false">IF($AK235=0,"",INDEX('Part types'!$S:$S,$AK235))</f>
        <v>0.3</v>
      </c>
      <c r="K235" s="11" t="s">
        <v>1279</v>
      </c>
      <c r="L235" s="11" t="s">
        <v>1317</v>
      </c>
      <c r="M235" s="11" t="str">
        <f aca="false">L235&amp;" - "&amp;N235</f>
        <v>جوان غطاء الدفرنس - أمامي</v>
      </c>
      <c r="N235" s="11" t="s">
        <v>163</v>
      </c>
      <c r="O235" s="11" t="s">
        <v>1281</v>
      </c>
      <c r="P235" s="10" t="n">
        <f aca="false">G235</f>
        <v>15</v>
      </c>
      <c r="Q235" s="10" t="n">
        <f aca="false">H235</f>
        <v>10</v>
      </c>
      <c r="R235" s="10" t="n">
        <f aca="false">I235</f>
        <v>8</v>
      </c>
      <c r="S235" s="10" t="n">
        <f aca="false">J235</f>
        <v>0.3</v>
      </c>
      <c r="T235" s="12" t="s">
        <v>1282</v>
      </c>
      <c r="U235" s="12" t="s">
        <v>1318</v>
      </c>
      <c r="V235" s="9" t="str">
        <f aca="false">U235&amp;" - "&amp;W235</f>
        <v>差速器盖垫 - 前部</v>
      </c>
      <c r="W235" s="12" t="s">
        <v>165</v>
      </c>
      <c r="X235" s="12" t="s">
        <v>1284</v>
      </c>
      <c r="Y235" s="10" t="n">
        <f aca="false">G235</f>
        <v>15</v>
      </c>
      <c r="Z235" s="10" t="n">
        <f aca="false">H235</f>
        <v>10</v>
      </c>
      <c r="AA235" s="10" t="n">
        <f aca="false">I235</f>
        <v>8</v>
      </c>
      <c r="AB235" s="10" t="n">
        <f aca="false">J235</f>
        <v>0.3</v>
      </c>
      <c r="AC235" s="9" t="s">
        <v>1285</v>
      </c>
      <c r="AD235" s="9" t="s">
        <v>1319</v>
      </c>
      <c r="AE235" s="9" t="str">
        <f aca="false">IF($AK235=0,"",INDEX('Part types'!$T:$T,$AK235)&amp;"")</f>
        <v>All vehicles</v>
      </c>
      <c r="AF235" s="9" t="str">
        <f aca="false">IF($AK235=0,"",INDEX('Part types'!$U:$U,$AK235)&amp;"")</f>
        <v/>
      </c>
      <c r="AG235" s="9" t="str">
        <f aca="false">IF($AK235=0,"",INDEX('Part types'!$V:$V,$AK235)&amp;"")</f>
        <v>Estimate: size class S</v>
      </c>
      <c r="AH235" s="9" t="str">
        <f aca="false">IF($AK235=0,"",INDEX('Part types'!$W:$W,$AK235)&amp;"")</f>
        <v/>
      </c>
      <c r="AI235" s="11" t="str">
        <f aca="false">IF($AK235=0,"",INDEX('Part types'!$X:$X,$AK235)&amp;"")</f>
        <v/>
      </c>
      <c r="AJ235" s="9" t="str">
        <f aca="false">IF($AK235=0,"",INDEX('Part types'!$Y:$Y,$AK235)&amp;"")</f>
        <v/>
      </c>
      <c r="AK235" s="9" t="n">
        <f aca="false">IFERROR(MATCH($AD235,'Part types'!$E:$E,0),0)</f>
        <v>225</v>
      </c>
    </row>
    <row r="236" customFormat="false" ht="15" hidden="false" customHeight="false" outlineLevel="0" collapsed="false">
      <c r="A236" s="9" t="s">
        <v>1320</v>
      </c>
      <c r="B236" s="9" t="s">
        <v>1277</v>
      </c>
      <c r="C236" s="9" t="s">
        <v>1316</v>
      </c>
      <c r="D236" s="9" t="str">
        <f aca="false">C236&amp;" - "&amp;E236</f>
        <v>Differential Cover Gasket - Rear</v>
      </c>
      <c r="E236" s="9" t="s">
        <v>168</v>
      </c>
      <c r="F236" s="9" t="s">
        <v>1277</v>
      </c>
      <c r="G236" s="10" t="n">
        <f aca="false">IF($AK236=0,"",INDEX('Part types'!$P:$P,$AK236))</f>
        <v>15</v>
      </c>
      <c r="H236" s="10" t="n">
        <f aca="false">IF($AK236=0,"",INDEX('Part types'!$Q:$Q,$AK236))</f>
        <v>10</v>
      </c>
      <c r="I236" s="10" t="n">
        <f aca="false">IF($AK236=0,"",INDEX('Part types'!$R:$R,$AK236))</f>
        <v>8</v>
      </c>
      <c r="J236" s="10" t="n">
        <f aca="false">IF($AK236=0,"",INDEX('Part types'!$S:$S,$AK236))</f>
        <v>0.3</v>
      </c>
      <c r="K236" s="11" t="s">
        <v>1279</v>
      </c>
      <c r="L236" s="11" t="s">
        <v>1317</v>
      </c>
      <c r="M236" s="11" t="str">
        <f aca="false">L236&amp;" - "&amp;N236</f>
        <v>جوان غطاء الدفرنس - خلفي</v>
      </c>
      <c r="N236" s="11" t="s">
        <v>169</v>
      </c>
      <c r="O236" s="11" t="s">
        <v>1281</v>
      </c>
      <c r="P236" s="10" t="n">
        <f aca="false">G236</f>
        <v>15</v>
      </c>
      <c r="Q236" s="10" t="n">
        <f aca="false">H236</f>
        <v>10</v>
      </c>
      <c r="R236" s="10" t="n">
        <f aca="false">I236</f>
        <v>8</v>
      </c>
      <c r="S236" s="10" t="n">
        <f aca="false">J236</f>
        <v>0.3</v>
      </c>
      <c r="T236" s="12" t="s">
        <v>1282</v>
      </c>
      <c r="U236" s="12" t="s">
        <v>1318</v>
      </c>
      <c r="V236" s="9" t="str">
        <f aca="false">U236&amp;" - "&amp;W236</f>
        <v>差速器盖垫 - 后部</v>
      </c>
      <c r="W236" s="12" t="s">
        <v>170</v>
      </c>
      <c r="X236" s="12" t="s">
        <v>1284</v>
      </c>
      <c r="Y236" s="10" t="n">
        <f aca="false">G236</f>
        <v>15</v>
      </c>
      <c r="Z236" s="10" t="n">
        <f aca="false">H236</f>
        <v>10</v>
      </c>
      <c r="AA236" s="10" t="n">
        <f aca="false">I236</f>
        <v>8</v>
      </c>
      <c r="AB236" s="10" t="n">
        <f aca="false">J236</f>
        <v>0.3</v>
      </c>
      <c r="AC236" s="9" t="s">
        <v>1285</v>
      </c>
      <c r="AD236" s="9" t="s">
        <v>1319</v>
      </c>
      <c r="AE236" s="9" t="str">
        <f aca="false">IF($AK236=0,"",INDEX('Part types'!$T:$T,$AK236)&amp;"")</f>
        <v>All vehicles</v>
      </c>
      <c r="AF236" s="9" t="str">
        <f aca="false">IF($AK236=0,"",INDEX('Part types'!$U:$U,$AK236)&amp;"")</f>
        <v/>
      </c>
      <c r="AG236" s="9" t="str">
        <f aca="false">IF($AK236=0,"",INDEX('Part types'!$V:$V,$AK236)&amp;"")</f>
        <v>Estimate: size class S</v>
      </c>
      <c r="AH236" s="9" t="str">
        <f aca="false">IF($AK236=0,"",INDEX('Part types'!$W:$W,$AK236)&amp;"")</f>
        <v/>
      </c>
      <c r="AI236" s="11" t="str">
        <f aca="false">IF($AK236=0,"",INDEX('Part types'!$X:$X,$AK236)&amp;"")</f>
        <v/>
      </c>
      <c r="AJ236" s="9" t="str">
        <f aca="false">IF($AK236=0,"",INDEX('Part types'!$Y:$Y,$AK236)&amp;"")</f>
        <v/>
      </c>
      <c r="AK236" s="9" t="n">
        <f aca="false">IFERROR(MATCH($AD236,'Part types'!$E:$E,0),0)</f>
        <v>225</v>
      </c>
    </row>
    <row r="237" customFormat="false" ht="15" hidden="false" customHeight="false" outlineLevel="0" collapsed="false">
      <c r="A237" s="9" t="s">
        <v>1321</v>
      </c>
      <c r="B237" s="9" t="s">
        <v>1277</v>
      </c>
      <c r="C237" s="9" t="s">
        <v>1322</v>
      </c>
      <c r="D237" s="9" t="str">
        <f aca="false">C237&amp;" - "&amp;E237</f>
        <v>Differential Bearing Kit - Front</v>
      </c>
      <c r="E237" s="9" t="s">
        <v>161</v>
      </c>
      <c r="F237" s="9" t="s">
        <v>1277</v>
      </c>
      <c r="G237" s="10" t="n">
        <f aca="false">IF($AK237=0,"",INDEX('Part types'!$P:$P,$AK237))</f>
        <v>25</v>
      </c>
      <c r="H237" s="10" t="n">
        <f aca="false">IF($AK237=0,"",INDEX('Part types'!$Q:$Q,$AK237))</f>
        <v>15</v>
      </c>
      <c r="I237" s="10" t="n">
        <f aca="false">IF($AK237=0,"",INDEX('Part types'!$R:$R,$AK237))</f>
        <v>10</v>
      </c>
      <c r="J237" s="10" t="n">
        <f aca="false">IF($AK237=0,"",INDEX('Part types'!$S:$S,$AK237))</f>
        <v>0.9</v>
      </c>
      <c r="K237" s="11" t="s">
        <v>1279</v>
      </c>
      <c r="L237" s="11" t="s">
        <v>1323</v>
      </c>
      <c r="M237" s="11" t="str">
        <f aca="false">L237&amp;" - "&amp;N237</f>
        <v>طقم رولمانات الدفرنس - أمامي</v>
      </c>
      <c r="N237" s="11" t="s">
        <v>163</v>
      </c>
      <c r="O237" s="11" t="s">
        <v>1281</v>
      </c>
      <c r="P237" s="10" t="n">
        <f aca="false">G237</f>
        <v>25</v>
      </c>
      <c r="Q237" s="10" t="n">
        <f aca="false">H237</f>
        <v>15</v>
      </c>
      <c r="R237" s="10" t="n">
        <f aca="false">I237</f>
        <v>10</v>
      </c>
      <c r="S237" s="10" t="n">
        <f aca="false">J237</f>
        <v>0.9</v>
      </c>
      <c r="T237" s="12" t="s">
        <v>1282</v>
      </c>
      <c r="U237" s="12" t="s">
        <v>1324</v>
      </c>
      <c r="V237" s="9" t="str">
        <f aca="false">U237&amp;" - "&amp;W237</f>
        <v>差速器轴承套装 - 前部</v>
      </c>
      <c r="W237" s="12" t="s">
        <v>165</v>
      </c>
      <c r="X237" s="12" t="s">
        <v>1284</v>
      </c>
      <c r="Y237" s="10" t="n">
        <f aca="false">G237</f>
        <v>25</v>
      </c>
      <c r="Z237" s="10" t="n">
        <f aca="false">H237</f>
        <v>15</v>
      </c>
      <c r="AA237" s="10" t="n">
        <f aca="false">I237</f>
        <v>10</v>
      </c>
      <c r="AB237" s="10" t="n">
        <f aca="false">J237</f>
        <v>0.9</v>
      </c>
      <c r="AC237" s="9" t="s">
        <v>1285</v>
      </c>
      <c r="AD237" s="9" t="s">
        <v>1325</v>
      </c>
      <c r="AE237" s="9" t="str">
        <f aca="false">IF($AK237=0,"",INDEX('Part types'!$T:$T,$AK237)&amp;"")</f>
        <v>All vehicles</v>
      </c>
      <c r="AF237" s="9" t="str">
        <f aca="false">IF($AK237=0,"",INDEX('Part types'!$U:$U,$AK237)&amp;"")</f>
        <v/>
      </c>
      <c r="AG237" s="9" t="str">
        <f aca="false">IF($AK237=0,"",INDEX('Part types'!$V:$V,$AK237)&amp;"")</f>
        <v>Estimate: size class M</v>
      </c>
      <c r="AH237" s="9" t="str">
        <f aca="false">IF($AK237=0,"",INDEX('Part types'!$W:$W,$AK237)&amp;"")</f>
        <v/>
      </c>
      <c r="AI237" s="11" t="str">
        <f aca="false">IF($AK237=0,"",INDEX('Part types'!$X:$X,$AK237)&amp;"")</f>
        <v/>
      </c>
      <c r="AJ237" s="9" t="str">
        <f aca="false">IF($AK237=0,"",INDEX('Part types'!$Y:$Y,$AK237)&amp;"")</f>
        <v/>
      </c>
      <c r="AK237" s="9" t="n">
        <f aca="false">IFERROR(MATCH($AD237,'Part types'!$E:$E,0),0)</f>
        <v>226</v>
      </c>
    </row>
    <row r="238" customFormat="false" ht="15" hidden="false" customHeight="false" outlineLevel="0" collapsed="false">
      <c r="A238" s="9" t="s">
        <v>1326</v>
      </c>
      <c r="B238" s="9" t="s">
        <v>1277</v>
      </c>
      <c r="C238" s="9" t="s">
        <v>1322</v>
      </c>
      <c r="D238" s="9" t="str">
        <f aca="false">C238&amp;" - "&amp;E238</f>
        <v>Differential Bearing Kit - Rear</v>
      </c>
      <c r="E238" s="9" t="s">
        <v>168</v>
      </c>
      <c r="F238" s="9" t="s">
        <v>1277</v>
      </c>
      <c r="G238" s="10" t="n">
        <f aca="false">IF($AK238=0,"",INDEX('Part types'!$P:$P,$AK238))</f>
        <v>25</v>
      </c>
      <c r="H238" s="10" t="n">
        <f aca="false">IF($AK238=0,"",INDEX('Part types'!$Q:$Q,$AK238))</f>
        <v>15</v>
      </c>
      <c r="I238" s="10" t="n">
        <f aca="false">IF($AK238=0,"",INDEX('Part types'!$R:$R,$AK238))</f>
        <v>10</v>
      </c>
      <c r="J238" s="10" t="n">
        <f aca="false">IF($AK238=0,"",INDEX('Part types'!$S:$S,$AK238))</f>
        <v>0.9</v>
      </c>
      <c r="K238" s="11" t="s">
        <v>1279</v>
      </c>
      <c r="L238" s="11" t="s">
        <v>1323</v>
      </c>
      <c r="M238" s="11" t="str">
        <f aca="false">L238&amp;" - "&amp;N238</f>
        <v>طقم رولمانات الدفرنس - خلفي</v>
      </c>
      <c r="N238" s="11" t="s">
        <v>169</v>
      </c>
      <c r="O238" s="11" t="s">
        <v>1281</v>
      </c>
      <c r="P238" s="10" t="n">
        <f aca="false">G238</f>
        <v>25</v>
      </c>
      <c r="Q238" s="10" t="n">
        <f aca="false">H238</f>
        <v>15</v>
      </c>
      <c r="R238" s="10" t="n">
        <f aca="false">I238</f>
        <v>10</v>
      </c>
      <c r="S238" s="10" t="n">
        <f aca="false">J238</f>
        <v>0.9</v>
      </c>
      <c r="T238" s="12" t="s">
        <v>1282</v>
      </c>
      <c r="U238" s="12" t="s">
        <v>1324</v>
      </c>
      <c r="V238" s="9" t="str">
        <f aca="false">U238&amp;" - "&amp;W238</f>
        <v>差速器轴承套装 - 后部</v>
      </c>
      <c r="W238" s="12" t="s">
        <v>170</v>
      </c>
      <c r="X238" s="12" t="s">
        <v>1284</v>
      </c>
      <c r="Y238" s="10" t="n">
        <f aca="false">G238</f>
        <v>25</v>
      </c>
      <c r="Z238" s="10" t="n">
        <f aca="false">H238</f>
        <v>15</v>
      </c>
      <c r="AA238" s="10" t="n">
        <f aca="false">I238</f>
        <v>10</v>
      </c>
      <c r="AB238" s="10" t="n">
        <f aca="false">J238</f>
        <v>0.9</v>
      </c>
      <c r="AC238" s="9" t="s">
        <v>1285</v>
      </c>
      <c r="AD238" s="9" t="s">
        <v>1325</v>
      </c>
      <c r="AE238" s="9" t="str">
        <f aca="false">IF($AK238=0,"",INDEX('Part types'!$T:$T,$AK238)&amp;"")</f>
        <v>All vehicles</v>
      </c>
      <c r="AF238" s="9" t="str">
        <f aca="false">IF($AK238=0,"",INDEX('Part types'!$U:$U,$AK238)&amp;"")</f>
        <v/>
      </c>
      <c r="AG238" s="9" t="str">
        <f aca="false">IF($AK238=0,"",INDEX('Part types'!$V:$V,$AK238)&amp;"")</f>
        <v>Estimate: size class M</v>
      </c>
      <c r="AH238" s="9" t="str">
        <f aca="false">IF($AK238=0,"",INDEX('Part types'!$W:$W,$AK238)&amp;"")</f>
        <v/>
      </c>
      <c r="AI238" s="11" t="str">
        <f aca="false">IF($AK238=0,"",INDEX('Part types'!$X:$X,$AK238)&amp;"")</f>
        <v/>
      </c>
      <c r="AJ238" s="9" t="str">
        <f aca="false">IF($AK238=0,"",INDEX('Part types'!$Y:$Y,$AK238)&amp;"")</f>
        <v/>
      </c>
      <c r="AK238" s="9" t="n">
        <f aca="false">IFERROR(MATCH($AD238,'Part types'!$E:$E,0),0)</f>
        <v>226</v>
      </c>
    </row>
    <row r="239" customFormat="false" ht="15" hidden="false" customHeight="false" outlineLevel="0" collapsed="false">
      <c r="A239" s="9" t="s">
        <v>1327</v>
      </c>
      <c r="B239" s="9" t="s">
        <v>1277</v>
      </c>
      <c r="C239" s="9" t="s">
        <v>1328</v>
      </c>
      <c r="D239" s="9" t="str">
        <f aca="false">C239&amp;" - "&amp;E239</f>
        <v>Transfer Case - Universal</v>
      </c>
      <c r="E239" s="9" t="s">
        <v>68</v>
      </c>
      <c r="F239" s="9" t="s">
        <v>1277</v>
      </c>
      <c r="G239" s="10" t="n">
        <f aca="false">IF($AK239=0,"",INDEX('Part types'!$P:$P,$AK239))</f>
        <v>50</v>
      </c>
      <c r="H239" s="10" t="n">
        <f aca="false">IF($AK239=0,"",INDEX('Part types'!$Q:$Q,$AK239))</f>
        <v>40</v>
      </c>
      <c r="I239" s="10" t="n">
        <f aca="false">IF($AK239=0,"",INDEX('Part types'!$R:$R,$AK239))</f>
        <v>35</v>
      </c>
      <c r="J239" s="10" t="n">
        <f aca="false">IF($AK239=0,"",INDEX('Part types'!$S:$S,$AK239))</f>
        <v>40</v>
      </c>
      <c r="K239" s="11" t="s">
        <v>1279</v>
      </c>
      <c r="L239" s="11" t="s">
        <v>1329</v>
      </c>
      <c r="M239" s="11" t="str">
        <f aca="false">L239&amp;" - "&amp;N239</f>
        <v>علبة نقل الحركة - عام</v>
      </c>
      <c r="N239" s="11" t="s">
        <v>72</v>
      </c>
      <c r="O239" s="11" t="s">
        <v>1281</v>
      </c>
      <c r="P239" s="10" t="n">
        <f aca="false">G239</f>
        <v>50</v>
      </c>
      <c r="Q239" s="10" t="n">
        <f aca="false">H239</f>
        <v>40</v>
      </c>
      <c r="R239" s="10" t="n">
        <f aca="false">I239</f>
        <v>35</v>
      </c>
      <c r="S239" s="10" t="n">
        <f aca="false">J239</f>
        <v>40</v>
      </c>
      <c r="T239" s="12" t="s">
        <v>1282</v>
      </c>
      <c r="U239" s="12" t="s">
        <v>1330</v>
      </c>
      <c r="V239" s="9" t="str">
        <f aca="false">U239&amp;" - "&amp;W239</f>
        <v>分动箱 - 通用</v>
      </c>
      <c r="W239" s="12" t="s">
        <v>76</v>
      </c>
      <c r="X239" s="12" t="s">
        <v>1284</v>
      </c>
      <c r="Y239" s="10" t="n">
        <f aca="false">G239</f>
        <v>50</v>
      </c>
      <c r="Z239" s="10" t="n">
        <f aca="false">H239</f>
        <v>40</v>
      </c>
      <c r="AA239" s="10" t="n">
        <f aca="false">I239</f>
        <v>35</v>
      </c>
      <c r="AB239" s="10" t="n">
        <f aca="false">J239</f>
        <v>40</v>
      </c>
      <c r="AC239" s="9" t="s">
        <v>1285</v>
      </c>
      <c r="AD239" s="9" t="s">
        <v>1331</v>
      </c>
      <c r="AE239" s="9" t="str">
        <f aca="false">IF($AK239=0,"",INDEX('Part types'!$T:$T,$AK239)&amp;"")</f>
        <v>Combustion engine (petrol, diesel, hybrid, range extender)</v>
      </c>
      <c r="AF239" s="9" t="str">
        <f aca="false">IF($AK239=0,"",INDEX('Part types'!$U:$U,$AK239)&amp;"")</f>
        <v>Heavy (over 30 kg)</v>
      </c>
      <c r="AG239" s="9" t="str">
        <f aca="false">IF($AK239=0,"",INDEX('Part types'!$V:$V,$AK239)&amp;"")</f>
        <v>Estimate: item-specific</v>
      </c>
      <c r="AH239" s="9" t="str">
        <f aca="false">IF($AK239=0,"",INDEX('Part types'!$W:$W,$AK239)&amp;"")</f>
        <v/>
      </c>
      <c r="AI239" s="11" t="str">
        <f aca="false">IF($AK239=0,"",INDEX('Part types'!$X:$X,$AK239)&amp;"")</f>
        <v>ترانسفر</v>
      </c>
      <c r="AJ239" s="9" t="str">
        <f aca="false">IF($AK239=0,"",INDEX('Part types'!$Y:$Y,$AK239)&amp;"")</f>
        <v/>
      </c>
      <c r="AK239" s="9" t="n">
        <f aca="false">IFERROR(MATCH($AD239,'Part types'!$E:$E,0),0)</f>
        <v>227</v>
      </c>
    </row>
    <row r="240" customFormat="false" ht="15" hidden="false" customHeight="false" outlineLevel="0" collapsed="false">
      <c r="A240" s="9" t="s">
        <v>1332</v>
      </c>
      <c r="B240" s="9" t="s">
        <v>1277</v>
      </c>
      <c r="C240" s="9" t="s">
        <v>1333</v>
      </c>
      <c r="D240" s="9" t="str">
        <f aca="false">C240&amp;" - "&amp;E240</f>
        <v>Transfer Output Seal - Front</v>
      </c>
      <c r="E240" s="9" t="s">
        <v>161</v>
      </c>
      <c r="F240" s="9" t="s">
        <v>1277</v>
      </c>
      <c r="G240" s="10" t="n">
        <f aca="false">IF($AK240=0,"",INDEX('Part types'!$P:$P,$AK240))</f>
        <v>10</v>
      </c>
      <c r="H240" s="10" t="n">
        <f aca="false">IF($AK240=0,"",INDEX('Part types'!$Q:$Q,$AK240))</f>
        <v>8</v>
      </c>
      <c r="I240" s="10" t="n">
        <f aca="false">IF($AK240=0,"",INDEX('Part types'!$R:$R,$AK240))</f>
        <v>6</v>
      </c>
      <c r="J240" s="10" t="n">
        <f aca="false">IF($AK240=0,"",INDEX('Part types'!$S:$S,$AK240))</f>
        <v>0.1</v>
      </c>
      <c r="K240" s="11" t="s">
        <v>1279</v>
      </c>
      <c r="L240" s="11" t="s">
        <v>1334</v>
      </c>
      <c r="M240" s="11" t="str">
        <f aca="false">L240&amp;" - "&amp;N240</f>
        <v>سيل خرج علبة نقل الحركة - أمامي</v>
      </c>
      <c r="N240" s="11" t="s">
        <v>163</v>
      </c>
      <c r="O240" s="11" t="s">
        <v>1281</v>
      </c>
      <c r="P240" s="10" t="n">
        <f aca="false">G240</f>
        <v>10</v>
      </c>
      <c r="Q240" s="10" t="n">
        <f aca="false">H240</f>
        <v>8</v>
      </c>
      <c r="R240" s="10" t="n">
        <f aca="false">I240</f>
        <v>6</v>
      </c>
      <c r="S240" s="10" t="n">
        <f aca="false">J240</f>
        <v>0.1</v>
      </c>
      <c r="T240" s="12" t="s">
        <v>1282</v>
      </c>
      <c r="U240" s="12" t="s">
        <v>1335</v>
      </c>
      <c r="V240" s="9" t="str">
        <f aca="false">U240&amp;" - "&amp;W240</f>
        <v>分动箱输出油封 - 前部</v>
      </c>
      <c r="W240" s="12" t="s">
        <v>165</v>
      </c>
      <c r="X240" s="12" t="s">
        <v>1284</v>
      </c>
      <c r="Y240" s="10" t="n">
        <f aca="false">G240</f>
        <v>10</v>
      </c>
      <c r="Z240" s="10" t="n">
        <f aca="false">H240</f>
        <v>8</v>
      </c>
      <c r="AA240" s="10" t="n">
        <f aca="false">I240</f>
        <v>6</v>
      </c>
      <c r="AB240" s="10" t="n">
        <f aca="false">J240</f>
        <v>0.1</v>
      </c>
      <c r="AC240" s="9" t="s">
        <v>1285</v>
      </c>
      <c r="AD240" s="9" t="s">
        <v>1336</v>
      </c>
      <c r="AE240" s="9" t="str">
        <f aca="false">IF($AK240=0,"",INDEX('Part types'!$T:$T,$AK240)&amp;"")</f>
        <v>Combustion engine (petrol, diesel, hybrid, range extender)</v>
      </c>
      <c r="AF240" s="9" t="str">
        <f aca="false">IF($AK240=0,"",INDEX('Part types'!$U:$U,$AK240)&amp;"")</f>
        <v/>
      </c>
      <c r="AG240" s="9" t="str">
        <f aca="false">IF($AK240=0,"",INDEX('Part types'!$V:$V,$AK240)&amp;"")</f>
        <v>Estimate: size class XS</v>
      </c>
      <c r="AH240" s="9" t="str">
        <f aca="false">IF($AK240=0,"",INDEX('Part types'!$W:$W,$AK240)&amp;"")</f>
        <v>Transfer Case Output Seal</v>
      </c>
      <c r="AI240" s="11" t="str">
        <f aca="false">IF($AK240=0,"",INDEX('Part types'!$X:$X,$AK240)&amp;"")</f>
        <v/>
      </c>
      <c r="AJ240" s="9" t="str">
        <f aca="false">IF($AK240=0,"",INDEX('Part types'!$Y:$Y,$AK240)&amp;"")</f>
        <v/>
      </c>
      <c r="AK240" s="9" t="n">
        <f aca="false">IFERROR(MATCH($AD240,'Part types'!$E:$E,0),0)</f>
        <v>228</v>
      </c>
    </row>
    <row r="241" customFormat="false" ht="15" hidden="false" customHeight="false" outlineLevel="0" collapsed="false">
      <c r="A241" s="9" t="s">
        <v>1337</v>
      </c>
      <c r="B241" s="9" t="s">
        <v>1277</v>
      </c>
      <c r="C241" s="9" t="s">
        <v>1333</v>
      </c>
      <c r="D241" s="9" t="str">
        <f aca="false">C241&amp;" - "&amp;E241</f>
        <v>Transfer Output Seal - Rear</v>
      </c>
      <c r="E241" s="9" t="s">
        <v>168</v>
      </c>
      <c r="F241" s="9" t="s">
        <v>1277</v>
      </c>
      <c r="G241" s="10" t="n">
        <f aca="false">IF($AK241=0,"",INDEX('Part types'!$P:$P,$AK241))</f>
        <v>10</v>
      </c>
      <c r="H241" s="10" t="n">
        <f aca="false">IF($AK241=0,"",INDEX('Part types'!$Q:$Q,$AK241))</f>
        <v>8</v>
      </c>
      <c r="I241" s="10" t="n">
        <f aca="false">IF($AK241=0,"",INDEX('Part types'!$R:$R,$AK241))</f>
        <v>6</v>
      </c>
      <c r="J241" s="10" t="n">
        <f aca="false">IF($AK241=0,"",INDEX('Part types'!$S:$S,$AK241))</f>
        <v>0.1</v>
      </c>
      <c r="K241" s="11" t="s">
        <v>1279</v>
      </c>
      <c r="L241" s="11" t="s">
        <v>1334</v>
      </c>
      <c r="M241" s="11" t="str">
        <f aca="false">L241&amp;" - "&amp;N241</f>
        <v>سيل خرج علبة نقل الحركة - خلفي</v>
      </c>
      <c r="N241" s="11" t="s">
        <v>169</v>
      </c>
      <c r="O241" s="11" t="s">
        <v>1281</v>
      </c>
      <c r="P241" s="10" t="n">
        <f aca="false">G241</f>
        <v>10</v>
      </c>
      <c r="Q241" s="10" t="n">
        <f aca="false">H241</f>
        <v>8</v>
      </c>
      <c r="R241" s="10" t="n">
        <f aca="false">I241</f>
        <v>6</v>
      </c>
      <c r="S241" s="10" t="n">
        <f aca="false">J241</f>
        <v>0.1</v>
      </c>
      <c r="T241" s="12" t="s">
        <v>1282</v>
      </c>
      <c r="U241" s="12" t="s">
        <v>1335</v>
      </c>
      <c r="V241" s="9" t="str">
        <f aca="false">U241&amp;" - "&amp;W241</f>
        <v>分动箱输出油封 - 后部</v>
      </c>
      <c r="W241" s="12" t="s">
        <v>170</v>
      </c>
      <c r="X241" s="12" t="s">
        <v>1284</v>
      </c>
      <c r="Y241" s="10" t="n">
        <f aca="false">G241</f>
        <v>10</v>
      </c>
      <c r="Z241" s="10" t="n">
        <f aca="false">H241</f>
        <v>8</v>
      </c>
      <c r="AA241" s="10" t="n">
        <f aca="false">I241</f>
        <v>6</v>
      </c>
      <c r="AB241" s="10" t="n">
        <f aca="false">J241</f>
        <v>0.1</v>
      </c>
      <c r="AC241" s="9" t="s">
        <v>1285</v>
      </c>
      <c r="AD241" s="9" t="s">
        <v>1336</v>
      </c>
      <c r="AE241" s="9" t="str">
        <f aca="false">IF($AK241=0,"",INDEX('Part types'!$T:$T,$AK241)&amp;"")</f>
        <v>Combustion engine (petrol, diesel, hybrid, range extender)</v>
      </c>
      <c r="AF241" s="9" t="str">
        <f aca="false">IF($AK241=0,"",INDEX('Part types'!$U:$U,$AK241)&amp;"")</f>
        <v/>
      </c>
      <c r="AG241" s="9" t="str">
        <f aca="false">IF($AK241=0,"",INDEX('Part types'!$V:$V,$AK241)&amp;"")</f>
        <v>Estimate: size class XS</v>
      </c>
      <c r="AH241" s="9" t="str">
        <f aca="false">IF($AK241=0,"",INDEX('Part types'!$W:$W,$AK241)&amp;"")</f>
        <v>Transfer Case Output Seal</v>
      </c>
      <c r="AI241" s="11" t="str">
        <f aca="false">IF($AK241=0,"",INDEX('Part types'!$X:$X,$AK241)&amp;"")</f>
        <v/>
      </c>
      <c r="AJ241" s="9" t="str">
        <f aca="false">IF($AK241=0,"",INDEX('Part types'!$Y:$Y,$AK241)&amp;"")</f>
        <v/>
      </c>
      <c r="AK241" s="9" t="n">
        <f aca="false">IFERROR(MATCH($AD241,'Part types'!$E:$E,0),0)</f>
        <v>228</v>
      </c>
    </row>
    <row r="242" customFormat="false" ht="15" hidden="false" customHeight="false" outlineLevel="0" collapsed="false">
      <c r="A242" s="9" t="s">
        <v>1338</v>
      </c>
      <c r="B242" s="9" t="s">
        <v>1277</v>
      </c>
      <c r="C242" s="9" t="s">
        <v>1339</v>
      </c>
      <c r="D242" s="9" t="str">
        <f aca="false">C242&amp;" - "&amp;E242</f>
        <v>Transfer Actuator Motor - Universal</v>
      </c>
      <c r="E242" s="9" t="s">
        <v>68</v>
      </c>
      <c r="F242" s="9" t="s">
        <v>1277</v>
      </c>
      <c r="G242" s="10" t="n">
        <f aca="false">IF($AK242=0,"",INDEX('Part types'!$P:$P,$AK242))</f>
        <v>25</v>
      </c>
      <c r="H242" s="10" t="n">
        <f aca="false">IF($AK242=0,"",INDEX('Part types'!$Q:$Q,$AK242))</f>
        <v>15</v>
      </c>
      <c r="I242" s="10" t="n">
        <f aca="false">IF($AK242=0,"",INDEX('Part types'!$R:$R,$AK242))</f>
        <v>10</v>
      </c>
      <c r="J242" s="10" t="n">
        <f aca="false">IF($AK242=0,"",INDEX('Part types'!$S:$S,$AK242))</f>
        <v>0.9</v>
      </c>
      <c r="K242" s="11" t="s">
        <v>1279</v>
      </c>
      <c r="L242" s="11" t="s">
        <v>1340</v>
      </c>
      <c r="M242" s="11" t="str">
        <f aca="false">L242&amp;" - "&amp;N242</f>
        <v>موتور تعشيق علبة نقل الحركة - عام</v>
      </c>
      <c r="N242" s="11" t="s">
        <v>72</v>
      </c>
      <c r="O242" s="11" t="s">
        <v>1281</v>
      </c>
      <c r="P242" s="10" t="n">
        <f aca="false">G242</f>
        <v>25</v>
      </c>
      <c r="Q242" s="10" t="n">
        <f aca="false">H242</f>
        <v>15</v>
      </c>
      <c r="R242" s="10" t="n">
        <f aca="false">I242</f>
        <v>10</v>
      </c>
      <c r="S242" s="10" t="n">
        <f aca="false">J242</f>
        <v>0.9</v>
      </c>
      <c r="T242" s="12" t="s">
        <v>1282</v>
      </c>
      <c r="U242" s="12" t="s">
        <v>1341</v>
      </c>
      <c r="V242" s="9" t="str">
        <f aca="false">U242&amp;" - "&amp;W242</f>
        <v>分动箱执行电机 - 通用</v>
      </c>
      <c r="W242" s="12" t="s">
        <v>76</v>
      </c>
      <c r="X242" s="12" t="s">
        <v>1284</v>
      </c>
      <c r="Y242" s="10" t="n">
        <f aca="false">G242</f>
        <v>25</v>
      </c>
      <c r="Z242" s="10" t="n">
        <f aca="false">H242</f>
        <v>15</v>
      </c>
      <c r="AA242" s="10" t="n">
        <f aca="false">I242</f>
        <v>10</v>
      </c>
      <c r="AB242" s="10" t="n">
        <f aca="false">J242</f>
        <v>0.9</v>
      </c>
      <c r="AC242" s="9" t="s">
        <v>1285</v>
      </c>
      <c r="AD242" s="9" t="s">
        <v>1342</v>
      </c>
      <c r="AE242" s="9" t="str">
        <f aca="false">IF($AK242=0,"",INDEX('Part types'!$T:$T,$AK242)&amp;"")</f>
        <v>Combustion engine (petrol, diesel, hybrid, range extender)</v>
      </c>
      <c r="AF242" s="9" t="str">
        <f aca="false">IF($AK242=0,"",INDEX('Part types'!$U:$U,$AK242)&amp;"")</f>
        <v/>
      </c>
      <c r="AG242" s="9" t="str">
        <f aca="false">IF($AK242=0,"",INDEX('Part types'!$V:$V,$AK242)&amp;"")</f>
        <v>Estimate: size class M</v>
      </c>
      <c r="AH242" s="9" t="str">
        <f aca="false">IF($AK242=0,"",INDEX('Part types'!$W:$W,$AK242)&amp;"")</f>
        <v>Transfer Case Actuator Motor</v>
      </c>
      <c r="AI242" s="11" t="str">
        <f aca="false">IF($AK242=0,"",INDEX('Part types'!$X:$X,$AK242)&amp;"")</f>
        <v/>
      </c>
      <c r="AJ242" s="9" t="str">
        <f aca="false">IF($AK242=0,"",INDEX('Part types'!$Y:$Y,$AK242)&amp;"")</f>
        <v/>
      </c>
      <c r="AK242" s="9" t="n">
        <f aca="false">IFERROR(MATCH($AD242,'Part types'!$E:$E,0),0)</f>
        <v>229</v>
      </c>
    </row>
    <row r="243" customFormat="false" ht="15" hidden="false" customHeight="false" outlineLevel="0" collapsed="false">
      <c r="A243" s="9" t="s">
        <v>1343</v>
      </c>
      <c r="B243" s="9" t="s">
        <v>1344</v>
      </c>
      <c r="C243" s="9" t="s">
        <v>1345</v>
      </c>
      <c r="D243" s="9" t="str">
        <f aca="false">C243&amp;" - "&amp;E243</f>
        <v>CV Axle Shaft - Front-Left</v>
      </c>
      <c r="E243" s="9" t="s">
        <v>1346</v>
      </c>
      <c r="F243" s="9" t="s">
        <v>1277</v>
      </c>
      <c r="G243" s="10" t="n">
        <f aca="false">IF($AK243=0,"",INDEX('Part types'!$P:$P,$AK243))</f>
        <v>70</v>
      </c>
      <c r="H243" s="10" t="n">
        <f aca="false">IF($AK243=0,"",INDEX('Part types'!$Q:$Q,$AK243))</f>
        <v>15</v>
      </c>
      <c r="I243" s="10" t="n">
        <f aca="false">IF($AK243=0,"",INDEX('Part types'!$R:$R,$AK243))</f>
        <v>15</v>
      </c>
      <c r="J243" s="10" t="n">
        <f aca="false">IF($AK243=0,"",INDEX('Part types'!$S:$S,$AK243))</f>
        <v>6</v>
      </c>
      <c r="K243" s="11" t="s">
        <v>1347</v>
      </c>
      <c r="L243" s="11" t="s">
        <v>1348</v>
      </c>
      <c r="M243" s="11" t="str">
        <f aca="false">L243&amp;" - "&amp;N243</f>
        <v>عمود الدفع - أمامي يسار</v>
      </c>
      <c r="N243" s="11" t="s">
        <v>1349</v>
      </c>
      <c r="O243" s="11" t="s">
        <v>1281</v>
      </c>
      <c r="P243" s="10" t="n">
        <f aca="false">G243</f>
        <v>70</v>
      </c>
      <c r="Q243" s="10" t="n">
        <f aca="false">H243</f>
        <v>15</v>
      </c>
      <c r="R243" s="10" t="n">
        <f aca="false">I243</f>
        <v>15</v>
      </c>
      <c r="S243" s="10" t="n">
        <f aca="false">J243</f>
        <v>6</v>
      </c>
      <c r="T243" s="12" t="s">
        <v>1350</v>
      </c>
      <c r="U243" s="12" t="s">
        <v>1351</v>
      </c>
      <c r="V243" s="9" t="str">
        <f aca="false">U243&amp;" - "&amp;W243</f>
        <v>驱动半轴 - 前左</v>
      </c>
      <c r="W243" s="12" t="s">
        <v>1352</v>
      </c>
      <c r="X243" s="12" t="s">
        <v>1284</v>
      </c>
      <c r="Y243" s="10" t="n">
        <f aca="false">G243</f>
        <v>70</v>
      </c>
      <c r="Z243" s="10" t="n">
        <f aca="false">H243</f>
        <v>15</v>
      </c>
      <c r="AA243" s="10" t="n">
        <f aca="false">I243</f>
        <v>15</v>
      </c>
      <c r="AB243" s="10" t="n">
        <f aca="false">J243</f>
        <v>6</v>
      </c>
      <c r="AC243" s="9" t="s">
        <v>1353</v>
      </c>
      <c r="AD243" s="9" t="s">
        <v>1354</v>
      </c>
      <c r="AE243" s="9" t="str">
        <f aca="false">IF($AK243=0,"",INDEX('Part types'!$T:$T,$AK243)&amp;"")</f>
        <v>All vehicles</v>
      </c>
      <c r="AF243" s="9" t="str">
        <f aca="false">IF($AK243=0,"",INDEX('Part types'!$U:$U,$AK243)&amp;"")</f>
        <v/>
      </c>
      <c r="AG243" s="9" t="str">
        <f aca="false">IF($AK243=0,"",INDEX('Part types'!$V:$V,$AK243)&amp;"")</f>
        <v>Estimate: item-specific</v>
      </c>
      <c r="AH243" s="9" t="str">
        <f aca="false">IF($AK243=0,"",INDEX('Part types'!$W:$W,$AK243)&amp;"")</f>
        <v>Half Shaft</v>
      </c>
      <c r="AI243" s="11" t="str">
        <f aca="false">IF($AK243=0,"",INDEX('Part types'!$X:$X,$AK243)&amp;"")</f>
        <v>هاف شافت</v>
      </c>
      <c r="AJ243" s="9" t="str">
        <f aca="false">IF($AK243=0,"",INDEX('Part types'!$Y:$Y,$AK243)&amp;"")</f>
        <v/>
      </c>
      <c r="AK243" s="9" t="n">
        <f aca="false">IFERROR(MATCH($AD243,'Part types'!$E:$E,0),0)</f>
        <v>230</v>
      </c>
    </row>
    <row r="244" customFormat="false" ht="15" hidden="false" customHeight="false" outlineLevel="0" collapsed="false">
      <c r="A244" s="9" t="s">
        <v>1355</v>
      </c>
      <c r="B244" s="9" t="s">
        <v>1344</v>
      </c>
      <c r="C244" s="9" t="s">
        <v>1345</v>
      </c>
      <c r="D244" s="9" t="str">
        <f aca="false">C244&amp;" - "&amp;E244</f>
        <v>CV Axle Shaft - Front-Right</v>
      </c>
      <c r="E244" s="9" t="s">
        <v>1356</v>
      </c>
      <c r="F244" s="9" t="s">
        <v>1277</v>
      </c>
      <c r="G244" s="10" t="n">
        <f aca="false">IF($AK244=0,"",INDEX('Part types'!$P:$P,$AK244))</f>
        <v>70</v>
      </c>
      <c r="H244" s="10" t="n">
        <f aca="false">IF($AK244=0,"",INDEX('Part types'!$Q:$Q,$AK244))</f>
        <v>15</v>
      </c>
      <c r="I244" s="10" t="n">
        <f aca="false">IF($AK244=0,"",INDEX('Part types'!$R:$R,$AK244))</f>
        <v>15</v>
      </c>
      <c r="J244" s="10" t="n">
        <f aca="false">IF($AK244=0,"",INDEX('Part types'!$S:$S,$AK244))</f>
        <v>6</v>
      </c>
      <c r="K244" s="11" t="s">
        <v>1347</v>
      </c>
      <c r="L244" s="11" t="s">
        <v>1348</v>
      </c>
      <c r="M244" s="11" t="str">
        <f aca="false">L244&amp;" - "&amp;N244</f>
        <v>عمود الدفع - أمامي يمين</v>
      </c>
      <c r="N244" s="11" t="s">
        <v>1357</v>
      </c>
      <c r="O244" s="11" t="s">
        <v>1281</v>
      </c>
      <c r="P244" s="10" t="n">
        <f aca="false">G244</f>
        <v>70</v>
      </c>
      <c r="Q244" s="10" t="n">
        <f aca="false">H244</f>
        <v>15</v>
      </c>
      <c r="R244" s="10" t="n">
        <f aca="false">I244</f>
        <v>15</v>
      </c>
      <c r="S244" s="10" t="n">
        <f aca="false">J244</f>
        <v>6</v>
      </c>
      <c r="T244" s="12" t="s">
        <v>1350</v>
      </c>
      <c r="U244" s="12" t="s">
        <v>1351</v>
      </c>
      <c r="V244" s="9" t="str">
        <f aca="false">U244&amp;" - "&amp;W244</f>
        <v>驱动半轴 - 前右</v>
      </c>
      <c r="W244" s="12" t="s">
        <v>1358</v>
      </c>
      <c r="X244" s="12" t="s">
        <v>1284</v>
      </c>
      <c r="Y244" s="10" t="n">
        <f aca="false">G244</f>
        <v>70</v>
      </c>
      <c r="Z244" s="10" t="n">
        <f aca="false">H244</f>
        <v>15</v>
      </c>
      <c r="AA244" s="10" t="n">
        <f aca="false">I244</f>
        <v>15</v>
      </c>
      <c r="AB244" s="10" t="n">
        <f aca="false">J244</f>
        <v>6</v>
      </c>
      <c r="AC244" s="9" t="s">
        <v>1353</v>
      </c>
      <c r="AD244" s="9" t="s">
        <v>1354</v>
      </c>
      <c r="AE244" s="9" t="str">
        <f aca="false">IF($AK244=0,"",INDEX('Part types'!$T:$T,$AK244)&amp;"")</f>
        <v>All vehicles</v>
      </c>
      <c r="AF244" s="9" t="str">
        <f aca="false">IF($AK244=0,"",INDEX('Part types'!$U:$U,$AK244)&amp;"")</f>
        <v/>
      </c>
      <c r="AG244" s="9" t="str">
        <f aca="false">IF($AK244=0,"",INDEX('Part types'!$V:$V,$AK244)&amp;"")</f>
        <v>Estimate: item-specific</v>
      </c>
      <c r="AH244" s="9" t="str">
        <f aca="false">IF($AK244=0,"",INDEX('Part types'!$W:$W,$AK244)&amp;"")</f>
        <v>Half Shaft</v>
      </c>
      <c r="AI244" s="11" t="str">
        <f aca="false">IF($AK244=0,"",INDEX('Part types'!$X:$X,$AK244)&amp;"")</f>
        <v>هاف شافت</v>
      </c>
      <c r="AJ244" s="9" t="str">
        <f aca="false">IF($AK244=0,"",INDEX('Part types'!$Y:$Y,$AK244)&amp;"")</f>
        <v/>
      </c>
      <c r="AK244" s="9" t="n">
        <f aca="false">IFERROR(MATCH($AD244,'Part types'!$E:$E,0),0)</f>
        <v>230</v>
      </c>
    </row>
    <row r="245" customFormat="false" ht="15" hidden="false" customHeight="false" outlineLevel="0" collapsed="false">
      <c r="A245" s="9" t="s">
        <v>1359</v>
      </c>
      <c r="B245" s="9" t="s">
        <v>1344</v>
      </c>
      <c r="C245" s="9" t="s">
        <v>1345</v>
      </c>
      <c r="D245" s="9" t="str">
        <f aca="false">C245&amp;" - "&amp;E245</f>
        <v>CV Axle Shaft - Rear-Left</v>
      </c>
      <c r="E245" s="9" t="s">
        <v>1360</v>
      </c>
      <c r="F245" s="9" t="s">
        <v>1277</v>
      </c>
      <c r="G245" s="10" t="n">
        <f aca="false">IF($AK245=0,"",INDEX('Part types'!$P:$P,$AK245))</f>
        <v>70</v>
      </c>
      <c r="H245" s="10" t="n">
        <f aca="false">IF($AK245=0,"",INDEX('Part types'!$Q:$Q,$AK245))</f>
        <v>15</v>
      </c>
      <c r="I245" s="10" t="n">
        <f aca="false">IF($AK245=0,"",INDEX('Part types'!$R:$R,$AK245))</f>
        <v>15</v>
      </c>
      <c r="J245" s="10" t="n">
        <f aca="false">IF($AK245=0,"",INDEX('Part types'!$S:$S,$AK245))</f>
        <v>6</v>
      </c>
      <c r="K245" s="11" t="s">
        <v>1347</v>
      </c>
      <c r="L245" s="11" t="s">
        <v>1348</v>
      </c>
      <c r="M245" s="11" t="str">
        <f aca="false">L245&amp;" - "&amp;N245</f>
        <v>عمود الدفع - خلفي يسار</v>
      </c>
      <c r="N245" s="11" t="s">
        <v>1361</v>
      </c>
      <c r="O245" s="11" t="s">
        <v>1281</v>
      </c>
      <c r="P245" s="10" t="n">
        <f aca="false">G245</f>
        <v>70</v>
      </c>
      <c r="Q245" s="10" t="n">
        <f aca="false">H245</f>
        <v>15</v>
      </c>
      <c r="R245" s="10" t="n">
        <f aca="false">I245</f>
        <v>15</v>
      </c>
      <c r="S245" s="10" t="n">
        <f aca="false">J245</f>
        <v>6</v>
      </c>
      <c r="T245" s="12" t="s">
        <v>1350</v>
      </c>
      <c r="U245" s="12" t="s">
        <v>1351</v>
      </c>
      <c r="V245" s="9" t="str">
        <f aca="false">U245&amp;" - "&amp;W245</f>
        <v>驱动半轴 - 后左</v>
      </c>
      <c r="W245" s="12" t="s">
        <v>1362</v>
      </c>
      <c r="X245" s="12" t="s">
        <v>1284</v>
      </c>
      <c r="Y245" s="10" t="n">
        <f aca="false">G245</f>
        <v>70</v>
      </c>
      <c r="Z245" s="10" t="n">
        <f aca="false">H245</f>
        <v>15</v>
      </c>
      <c r="AA245" s="10" t="n">
        <f aca="false">I245</f>
        <v>15</v>
      </c>
      <c r="AB245" s="10" t="n">
        <f aca="false">J245</f>
        <v>6</v>
      </c>
      <c r="AC245" s="9" t="s">
        <v>1353</v>
      </c>
      <c r="AD245" s="9" t="s">
        <v>1354</v>
      </c>
      <c r="AE245" s="9" t="str">
        <f aca="false">IF($AK245=0,"",INDEX('Part types'!$T:$T,$AK245)&amp;"")</f>
        <v>All vehicles</v>
      </c>
      <c r="AF245" s="9" t="str">
        <f aca="false">IF($AK245=0,"",INDEX('Part types'!$U:$U,$AK245)&amp;"")</f>
        <v/>
      </c>
      <c r="AG245" s="9" t="str">
        <f aca="false">IF($AK245=0,"",INDEX('Part types'!$V:$V,$AK245)&amp;"")</f>
        <v>Estimate: item-specific</v>
      </c>
      <c r="AH245" s="9" t="str">
        <f aca="false">IF($AK245=0,"",INDEX('Part types'!$W:$W,$AK245)&amp;"")</f>
        <v>Half Shaft</v>
      </c>
      <c r="AI245" s="11" t="str">
        <f aca="false">IF($AK245=0,"",INDEX('Part types'!$X:$X,$AK245)&amp;"")</f>
        <v>هاف شافت</v>
      </c>
      <c r="AJ245" s="9" t="str">
        <f aca="false">IF($AK245=0,"",INDEX('Part types'!$Y:$Y,$AK245)&amp;"")</f>
        <v/>
      </c>
      <c r="AK245" s="9" t="n">
        <f aca="false">IFERROR(MATCH($AD245,'Part types'!$E:$E,0),0)</f>
        <v>230</v>
      </c>
    </row>
    <row r="246" customFormat="false" ht="15" hidden="false" customHeight="false" outlineLevel="0" collapsed="false">
      <c r="A246" s="9" t="s">
        <v>1363</v>
      </c>
      <c r="B246" s="9" t="s">
        <v>1344</v>
      </c>
      <c r="C246" s="9" t="s">
        <v>1345</v>
      </c>
      <c r="D246" s="9" t="str">
        <f aca="false">C246&amp;" - "&amp;E246</f>
        <v>CV Axle Shaft - Rear-Right</v>
      </c>
      <c r="E246" s="9" t="s">
        <v>1364</v>
      </c>
      <c r="F246" s="9" t="s">
        <v>1277</v>
      </c>
      <c r="G246" s="10" t="n">
        <f aca="false">IF($AK246=0,"",INDEX('Part types'!$P:$P,$AK246))</f>
        <v>70</v>
      </c>
      <c r="H246" s="10" t="n">
        <f aca="false">IF($AK246=0,"",INDEX('Part types'!$Q:$Q,$AK246))</f>
        <v>15</v>
      </c>
      <c r="I246" s="10" t="n">
        <f aca="false">IF($AK246=0,"",INDEX('Part types'!$R:$R,$AK246))</f>
        <v>15</v>
      </c>
      <c r="J246" s="10" t="n">
        <f aca="false">IF($AK246=0,"",INDEX('Part types'!$S:$S,$AK246))</f>
        <v>6</v>
      </c>
      <c r="K246" s="11" t="s">
        <v>1347</v>
      </c>
      <c r="L246" s="11" t="s">
        <v>1348</v>
      </c>
      <c r="M246" s="11" t="str">
        <f aca="false">L246&amp;" - "&amp;N246</f>
        <v>عمود الدفع - خلفي يمين</v>
      </c>
      <c r="N246" s="11" t="s">
        <v>1365</v>
      </c>
      <c r="O246" s="11" t="s">
        <v>1281</v>
      </c>
      <c r="P246" s="10" t="n">
        <f aca="false">G246</f>
        <v>70</v>
      </c>
      <c r="Q246" s="10" t="n">
        <f aca="false">H246</f>
        <v>15</v>
      </c>
      <c r="R246" s="10" t="n">
        <f aca="false">I246</f>
        <v>15</v>
      </c>
      <c r="S246" s="10" t="n">
        <f aca="false">J246</f>
        <v>6</v>
      </c>
      <c r="T246" s="12" t="s">
        <v>1350</v>
      </c>
      <c r="U246" s="12" t="s">
        <v>1351</v>
      </c>
      <c r="V246" s="9" t="str">
        <f aca="false">U246&amp;" - "&amp;W246</f>
        <v>驱动半轴 - 后右</v>
      </c>
      <c r="W246" s="12" t="s">
        <v>1366</v>
      </c>
      <c r="X246" s="12" t="s">
        <v>1284</v>
      </c>
      <c r="Y246" s="10" t="n">
        <f aca="false">G246</f>
        <v>70</v>
      </c>
      <c r="Z246" s="10" t="n">
        <f aca="false">H246</f>
        <v>15</v>
      </c>
      <c r="AA246" s="10" t="n">
        <f aca="false">I246</f>
        <v>15</v>
      </c>
      <c r="AB246" s="10" t="n">
        <f aca="false">J246</f>
        <v>6</v>
      </c>
      <c r="AC246" s="9" t="s">
        <v>1353</v>
      </c>
      <c r="AD246" s="9" t="s">
        <v>1354</v>
      </c>
      <c r="AE246" s="9" t="str">
        <f aca="false">IF($AK246=0,"",INDEX('Part types'!$T:$T,$AK246)&amp;"")</f>
        <v>All vehicles</v>
      </c>
      <c r="AF246" s="9" t="str">
        <f aca="false">IF($AK246=0,"",INDEX('Part types'!$U:$U,$AK246)&amp;"")</f>
        <v/>
      </c>
      <c r="AG246" s="9" t="str">
        <f aca="false">IF($AK246=0,"",INDEX('Part types'!$V:$V,$AK246)&amp;"")</f>
        <v>Estimate: item-specific</v>
      </c>
      <c r="AH246" s="9" t="str">
        <f aca="false">IF($AK246=0,"",INDEX('Part types'!$W:$W,$AK246)&amp;"")</f>
        <v>Half Shaft</v>
      </c>
      <c r="AI246" s="11" t="str">
        <f aca="false">IF($AK246=0,"",INDEX('Part types'!$X:$X,$AK246)&amp;"")</f>
        <v>هاف شافت</v>
      </c>
      <c r="AJ246" s="9" t="str">
        <f aca="false">IF($AK246=0,"",INDEX('Part types'!$Y:$Y,$AK246)&amp;"")</f>
        <v/>
      </c>
      <c r="AK246" s="9" t="n">
        <f aca="false">IFERROR(MATCH($AD246,'Part types'!$E:$E,0),0)</f>
        <v>230</v>
      </c>
    </row>
    <row r="247" customFormat="false" ht="15" hidden="false" customHeight="false" outlineLevel="0" collapsed="false">
      <c r="A247" s="9" t="s">
        <v>1367</v>
      </c>
      <c r="B247" s="9" t="s">
        <v>1344</v>
      </c>
      <c r="C247" s="9" t="s">
        <v>1368</v>
      </c>
      <c r="D247" s="9" t="str">
        <f aca="false">C247&amp;" - "&amp;E247</f>
        <v>CV Joint - Front-Left</v>
      </c>
      <c r="E247" s="9" t="s">
        <v>1346</v>
      </c>
      <c r="F247" s="9" t="s">
        <v>1277</v>
      </c>
      <c r="G247" s="10" t="n">
        <f aca="false">IF($AK247=0,"",INDEX('Part types'!$P:$P,$AK247))</f>
        <v>30</v>
      </c>
      <c r="H247" s="10" t="n">
        <f aca="false">IF($AK247=0,"",INDEX('Part types'!$Q:$Q,$AK247))</f>
        <v>20</v>
      </c>
      <c r="I247" s="10" t="n">
        <f aca="false">IF($AK247=0,"",INDEX('Part types'!$R:$R,$AK247))</f>
        <v>15</v>
      </c>
      <c r="J247" s="10" t="n">
        <f aca="false">IF($AK247=0,"",INDEX('Part types'!$S:$S,$AK247))</f>
        <v>1.8</v>
      </c>
      <c r="K247" s="11" t="s">
        <v>1347</v>
      </c>
      <c r="L247" s="11" t="s">
        <v>1369</v>
      </c>
      <c r="M247" s="11" t="str">
        <f aca="false">L247&amp;" - "&amp;N247</f>
        <v>وصلة CV - أمامي يسار</v>
      </c>
      <c r="N247" s="11" t="s">
        <v>1349</v>
      </c>
      <c r="O247" s="11" t="s">
        <v>1281</v>
      </c>
      <c r="P247" s="10" t="n">
        <f aca="false">G247</f>
        <v>30</v>
      </c>
      <c r="Q247" s="10" t="n">
        <f aca="false">H247</f>
        <v>20</v>
      </c>
      <c r="R247" s="10" t="n">
        <f aca="false">I247</f>
        <v>15</v>
      </c>
      <c r="S247" s="10" t="n">
        <f aca="false">J247</f>
        <v>1.8</v>
      </c>
      <c r="T247" s="12" t="s">
        <v>1350</v>
      </c>
      <c r="U247" s="12" t="s">
        <v>1370</v>
      </c>
      <c r="V247" s="9" t="str">
        <f aca="false">U247&amp;" - "&amp;W247</f>
        <v>等速万向节 - 前左</v>
      </c>
      <c r="W247" s="12" t="s">
        <v>1352</v>
      </c>
      <c r="X247" s="12" t="s">
        <v>1284</v>
      </c>
      <c r="Y247" s="10" t="n">
        <f aca="false">G247</f>
        <v>30</v>
      </c>
      <c r="Z247" s="10" t="n">
        <f aca="false">H247</f>
        <v>20</v>
      </c>
      <c r="AA247" s="10" t="n">
        <f aca="false">I247</f>
        <v>15</v>
      </c>
      <c r="AB247" s="10" t="n">
        <f aca="false">J247</f>
        <v>1.8</v>
      </c>
      <c r="AC247" s="9" t="s">
        <v>1353</v>
      </c>
      <c r="AD247" s="9" t="s">
        <v>1371</v>
      </c>
      <c r="AE247" s="9" t="str">
        <f aca="false">IF($AK247=0,"",INDEX('Part types'!$T:$T,$AK247)&amp;"")</f>
        <v>All vehicles</v>
      </c>
      <c r="AF247" s="9" t="str">
        <f aca="false">IF($AK247=0,"",INDEX('Part types'!$U:$U,$AK247)&amp;"")</f>
        <v/>
      </c>
      <c r="AG247" s="9" t="str">
        <f aca="false">IF($AK247=0,"",INDEX('Part types'!$V:$V,$AK247)&amp;"")</f>
        <v>Estimate: size class M2</v>
      </c>
      <c r="AH247" s="9" t="str">
        <f aca="false">IF($AK247=0,"",INDEX('Part types'!$W:$W,$AK247)&amp;"")</f>
        <v/>
      </c>
      <c r="AI247" s="11" t="str">
        <f aca="false">IF($AK247=0,"",INDEX('Part types'!$X:$X,$AK247)&amp;"")</f>
        <v>جوزة العمود</v>
      </c>
      <c r="AJ247" s="9" t="str">
        <f aca="false">IF($AK247=0,"",INDEX('Part types'!$Y:$Y,$AK247)&amp;"")</f>
        <v/>
      </c>
      <c r="AK247" s="9" t="n">
        <f aca="false">IFERROR(MATCH($AD247,'Part types'!$E:$E,0),0)</f>
        <v>231</v>
      </c>
    </row>
    <row r="248" customFormat="false" ht="15" hidden="false" customHeight="false" outlineLevel="0" collapsed="false">
      <c r="A248" s="9" t="s">
        <v>1372</v>
      </c>
      <c r="B248" s="9" t="s">
        <v>1344</v>
      </c>
      <c r="C248" s="9" t="s">
        <v>1368</v>
      </c>
      <c r="D248" s="9" t="str">
        <f aca="false">C248&amp;" - "&amp;E248</f>
        <v>CV Joint - Front-Right</v>
      </c>
      <c r="E248" s="9" t="s">
        <v>1356</v>
      </c>
      <c r="F248" s="9" t="s">
        <v>1277</v>
      </c>
      <c r="G248" s="10" t="n">
        <f aca="false">IF($AK248=0,"",INDEX('Part types'!$P:$P,$AK248))</f>
        <v>30</v>
      </c>
      <c r="H248" s="10" t="n">
        <f aca="false">IF($AK248=0,"",INDEX('Part types'!$Q:$Q,$AK248))</f>
        <v>20</v>
      </c>
      <c r="I248" s="10" t="n">
        <f aca="false">IF($AK248=0,"",INDEX('Part types'!$R:$R,$AK248))</f>
        <v>15</v>
      </c>
      <c r="J248" s="10" t="n">
        <f aca="false">IF($AK248=0,"",INDEX('Part types'!$S:$S,$AK248))</f>
        <v>1.8</v>
      </c>
      <c r="K248" s="11" t="s">
        <v>1347</v>
      </c>
      <c r="L248" s="11" t="s">
        <v>1369</v>
      </c>
      <c r="M248" s="11" t="str">
        <f aca="false">L248&amp;" - "&amp;N248</f>
        <v>وصلة CV - أمامي يمين</v>
      </c>
      <c r="N248" s="11" t="s">
        <v>1357</v>
      </c>
      <c r="O248" s="11" t="s">
        <v>1281</v>
      </c>
      <c r="P248" s="10" t="n">
        <f aca="false">G248</f>
        <v>30</v>
      </c>
      <c r="Q248" s="10" t="n">
        <f aca="false">H248</f>
        <v>20</v>
      </c>
      <c r="R248" s="10" t="n">
        <f aca="false">I248</f>
        <v>15</v>
      </c>
      <c r="S248" s="10" t="n">
        <f aca="false">J248</f>
        <v>1.8</v>
      </c>
      <c r="T248" s="12" t="s">
        <v>1350</v>
      </c>
      <c r="U248" s="12" t="s">
        <v>1370</v>
      </c>
      <c r="V248" s="9" t="str">
        <f aca="false">U248&amp;" - "&amp;W248</f>
        <v>等速万向节 - 前右</v>
      </c>
      <c r="W248" s="12" t="s">
        <v>1358</v>
      </c>
      <c r="X248" s="12" t="s">
        <v>1284</v>
      </c>
      <c r="Y248" s="10" t="n">
        <f aca="false">G248</f>
        <v>30</v>
      </c>
      <c r="Z248" s="10" t="n">
        <f aca="false">H248</f>
        <v>20</v>
      </c>
      <c r="AA248" s="10" t="n">
        <f aca="false">I248</f>
        <v>15</v>
      </c>
      <c r="AB248" s="10" t="n">
        <f aca="false">J248</f>
        <v>1.8</v>
      </c>
      <c r="AC248" s="9" t="s">
        <v>1353</v>
      </c>
      <c r="AD248" s="9" t="s">
        <v>1371</v>
      </c>
      <c r="AE248" s="9" t="str">
        <f aca="false">IF($AK248=0,"",INDEX('Part types'!$T:$T,$AK248)&amp;"")</f>
        <v>All vehicles</v>
      </c>
      <c r="AF248" s="9" t="str">
        <f aca="false">IF($AK248=0,"",INDEX('Part types'!$U:$U,$AK248)&amp;"")</f>
        <v/>
      </c>
      <c r="AG248" s="9" t="str">
        <f aca="false">IF($AK248=0,"",INDEX('Part types'!$V:$V,$AK248)&amp;"")</f>
        <v>Estimate: size class M2</v>
      </c>
      <c r="AH248" s="9" t="str">
        <f aca="false">IF($AK248=0,"",INDEX('Part types'!$W:$W,$AK248)&amp;"")</f>
        <v/>
      </c>
      <c r="AI248" s="11" t="str">
        <f aca="false">IF($AK248=0,"",INDEX('Part types'!$X:$X,$AK248)&amp;"")</f>
        <v>جوزة العمود</v>
      </c>
      <c r="AJ248" s="9" t="str">
        <f aca="false">IF($AK248=0,"",INDEX('Part types'!$Y:$Y,$AK248)&amp;"")</f>
        <v/>
      </c>
      <c r="AK248" s="9" t="n">
        <f aca="false">IFERROR(MATCH($AD248,'Part types'!$E:$E,0),0)</f>
        <v>231</v>
      </c>
    </row>
    <row r="249" customFormat="false" ht="15" hidden="false" customHeight="false" outlineLevel="0" collapsed="false">
      <c r="A249" s="9" t="s">
        <v>1373</v>
      </c>
      <c r="B249" s="9" t="s">
        <v>1344</v>
      </c>
      <c r="C249" s="9" t="s">
        <v>1368</v>
      </c>
      <c r="D249" s="9" t="str">
        <f aca="false">C249&amp;" - "&amp;E249</f>
        <v>CV Joint - Rear-Left</v>
      </c>
      <c r="E249" s="9" t="s">
        <v>1360</v>
      </c>
      <c r="F249" s="9" t="s">
        <v>1277</v>
      </c>
      <c r="G249" s="10" t="n">
        <f aca="false">IF($AK249=0,"",INDEX('Part types'!$P:$P,$AK249))</f>
        <v>30</v>
      </c>
      <c r="H249" s="10" t="n">
        <f aca="false">IF($AK249=0,"",INDEX('Part types'!$Q:$Q,$AK249))</f>
        <v>20</v>
      </c>
      <c r="I249" s="10" t="n">
        <f aca="false">IF($AK249=0,"",INDEX('Part types'!$R:$R,$AK249))</f>
        <v>15</v>
      </c>
      <c r="J249" s="10" t="n">
        <f aca="false">IF($AK249=0,"",INDEX('Part types'!$S:$S,$AK249))</f>
        <v>1.8</v>
      </c>
      <c r="K249" s="11" t="s">
        <v>1347</v>
      </c>
      <c r="L249" s="11" t="s">
        <v>1369</v>
      </c>
      <c r="M249" s="11" t="str">
        <f aca="false">L249&amp;" - "&amp;N249</f>
        <v>وصلة CV - خلفي يسار</v>
      </c>
      <c r="N249" s="11" t="s">
        <v>1361</v>
      </c>
      <c r="O249" s="11" t="s">
        <v>1281</v>
      </c>
      <c r="P249" s="10" t="n">
        <f aca="false">G249</f>
        <v>30</v>
      </c>
      <c r="Q249" s="10" t="n">
        <f aca="false">H249</f>
        <v>20</v>
      </c>
      <c r="R249" s="10" t="n">
        <f aca="false">I249</f>
        <v>15</v>
      </c>
      <c r="S249" s="10" t="n">
        <f aca="false">J249</f>
        <v>1.8</v>
      </c>
      <c r="T249" s="12" t="s">
        <v>1350</v>
      </c>
      <c r="U249" s="12" t="s">
        <v>1370</v>
      </c>
      <c r="V249" s="9" t="str">
        <f aca="false">U249&amp;" - "&amp;W249</f>
        <v>等速万向节 - 后左</v>
      </c>
      <c r="W249" s="12" t="s">
        <v>1362</v>
      </c>
      <c r="X249" s="12" t="s">
        <v>1284</v>
      </c>
      <c r="Y249" s="10" t="n">
        <f aca="false">G249</f>
        <v>30</v>
      </c>
      <c r="Z249" s="10" t="n">
        <f aca="false">H249</f>
        <v>20</v>
      </c>
      <c r="AA249" s="10" t="n">
        <f aca="false">I249</f>
        <v>15</v>
      </c>
      <c r="AB249" s="10" t="n">
        <f aca="false">J249</f>
        <v>1.8</v>
      </c>
      <c r="AC249" s="9" t="s">
        <v>1353</v>
      </c>
      <c r="AD249" s="9" t="s">
        <v>1371</v>
      </c>
      <c r="AE249" s="9" t="str">
        <f aca="false">IF($AK249=0,"",INDEX('Part types'!$T:$T,$AK249)&amp;"")</f>
        <v>All vehicles</v>
      </c>
      <c r="AF249" s="9" t="str">
        <f aca="false">IF($AK249=0,"",INDEX('Part types'!$U:$U,$AK249)&amp;"")</f>
        <v/>
      </c>
      <c r="AG249" s="9" t="str">
        <f aca="false">IF($AK249=0,"",INDEX('Part types'!$V:$V,$AK249)&amp;"")</f>
        <v>Estimate: size class M2</v>
      </c>
      <c r="AH249" s="9" t="str">
        <f aca="false">IF($AK249=0,"",INDEX('Part types'!$W:$W,$AK249)&amp;"")</f>
        <v/>
      </c>
      <c r="AI249" s="11" t="str">
        <f aca="false">IF($AK249=0,"",INDEX('Part types'!$X:$X,$AK249)&amp;"")</f>
        <v>جوزة العمود</v>
      </c>
      <c r="AJ249" s="9" t="str">
        <f aca="false">IF($AK249=0,"",INDEX('Part types'!$Y:$Y,$AK249)&amp;"")</f>
        <v/>
      </c>
      <c r="AK249" s="9" t="n">
        <f aca="false">IFERROR(MATCH($AD249,'Part types'!$E:$E,0),0)</f>
        <v>231</v>
      </c>
    </row>
    <row r="250" customFormat="false" ht="15" hidden="false" customHeight="false" outlineLevel="0" collapsed="false">
      <c r="A250" s="9" t="s">
        <v>1374</v>
      </c>
      <c r="B250" s="9" t="s">
        <v>1344</v>
      </c>
      <c r="C250" s="9" t="s">
        <v>1368</v>
      </c>
      <c r="D250" s="9" t="str">
        <f aca="false">C250&amp;" - "&amp;E250</f>
        <v>CV Joint - Rear-Right</v>
      </c>
      <c r="E250" s="9" t="s">
        <v>1364</v>
      </c>
      <c r="F250" s="9" t="s">
        <v>1277</v>
      </c>
      <c r="G250" s="10" t="n">
        <f aca="false">IF($AK250=0,"",INDEX('Part types'!$P:$P,$AK250))</f>
        <v>30</v>
      </c>
      <c r="H250" s="10" t="n">
        <f aca="false">IF($AK250=0,"",INDEX('Part types'!$Q:$Q,$AK250))</f>
        <v>20</v>
      </c>
      <c r="I250" s="10" t="n">
        <f aca="false">IF($AK250=0,"",INDEX('Part types'!$R:$R,$AK250))</f>
        <v>15</v>
      </c>
      <c r="J250" s="10" t="n">
        <f aca="false">IF($AK250=0,"",INDEX('Part types'!$S:$S,$AK250))</f>
        <v>1.8</v>
      </c>
      <c r="K250" s="11" t="s">
        <v>1347</v>
      </c>
      <c r="L250" s="11" t="s">
        <v>1369</v>
      </c>
      <c r="M250" s="11" t="str">
        <f aca="false">L250&amp;" - "&amp;N250</f>
        <v>وصلة CV - خلفي يمين</v>
      </c>
      <c r="N250" s="11" t="s">
        <v>1365</v>
      </c>
      <c r="O250" s="11" t="s">
        <v>1281</v>
      </c>
      <c r="P250" s="10" t="n">
        <f aca="false">G250</f>
        <v>30</v>
      </c>
      <c r="Q250" s="10" t="n">
        <f aca="false">H250</f>
        <v>20</v>
      </c>
      <c r="R250" s="10" t="n">
        <f aca="false">I250</f>
        <v>15</v>
      </c>
      <c r="S250" s="10" t="n">
        <f aca="false">J250</f>
        <v>1.8</v>
      </c>
      <c r="T250" s="12" t="s">
        <v>1350</v>
      </c>
      <c r="U250" s="12" t="s">
        <v>1370</v>
      </c>
      <c r="V250" s="9" t="str">
        <f aca="false">U250&amp;" - "&amp;W250</f>
        <v>等速万向节 - 后右</v>
      </c>
      <c r="W250" s="12" t="s">
        <v>1366</v>
      </c>
      <c r="X250" s="12" t="s">
        <v>1284</v>
      </c>
      <c r="Y250" s="10" t="n">
        <f aca="false">G250</f>
        <v>30</v>
      </c>
      <c r="Z250" s="10" t="n">
        <f aca="false">H250</f>
        <v>20</v>
      </c>
      <c r="AA250" s="10" t="n">
        <f aca="false">I250</f>
        <v>15</v>
      </c>
      <c r="AB250" s="10" t="n">
        <f aca="false">J250</f>
        <v>1.8</v>
      </c>
      <c r="AC250" s="9" t="s">
        <v>1353</v>
      </c>
      <c r="AD250" s="9" t="s">
        <v>1371</v>
      </c>
      <c r="AE250" s="9" t="str">
        <f aca="false">IF($AK250=0,"",INDEX('Part types'!$T:$T,$AK250)&amp;"")</f>
        <v>All vehicles</v>
      </c>
      <c r="AF250" s="9" t="str">
        <f aca="false">IF($AK250=0,"",INDEX('Part types'!$U:$U,$AK250)&amp;"")</f>
        <v/>
      </c>
      <c r="AG250" s="9" t="str">
        <f aca="false">IF($AK250=0,"",INDEX('Part types'!$V:$V,$AK250)&amp;"")</f>
        <v>Estimate: size class M2</v>
      </c>
      <c r="AH250" s="9" t="str">
        <f aca="false">IF($AK250=0,"",INDEX('Part types'!$W:$W,$AK250)&amp;"")</f>
        <v/>
      </c>
      <c r="AI250" s="11" t="str">
        <f aca="false">IF($AK250=0,"",INDEX('Part types'!$X:$X,$AK250)&amp;"")</f>
        <v>جوزة العمود</v>
      </c>
      <c r="AJ250" s="9" t="str">
        <f aca="false">IF($AK250=0,"",INDEX('Part types'!$Y:$Y,$AK250)&amp;"")</f>
        <v/>
      </c>
      <c r="AK250" s="9" t="n">
        <f aca="false">IFERROR(MATCH($AD250,'Part types'!$E:$E,0),0)</f>
        <v>231</v>
      </c>
    </row>
    <row r="251" customFormat="false" ht="15" hidden="false" customHeight="false" outlineLevel="0" collapsed="false">
      <c r="A251" s="9" t="s">
        <v>1375</v>
      </c>
      <c r="B251" s="9" t="s">
        <v>1344</v>
      </c>
      <c r="C251" s="9" t="s">
        <v>1376</v>
      </c>
      <c r="D251" s="9" t="str">
        <f aca="false">C251&amp;" - "&amp;E251</f>
        <v>CV Boot Kit - Front-Left</v>
      </c>
      <c r="E251" s="9" t="s">
        <v>1346</v>
      </c>
      <c r="F251" s="9" t="s">
        <v>1277</v>
      </c>
      <c r="G251" s="10" t="n">
        <f aca="false">IF($AK251=0,"",INDEX('Part types'!$P:$P,$AK251))</f>
        <v>15</v>
      </c>
      <c r="H251" s="10" t="n">
        <f aca="false">IF($AK251=0,"",INDEX('Part types'!$Q:$Q,$AK251))</f>
        <v>10</v>
      </c>
      <c r="I251" s="10" t="n">
        <f aca="false">IF($AK251=0,"",INDEX('Part types'!$R:$R,$AK251))</f>
        <v>8</v>
      </c>
      <c r="J251" s="10" t="n">
        <f aca="false">IF($AK251=0,"",INDEX('Part types'!$S:$S,$AK251))</f>
        <v>0.3</v>
      </c>
      <c r="K251" s="11" t="s">
        <v>1347</v>
      </c>
      <c r="L251" s="11" t="s">
        <v>1377</v>
      </c>
      <c r="M251" s="11" t="str">
        <f aca="false">L251&amp;" - "&amp;N251</f>
        <v>طقم كاوتش جوزة العمود - أمامي يسار</v>
      </c>
      <c r="N251" s="11" t="s">
        <v>1349</v>
      </c>
      <c r="O251" s="11" t="s">
        <v>1281</v>
      </c>
      <c r="P251" s="10" t="n">
        <f aca="false">G251</f>
        <v>15</v>
      </c>
      <c r="Q251" s="10" t="n">
        <f aca="false">H251</f>
        <v>10</v>
      </c>
      <c r="R251" s="10" t="n">
        <f aca="false">I251</f>
        <v>8</v>
      </c>
      <c r="S251" s="10" t="n">
        <f aca="false">J251</f>
        <v>0.3</v>
      </c>
      <c r="T251" s="12" t="s">
        <v>1350</v>
      </c>
      <c r="U251" s="12" t="s">
        <v>1378</v>
      </c>
      <c r="V251" s="9" t="str">
        <f aca="false">U251&amp;" - "&amp;W251</f>
        <v>等速节防尘套套装 - 前左</v>
      </c>
      <c r="W251" s="12" t="s">
        <v>1352</v>
      </c>
      <c r="X251" s="12" t="s">
        <v>1284</v>
      </c>
      <c r="Y251" s="10" t="n">
        <f aca="false">G251</f>
        <v>15</v>
      </c>
      <c r="Z251" s="10" t="n">
        <f aca="false">H251</f>
        <v>10</v>
      </c>
      <c r="AA251" s="10" t="n">
        <f aca="false">I251</f>
        <v>8</v>
      </c>
      <c r="AB251" s="10" t="n">
        <f aca="false">J251</f>
        <v>0.3</v>
      </c>
      <c r="AC251" s="9" t="s">
        <v>1353</v>
      </c>
      <c r="AD251" s="9" t="s">
        <v>1379</v>
      </c>
      <c r="AE251" s="9" t="str">
        <f aca="false">IF($AK251=0,"",INDEX('Part types'!$T:$T,$AK251)&amp;"")</f>
        <v>All vehicles</v>
      </c>
      <c r="AF251" s="9" t="str">
        <f aca="false">IF($AK251=0,"",INDEX('Part types'!$U:$U,$AK251)&amp;"")</f>
        <v/>
      </c>
      <c r="AG251" s="9" t="str">
        <f aca="false">IF($AK251=0,"",INDEX('Part types'!$V:$V,$AK251)&amp;"")</f>
        <v>Estimate: size class S</v>
      </c>
      <c r="AH251" s="9" t="str">
        <f aca="false">IF($AK251=0,"",INDEX('Part types'!$W:$W,$AK251)&amp;"")</f>
        <v/>
      </c>
      <c r="AI251" s="11" t="str">
        <f aca="false">IF($AK251=0,"",INDEX('Part types'!$X:$X,$AK251)&amp;"")</f>
        <v/>
      </c>
      <c r="AJ251" s="9" t="str">
        <f aca="false">IF($AK251=0,"",INDEX('Part types'!$Y:$Y,$AK251)&amp;"")</f>
        <v/>
      </c>
      <c r="AK251" s="9" t="n">
        <f aca="false">IFERROR(MATCH($AD251,'Part types'!$E:$E,0),0)</f>
        <v>232</v>
      </c>
    </row>
    <row r="252" customFormat="false" ht="15" hidden="false" customHeight="false" outlineLevel="0" collapsed="false">
      <c r="A252" s="9" t="s">
        <v>1380</v>
      </c>
      <c r="B252" s="9" t="s">
        <v>1344</v>
      </c>
      <c r="C252" s="9" t="s">
        <v>1376</v>
      </c>
      <c r="D252" s="9" t="str">
        <f aca="false">C252&amp;" - "&amp;E252</f>
        <v>CV Boot Kit - Front-Right</v>
      </c>
      <c r="E252" s="9" t="s">
        <v>1356</v>
      </c>
      <c r="F252" s="9" t="s">
        <v>1277</v>
      </c>
      <c r="G252" s="10" t="n">
        <f aca="false">IF($AK252=0,"",INDEX('Part types'!$P:$P,$AK252))</f>
        <v>15</v>
      </c>
      <c r="H252" s="10" t="n">
        <f aca="false">IF($AK252=0,"",INDEX('Part types'!$Q:$Q,$AK252))</f>
        <v>10</v>
      </c>
      <c r="I252" s="10" t="n">
        <f aca="false">IF($AK252=0,"",INDEX('Part types'!$R:$R,$AK252))</f>
        <v>8</v>
      </c>
      <c r="J252" s="10" t="n">
        <f aca="false">IF($AK252=0,"",INDEX('Part types'!$S:$S,$AK252))</f>
        <v>0.3</v>
      </c>
      <c r="K252" s="11" t="s">
        <v>1347</v>
      </c>
      <c r="L252" s="11" t="s">
        <v>1377</v>
      </c>
      <c r="M252" s="11" t="str">
        <f aca="false">L252&amp;" - "&amp;N252</f>
        <v>طقم كاوتش جوزة العمود - أمامي يمين</v>
      </c>
      <c r="N252" s="11" t="s">
        <v>1357</v>
      </c>
      <c r="O252" s="11" t="s">
        <v>1281</v>
      </c>
      <c r="P252" s="10" t="n">
        <f aca="false">G252</f>
        <v>15</v>
      </c>
      <c r="Q252" s="10" t="n">
        <f aca="false">H252</f>
        <v>10</v>
      </c>
      <c r="R252" s="10" t="n">
        <f aca="false">I252</f>
        <v>8</v>
      </c>
      <c r="S252" s="10" t="n">
        <f aca="false">J252</f>
        <v>0.3</v>
      </c>
      <c r="T252" s="12" t="s">
        <v>1350</v>
      </c>
      <c r="U252" s="12" t="s">
        <v>1378</v>
      </c>
      <c r="V252" s="9" t="str">
        <f aca="false">U252&amp;" - "&amp;W252</f>
        <v>等速节防尘套套装 - 前右</v>
      </c>
      <c r="W252" s="12" t="s">
        <v>1358</v>
      </c>
      <c r="X252" s="12" t="s">
        <v>1284</v>
      </c>
      <c r="Y252" s="10" t="n">
        <f aca="false">G252</f>
        <v>15</v>
      </c>
      <c r="Z252" s="10" t="n">
        <f aca="false">H252</f>
        <v>10</v>
      </c>
      <c r="AA252" s="10" t="n">
        <f aca="false">I252</f>
        <v>8</v>
      </c>
      <c r="AB252" s="10" t="n">
        <f aca="false">J252</f>
        <v>0.3</v>
      </c>
      <c r="AC252" s="9" t="s">
        <v>1353</v>
      </c>
      <c r="AD252" s="9" t="s">
        <v>1379</v>
      </c>
      <c r="AE252" s="9" t="str">
        <f aca="false">IF($AK252=0,"",INDEX('Part types'!$T:$T,$AK252)&amp;"")</f>
        <v>All vehicles</v>
      </c>
      <c r="AF252" s="9" t="str">
        <f aca="false">IF($AK252=0,"",INDEX('Part types'!$U:$U,$AK252)&amp;"")</f>
        <v/>
      </c>
      <c r="AG252" s="9" t="str">
        <f aca="false">IF($AK252=0,"",INDEX('Part types'!$V:$V,$AK252)&amp;"")</f>
        <v>Estimate: size class S</v>
      </c>
      <c r="AH252" s="9" t="str">
        <f aca="false">IF($AK252=0,"",INDEX('Part types'!$W:$W,$AK252)&amp;"")</f>
        <v/>
      </c>
      <c r="AI252" s="11" t="str">
        <f aca="false">IF($AK252=0,"",INDEX('Part types'!$X:$X,$AK252)&amp;"")</f>
        <v/>
      </c>
      <c r="AJ252" s="9" t="str">
        <f aca="false">IF($AK252=0,"",INDEX('Part types'!$Y:$Y,$AK252)&amp;"")</f>
        <v/>
      </c>
      <c r="AK252" s="9" t="n">
        <f aca="false">IFERROR(MATCH($AD252,'Part types'!$E:$E,0),0)</f>
        <v>232</v>
      </c>
    </row>
    <row r="253" customFormat="false" ht="15" hidden="false" customHeight="false" outlineLevel="0" collapsed="false">
      <c r="A253" s="9" t="s">
        <v>1381</v>
      </c>
      <c r="B253" s="9" t="s">
        <v>1344</v>
      </c>
      <c r="C253" s="9" t="s">
        <v>1376</v>
      </c>
      <c r="D253" s="9" t="str">
        <f aca="false">C253&amp;" - "&amp;E253</f>
        <v>CV Boot Kit - Rear-Left</v>
      </c>
      <c r="E253" s="9" t="s">
        <v>1360</v>
      </c>
      <c r="F253" s="9" t="s">
        <v>1277</v>
      </c>
      <c r="G253" s="10" t="n">
        <f aca="false">IF($AK253=0,"",INDEX('Part types'!$P:$P,$AK253))</f>
        <v>15</v>
      </c>
      <c r="H253" s="10" t="n">
        <f aca="false">IF($AK253=0,"",INDEX('Part types'!$Q:$Q,$AK253))</f>
        <v>10</v>
      </c>
      <c r="I253" s="10" t="n">
        <f aca="false">IF($AK253=0,"",INDEX('Part types'!$R:$R,$AK253))</f>
        <v>8</v>
      </c>
      <c r="J253" s="10" t="n">
        <f aca="false">IF($AK253=0,"",INDEX('Part types'!$S:$S,$AK253))</f>
        <v>0.3</v>
      </c>
      <c r="K253" s="11" t="s">
        <v>1347</v>
      </c>
      <c r="L253" s="11" t="s">
        <v>1377</v>
      </c>
      <c r="M253" s="11" t="str">
        <f aca="false">L253&amp;" - "&amp;N253</f>
        <v>طقم كاوتش جوزة العمود - خلفي يسار</v>
      </c>
      <c r="N253" s="11" t="s">
        <v>1361</v>
      </c>
      <c r="O253" s="11" t="s">
        <v>1281</v>
      </c>
      <c r="P253" s="10" t="n">
        <f aca="false">G253</f>
        <v>15</v>
      </c>
      <c r="Q253" s="10" t="n">
        <f aca="false">H253</f>
        <v>10</v>
      </c>
      <c r="R253" s="10" t="n">
        <f aca="false">I253</f>
        <v>8</v>
      </c>
      <c r="S253" s="10" t="n">
        <f aca="false">J253</f>
        <v>0.3</v>
      </c>
      <c r="T253" s="12" t="s">
        <v>1350</v>
      </c>
      <c r="U253" s="12" t="s">
        <v>1378</v>
      </c>
      <c r="V253" s="9" t="str">
        <f aca="false">U253&amp;" - "&amp;W253</f>
        <v>等速节防尘套套装 - 后左</v>
      </c>
      <c r="W253" s="12" t="s">
        <v>1362</v>
      </c>
      <c r="X253" s="12" t="s">
        <v>1284</v>
      </c>
      <c r="Y253" s="10" t="n">
        <f aca="false">G253</f>
        <v>15</v>
      </c>
      <c r="Z253" s="10" t="n">
        <f aca="false">H253</f>
        <v>10</v>
      </c>
      <c r="AA253" s="10" t="n">
        <f aca="false">I253</f>
        <v>8</v>
      </c>
      <c r="AB253" s="10" t="n">
        <f aca="false">J253</f>
        <v>0.3</v>
      </c>
      <c r="AC253" s="9" t="s">
        <v>1353</v>
      </c>
      <c r="AD253" s="9" t="s">
        <v>1379</v>
      </c>
      <c r="AE253" s="9" t="str">
        <f aca="false">IF($AK253=0,"",INDEX('Part types'!$T:$T,$AK253)&amp;"")</f>
        <v>All vehicles</v>
      </c>
      <c r="AF253" s="9" t="str">
        <f aca="false">IF($AK253=0,"",INDEX('Part types'!$U:$U,$AK253)&amp;"")</f>
        <v/>
      </c>
      <c r="AG253" s="9" t="str">
        <f aca="false">IF($AK253=0,"",INDEX('Part types'!$V:$V,$AK253)&amp;"")</f>
        <v>Estimate: size class S</v>
      </c>
      <c r="AH253" s="9" t="str">
        <f aca="false">IF($AK253=0,"",INDEX('Part types'!$W:$W,$AK253)&amp;"")</f>
        <v/>
      </c>
      <c r="AI253" s="11" t="str">
        <f aca="false">IF($AK253=0,"",INDEX('Part types'!$X:$X,$AK253)&amp;"")</f>
        <v/>
      </c>
      <c r="AJ253" s="9" t="str">
        <f aca="false">IF($AK253=0,"",INDEX('Part types'!$Y:$Y,$AK253)&amp;"")</f>
        <v/>
      </c>
      <c r="AK253" s="9" t="n">
        <f aca="false">IFERROR(MATCH($AD253,'Part types'!$E:$E,0),0)</f>
        <v>232</v>
      </c>
    </row>
    <row r="254" customFormat="false" ht="15" hidden="false" customHeight="false" outlineLevel="0" collapsed="false">
      <c r="A254" s="9" t="s">
        <v>1382</v>
      </c>
      <c r="B254" s="9" t="s">
        <v>1344</v>
      </c>
      <c r="C254" s="9" t="s">
        <v>1376</v>
      </c>
      <c r="D254" s="9" t="str">
        <f aca="false">C254&amp;" - "&amp;E254</f>
        <v>CV Boot Kit - Rear-Right</v>
      </c>
      <c r="E254" s="9" t="s">
        <v>1364</v>
      </c>
      <c r="F254" s="9" t="s">
        <v>1277</v>
      </c>
      <c r="G254" s="10" t="n">
        <f aca="false">IF($AK254=0,"",INDEX('Part types'!$P:$P,$AK254))</f>
        <v>15</v>
      </c>
      <c r="H254" s="10" t="n">
        <f aca="false">IF($AK254=0,"",INDEX('Part types'!$Q:$Q,$AK254))</f>
        <v>10</v>
      </c>
      <c r="I254" s="10" t="n">
        <f aca="false">IF($AK254=0,"",INDEX('Part types'!$R:$R,$AK254))</f>
        <v>8</v>
      </c>
      <c r="J254" s="10" t="n">
        <f aca="false">IF($AK254=0,"",INDEX('Part types'!$S:$S,$AK254))</f>
        <v>0.3</v>
      </c>
      <c r="K254" s="11" t="s">
        <v>1347</v>
      </c>
      <c r="L254" s="11" t="s">
        <v>1377</v>
      </c>
      <c r="M254" s="11" t="str">
        <f aca="false">L254&amp;" - "&amp;N254</f>
        <v>طقم كاوتش جوزة العمود - خلفي يمين</v>
      </c>
      <c r="N254" s="11" t="s">
        <v>1365</v>
      </c>
      <c r="O254" s="11" t="s">
        <v>1281</v>
      </c>
      <c r="P254" s="10" t="n">
        <f aca="false">G254</f>
        <v>15</v>
      </c>
      <c r="Q254" s="10" t="n">
        <f aca="false">H254</f>
        <v>10</v>
      </c>
      <c r="R254" s="10" t="n">
        <f aca="false">I254</f>
        <v>8</v>
      </c>
      <c r="S254" s="10" t="n">
        <f aca="false">J254</f>
        <v>0.3</v>
      </c>
      <c r="T254" s="12" t="s">
        <v>1350</v>
      </c>
      <c r="U254" s="12" t="s">
        <v>1378</v>
      </c>
      <c r="V254" s="9" t="str">
        <f aca="false">U254&amp;" - "&amp;W254</f>
        <v>等速节防尘套套装 - 后右</v>
      </c>
      <c r="W254" s="12" t="s">
        <v>1366</v>
      </c>
      <c r="X254" s="12" t="s">
        <v>1284</v>
      </c>
      <c r="Y254" s="10" t="n">
        <f aca="false">G254</f>
        <v>15</v>
      </c>
      <c r="Z254" s="10" t="n">
        <f aca="false">H254</f>
        <v>10</v>
      </c>
      <c r="AA254" s="10" t="n">
        <f aca="false">I254</f>
        <v>8</v>
      </c>
      <c r="AB254" s="10" t="n">
        <f aca="false">J254</f>
        <v>0.3</v>
      </c>
      <c r="AC254" s="9" t="s">
        <v>1353</v>
      </c>
      <c r="AD254" s="9" t="s">
        <v>1379</v>
      </c>
      <c r="AE254" s="9" t="str">
        <f aca="false">IF($AK254=0,"",INDEX('Part types'!$T:$T,$AK254)&amp;"")</f>
        <v>All vehicles</v>
      </c>
      <c r="AF254" s="9" t="str">
        <f aca="false">IF($AK254=0,"",INDEX('Part types'!$U:$U,$AK254)&amp;"")</f>
        <v/>
      </c>
      <c r="AG254" s="9" t="str">
        <f aca="false">IF($AK254=0,"",INDEX('Part types'!$V:$V,$AK254)&amp;"")</f>
        <v>Estimate: size class S</v>
      </c>
      <c r="AH254" s="9" t="str">
        <f aca="false">IF($AK254=0,"",INDEX('Part types'!$W:$W,$AK254)&amp;"")</f>
        <v/>
      </c>
      <c r="AI254" s="11" t="str">
        <f aca="false">IF($AK254=0,"",INDEX('Part types'!$X:$X,$AK254)&amp;"")</f>
        <v/>
      </c>
      <c r="AJ254" s="9" t="str">
        <f aca="false">IF($AK254=0,"",INDEX('Part types'!$Y:$Y,$AK254)&amp;"")</f>
        <v/>
      </c>
      <c r="AK254" s="9" t="n">
        <f aca="false">IFERROR(MATCH($AD254,'Part types'!$E:$E,0),0)</f>
        <v>232</v>
      </c>
    </row>
    <row r="255" customFormat="false" ht="15" hidden="false" customHeight="false" outlineLevel="0" collapsed="false">
      <c r="A255" s="9" t="s">
        <v>1383</v>
      </c>
      <c r="B255" s="9" t="s">
        <v>1344</v>
      </c>
      <c r="C255" s="9" t="s">
        <v>1384</v>
      </c>
      <c r="D255" s="9" t="str">
        <f aca="false">C255&amp;" - "&amp;E255</f>
        <v>Axle Nut - Front-Left</v>
      </c>
      <c r="E255" s="9" t="s">
        <v>1346</v>
      </c>
      <c r="F255" s="9" t="s">
        <v>1385</v>
      </c>
      <c r="G255" s="10" t="n">
        <f aca="false">IF($AK255=0,"",INDEX('Part types'!$P:$P,$AK255))</f>
        <v>10</v>
      </c>
      <c r="H255" s="10" t="n">
        <f aca="false">IF($AK255=0,"",INDEX('Part types'!$Q:$Q,$AK255))</f>
        <v>8</v>
      </c>
      <c r="I255" s="10" t="n">
        <f aca="false">IF($AK255=0,"",INDEX('Part types'!$R:$R,$AK255))</f>
        <v>6</v>
      </c>
      <c r="J255" s="10" t="n">
        <f aca="false">IF($AK255=0,"",INDEX('Part types'!$S:$S,$AK255))</f>
        <v>0.1</v>
      </c>
      <c r="K255" s="11" t="s">
        <v>1347</v>
      </c>
      <c r="L255" s="11" t="s">
        <v>1386</v>
      </c>
      <c r="M255" s="11" t="str">
        <f aca="false">L255&amp;" - "&amp;N255</f>
        <v>صامولة المحور - أمامي يسار</v>
      </c>
      <c r="N255" s="11" t="s">
        <v>1349</v>
      </c>
      <c r="O255" s="11" t="s">
        <v>1387</v>
      </c>
      <c r="P255" s="10" t="n">
        <f aca="false">G255</f>
        <v>10</v>
      </c>
      <c r="Q255" s="10" t="n">
        <f aca="false">H255</f>
        <v>8</v>
      </c>
      <c r="R255" s="10" t="n">
        <f aca="false">I255</f>
        <v>6</v>
      </c>
      <c r="S255" s="10" t="n">
        <f aca="false">J255</f>
        <v>0.1</v>
      </c>
      <c r="T255" s="12" t="s">
        <v>1350</v>
      </c>
      <c r="U255" s="12" t="s">
        <v>1388</v>
      </c>
      <c r="V255" s="9" t="str">
        <f aca="false">U255&amp;" - "&amp;W255</f>
        <v>半轴螺母 - 前左</v>
      </c>
      <c r="W255" s="12" t="s">
        <v>1352</v>
      </c>
      <c r="X255" s="12" t="s">
        <v>1389</v>
      </c>
      <c r="Y255" s="10" t="n">
        <f aca="false">G255</f>
        <v>10</v>
      </c>
      <c r="Z255" s="10" t="n">
        <f aca="false">H255</f>
        <v>8</v>
      </c>
      <c r="AA255" s="10" t="n">
        <f aca="false">I255</f>
        <v>6</v>
      </c>
      <c r="AB255" s="10" t="n">
        <f aca="false">J255</f>
        <v>0.1</v>
      </c>
      <c r="AC255" s="9" t="s">
        <v>1353</v>
      </c>
      <c r="AD255" s="9" t="s">
        <v>1390</v>
      </c>
      <c r="AE255" s="9" t="str">
        <f aca="false">IF($AK255=0,"",INDEX('Part types'!$T:$T,$AK255)&amp;"")</f>
        <v>All vehicles</v>
      </c>
      <c r="AF255" s="9" t="str">
        <f aca="false">IF($AK255=0,"",INDEX('Part types'!$U:$U,$AK255)&amp;"")</f>
        <v/>
      </c>
      <c r="AG255" s="9" t="str">
        <f aca="false">IF($AK255=0,"",INDEX('Part types'!$V:$V,$AK255)&amp;"")</f>
        <v>Estimate: size class XS</v>
      </c>
      <c r="AH255" s="9" t="str">
        <f aca="false">IF($AK255=0,"",INDEX('Part types'!$W:$W,$AK255)&amp;"")</f>
        <v/>
      </c>
      <c r="AI255" s="11" t="str">
        <f aca="false">IF($AK255=0,"",INDEX('Part types'!$X:$X,$AK255)&amp;"")</f>
        <v/>
      </c>
      <c r="AJ255" s="9" t="str">
        <f aca="false">IF($AK255=0,"",INDEX('Part types'!$Y:$Y,$AK255)&amp;"")</f>
        <v/>
      </c>
      <c r="AK255" s="9" t="n">
        <f aca="false">IFERROR(MATCH($AD255,'Part types'!$E:$E,0),0)</f>
        <v>233</v>
      </c>
    </row>
    <row r="256" customFormat="false" ht="15" hidden="false" customHeight="false" outlineLevel="0" collapsed="false">
      <c r="A256" s="9" t="s">
        <v>1391</v>
      </c>
      <c r="B256" s="9" t="s">
        <v>1344</v>
      </c>
      <c r="C256" s="9" t="s">
        <v>1384</v>
      </c>
      <c r="D256" s="9" t="str">
        <f aca="false">C256&amp;" - "&amp;E256</f>
        <v>Axle Nut - Front-Right</v>
      </c>
      <c r="E256" s="9" t="s">
        <v>1356</v>
      </c>
      <c r="F256" s="9" t="s">
        <v>1385</v>
      </c>
      <c r="G256" s="10" t="n">
        <f aca="false">IF($AK256=0,"",INDEX('Part types'!$P:$P,$AK256))</f>
        <v>10</v>
      </c>
      <c r="H256" s="10" t="n">
        <f aca="false">IF($AK256=0,"",INDEX('Part types'!$Q:$Q,$AK256))</f>
        <v>8</v>
      </c>
      <c r="I256" s="10" t="n">
        <f aca="false">IF($AK256=0,"",INDEX('Part types'!$R:$R,$AK256))</f>
        <v>6</v>
      </c>
      <c r="J256" s="10" t="n">
        <f aca="false">IF($AK256=0,"",INDEX('Part types'!$S:$S,$AK256))</f>
        <v>0.1</v>
      </c>
      <c r="K256" s="11" t="s">
        <v>1347</v>
      </c>
      <c r="L256" s="11" t="s">
        <v>1386</v>
      </c>
      <c r="M256" s="11" t="str">
        <f aca="false">L256&amp;" - "&amp;N256</f>
        <v>صامولة المحور - أمامي يمين</v>
      </c>
      <c r="N256" s="11" t="s">
        <v>1357</v>
      </c>
      <c r="O256" s="11" t="s">
        <v>1387</v>
      </c>
      <c r="P256" s="10" t="n">
        <f aca="false">G256</f>
        <v>10</v>
      </c>
      <c r="Q256" s="10" t="n">
        <f aca="false">H256</f>
        <v>8</v>
      </c>
      <c r="R256" s="10" t="n">
        <f aca="false">I256</f>
        <v>6</v>
      </c>
      <c r="S256" s="10" t="n">
        <f aca="false">J256</f>
        <v>0.1</v>
      </c>
      <c r="T256" s="12" t="s">
        <v>1350</v>
      </c>
      <c r="U256" s="12" t="s">
        <v>1388</v>
      </c>
      <c r="V256" s="9" t="str">
        <f aca="false">U256&amp;" - "&amp;W256</f>
        <v>半轴螺母 - 前右</v>
      </c>
      <c r="W256" s="12" t="s">
        <v>1358</v>
      </c>
      <c r="X256" s="12" t="s">
        <v>1389</v>
      </c>
      <c r="Y256" s="10" t="n">
        <f aca="false">G256</f>
        <v>10</v>
      </c>
      <c r="Z256" s="10" t="n">
        <f aca="false">H256</f>
        <v>8</v>
      </c>
      <c r="AA256" s="10" t="n">
        <f aca="false">I256</f>
        <v>6</v>
      </c>
      <c r="AB256" s="10" t="n">
        <f aca="false">J256</f>
        <v>0.1</v>
      </c>
      <c r="AC256" s="9" t="s">
        <v>1353</v>
      </c>
      <c r="AD256" s="9" t="s">
        <v>1390</v>
      </c>
      <c r="AE256" s="9" t="str">
        <f aca="false">IF($AK256=0,"",INDEX('Part types'!$T:$T,$AK256)&amp;"")</f>
        <v>All vehicles</v>
      </c>
      <c r="AF256" s="9" t="str">
        <f aca="false">IF($AK256=0,"",INDEX('Part types'!$U:$U,$AK256)&amp;"")</f>
        <v/>
      </c>
      <c r="AG256" s="9" t="str">
        <f aca="false">IF($AK256=0,"",INDEX('Part types'!$V:$V,$AK256)&amp;"")</f>
        <v>Estimate: size class XS</v>
      </c>
      <c r="AH256" s="9" t="str">
        <f aca="false">IF($AK256=0,"",INDEX('Part types'!$W:$W,$AK256)&amp;"")</f>
        <v/>
      </c>
      <c r="AI256" s="11" t="str">
        <f aca="false">IF($AK256=0,"",INDEX('Part types'!$X:$X,$AK256)&amp;"")</f>
        <v/>
      </c>
      <c r="AJ256" s="9" t="str">
        <f aca="false">IF($AK256=0,"",INDEX('Part types'!$Y:$Y,$AK256)&amp;"")</f>
        <v/>
      </c>
      <c r="AK256" s="9" t="n">
        <f aca="false">IFERROR(MATCH($AD256,'Part types'!$E:$E,0),0)</f>
        <v>233</v>
      </c>
    </row>
    <row r="257" customFormat="false" ht="15" hidden="false" customHeight="false" outlineLevel="0" collapsed="false">
      <c r="A257" s="9" t="s">
        <v>1392</v>
      </c>
      <c r="B257" s="9" t="s">
        <v>1344</v>
      </c>
      <c r="C257" s="9" t="s">
        <v>1384</v>
      </c>
      <c r="D257" s="9" t="str">
        <f aca="false">C257&amp;" - "&amp;E257</f>
        <v>Axle Nut - Rear-Left</v>
      </c>
      <c r="E257" s="9" t="s">
        <v>1360</v>
      </c>
      <c r="F257" s="9" t="s">
        <v>1385</v>
      </c>
      <c r="G257" s="10" t="n">
        <f aca="false">IF($AK257=0,"",INDEX('Part types'!$P:$P,$AK257))</f>
        <v>10</v>
      </c>
      <c r="H257" s="10" t="n">
        <f aca="false">IF($AK257=0,"",INDEX('Part types'!$Q:$Q,$AK257))</f>
        <v>8</v>
      </c>
      <c r="I257" s="10" t="n">
        <f aca="false">IF($AK257=0,"",INDEX('Part types'!$R:$R,$AK257))</f>
        <v>6</v>
      </c>
      <c r="J257" s="10" t="n">
        <f aca="false">IF($AK257=0,"",INDEX('Part types'!$S:$S,$AK257))</f>
        <v>0.1</v>
      </c>
      <c r="K257" s="11" t="s">
        <v>1347</v>
      </c>
      <c r="L257" s="11" t="s">
        <v>1386</v>
      </c>
      <c r="M257" s="11" t="str">
        <f aca="false">L257&amp;" - "&amp;N257</f>
        <v>صامولة المحور - خلفي يسار</v>
      </c>
      <c r="N257" s="11" t="s">
        <v>1361</v>
      </c>
      <c r="O257" s="11" t="s">
        <v>1387</v>
      </c>
      <c r="P257" s="10" t="n">
        <f aca="false">G257</f>
        <v>10</v>
      </c>
      <c r="Q257" s="10" t="n">
        <f aca="false">H257</f>
        <v>8</v>
      </c>
      <c r="R257" s="10" t="n">
        <f aca="false">I257</f>
        <v>6</v>
      </c>
      <c r="S257" s="10" t="n">
        <f aca="false">J257</f>
        <v>0.1</v>
      </c>
      <c r="T257" s="12" t="s">
        <v>1350</v>
      </c>
      <c r="U257" s="12" t="s">
        <v>1388</v>
      </c>
      <c r="V257" s="9" t="str">
        <f aca="false">U257&amp;" - "&amp;W257</f>
        <v>半轴螺母 - 后左</v>
      </c>
      <c r="W257" s="12" t="s">
        <v>1362</v>
      </c>
      <c r="X257" s="12" t="s">
        <v>1389</v>
      </c>
      <c r="Y257" s="10" t="n">
        <f aca="false">G257</f>
        <v>10</v>
      </c>
      <c r="Z257" s="10" t="n">
        <f aca="false">H257</f>
        <v>8</v>
      </c>
      <c r="AA257" s="10" t="n">
        <f aca="false">I257</f>
        <v>6</v>
      </c>
      <c r="AB257" s="10" t="n">
        <f aca="false">J257</f>
        <v>0.1</v>
      </c>
      <c r="AC257" s="9" t="s">
        <v>1353</v>
      </c>
      <c r="AD257" s="9" t="s">
        <v>1390</v>
      </c>
      <c r="AE257" s="9" t="str">
        <f aca="false">IF($AK257=0,"",INDEX('Part types'!$T:$T,$AK257)&amp;"")</f>
        <v>All vehicles</v>
      </c>
      <c r="AF257" s="9" t="str">
        <f aca="false">IF($AK257=0,"",INDEX('Part types'!$U:$U,$AK257)&amp;"")</f>
        <v/>
      </c>
      <c r="AG257" s="9" t="str">
        <f aca="false">IF($AK257=0,"",INDEX('Part types'!$V:$V,$AK257)&amp;"")</f>
        <v>Estimate: size class XS</v>
      </c>
      <c r="AH257" s="9" t="str">
        <f aca="false">IF($AK257=0,"",INDEX('Part types'!$W:$W,$AK257)&amp;"")</f>
        <v/>
      </c>
      <c r="AI257" s="11" t="str">
        <f aca="false">IF($AK257=0,"",INDEX('Part types'!$X:$X,$AK257)&amp;"")</f>
        <v/>
      </c>
      <c r="AJ257" s="9" t="str">
        <f aca="false">IF($AK257=0,"",INDEX('Part types'!$Y:$Y,$AK257)&amp;"")</f>
        <v/>
      </c>
      <c r="AK257" s="9" t="n">
        <f aca="false">IFERROR(MATCH($AD257,'Part types'!$E:$E,0),0)</f>
        <v>233</v>
      </c>
    </row>
    <row r="258" customFormat="false" ht="15" hidden="false" customHeight="false" outlineLevel="0" collapsed="false">
      <c r="A258" s="9" t="s">
        <v>1393</v>
      </c>
      <c r="B258" s="9" t="s">
        <v>1344</v>
      </c>
      <c r="C258" s="9" t="s">
        <v>1384</v>
      </c>
      <c r="D258" s="9" t="str">
        <f aca="false">C258&amp;" - "&amp;E258</f>
        <v>Axle Nut - Rear-Right</v>
      </c>
      <c r="E258" s="9" t="s">
        <v>1364</v>
      </c>
      <c r="F258" s="9" t="s">
        <v>1385</v>
      </c>
      <c r="G258" s="10" t="n">
        <f aca="false">IF($AK258=0,"",INDEX('Part types'!$P:$P,$AK258))</f>
        <v>10</v>
      </c>
      <c r="H258" s="10" t="n">
        <f aca="false">IF($AK258=0,"",INDEX('Part types'!$Q:$Q,$AK258))</f>
        <v>8</v>
      </c>
      <c r="I258" s="10" t="n">
        <f aca="false">IF($AK258=0,"",INDEX('Part types'!$R:$R,$AK258))</f>
        <v>6</v>
      </c>
      <c r="J258" s="10" t="n">
        <f aca="false">IF($AK258=0,"",INDEX('Part types'!$S:$S,$AK258))</f>
        <v>0.1</v>
      </c>
      <c r="K258" s="11" t="s">
        <v>1347</v>
      </c>
      <c r="L258" s="11" t="s">
        <v>1386</v>
      </c>
      <c r="M258" s="11" t="str">
        <f aca="false">L258&amp;" - "&amp;N258</f>
        <v>صامولة المحور - خلفي يمين</v>
      </c>
      <c r="N258" s="11" t="s">
        <v>1365</v>
      </c>
      <c r="O258" s="11" t="s">
        <v>1387</v>
      </c>
      <c r="P258" s="10" t="n">
        <f aca="false">G258</f>
        <v>10</v>
      </c>
      <c r="Q258" s="10" t="n">
        <f aca="false">H258</f>
        <v>8</v>
      </c>
      <c r="R258" s="10" t="n">
        <f aca="false">I258</f>
        <v>6</v>
      </c>
      <c r="S258" s="10" t="n">
        <f aca="false">J258</f>
        <v>0.1</v>
      </c>
      <c r="T258" s="12" t="s">
        <v>1350</v>
      </c>
      <c r="U258" s="12" t="s">
        <v>1388</v>
      </c>
      <c r="V258" s="9" t="str">
        <f aca="false">U258&amp;" - "&amp;W258</f>
        <v>半轴螺母 - 后右</v>
      </c>
      <c r="W258" s="12" t="s">
        <v>1366</v>
      </c>
      <c r="X258" s="12" t="s">
        <v>1389</v>
      </c>
      <c r="Y258" s="10" t="n">
        <f aca="false">G258</f>
        <v>10</v>
      </c>
      <c r="Z258" s="10" t="n">
        <f aca="false">H258</f>
        <v>8</v>
      </c>
      <c r="AA258" s="10" t="n">
        <f aca="false">I258</f>
        <v>6</v>
      </c>
      <c r="AB258" s="10" t="n">
        <f aca="false">J258</f>
        <v>0.1</v>
      </c>
      <c r="AC258" s="9" t="s">
        <v>1353</v>
      </c>
      <c r="AD258" s="9" t="s">
        <v>1390</v>
      </c>
      <c r="AE258" s="9" t="str">
        <f aca="false">IF($AK258=0,"",INDEX('Part types'!$T:$T,$AK258)&amp;"")</f>
        <v>All vehicles</v>
      </c>
      <c r="AF258" s="9" t="str">
        <f aca="false">IF($AK258=0,"",INDEX('Part types'!$U:$U,$AK258)&amp;"")</f>
        <v/>
      </c>
      <c r="AG258" s="9" t="str">
        <f aca="false">IF($AK258=0,"",INDEX('Part types'!$V:$V,$AK258)&amp;"")</f>
        <v>Estimate: size class XS</v>
      </c>
      <c r="AH258" s="9" t="str">
        <f aca="false">IF($AK258=0,"",INDEX('Part types'!$W:$W,$AK258)&amp;"")</f>
        <v/>
      </c>
      <c r="AI258" s="11" t="str">
        <f aca="false">IF($AK258=0,"",INDEX('Part types'!$X:$X,$AK258)&amp;"")</f>
        <v/>
      </c>
      <c r="AJ258" s="9" t="str">
        <f aca="false">IF($AK258=0,"",INDEX('Part types'!$Y:$Y,$AK258)&amp;"")</f>
        <v/>
      </c>
      <c r="AK258" s="9" t="n">
        <f aca="false">IFERROR(MATCH($AD258,'Part types'!$E:$E,0),0)</f>
        <v>233</v>
      </c>
    </row>
    <row r="259" customFormat="false" ht="15" hidden="false" customHeight="false" outlineLevel="0" collapsed="false">
      <c r="A259" s="9" t="s">
        <v>1394</v>
      </c>
      <c r="B259" s="9" t="s">
        <v>1344</v>
      </c>
      <c r="C259" s="9" t="s">
        <v>1395</v>
      </c>
      <c r="D259" s="9" t="str">
        <f aca="false">C259&amp;" - "&amp;E259</f>
        <v>Axle Shaft Seal - Front-Left</v>
      </c>
      <c r="E259" s="9" t="s">
        <v>1346</v>
      </c>
      <c r="F259" s="9" t="s">
        <v>1277</v>
      </c>
      <c r="G259" s="10" t="n">
        <f aca="false">IF($AK259=0,"",INDEX('Part types'!$P:$P,$AK259))</f>
        <v>10</v>
      </c>
      <c r="H259" s="10" t="n">
        <f aca="false">IF($AK259=0,"",INDEX('Part types'!$Q:$Q,$AK259))</f>
        <v>8</v>
      </c>
      <c r="I259" s="10" t="n">
        <f aca="false">IF($AK259=0,"",INDEX('Part types'!$R:$R,$AK259))</f>
        <v>6</v>
      </c>
      <c r="J259" s="10" t="n">
        <f aca="false">IF($AK259=0,"",INDEX('Part types'!$S:$S,$AK259))</f>
        <v>0.1</v>
      </c>
      <c r="K259" s="11" t="s">
        <v>1347</v>
      </c>
      <c r="L259" s="11" t="s">
        <v>1396</v>
      </c>
      <c r="M259" s="11" t="str">
        <f aca="false">L259&amp;" - "&amp;N259</f>
        <v>سيل عمود المحور - أمامي يسار</v>
      </c>
      <c r="N259" s="11" t="s">
        <v>1349</v>
      </c>
      <c r="O259" s="11" t="s">
        <v>1281</v>
      </c>
      <c r="P259" s="10" t="n">
        <f aca="false">G259</f>
        <v>10</v>
      </c>
      <c r="Q259" s="10" t="n">
        <f aca="false">H259</f>
        <v>8</v>
      </c>
      <c r="R259" s="10" t="n">
        <f aca="false">I259</f>
        <v>6</v>
      </c>
      <c r="S259" s="10" t="n">
        <f aca="false">J259</f>
        <v>0.1</v>
      </c>
      <c r="T259" s="12" t="s">
        <v>1350</v>
      </c>
      <c r="U259" s="12" t="s">
        <v>1397</v>
      </c>
      <c r="V259" s="9" t="str">
        <f aca="false">U259&amp;" - "&amp;W259</f>
        <v>半轴油封 - 前左</v>
      </c>
      <c r="W259" s="12" t="s">
        <v>1352</v>
      </c>
      <c r="X259" s="12" t="s">
        <v>1284</v>
      </c>
      <c r="Y259" s="10" t="n">
        <f aca="false">G259</f>
        <v>10</v>
      </c>
      <c r="Z259" s="10" t="n">
        <f aca="false">H259</f>
        <v>8</v>
      </c>
      <c r="AA259" s="10" t="n">
        <f aca="false">I259</f>
        <v>6</v>
      </c>
      <c r="AB259" s="10" t="n">
        <f aca="false">J259</f>
        <v>0.1</v>
      </c>
      <c r="AC259" s="9" t="s">
        <v>1353</v>
      </c>
      <c r="AD259" s="9" t="s">
        <v>1398</v>
      </c>
      <c r="AE259" s="9" t="str">
        <f aca="false">IF($AK259=0,"",INDEX('Part types'!$T:$T,$AK259)&amp;"")</f>
        <v>All vehicles</v>
      </c>
      <c r="AF259" s="9" t="str">
        <f aca="false">IF($AK259=0,"",INDEX('Part types'!$U:$U,$AK259)&amp;"")</f>
        <v/>
      </c>
      <c r="AG259" s="9" t="str">
        <f aca="false">IF($AK259=0,"",INDEX('Part types'!$V:$V,$AK259)&amp;"")</f>
        <v>Estimate: size class XS</v>
      </c>
      <c r="AH259" s="9" t="str">
        <f aca="false">IF($AK259=0,"",INDEX('Part types'!$W:$W,$AK259)&amp;"")</f>
        <v/>
      </c>
      <c r="AI259" s="11" t="str">
        <f aca="false">IF($AK259=0,"",INDEX('Part types'!$X:$X,$AK259)&amp;"")</f>
        <v/>
      </c>
      <c r="AJ259" s="9" t="str">
        <f aca="false">IF($AK259=0,"",INDEX('Part types'!$Y:$Y,$AK259)&amp;"")</f>
        <v/>
      </c>
      <c r="AK259" s="9" t="n">
        <f aca="false">IFERROR(MATCH($AD259,'Part types'!$E:$E,0),0)</f>
        <v>234</v>
      </c>
    </row>
    <row r="260" customFormat="false" ht="15" hidden="false" customHeight="false" outlineLevel="0" collapsed="false">
      <c r="A260" s="9" t="s">
        <v>1399</v>
      </c>
      <c r="B260" s="9" t="s">
        <v>1344</v>
      </c>
      <c r="C260" s="9" t="s">
        <v>1395</v>
      </c>
      <c r="D260" s="9" t="str">
        <f aca="false">C260&amp;" - "&amp;E260</f>
        <v>Axle Shaft Seal - Front-Right</v>
      </c>
      <c r="E260" s="9" t="s">
        <v>1356</v>
      </c>
      <c r="F260" s="9" t="s">
        <v>1277</v>
      </c>
      <c r="G260" s="10" t="n">
        <f aca="false">IF($AK260=0,"",INDEX('Part types'!$P:$P,$AK260))</f>
        <v>10</v>
      </c>
      <c r="H260" s="10" t="n">
        <f aca="false">IF($AK260=0,"",INDEX('Part types'!$Q:$Q,$AK260))</f>
        <v>8</v>
      </c>
      <c r="I260" s="10" t="n">
        <f aca="false">IF($AK260=0,"",INDEX('Part types'!$R:$R,$AK260))</f>
        <v>6</v>
      </c>
      <c r="J260" s="10" t="n">
        <f aca="false">IF($AK260=0,"",INDEX('Part types'!$S:$S,$AK260))</f>
        <v>0.1</v>
      </c>
      <c r="K260" s="11" t="s">
        <v>1347</v>
      </c>
      <c r="L260" s="11" t="s">
        <v>1396</v>
      </c>
      <c r="M260" s="11" t="str">
        <f aca="false">L260&amp;" - "&amp;N260</f>
        <v>سيل عمود المحور - أمامي يمين</v>
      </c>
      <c r="N260" s="11" t="s">
        <v>1357</v>
      </c>
      <c r="O260" s="11" t="s">
        <v>1281</v>
      </c>
      <c r="P260" s="10" t="n">
        <f aca="false">G260</f>
        <v>10</v>
      </c>
      <c r="Q260" s="10" t="n">
        <f aca="false">H260</f>
        <v>8</v>
      </c>
      <c r="R260" s="10" t="n">
        <f aca="false">I260</f>
        <v>6</v>
      </c>
      <c r="S260" s="10" t="n">
        <f aca="false">J260</f>
        <v>0.1</v>
      </c>
      <c r="T260" s="12" t="s">
        <v>1350</v>
      </c>
      <c r="U260" s="12" t="s">
        <v>1397</v>
      </c>
      <c r="V260" s="9" t="str">
        <f aca="false">U260&amp;" - "&amp;W260</f>
        <v>半轴油封 - 前右</v>
      </c>
      <c r="W260" s="12" t="s">
        <v>1358</v>
      </c>
      <c r="X260" s="12" t="s">
        <v>1284</v>
      </c>
      <c r="Y260" s="10" t="n">
        <f aca="false">G260</f>
        <v>10</v>
      </c>
      <c r="Z260" s="10" t="n">
        <f aca="false">H260</f>
        <v>8</v>
      </c>
      <c r="AA260" s="10" t="n">
        <f aca="false">I260</f>
        <v>6</v>
      </c>
      <c r="AB260" s="10" t="n">
        <f aca="false">J260</f>
        <v>0.1</v>
      </c>
      <c r="AC260" s="9" t="s">
        <v>1353</v>
      </c>
      <c r="AD260" s="9" t="s">
        <v>1398</v>
      </c>
      <c r="AE260" s="9" t="str">
        <f aca="false">IF($AK260=0,"",INDEX('Part types'!$T:$T,$AK260)&amp;"")</f>
        <v>All vehicles</v>
      </c>
      <c r="AF260" s="9" t="str">
        <f aca="false">IF($AK260=0,"",INDEX('Part types'!$U:$U,$AK260)&amp;"")</f>
        <v/>
      </c>
      <c r="AG260" s="9" t="str">
        <f aca="false">IF($AK260=0,"",INDEX('Part types'!$V:$V,$AK260)&amp;"")</f>
        <v>Estimate: size class XS</v>
      </c>
      <c r="AH260" s="9" t="str">
        <f aca="false">IF($AK260=0,"",INDEX('Part types'!$W:$W,$AK260)&amp;"")</f>
        <v/>
      </c>
      <c r="AI260" s="11" t="str">
        <f aca="false">IF($AK260=0,"",INDEX('Part types'!$X:$X,$AK260)&amp;"")</f>
        <v/>
      </c>
      <c r="AJ260" s="9" t="str">
        <f aca="false">IF($AK260=0,"",INDEX('Part types'!$Y:$Y,$AK260)&amp;"")</f>
        <v/>
      </c>
      <c r="AK260" s="9" t="n">
        <f aca="false">IFERROR(MATCH($AD260,'Part types'!$E:$E,0),0)</f>
        <v>234</v>
      </c>
    </row>
    <row r="261" customFormat="false" ht="15" hidden="false" customHeight="false" outlineLevel="0" collapsed="false">
      <c r="A261" s="9" t="s">
        <v>1400</v>
      </c>
      <c r="B261" s="9" t="s">
        <v>1344</v>
      </c>
      <c r="C261" s="9" t="s">
        <v>1395</v>
      </c>
      <c r="D261" s="9" t="str">
        <f aca="false">C261&amp;" - "&amp;E261</f>
        <v>Axle Shaft Seal - Rear-Left</v>
      </c>
      <c r="E261" s="9" t="s">
        <v>1360</v>
      </c>
      <c r="F261" s="9" t="s">
        <v>1277</v>
      </c>
      <c r="G261" s="10" t="n">
        <f aca="false">IF($AK261=0,"",INDEX('Part types'!$P:$P,$AK261))</f>
        <v>10</v>
      </c>
      <c r="H261" s="10" t="n">
        <f aca="false">IF($AK261=0,"",INDEX('Part types'!$Q:$Q,$AK261))</f>
        <v>8</v>
      </c>
      <c r="I261" s="10" t="n">
        <f aca="false">IF($AK261=0,"",INDEX('Part types'!$R:$R,$AK261))</f>
        <v>6</v>
      </c>
      <c r="J261" s="10" t="n">
        <f aca="false">IF($AK261=0,"",INDEX('Part types'!$S:$S,$AK261))</f>
        <v>0.1</v>
      </c>
      <c r="K261" s="11" t="s">
        <v>1347</v>
      </c>
      <c r="L261" s="11" t="s">
        <v>1396</v>
      </c>
      <c r="M261" s="11" t="str">
        <f aca="false">L261&amp;" - "&amp;N261</f>
        <v>سيل عمود المحور - خلفي يسار</v>
      </c>
      <c r="N261" s="11" t="s">
        <v>1361</v>
      </c>
      <c r="O261" s="11" t="s">
        <v>1281</v>
      </c>
      <c r="P261" s="10" t="n">
        <f aca="false">G261</f>
        <v>10</v>
      </c>
      <c r="Q261" s="10" t="n">
        <f aca="false">H261</f>
        <v>8</v>
      </c>
      <c r="R261" s="10" t="n">
        <f aca="false">I261</f>
        <v>6</v>
      </c>
      <c r="S261" s="10" t="n">
        <f aca="false">J261</f>
        <v>0.1</v>
      </c>
      <c r="T261" s="12" t="s">
        <v>1350</v>
      </c>
      <c r="U261" s="12" t="s">
        <v>1397</v>
      </c>
      <c r="V261" s="9" t="str">
        <f aca="false">U261&amp;" - "&amp;W261</f>
        <v>半轴油封 - 后左</v>
      </c>
      <c r="W261" s="12" t="s">
        <v>1362</v>
      </c>
      <c r="X261" s="12" t="s">
        <v>1284</v>
      </c>
      <c r="Y261" s="10" t="n">
        <f aca="false">G261</f>
        <v>10</v>
      </c>
      <c r="Z261" s="10" t="n">
        <f aca="false">H261</f>
        <v>8</v>
      </c>
      <c r="AA261" s="10" t="n">
        <f aca="false">I261</f>
        <v>6</v>
      </c>
      <c r="AB261" s="10" t="n">
        <f aca="false">J261</f>
        <v>0.1</v>
      </c>
      <c r="AC261" s="9" t="s">
        <v>1353</v>
      </c>
      <c r="AD261" s="9" t="s">
        <v>1398</v>
      </c>
      <c r="AE261" s="9" t="str">
        <f aca="false">IF($AK261=0,"",INDEX('Part types'!$T:$T,$AK261)&amp;"")</f>
        <v>All vehicles</v>
      </c>
      <c r="AF261" s="9" t="str">
        <f aca="false">IF($AK261=0,"",INDEX('Part types'!$U:$U,$AK261)&amp;"")</f>
        <v/>
      </c>
      <c r="AG261" s="9" t="str">
        <f aca="false">IF($AK261=0,"",INDEX('Part types'!$V:$V,$AK261)&amp;"")</f>
        <v>Estimate: size class XS</v>
      </c>
      <c r="AH261" s="9" t="str">
        <f aca="false">IF($AK261=0,"",INDEX('Part types'!$W:$W,$AK261)&amp;"")</f>
        <v/>
      </c>
      <c r="AI261" s="11" t="str">
        <f aca="false">IF($AK261=0,"",INDEX('Part types'!$X:$X,$AK261)&amp;"")</f>
        <v/>
      </c>
      <c r="AJ261" s="9" t="str">
        <f aca="false">IF($AK261=0,"",INDEX('Part types'!$Y:$Y,$AK261)&amp;"")</f>
        <v/>
      </c>
      <c r="AK261" s="9" t="n">
        <f aca="false">IFERROR(MATCH($AD261,'Part types'!$E:$E,0),0)</f>
        <v>234</v>
      </c>
    </row>
    <row r="262" customFormat="false" ht="15" hidden="false" customHeight="false" outlineLevel="0" collapsed="false">
      <c r="A262" s="9" t="s">
        <v>1401</v>
      </c>
      <c r="B262" s="9" t="s">
        <v>1344</v>
      </c>
      <c r="C262" s="9" t="s">
        <v>1395</v>
      </c>
      <c r="D262" s="9" t="str">
        <f aca="false">C262&amp;" - "&amp;E262</f>
        <v>Axle Shaft Seal - Rear-Right</v>
      </c>
      <c r="E262" s="9" t="s">
        <v>1364</v>
      </c>
      <c r="F262" s="9" t="s">
        <v>1277</v>
      </c>
      <c r="G262" s="10" t="n">
        <f aca="false">IF($AK262=0,"",INDEX('Part types'!$P:$P,$AK262))</f>
        <v>10</v>
      </c>
      <c r="H262" s="10" t="n">
        <f aca="false">IF($AK262=0,"",INDEX('Part types'!$Q:$Q,$AK262))</f>
        <v>8</v>
      </c>
      <c r="I262" s="10" t="n">
        <f aca="false">IF($AK262=0,"",INDEX('Part types'!$R:$R,$AK262))</f>
        <v>6</v>
      </c>
      <c r="J262" s="10" t="n">
        <f aca="false">IF($AK262=0,"",INDEX('Part types'!$S:$S,$AK262))</f>
        <v>0.1</v>
      </c>
      <c r="K262" s="11" t="s">
        <v>1347</v>
      </c>
      <c r="L262" s="11" t="s">
        <v>1396</v>
      </c>
      <c r="M262" s="11" t="str">
        <f aca="false">L262&amp;" - "&amp;N262</f>
        <v>سيل عمود المحور - خلفي يمين</v>
      </c>
      <c r="N262" s="11" t="s">
        <v>1365</v>
      </c>
      <c r="O262" s="11" t="s">
        <v>1281</v>
      </c>
      <c r="P262" s="10" t="n">
        <f aca="false">G262</f>
        <v>10</v>
      </c>
      <c r="Q262" s="10" t="n">
        <f aca="false">H262</f>
        <v>8</v>
      </c>
      <c r="R262" s="10" t="n">
        <f aca="false">I262</f>
        <v>6</v>
      </c>
      <c r="S262" s="10" t="n">
        <f aca="false">J262</f>
        <v>0.1</v>
      </c>
      <c r="T262" s="12" t="s">
        <v>1350</v>
      </c>
      <c r="U262" s="12" t="s">
        <v>1397</v>
      </c>
      <c r="V262" s="9" t="str">
        <f aca="false">U262&amp;" - "&amp;W262</f>
        <v>半轴油封 - 后右</v>
      </c>
      <c r="W262" s="12" t="s">
        <v>1366</v>
      </c>
      <c r="X262" s="12" t="s">
        <v>1284</v>
      </c>
      <c r="Y262" s="10" t="n">
        <f aca="false">G262</f>
        <v>10</v>
      </c>
      <c r="Z262" s="10" t="n">
        <f aca="false">H262</f>
        <v>8</v>
      </c>
      <c r="AA262" s="10" t="n">
        <f aca="false">I262</f>
        <v>6</v>
      </c>
      <c r="AB262" s="10" t="n">
        <f aca="false">J262</f>
        <v>0.1</v>
      </c>
      <c r="AC262" s="9" t="s">
        <v>1353</v>
      </c>
      <c r="AD262" s="9" t="s">
        <v>1398</v>
      </c>
      <c r="AE262" s="9" t="str">
        <f aca="false">IF($AK262=0,"",INDEX('Part types'!$T:$T,$AK262)&amp;"")</f>
        <v>All vehicles</v>
      </c>
      <c r="AF262" s="9" t="str">
        <f aca="false">IF($AK262=0,"",INDEX('Part types'!$U:$U,$AK262)&amp;"")</f>
        <v/>
      </c>
      <c r="AG262" s="9" t="str">
        <f aca="false">IF($AK262=0,"",INDEX('Part types'!$V:$V,$AK262)&amp;"")</f>
        <v>Estimate: size class XS</v>
      </c>
      <c r="AH262" s="9" t="str">
        <f aca="false">IF($AK262=0,"",INDEX('Part types'!$W:$W,$AK262)&amp;"")</f>
        <v/>
      </c>
      <c r="AI262" s="11" t="str">
        <f aca="false">IF($AK262=0,"",INDEX('Part types'!$X:$X,$AK262)&amp;"")</f>
        <v/>
      </c>
      <c r="AJ262" s="9" t="str">
        <f aca="false">IF($AK262=0,"",INDEX('Part types'!$Y:$Y,$AK262)&amp;"")</f>
        <v/>
      </c>
      <c r="AK262" s="9" t="n">
        <f aca="false">IFERROR(MATCH($AD262,'Part types'!$E:$E,0),0)</f>
        <v>234</v>
      </c>
    </row>
    <row r="263" customFormat="false" ht="15" hidden="false" customHeight="false" outlineLevel="0" collapsed="false">
      <c r="A263" s="9" t="s">
        <v>1402</v>
      </c>
      <c r="B263" s="9" t="s">
        <v>1344</v>
      </c>
      <c r="C263" s="9" t="s">
        <v>1403</v>
      </c>
      <c r="D263" s="9" t="str">
        <f aca="false">C263&amp;" - "&amp;E263</f>
        <v>Axle Housing - Front</v>
      </c>
      <c r="E263" s="9" t="s">
        <v>161</v>
      </c>
      <c r="F263" s="9" t="s">
        <v>1277</v>
      </c>
      <c r="G263" s="10" t="n">
        <f aca="false">IF($AK263=0,"",INDEX('Part types'!$P:$P,$AK263))</f>
        <v>120</v>
      </c>
      <c r="H263" s="10" t="n">
        <f aca="false">IF($AK263=0,"",INDEX('Part types'!$Q:$Q,$AK263))</f>
        <v>25</v>
      </c>
      <c r="I263" s="10" t="n">
        <f aca="false">IF($AK263=0,"",INDEX('Part types'!$R:$R,$AK263))</f>
        <v>25</v>
      </c>
      <c r="J263" s="10" t="n">
        <f aca="false">IF($AK263=0,"",INDEX('Part types'!$S:$S,$AK263))</f>
        <v>30</v>
      </c>
      <c r="K263" s="11" t="s">
        <v>1347</v>
      </c>
      <c r="L263" s="11" t="s">
        <v>1404</v>
      </c>
      <c r="M263" s="11" t="str">
        <f aca="false">L263&amp;" - "&amp;N263</f>
        <v>بيت المحور - أمامي</v>
      </c>
      <c r="N263" s="11" t="s">
        <v>163</v>
      </c>
      <c r="O263" s="11" t="s">
        <v>1281</v>
      </c>
      <c r="P263" s="10" t="n">
        <f aca="false">G263</f>
        <v>120</v>
      </c>
      <c r="Q263" s="10" t="n">
        <f aca="false">H263</f>
        <v>25</v>
      </c>
      <c r="R263" s="10" t="n">
        <f aca="false">I263</f>
        <v>25</v>
      </c>
      <c r="S263" s="10" t="n">
        <f aca="false">J263</f>
        <v>30</v>
      </c>
      <c r="T263" s="12" t="s">
        <v>1350</v>
      </c>
      <c r="U263" s="12" t="s">
        <v>1405</v>
      </c>
      <c r="V263" s="9" t="str">
        <f aca="false">U263&amp;" - "&amp;W263</f>
        <v>桥壳 - 前部</v>
      </c>
      <c r="W263" s="12" t="s">
        <v>165</v>
      </c>
      <c r="X263" s="12" t="s">
        <v>1284</v>
      </c>
      <c r="Y263" s="10" t="n">
        <f aca="false">G263</f>
        <v>120</v>
      </c>
      <c r="Z263" s="10" t="n">
        <f aca="false">H263</f>
        <v>25</v>
      </c>
      <c r="AA263" s="10" t="n">
        <f aca="false">I263</f>
        <v>25</v>
      </c>
      <c r="AB263" s="10" t="n">
        <f aca="false">J263</f>
        <v>30</v>
      </c>
      <c r="AC263" s="9" t="s">
        <v>1353</v>
      </c>
      <c r="AD263" s="9" t="s">
        <v>1406</v>
      </c>
      <c r="AE263" s="9" t="str">
        <f aca="false">IF($AK263=0,"",INDEX('Part types'!$T:$T,$AK263)&amp;"")</f>
        <v>All vehicles</v>
      </c>
      <c r="AF263" s="9" t="str">
        <f aca="false">IF($AK263=0,"",INDEX('Part types'!$U:$U,$AK263)&amp;"")</f>
        <v/>
      </c>
      <c r="AG263" s="9" t="str">
        <f aca="false">IF($AK263=0,"",INDEX('Part types'!$V:$V,$AK263)&amp;"")</f>
        <v>Estimate: item-specific</v>
      </c>
      <c r="AH263" s="9" t="str">
        <f aca="false">IF($AK263=0,"",INDEX('Part types'!$W:$W,$AK263)&amp;"")</f>
        <v/>
      </c>
      <c r="AI263" s="11" t="str">
        <f aca="false">IF($AK263=0,"",INDEX('Part types'!$X:$X,$AK263)&amp;"")</f>
        <v/>
      </c>
      <c r="AJ263" s="9" t="str">
        <f aca="false">IF($AK263=0,"",INDEX('Part types'!$Y:$Y,$AK263)&amp;"")</f>
        <v/>
      </c>
      <c r="AK263" s="9" t="n">
        <f aca="false">IFERROR(MATCH($AD263,'Part types'!$E:$E,0),0)</f>
        <v>235</v>
      </c>
    </row>
    <row r="264" customFormat="false" ht="15" hidden="false" customHeight="false" outlineLevel="0" collapsed="false">
      <c r="A264" s="9" t="s">
        <v>1407</v>
      </c>
      <c r="B264" s="9" t="s">
        <v>1344</v>
      </c>
      <c r="C264" s="9" t="s">
        <v>1403</v>
      </c>
      <c r="D264" s="9" t="str">
        <f aca="false">C264&amp;" - "&amp;E264</f>
        <v>Axle Housing - Rear</v>
      </c>
      <c r="E264" s="9" t="s">
        <v>168</v>
      </c>
      <c r="F264" s="9" t="s">
        <v>1277</v>
      </c>
      <c r="G264" s="10" t="n">
        <f aca="false">IF($AK264=0,"",INDEX('Part types'!$P:$P,$AK264))</f>
        <v>120</v>
      </c>
      <c r="H264" s="10" t="n">
        <f aca="false">IF($AK264=0,"",INDEX('Part types'!$Q:$Q,$AK264))</f>
        <v>25</v>
      </c>
      <c r="I264" s="10" t="n">
        <f aca="false">IF($AK264=0,"",INDEX('Part types'!$R:$R,$AK264))</f>
        <v>25</v>
      </c>
      <c r="J264" s="10" t="n">
        <f aca="false">IF($AK264=0,"",INDEX('Part types'!$S:$S,$AK264))</f>
        <v>30</v>
      </c>
      <c r="K264" s="11" t="s">
        <v>1347</v>
      </c>
      <c r="L264" s="11" t="s">
        <v>1404</v>
      </c>
      <c r="M264" s="11" t="str">
        <f aca="false">L264&amp;" - "&amp;N264</f>
        <v>بيت المحور - خلفي</v>
      </c>
      <c r="N264" s="11" t="s">
        <v>169</v>
      </c>
      <c r="O264" s="11" t="s">
        <v>1281</v>
      </c>
      <c r="P264" s="10" t="n">
        <f aca="false">G264</f>
        <v>120</v>
      </c>
      <c r="Q264" s="10" t="n">
        <f aca="false">H264</f>
        <v>25</v>
      </c>
      <c r="R264" s="10" t="n">
        <f aca="false">I264</f>
        <v>25</v>
      </c>
      <c r="S264" s="10" t="n">
        <f aca="false">J264</f>
        <v>30</v>
      </c>
      <c r="T264" s="12" t="s">
        <v>1350</v>
      </c>
      <c r="U264" s="12" t="s">
        <v>1405</v>
      </c>
      <c r="V264" s="9" t="str">
        <f aca="false">U264&amp;" - "&amp;W264</f>
        <v>桥壳 - 后部</v>
      </c>
      <c r="W264" s="12" t="s">
        <v>170</v>
      </c>
      <c r="X264" s="12" t="s">
        <v>1284</v>
      </c>
      <c r="Y264" s="10" t="n">
        <f aca="false">G264</f>
        <v>120</v>
      </c>
      <c r="Z264" s="10" t="n">
        <f aca="false">H264</f>
        <v>25</v>
      </c>
      <c r="AA264" s="10" t="n">
        <f aca="false">I264</f>
        <v>25</v>
      </c>
      <c r="AB264" s="10" t="n">
        <f aca="false">J264</f>
        <v>30</v>
      </c>
      <c r="AC264" s="9" t="s">
        <v>1353</v>
      </c>
      <c r="AD264" s="9" t="s">
        <v>1406</v>
      </c>
      <c r="AE264" s="9" t="str">
        <f aca="false">IF($AK264=0,"",INDEX('Part types'!$T:$T,$AK264)&amp;"")</f>
        <v>All vehicles</v>
      </c>
      <c r="AF264" s="9" t="str">
        <f aca="false">IF($AK264=0,"",INDEX('Part types'!$U:$U,$AK264)&amp;"")</f>
        <v/>
      </c>
      <c r="AG264" s="9" t="str">
        <f aca="false">IF($AK264=0,"",INDEX('Part types'!$V:$V,$AK264)&amp;"")</f>
        <v>Estimate: item-specific</v>
      </c>
      <c r="AH264" s="9" t="str">
        <f aca="false">IF($AK264=0,"",INDEX('Part types'!$W:$W,$AK264)&amp;"")</f>
        <v/>
      </c>
      <c r="AI264" s="11" t="str">
        <f aca="false">IF($AK264=0,"",INDEX('Part types'!$X:$X,$AK264)&amp;"")</f>
        <v/>
      </c>
      <c r="AJ264" s="9" t="str">
        <f aca="false">IF($AK264=0,"",INDEX('Part types'!$Y:$Y,$AK264)&amp;"")</f>
        <v/>
      </c>
      <c r="AK264" s="9" t="n">
        <f aca="false">IFERROR(MATCH($AD264,'Part types'!$E:$E,0),0)</f>
        <v>235</v>
      </c>
    </row>
    <row r="265" customFormat="false" ht="15" hidden="false" customHeight="false" outlineLevel="0" collapsed="false">
      <c r="A265" s="9" t="s">
        <v>1408</v>
      </c>
      <c r="B265" s="9" t="s">
        <v>1409</v>
      </c>
      <c r="C265" s="9" t="s">
        <v>1410</v>
      </c>
      <c r="D265" s="9" t="str">
        <f aca="false">C265&amp;" - "&amp;E265</f>
        <v>Brake Pad Set - Front</v>
      </c>
      <c r="E265" s="9" t="s">
        <v>161</v>
      </c>
      <c r="F265" s="9" t="s">
        <v>1411</v>
      </c>
      <c r="G265" s="10" t="n">
        <f aca="false">IF($AK265=0,"",INDEX('Part types'!$P:$P,$AK265))</f>
        <v>25</v>
      </c>
      <c r="H265" s="10" t="n">
        <f aca="false">IF($AK265=0,"",INDEX('Part types'!$Q:$Q,$AK265))</f>
        <v>15</v>
      </c>
      <c r="I265" s="10" t="n">
        <f aca="false">IF($AK265=0,"",INDEX('Part types'!$R:$R,$AK265))</f>
        <v>10</v>
      </c>
      <c r="J265" s="10" t="n">
        <f aca="false">IF($AK265=0,"",INDEX('Part types'!$S:$S,$AK265))</f>
        <v>0.9</v>
      </c>
      <c r="K265" s="11" t="s">
        <v>1412</v>
      </c>
      <c r="L265" s="11" t="s">
        <v>1413</v>
      </c>
      <c r="M265" s="11" t="str">
        <f aca="false">L265&amp;" - "&amp;N265</f>
        <v>طقم تيل فرامل - أمامي</v>
      </c>
      <c r="N265" s="11" t="s">
        <v>163</v>
      </c>
      <c r="O265" s="11" t="s">
        <v>1414</v>
      </c>
      <c r="P265" s="10" t="n">
        <f aca="false">G265</f>
        <v>25</v>
      </c>
      <c r="Q265" s="10" t="n">
        <f aca="false">H265</f>
        <v>15</v>
      </c>
      <c r="R265" s="10" t="n">
        <f aca="false">I265</f>
        <v>10</v>
      </c>
      <c r="S265" s="10" t="n">
        <f aca="false">J265</f>
        <v>0.9</v>
      </c>
      <c r="T265" s="12" t="s">
        <v>1415</v>
      </c>
      <c r="U265" s="12" t="s">
        <v>1416</v>
      </c>
      <c r="V265" s="9" t="str">
        <f aca="false">U265&amp;" - "&amp;W265</f>
        <v>刹车片套装 - 前部</v>
      </c>
      <c r="W265" s="12" t="s">
        <v>165</v>
      </c>
      <c r="X265" s="12" t="s">
        <v>1417</v>
      </c>
      <c r="Y265" s="10" t="n">
        <f aca="false">G265</f>
        <v>25</v>
      </c>
      <c r="Z265" s="10" t="n">
        <f aca="false">H265</f>
        <v>15</v>
      </c>
      <c r="AA265" s="10" t="n">
        <f aca="false">I265</f>
        <v>10</v>
      </c>
      <c r="AB265" s="10" t="n">
        <f aca="false">J265</f>
        <v>0.9</v>
      </c>
      <c r="AC265" s="9" t="s">
        <v>1418</v>
      </c>
      <c r="AD265" s="9" t="s">
        <v>1419</v>
      </c>
      <c r="AE265" s="9" t="str">
        <f aca="false">IF($AK265=0,"",INDEX('Part types'!$T:$T,$AK265)&amp;"")</f>
        <v>All vehicles</v>
      </c>
      <c r="AF265" s="9" t="str">
        <f aca="false">IF($AK265=0,"",INDEX('Part types'!$U:$U,$AK265)&amp;"")</f>
        <v/>
      </c>
      <c r="AG265" s="9" t="str">
        <f aca="false">IF($AK265=0,"",INDEX('Part types'!$V:$V,$AK265)&amp;"")</f>
        <v>Estimate: size class M</v>
      </c>
      <c r="AH265" s="9" t="str">
        <f aca="false">IF($AK265=0,"",INDEX('Part types'!$W:$W,$AK265)&amp;"")</f>
        <v/>
      </c>
      <c r="AI265" s="11" t="str">
        <f aca="false">IF($AK265=0,"",INDEX('Part types'!$X:$X,$AK265)&amp;"")</f>
        <v/>
      </c>
      <c r="AJ265" s="9" t="str">
        <f aca="false">IF($AK265=0,"",INDEX('Part types'!$Y:$Y,$AK265)&amp;"")</f>
        <v/>
      </c>
      <c r="AK265" s="9" t="n">
        <f aca="false">IFERROR(MATCH($AD265,'Part types'!$E:$E,0),0)</f>
        <v>236</v>
      </c>
    </row>
    <row r="266" customFormat="false" ht="15" hidden="false" customHeight="false" outlineLevel="0" collapsed="false">
      <c r="A266" s="9" t="s">
        <v>1420</v>
      </c>
      <c r="B266" s="9" t="s">
        <v>1409</v>
      </c>
      <c r="C266" s="9" t="s">
        <v>1410</v>
      </c>
      <c r="D266" s="9" t="str">
        <f aca="false">C266&amp;" - "&amp;E266</f>
        <v>Brake Pad Set - Rear</v>
      </c>
      <c r="E266" s="9" t="s">
        <v>168</v>
      </c>
      <c r="F266" s="9" t="s">
        <v>1411</v>
      </c>
      <c r="G266" s="10" t="n">
        <f aca="false">IF($AK266=0,"",INDEX('Part types'!$P:$P,$AK266))</f>
        <v>25</v>
      </c>
      <c r="H266" s="10" t="n">
        <f aca="false">IF($AK266=0,"",INDEX('Part types'!$Q:$Q,$AK266))</f>
        <v>15</v>
      </c>
      <c r="I266" s="10" t="n">
        <f aca="false">IF($AK266=0,"",INDEX('Part types'!$R:$R,$AK266))</f>
        <v>10</v>
      </c>
      <c r="J266" s="10" t="n">
        <f aca="false">IF($AK266=0,"",INDEX('Part types'!$S:$S,$AK266))</f>
        <v>0.9</v>
      </c>
      <c r="K266" s="11" t="s">
        <v>1412</v>
      </c>
      <c r="L266" s="11" t="s">
        <v>1413</v>
      </c>
      <c r="M266" s="11" t="str">
        <f aca="false">L266&amp;" - "&amp;N266</f>
        <v>طقم تيل فرامل - خلفي</v>
      </c>
      <c r="N266" s="11" t="s">
        <v>169</v>
      </c>
      <c r="O266" s="11" t="s">
        <v>1414</v>
      </c>
      <c r="P266" s="10" t="n">
        <f aca="false">G266</f>
        <v>25</v>
      </c>
      <c r="Q266" s="10" t="n">
        <f aca="false">H266</f>
        <v>15</v>
      </c>
      <c r="R266" s="10" t="n">
        <f aca="false">I266</f>
        <v>10</v>
      </c>
      <c r="S266" s="10" t="n">
        <f aca="false">J266</f>
        <v>0.9</v>
      </c>
      <c r="T266" s="12" t="s">
        <v>1415</v>
      </c>
      <c r="U266" s="12" t="s">
        <v>1416</v>
      </c>
      <c r="V266" s="9" t="str">
        <f aca="false">U266&amp;" - "&amp;W266</f>
        <v>刹车片套装 - 后部</v>
      </c>
      <c r="W266" s="12" t="s">
        <v>170</v>
      </c>
      <c r="X266" s="12" t="s">
        <v>1417</v>
      </c>
      <c r="Y266" s="10" t="n">
        <f aca="false">G266</f>
        <v>25</v>
      </c>
      <c r="Z266" s="10" t="n">
        <f aca="false">H266</f>
        <v>15</v>
      </c>
      <c r="AA266" s="10" t="n">
        <f aca="false">I266</f>
        <v>10</v>
      </c>
      <c r="AB266" s="10" t="n">
        <f aca="false">J266</f>
        <v>0.9</v>
      </c>
      <c r="AC266" s="9" t="s">
        <v>1418</v>
      </c>
      <c r="AD266" s="9" t="s">
        <v>1419</v>
      </c>
      <c r="AE266" s="9" t="str">
        <f aca="false">IF($AK266=0,"",INDEX('Part types'!$T:$T,$AK266)&amp;"")</f>
        <v>All vehicles</v>
      </c>
      <c r="AF266" s="9" t="str">
        <f aca="false">IF($AK266=0,"",INDEX('Part types'!$U:$U,$AK266)&amp;"")</f>
        <v/>
      </c>
      <c r="AG266" s="9" t="str">
        <f aca="false">IF($AK266=0,"",INDEX('Part types'!$V:$V,$AK266)&amp;"")</f>
        <v>Estimate: size class M</v>
      </c>
      <c r="AH266" s="9" t="str">
        <f aca="false">IF($AK266=0,"",INDEX('Part types'!$W:$W,$AK266)&amp;"")</f>
        <v/>
      </c>
      <c r="AI266" s="11" t="str">
        <f aca="false">IF($AK266=0,"",INDEX('Part types'!$X:$X,$AK266)&amp;"")</f>
        <v/>
      </c>
      <c r="AJ266" s="9" t="str">
        <f aca="false">IF($AK266=0,"",INDEX('Part types'!$Y:$Y,$AK266)&amp;"")</f>
        <v/>
      </c>
      <c r="AK266" s="9" t="n">
        <f aca="false">IFERROR(MATCH($AD266,'Part types'!$E:$E,0),0)</f>
        <v>236</v>
      </c>
    </row>
    <row r="267" customFormat="false" ht="15" hidden="false" customHeight="false" outlineLevel="0" collapsed="false">
      <c r="A267" s="9" t="s">
        <v>1421</v>
      </c>
      <c r="B267" s="9" t="s">
        <v>1409</v>
      </c>
      <c r="C267" s="9" t="s">
        <v>1422</v>
      </c>
      <c r="D267" s="9" t="str">
        <f aca="false">C267&amp;" - "&amp;E267</f>
        <v>Brake Disc - Front</v>
      </c>
      <c r="E267" s="9" t="s">
        <v>161</v>
      </c>
      <c r="F267" s="9" t="s">
        <v>1411</v>
      </c>
      <c r="G267" s="10" t="n">
        <f aca="false">IF($AK267=0,"",INDEX('Part types'!$P:$P,$AK267))</f>
        <v>32</v>
      </c>
      <c r="H267" s="10" t="n">
        <f aca="false">IF($AK267=0,"",INDEX('Part types'!$Q:$Q,$AK267))</f>
        <v>32</v>
      </c>
      <c r="I267" s="10" t="n">
        <f aca="false">IF($AK267=0,"",INDEX('Part types'!$R:$R,$AK267))</f>
        <v>10</v>
      </c>
      <c r="J267" s="10" t="n">
        <f aca="false">IF($AK267=0,"",INDEX('Part types'!$S:$S,$AK267))</f>
        <v>7</v>
      </c>
      <c r="K267" s="11" t="s">
        <v>1412</v>
      </c>
      <c r="L267" s="11" t="s">
        <v>1423</v>
      </c>
      <c r="M267" s="11" t="str">
        <f aca="false">L267&amp;" - "&amp;N267</f>
        <v>ديسك فرامل - أمامي</v>
      </c>
      <c r="N267" s="11" t="s">
        <v>163</v>
      </c>
      <c r="O267" s="11" t="s">
        <v>1414</v>
      </c>
      <c r="P267" s="10" t="n">
        <f aca="false">G267</f>
        <v>32</v>
      </c>
      <c r="Q267" s="10" t="n">
        <f aca="false">H267</f>
        <v>32</v>
      </c>
      <c r="R267" s="10" t="n">
        <f aca="false">I267</f>
        <v>10</v>
      </c>
      <c r="S267" s="10" t="n">
        <f aca="false">J267</f>
        <v>7</v>
      </c>
      <c r="T267" s="12" t="s">
        <v>1415</v>
      </c>
      <c r="U267" s="12" t="s">
        <v>1424</v>
      </c>
      <c r="V267" s="9" t="str">
        <f aca="false">U267&amp;" - "&amp;W267</f>
        <v>制动盘 - 前部</v>
      </c>
      <c r="W267" s="12" t="s">
        <v>165</v>
      </c>
      <c r="X267" s="12" t="s">
        <v>1417</v>
      </c>
      <c r="Y267" s="10" t="n">
        <f aca="false">G267</f>
        <v>32</v>
      </c>
      <c r="Z267" s="10" t="n">
        <f aca="false">H267</f>
        <v>32</v>
      </c>
      <c r="AA267" s="10" t="n">
        <f aca="false">I267</f>
        <v>10</v>
      </c>
      <c r="AB267" s="10" t="n">
        <f aca="false">J267</f>
        <v>7</v>
      </c>
      <c r="AC267" s="9" t="s">
        <v>1418</v>
      </c>
      <c r="AD267" s="9" t="s">
        <v>1425</v>
      </c>
      <c r="AE267" s="9" t="str">
        <f aca="false">IF($AK267=0,"",INDEX('Part types'!$T:$T,$AK267)&amp;"")</f>
        <v>All vehicles</v>
      </c>
      <c r="AF267" s="9" t="str">
        <f aca="false">IF($AK267=0,"",INDEX('Part types'!$U:$U,$AK267)&amp;"")</f>
        <v/>
      </c>
      <c r="AG267" s="9" t="str">
        <f aca="false">IF($AK267=0,"",INDEX('Part types'!$V:$V,$AK267)&amp;"")</f>
        <v>Estimate: item-specific</v>
      </c>
      <c r="AH267" s="9" t="str">
        <f aca="false">IF($AK267=0,"",INDEX('Part types'!$W:$W,$AK267)&amp;"")</f>
        <v>Rotor</v>
      </c>
      <c r="AI267" s="11" t="str">
        <f aca="false">IF($AK267=0,"",INDEX('Part types'!$X:$X,$AK267)&amp;"")</f>
        <v/>
      </c>
      <c r="AJ267" s="9" t="str">
        <f aca="false">IF($AK267=0,"",INDEX('Part types'!$Y:$Y,$AK267)&amp;"")</f>
        <v/>
      </c>
      <c r="AK267" s="9" t="n">
        <f aca="false">IFERROR(MATCH($AD267,'Part types'!$E:$E,0),0)</f>
        <v>237</v>
      </c>
    </row>
    <row r="268" customFormat="false" ht="15" hidden="false" customHeight="false" outlineLevel="0" collapsed="false">
      <c r="A268" s="9" t="s">
        <v>1426</v>
      </c>
      <c r="B268" s="9" t="s">
        <v>1409</v>
      </c>
      <c r="C268" s="9" t="s">
        <v>1422</v>
      </c>
      <c r="D268" s="9" t="str">
        <f aca="false">C268&amp;" - "&amp;E268</f>
        <v>Brake Disc - Rear</v>
      </c>
      <c r="E268" s="9" t="s">
        <v>168</v>
      </c>
      <c r="F268" s="9" t="s">
        <v>1411</v>
      </c>
      <c r="G268" s="10" t="n">
        <f aca="false">IF($AK268=0,"",INDEX('Part types'!$P:$P,$AK268))</f>
        <v>32</v>
      </c>
      <c r="H268" s="10" t="n">
        <f aca="false">IF($AK268=0,"",INDEX('Part types'!$Q:$Q,$AK268))</f>
        <v>32</v>
      </c>
      <c r="I268" s="10" t="n">
        <f aca="false">IF($AK268=0,"",INDEX('Part types'!$R:$R,$AK268))</f>
        <v>10</v>
      </c>
      <c r="J268" s="10" t="n">
        <f aca="false">IF($AK268=0,"",INDEX('Part types'!$S:$S,$AK268))</f>
        <v>7</v>
      </c>
      <c r="K268" s="11" t="s">
        <v>1412</v>
      </c>
      <c r="L268" s="11" t="s">
        <v>1423</v>
      </c>
      <c r="M268" s="11" t="str">
        <f aca="false">L268&amp;" - "&amp;N268</f>
        <v>ديسك فرامل - خلفي</v>
      </c>
      <c r="N268" s="11" t="s">
        <v>169</v>
      </c>
      <c r="O268" s="11" t="s">
        <v>1414</v>
      </c>
      <c r="P268" s="10" t="n">
        <f aca="false">G268</f>
        <v>32</v>
      </c>
      <c r="Q268" s="10" t="n">
        <f aca="false">H268</f>
        <v>32</v>
      </c>
      <c r="R268" s="10" t="n">
        <f aca="false">I268</f>
        <v>10</v>
      </c>
      <c r="S268" s="10" t="n">
        <f aca="false">J268</f>
        <v>7</v>
      </c>
      <c r="T268" s="12" t="s">
        <v>1415</v>
      </c>
      <c r="U268" s="12" t="s">
        <v>1424</v>
      </c>
      <c r="V268" s="9" t="str">
        <f aca="false">U268&amp;" - "&amp;W268</f>
        <v>制动盘 - 后部</v>
      </c>
      <c r="W268" s="12" t="s">
        <v>170</v>
      </c>
      <c r="X268" s="12" t="s">
        <v>1417</v>
      </c>
      <c r="Y268" s="10" t="n">
        <f aca="false">G268</f>
        <v>32</v>
      </c>
      <c r="Z268" s="10" t="n">
        <f aca="false">H268</f>
        <v>32</v>
      </c>
      <c r="AA268" s="10" t="n">
        <f aca="false">I268</f>
        <v>10</v>
      </c>
      <c r="AB268" s="10" t="n">
        <f aca="false">J268</f>
        <v>7</v>
      </c>
      <c r="AC268" s="9" t="s">
        <v>1418</v>
      </c>
      <c r="AD268" s="9" t="s">
        <v>1425</v>
      </c>
      <c r="AE268" s="9" t="str">
        <f aca="false">IF($AK268=0,"",INDEX('Part types'!$T:$T,$AK268)&amp;"")</f>
        <v>All vehicles</v>
      </c>
      <c r="AF268" s="9" t="str">
        <f aca="false">IF($AK268=0,"",INDEX('Part types'!$U:$U,$AK268)&amp;"")</f>
        <v/>
      </c>
      <c r="AG268" s="9" t="str">
        <f aca="false">IF($AK268=0,"",INDEX('Part types'!$V:$V,$AK268)&amp;"")</f>
        <v>Estimate: item-specific</v>
      </c>
      <c r="AH268" s="9" t="str">
        <f aca="false">IF($AK268=0,"",INDEX('Part types'!$W:$W,$AK268)&amp;"")</f>
        <v>Rotor</v>
      </c>
      <c r="AI268" s="11" t="str">
        <f aca="false">IF($AK268=0,"",INDEX('Part types'!$X:$X,$AK268)&amp;"")</f>
        <v/>
      </c>
      <c r="AJ268" s="9" t="str">
        <f aca="false">IF($AK268=0,"",INDEX('Part types'!$Y:$Y,$AK268)&amp;"")</f>
        <v/>
      </c>
      <c r="AK268" s="9" t="n">
        <f aca="false">IFERROR(MATCH($AD268,'Part types'!$E:$E,0),0)</f>
        <v>237</v>
      </c>
    </row>
    <row r="269" customFormat="false" ht="15" hidden="false" customHeight="false" outlineLevel="0" collapsed="false">
      <c r="A269" s="9" t="s">
        <v>1427</v>
      </c>
      <c r="B269" s="9" t="s">
        <v>1409</v>
      </c>
      <c r="C269" s="9" t="s">
        <v>1428</v>
      </c>
      <c r="D269" s="9" t="str">
        <f aca="false">C269&amp;" - "&amp;E269</f>
        <v>Disc Pad Kit - Front</v>
      </c>
      <c r="E269" s="9" t="s">
        <v>161</v>
      </c>
      <c r="F269" s="9" t="s">
        <v>1411</v>
      </c>
      <c r="G269" s="10" t="n">
        <f aca="false">IF($AK269=0,"",INDEX('Part types'!$P:$P,$AK269))</f>
        <v>34</v>
      </c>
      <c r="H269" s="10" t="n">
        <f aca="false">IF($AK269=0,"",INDEX('Part types'!$Q:$Q,$AK269))</f>
        <v>34</v>
      </c>
      <c r="I269" s="10" t="n">
        <f aca="false">IF($AK269=0,"",INDEX('Part types'!$R:$R,$AK269))</f>
        <v>12</v>
      </c>
      <c r="J269" s="10" t="n">
        <f aca="false">IF($AK269=0,"",INDEX('Part types'!$S:$S,$AK269))</f>
        <v>9</v>
      </c>
      <c r="K269" s="11" t="s">
        <v>1412</v>
      </c>
      <c r="L269" s="11" t="s">
        <v>1429</v>
      </c>
      <c r="M269" s="11" t="str">
        <f aca="false">L269&amp;" - "&amp;N269</f>
        <v>طقم ديسك وتيل فرامل - أمامي</v>
      </c>
      <c r="N269" s="11" t="s">
        <v>163</v>
      </c>
      <c r="O269" s="11" t="s">
        <v>1414</v>
      </c>
      <c r="P269" s="10" t="n">
        <f aca="false">G269</f>
        <v>34</v>
      </c>
      <c r="Q269" s="10" t="n">
        <f aca="false">H269</f>
        <v>34</v>
      </c>
      <c r="R269" s="10" t="n">
        <f aca="false">I269</f>
        <v>12</v>
      </c>
      <c r="S269" s="10" t="n">
        <f aca="false">J269</f>
        <v>9</v>
      </c>
      <c r="T269" s="12" t="s">
        <v>1415</v>
      </c>
      <c r="U269" s="12" t="s">
        <v>1430</v>
      </c>
      <c r="V269" s="9" t="str">
        <f aca="false">U269&amp;" - "&amp;W269</f>
        <v>制动盘与刹车片套装 - 前部</v>
      </c>
      <c r="W269" s="12" t="s">
        <v>165</v>
      </c>
      <c r="X269" s="12" t="s">
        <v>1417</v>
      </c>
      <c r="Y269" s="10" t="n">
        <f aca="false">G269</f>
        <v>34</v>
      </c>
      <c r="Z269" s="10" t="n">
        <f aca="false">H269</f>
        <v>34</v>
      </c>
      <c r="AA269" s="10" t="n">
        <f aca="false">I269</f>
        <v>12</v>
      </c>
      <c r="AB269" s="10" t="n">
        <f aca="false">J269</f>
        <v>9</v>
      </c>
      <c r="AC269" s="9" t="s">
        <v>1418</v>
      </c>
      <c r="AD269" s="9" t="s">
        <v>1431</v>
      </c>
      <c r="AE269" s="9" t="str">
        <f aca="false">IF($AK269=0,"",INDEX('Part types'!$T:$T,$AK269)&amp;"")</f>
        <v>All vehicles</v>
      </c>
      <c r="AF269" s="9" t="str">
        <f aca="false">IF($AK269=0,"",INDEX('Part types'!$U:$U,$AK269)&amp;"")</f>
        <v/>
      </c>
      <c r="AG269" s="9" t="str">
        <f aca="false">IF($AK269=0,"",INDEX('Part types'!$V:$V,$AK269)&amp;"")</f>
        <v>Estimate: item-specific</v>
      </c>
      <c r="AH269" s="9" t="str">
        <f aca="false">IF($AK269=0,"",INDEX('Part types'!$W:$W,$AK269)&amp;"")</f>
        <v>Brake Disc and Pad Kit</v>
      </c>
      <c r="AI269" s="11" t="str">
        <f aca="false">IF($AK269=0,"",INDEX('Part types'!$X:$X,$AK269)&amp;"")</f>
        <v/>
      </c>
      <c r="AJ269" s="9" t="str">
        <f aca="false">IF($AK269=0,"",INDEX('Part types'!$Y:$Y,$AK269)&amp;"")</f>
        <v/>
      </c>
      <c r="AK269" s="9" t="n">
        <f aca="false">IFERROR(MATCH($AD269,'Part types'!$E:$E,0),0)</f>
        <v>238</v>
      </c>
    </row>
    <row r="270" customFormat="false" ht="15" hidden="false" customHeight="false" outlineLevel="0" collapsed="false">
      <c r="A270" s="9" t="s">
        <v>1432</v>
      </c>
      <c r="B270" s="9" t="s">
        <v>1409</v>
      </c>
      <c r="C270" s="9" t="s">
        <v>1428</v>
      </c>
      <c r="D270" s="9" t="str">
        <f aca="false">C270&amp;" - "&amp;E270</f>
        <v>Disc Pad Kit - Rear</v>
      </c>
      <c r="E270" s="9" t="s">
        <v>168</v>
      </c>
      <c r="F270" s="9" t="s">
        <v>1411</v>
      </c>
      <c r="G270" s="10" t="n">
        <f aca="false">IF($AK270=0,"",INDEX('Part types'!$P:$P,$AK270))</f>
        <v>34</v>
      </c>
      <c r="H270" s="10" t="n">
        <f aca="false">IF($AK270=0,"",INDEX('Part types'!$Q:$Q,$AK270))</f>
        <v>34</v>
      </c>
      <c r="I270" s="10" t="n">
        <f aca="false">IF($AK270=0,"",INDEX('Part types'!$R:$R,$AK270))</f>
        <v>12</v>
      </c>
      <c r="J270" s="10" t="n">
        <f aca="false">IF($AK270=0,"",INDEX('Part types'!$S:$S,$AK270))</f>
        <v>9</v>
      </c>
      <c r="K270" s="11" t="s">
        <v>1412</v>
      </c>
      <c r="L270" s="11" t="s">
        <v>1429</v>
      </c>
      <c r="M270" s="11" t="str">
        <f aca="false">L270&amp;" - "&amp;N270</f>
        <v>طقم ديسك وتيل فرامل - خلفي</v>
      </c>
      <c r="N270" s="11" t="s">
        <v>169</v>
      </c>
      <c r="O270" s="11" t="s">
        <v>1414</v>
      </c>
      <c r="P270" s="10" t="n">
        <f aca="false">G270</f>
        <v>34</v>
      </c>
      <c r="Q270" s="10" t="n">
        <f aca="false">H270</f>
        <v>34</v>
      </c>
      <c r="R270" s="10" t="n">
        <f aca="false">I270</f>
        <v>12</v>
      </c>
      <c r="S270" s="10" t="n">
        <f aca="false">J270</f>
        <v>9</v>
      </c>
      <c r="T270" s="12" t="s">
        <v>1415</v>
      </c>
      <c r="U270" s="12" t="s">
        <v>1430</v>
      </c>
      <c r="V270" s="9" t="str">
        <f aca="false">U270&amp;" - "&amp;W270</f>
        <v>制动盘与刹车片套装 - 后部</v>
      </c>
      <c r="W270" s="12" t="s">
        <v>170</v>
      </c>
      <c r="X270" s="12" t="s">
        <v>1417</v>
      </c>
      <c r="Y270" s="10" t="n">
        <f aca="false">G270</f>
        <v>34</v>
      </c>
      <c r="Z270" s="10" t="n">
        <f aca="false">H270</f>
        <v>34</v>
      </c>
      <c r="AA270" s="10" t="n">
        <f aca="false">I270</f>
        <v>12</v>
      </c>
      <c r="AB270" s="10" t="n">
        <f aca="false">J270</f>
        <v>9</v>
      </c>
      <c r="AC270" s="9" t="s">
        <v>1418</v>
      </c>
      <c r="AD270" s="9" t="s">
        <v>1431</v>
      </c>
      <c r="AE270" s="9" t="str">
        <f aca="false">IF($AK270=0,"",INDEX('Part types'!$T:$T,$AK270)&amp;"")</f>
        <v>All vehicles</v>
      </c>
      <c r="AF270" s="9" t="str">
        <f aca="false">IF($AK270=0,"",INDEX('Part types'!$U:$U,$AK270)&amp;"")</f>
        <v/>
      </c>
      <c r="AG270" s="9" t="str">
        <f aca="false">IF($AK270=0,"",INDEX('Part types'!$V:$V,$AK270)&amp;"")</f>
        <v>Estimate: item-specific</v>
      </c>
      <c r="AH270" s="9" t="str">
        <f aca="false">IF($AK270=0,"",INDEX('Part types'!$W:$W,$AK270)&amp;"")</f>
        <v>Brake Disc and Pad Kit</v>
      </c>
      <c r="AI270" s="11" t="str">
        <f aca="false">IF($AK270=0,"",INDEX('Part types'!$X:$X,$AK270)&amp;"")</f>
        <v/>
      </c>
      <c r="AJ270" s="9" t="str">
        <f aca="false">IF($AK270=0,"",INDEX('Part types'!$Y:$Y,$AK270)&amp;"")</f>
        <v/>
      </c>
      <c r="AK270" s="9" t="n">
        <f aca="false">IFERROR(MATCH($AD270,'Part types'!$E:$E,0),0)</f>
        <v>238</v>
      </c>
    </row>
    <row r="271" customFormat="false" ht="15" hidden="false" customHeight="false" outlineLevel="0" collapsed="false">
      <c r="A271" s="9" t="s">
        <v>1433</v>
      </c>
      <c r="B271" s="9" t="s">
        <v>1409</v>
      </c>
      <c r="C271" s="9" t="s">
        <v>1434</v>
      </c>
      <c r="D271" s="9" t="str">
        <f aca="false">C271&amp;" - "&amp;E271</f>
        <v>Brake Drum - Rear</v>
      </c>
      <c r="E271" s="9" t="s">
        <v>168</v>
      </c>
      <c r="F271" s="9" t="s">
        <v>1435</v>
      </c>
      <c r="G271" s="10" t="n">
        <f aca="false">IF($AK271=0,"",INDEX('Part types'!$P:$P,$AK271))</f>
        <v>30</v>
      </c>
      <c r="H271" s="10" t="n">
        <f aca="false">IF($AK271=0,"",INDEX('Part types'!$Q:$Q,$AK271))</f>
        <v>30</v>
      </c>
      <c r="I271" s="10" t="n">
        <f aca="false">IF($AK271=0,"",INDEX('Part types'!$R:$R,$AK271))</f>
        <v>15</v>
      </c>
      <c r="J271" s="10" t="n">
        <f aca="false">IF($AK271=0,"",INDEX('Part types'!$S:$S,$AK271))</f>
        <v>6</v>
      </c>
      <c r="K271" s="11" t="s">
        <v>1412</v>
      </c>
      <c r="L271" s="11" t="s">
        <v>1436</v>
      </c>
      <c r="M271" s="11" t="str">
        <f aca="false">L271&amp;" - "&amp;N271</f>
        <v>طنبور فرامل - خلفي</v>
      </c>
      <c r="N271" s="11" t="s">
        <v>169</v>
      </c>
      <c r="O271" s="11" t="s">
        <v>1437</v>
      </c>
      <c r="P271" s="10" t="n">
        <f aca="false">G271</f>
        <v>30</v>
      </c>
      <c r="Q271" s="10" t="n">
        <f aca="false">H271</f>
        <v>30</v>
      </c>
      <c r="R271" s="10" t="n">
        <f aca="false">I271</f>
        <v>15</v>
      </c>
      <c r="S271" s="10" t="n">
        <f aca="false">J271</f>
        <v>6</v>
      </c>
      <c r="T271" s="12" t="s">
        <v>1415</v>
      </c>
      <c r="U271" s="12" t="s">
        <v>1438</v>
      </c>
      <c r="V271" s="9" t="str">
        <f aca="false">U271&amp;" - "&amp;W271</f>
        <v>制动鼓 - 后部</v>
      </c>
      <c r="W271" s="12" t="s">
        <v>170</v>
      </c>
      <c r="X271" s="12" t="s">
        <v>1439</v>
      </c>
      <c r="Y271" s="10" t="n">
        <f aca="false">G271</f>
        <v>30</v>
      </c>
      <c r="Z271" s="10" t="n">
        <f aca="false">H271</f>
        <v>30</v>
      </c>
      <c r="AA271" s="10" t="n">
        <f aca="false">I271</f>
        <v>15</v>
      </c>
      <c r="AB271" s="10" t="n">
        <f aca="false">J271</f>
        <v>6</v>
      </c>
      <c r="AC271" s="9" t="s">
        <v>1418</v>
      </c>
      <c r="AD271" s="9" t="s">
        <v>1440</v>
      </c>
      <c r="AE271" s="9" t="str">
        <f aca="false">IF($AK271=0,"",INDEX('Part types'!$T:$T,$AK271)&amp;"")</f>
        <v>All vehicles</v>
      </c>
      <c r="AF271" s="9" t="str">
        <f aca="false">IF($AK271=0,"",INDEX('Part types'!$U:$U,$AK271)&amp;"")</f>
        <v/>
      </c>
      <c r="AG271" s="9" t="str">
        <f aca="false">IF($AK271=0,"",INDEX('Part types'!$V:$V,$AK271)&amp;"")</f>
        <v>Estimate: item-specific</v>
      </c>
      <c r="AH271" s="9" t="str">
        <f aca="false">IF($AK271=0,"",INDEX('Part types'!$W:$W,$AK271)&amp;"")</f>
        <v/>
      </c>
      <c r="AI271" s="11" t="str">
        <f aca="false">IF($AK271=0,"",INDEX('Part types'!$X:$X,$AK271)&amp;"")</f>
        <v/>
      </c>
      <c r="AJ271" s="9" t="str">
        <f aca="false">IF($AK271=0,"",INDEX('Part types'!$Y:$Y,$AK271)&amp;"")</f>
        <v/>
      </c>
      <c r="AK271" s="9" t="n">
        <f aca="false">IFERROR(MATCH($AD271,'Part types'!$E:$E,0),0)</f>
        <v>239</v>
      </c>
    </row>
    <row r="272" customFormat="false" ht="15" hidden="false" customHeight="false" outlineLevel="0" collapsed="false">
      <c r="A272" s="9" t="s">
        <v>1441</v>
      </c>
      <c r="B272" s="9" t="s">
        <v>1409</v>
      </c>
      <c r="C272" s="9" t="s">
        <v>1442</v>
      </c>
      <c r="D272" s="9" t="str">
        <f aca="false">C272&amp;" - "&amp;E272</f>
        <v>Brake Shoe Set - Rear</v>
      </c>
      <c r="E272" s="9" t="s">
        <v>168</v>
      </c>
      <c r="F272" s="9" t="s">
        <v>1435</v>
      </c>
      <c r="G272" s="10" t="n">
        <f aca="false">IF($AK272=0,"",INDEX('Part types'!$P:$P,$AK272))</f>
        <v>25</v>
      </c>
      <c r="H272" s="10" t="n">
        <f aca="false">IF($AK272=0,"",INDEX('Part types'!$Q:$Q,$AK272))</f>
        <v>15</v>
      </c>
      <c r="I272" s="10" t="n">
        <f aca="false">IF($AK272=0,"",INDEX('Part types'!$R:$R,$AK272))</f>
        <v>10</v>
      </c>
      <c r="J272" s="10" t="n">
        <f aca="false">IF($AK272=0,"",INDEX('Part types'!$S:$S,$AK272))</f>
        <v>0.9</v>
      </c>
      <c r="K272" s="11" t="s">
        <v>1412</v>
      </c>
      <c r="L272" s="11" t="s">
        <v>1443</v>
      </c>
      <c r="M272" s="11" t="str">
        <f aca="false">L272&amp;" - "&amp;N272</f>
        <v>طقم أحذية فرامل - خلفي</v>
      </c>
      <c r="N272" s="11" t="s">
        <v>169</v>
      </c>
      <c r="O272" s="11" t="s">
        <v>1437</v>
      </c>
      <c r="P272" s="10" t="n">
        <f aca="false">G272</f>
        <v>25</v>
      </c>
      <c r="Q272" s="10" t="n">
        <f aca="false">H272</f>
        <v>15</v>
      </c>
      <c r="R272" s="10" t="n">
        <f aca="false">I272</f>
        <v>10</v>
      </c>
      <c r="S272" s="10" t="n">
        <f aca="false">J272</f>
        <v>0.9</v>
      </c>
      <c r="T272" s="12" t="s">
        <v>1415</v>
      </c>
      <c r="U272" s="12" t="s">
        <v>1444</v>
      </c>
      <c r="V272" s="9" t="str">
        <f aca="false">U272&amp;" - "&amp;W272</f>
        <v>制动蹄套装 - 后部</v>
      </c>
      <c r="W272" s="12" t="s">
        <v>170</v>
      </c>
      <c r="X272" s="12" t="s">
        <v>1439</v>
      </c>
      <c r="Y272" s="10" t="n">
        <f aca="false">G272</f>
        <v>25</v>
      </c>
      <c r="Z272" s="10" t="n">
        <f aca="false">H272</f>
        <v>15</v>
      </c>
      <c r="AA272" s="10" t="n">
        <f aca="false">I272</f>
        <v>10</v>
      </c>
      <c r="AB272" s="10" t="n">
        <f aca="false">J272</f>
        <v>0.9</v>
      </c>
      <c r="AC272" s="9" t="s">
        <v>1418</v>
      </c>
      <c r="AD272" s="9" t="s">
        <v>1445</v>
      </c>
      <c r="AE272" s="9" t="str">
        <f aca="false">IF($AK272=0,"",INDEX('Part types'!$T:$T,$AK272)&amp;"")</f>
        <v>All vehicles</v>
      </c>
      <c r="AF272" s="9" t="str">
        <f aca="false">IF($AK272=0,"",INDEX('Part types'!$U:$U,$AK272)&amp;"")</f>
        <v/>
      </c>
      <c r="AG272" s="9" t="str">
        <f aca="false">IF($AK272=0,"",INDEX('Part types'!$V:$V,$AK272)&amp;"")</f>
        <v>Estimate: size class M</v>
      </c>
      <c r="AH272" s="9" t="str">
        <f aca="false">IF($AK272=0,"",INDEX('Part types'!$W:$W,$AK272)&amp;"")</f>
        <v>Drum</v>
      </c>
      <c r="AI272" s="11" t="str">
        <f aca="false">IF($AK272=0,"",INDEX('Part types'!$X:$X,$AK272)&amp;"")</f>
        <v>طنبور</v>
      </c>
      <c r="AJ272" s="9" t="str">
        <f aca="false">IF($AK272=0,"",INDEX('Part types'!$Y:$Y,$AK272)&amp;"")</f>
        <v>鼓式</v>
      </c>
      <c r="AK272" s="9" t="n">
        <f aca="false">IFERROR(MATCH($AD272,'Part types'!$E:$E,0),0)</f>
        <v>240</v>
      </c>
    </row>
    <row r="273" customFormat="false" ht="15" hidden="false" customHeight="false" outlineLevel="0" collapsed="false">
      <c r="A273" s="9" t="s">
        <v>1446</v>
      </c>
      <c r="B273" s="9" t="s">
        <v>1409</v>
      </c>
      <c r="C273" s="9" t="s">
        <v>1447</v>
      </c>
      <c r="D273" s="9" t="str">
        <f aca="false">C273&amp;" - "&amp;E273</f>
        <v>Brake Caliper - Front-Left</v>
      </c>
      <c r="E273" s="9" t="s">
        <v>1346</v>
      </c>
      <c r="F273" s="9" t="s">
        <v>1411</v>
      </c>
      <c r="G273" s="10" t="n">
        <f aca="false">IF($AK273=0,"",INDEX('Part types'!$P:$P,$AK273))</f>
        <v>30</v>
      </c>
      <c r="H273" s="10" t="n">
        <f aca="false">IF($AK273=0,"",INDEX('Part types'!$Q:$Q,$AK273))</f>
        <v>20</v>
      </c>
      <c r="I273" s="10" t="n">
        <f aca="false">IF($AK273=0,"",INDEX('Part types'!$R:$R,$AK273))</f>
        <v>15</v>
      </c>
      <c r="J273" s="10" t="n">
        <f aca="false">IF($AK273=0,"",INDEX('Part types'!$S:$S,$AK273))</f>
        <v>5</v>
      </c>
      <c r="K273" s="11" t="s">
        <v>1412</v>
      </c>
      <c r="L273" s="11" t="s">
        <v>1448</v>
      </c>
      <c r="M273" s="11" t="str">
        <f aca="false">L273&amp;" - "&amp;N273</f>
        <v>كاليبر فرامل - أمامي يسار</v>
      </c>
      <c r="N273" s="11" t="s">
        <v>1349</v>
      </c>
      <c r="O273" s="11" t="s">
        <v>1414</v>
      </c>
      <c r="P273" s="10" t="n">
        <f aca="false">G273</f>
        <v>30</v>
      </c>
      <c r="Q273" s="10" t="n">
        <f aca="false">H273</f>
        <v>20</v>
      </c>
      <c r="R273" s="10" t="n">
        <f aca="false">I273</f>
        <v>15</v>
      </c>
      <c r="S273" s="10" t="n">
        <f aca="false">J273</f>
        <v>5</v>
      </c>
      <c r="T273" s="12" t="s">
        <v>1415</v>
      </c>
      <c r="U273" s="12" t="s">
        <v>1449</v>
      </c>
      <c r="V273" s="9" t="str">
        <f aca="false">U273&amp;" - "&amp;W273</f>
        <v>制动卡钳 - 前左</v>
      </c>
      <c r="W273" s="12" t="s">
        <v>1352</v>
      </c>
      <c r="X273" s="12" t="s">
        <v>1417</v>
      </c>
      <c r="Y273" s="10" t="n">
        <f aca="false">G273</f>
        <v>30</v>
      </c>
      <c r="Z273" s="10" t="n">
        <f aca="false">H273</f>
        <v>20</v>
      </c>
      <c r="AA273" s="10" t="n">
        <f aca="false">I273</f>
        <v>15</v>
      </c>
      <c r="AB273" s="10" t="n">
        <f aca="false">J273</f>
        <v>5</v>
      </c>
      <c r="AC273" s="9" t="s">
        <v>1418</v>
      </c>
      <c r="AD273" s="9" t="s">
        <v>1450</v>
      </c>
      <c r="AE273" s="9" t="str">
        <f aca="false">IF($AK273=0,"",INDEX('Part types'!$T:$T,$AK273)&amp;"")</f>
        <v>All vehicles</v>
      </c>
      <c r="AF273" s="9" t="str">
        <f aca="false">IF($AK273=0,"",INDEX('Part types'!$U:$U,$AK273)&amp;"")</f>
        <v/>
      </c>
      <c r="AG273" s="9" t="str">
        <f aca="false">IF($AK273=0,"",INDEX('Part types'!$V:$V,$AK273)&amp;"")</f>
        <v>Estimate: item-specific</v>
      </c>
      <c r="AH273" s="9" t="str">
        <f aca="false">IF($AK273=0,"",INDEX('Part types'!$W:$W,$AK273)&amp;"")</f>
        <v/>
      </c>
      <c r="AI273" s="11" t="str">
        <f aca="false">IF($AK273=0,"",INDEX('Part types'!$X:$X,$AK273)&amp;"")</f>
        <v/>
      </c>
      <c r="AJ273" s="9" t="str">
        <f aca="false">IF($AK273=0,"",INDEX('Part types'!$Y:$Y,$AK273)&amp;"")</f>
        <v/>
      </c>
      <c r="AK273" s="9" t="n">
        <f aca="false">IFERROR(MATCH($AD273,'Part types'!$E:$E,0),0)</f>
        <v>241</v>
      </c>
    </row>
    <row r="274" customFormat="false" ht="15" hidden="false" customHeight="false" outlineLevel="0" collapsed="false">
      <c r="A274" s="9" t="s">
        <v>1451</v>
      </c>
      <c r="B274" s="9" t="s">
        <v>1409</v>
      </c>
      <c r="C274" s="9" t="s">
        <v>1447</v>
      </c>
      <c r="D274" s="9" t="str">
        <f aca="false">C274&amp;" - "&amp;E274</f>
        <v>Brake Caliper - Front-Right</v>
      </c>
      <c r="E274" s="9" t="s">
        <v>1356</v>
      </c>
      <c r="F274" s="9" t="s">
        <v>1411</v>
      </c>
      <c r="G274" s="10" t="n">
        <f aca="false">IF($AK274=0,"",INDEX('Part types'!$P:$P,$AK274))</f>
        <v>30</v>
      </c>
      <c r="H274" s="10" t="n">
        <f aca="false">IF($AK274=0,"",INDEX('Part types'!$Q:$Q,$AK274))</f>
        <v>20</v>
      </c>
      <c r="I274" s="10" t="n">
        <f aca="false">IF($AK274=0,"",INDEX('Part types'!$R:$R,$AK274))</f>
        <v>15</v>
      </c>
      <c r="J274" s="10" t="n">
        <f aca="false">IF($AK274=0,"",INDEX('Part types'!$S:$S,$AK274))</f>
        <v>5</v>
      </c>
      <c r="K274" s="11" t="s">
        <v>1412</v>
      </c>
      <c r="L274" s="11" t="s">
        <v>1448</v>
      </c>
      <c r="M274" s="11" t="str">
        <f aca="false">L274&amp;" - "&amp;N274</f>
        <v>كاليبر فرامل - أمامي يمين</v>
      </c>
      <c r="N274" s="11" t="s">
        <v>1357</v>
      </c>
      <c r="O274" s="11" t="s">
        <v>1414</v>
      </c>
      <c r="P274" s="10" t="n">
        <f aca="false">G274</f>
        <v>30</v>
      </c>
      <c r="Q274" s="10" t="n">
        <f aca="false">H274</f>
        <v>20</v>
      </c>
      <c r="R274" s="10" t="n">
        <f aca="false">I274</f>
        <v>15</v>
      </c>
      <c r="S274" s="10" t="n">
        <f aca="false">J274</f>
        <v>5</v>
      </c>
      <c r="T274" s="12" t="s">
        <v>1415</v>
      </c>
      <c r="U274" s="12" t="s">
        <v>1449</v>
      </c>
      <c r="V274" s="9" t="str">
        <f aca="false">U274&amp;" - "&amp;W274</f>
        <v>制动卡钳 - 前右</v>
      </c>
      <c r="W274" s="12" t="s">
        <v>1358</v>
      </c>
      <c r="X274" s="12" t="s">
        <v>1417</v>
      </c>
      <c r="Y274" s="10" t="n">
        <f aca="false">G274</f>
        <v>30</v>
      </c>
      <c r="Z274" s="10" t="n">
        <f aca="false">H274</f>
        <v>20</v>
      </c>
      <c r="AA274" s="10" t="n">
        <f aca="false">I274</f>
        <v>15</v>
      </c>
      <c r="AB274" s="10" t="n">
        <f aca="false">J274</f>
        <v>5</v>
      </c>
      <c r="AC274" s="9" t="s">
        <v>1418</v>
      </c>
      <c r="AD274" s="9" t="s">
        <v>1450</v>
      </c>
      <c r="AE274" s="9" t="str">
        <f aca="false">IF($AK274=0,"",INDEX('Part types'!$T:$T,$AK274)&amp;"")</f>
        <v>All vehicles</v>
      </c>
      <c r="AF274" s="9" t="str">
        <f aca="false">IF($AK274=0,"",INDEX('Part types'!$U:$U,$AK274)&amp;"")</f>
        <v/>
      </c>
      <c r="AG274" s="9" t="str">
        <f aca="false">IF($AK274=0,"",INDEX('Part types'!$V:$V,$AK274)&amp;"")</f>
        <v>Estimate: item-specific</v>
      </c>
      <c r="AH274" s="9" t="str">
        <f aca="false">IF($AK274=0,"",INDEX('Part types'!$W:$W,$AK274)&amp;"")</f>
        <v/>
      </c>
      <c r="AI274" s="11" t="str">
        <f aca="false">IF($AK274=0,"",INDEX('Part types'!$X:$X,$AK274)&amp;"")</f>
        <v/>
      </c>
      <c r="AJ274" s="9" t="str">
        <f aca="false">IF($AK274=0,"",INDEX('Part types'!$Y:$Y,$AK274)&amp;"")</f>
        <v/>
      </c>
      <c r="AK274" s="9" t="n">
        <f aca="false">IFERROR(MATCH($AD274,'Part types'!$E:$E,0),0)</f>
        <v>241</v>
      </c>
    </row>
    <row r="275" customFormat="false" ht="15" hidden="false" customHeight="false" outlineLevel="0" collapsed="false">
      <c r="A275" s="9" t="s">
        <v>1452</v>
      </c>
      <c r="B275" s="9" t="s">
        <v>1409</v>
      </c>
      <c r="C275" s="9" t="s">
        <v>1447</v>
      </c>
      <c r="D275" s="9" t="str">
        <f aca="false">C275&amp;" - "&amp;E275</f>
        <v>Brake Caliper - Rear-Left</v>
      </c>
      <c r="E275" s="9" t="s">
        <v>1360</v>
      </c>
      <c r="F275" s="9" t="s">
        <v>1411</v>
      </c>
      <c r="G275" s="10" t="n">
        <f aca="false">IF($AK275=0,"",INDEX('Part types'!$P:$P,$AK275))</f>
        <v>30</v>
      </c>
      <c r="H275" s="10" t="n">
        <f aca="false">IF($AK275=0,"",INDEX('Part types'!$Q:$Q,$AK275))</f>
        <v>20</v>
      </c>
      <c r="I275" s="10" t="n">
        <f aca="false">IF($AK275=0,"",INDEX('Part types'!$R:$R,$AK275))</f>
        <v>15</v>
      </c>
      <c r="J275" s="10" t="n">
        <f aca="false">IF($AK275=0,"",INDEX('Part types'!$S:$S,$AK275))</f>
        <v>5</v>
      </c>
      <c r="K275" s="11" t="s">
        <v>1412</v>
      </c>
      <c r="L275" s="11" t="s">
        <v>1448</v>
      </c>
      <c r="M275" s="11" t="str">
        <f aca="false">L275&amp;" - "&amp;N275</f>
        <v>كاليبر فرامل - خلفي يسار</v>
      </c>
      <c r="N275" s="11" t="s">
        <v>1361</v>
      </c>
      <c r="O275" s="11" t="s">
        <v>1414</v>
      </c>
      <c r="P275" s="10" t="n">
        <f aca="false">G275</f>
        <v>30</v>
      </c>
      <c r="Q275" s="10" t="n">
        <f aca="false">H275</f>
        <v>20</v>
      </c>
      <c r="R275" s="10" t="n">
        <f aca="false">I275</f>
        <v>15</v>
      </c>
      <c r="S275" s="10" t="n">
        <f aca="false">J275</f>
        <v>5</v>
      </c>
      <c r="T275" s="12" t="s">
        <v>1415</v>
      </c>
      <c r="U275" s="12" t="s">
        <v>1449</v>
      </c>
      <c r="V275" s="9" t="str">
        <f aca="false">U275&amp;" - "&amp;W275</f>
        <v>制动卡钳 - 后左</v>
      </c>
      <c r="W275" s="12" t="s">
        <v>1362</v>
      </c>
      <c r="X275" s="12" t="s">
        <v>1417</v>
      </c>
      <c r="Y275" s="10" t="n">
        <f aca="false">G275</f>
        <v>30</v>
      </c>
      <c r="Z275" s="10" t="n">
        <f aca="false">H275</f>
        <v>20</v>
      </c>
      <c r="AA275" s="10" t="n">
        <f aca="false">I275</f>
        <v>15</v>
      </c>
      <c r="AB275" s="10" t="n">
        <f aca="false">J275</f>
        <v>5</v>
      </c>
      <c r="AC275" s="9" t="s">
        <v>1418</v>
      </c>
      <c r="AD275" s="9" t="s">
        <v>1450</v>
      </c>
      <c r="AE275" s="9" t="str">
        <f aca="false">IF($AK275=0,"",INDEX('Part types'!$T:$T,$AK275)&amp;"")</f>
        <v>All vehicles</v>
      </c>
      <c r="AF275" s="9" t="str">
        <f aca="false">IF($AK275=0,"",INDEX('Part types'!$U:$U,$AK275)&amp;"")</f>
        <v/>
      </c>
      <c r="AG275" s="9" t="str">
        <f aca="false">IF($AK275=0,"",INDEX('Part types'!$V:$V,$AK275)&amp;"")</f>
        <v>Estimate: item-specific</v>
      </c>
      <c r="AH275" s="9" t="str">
        <f aca="false">IF($AK275=0,"",INDEX('Part types'!$W:$W,$AK275)&amp;"")</f>
        <v/>
      </c>
      <c r="AI275" s="11" t="str">
        <f aca="false">IF($AK275=0,"",INDEX('Part types'!$X:$X,$AK275)&amp;"")</f>
        <v/>
      </c>
      <c r="AJ275" s="9" t="str">
        <f aca="false">IF($AK275=0,"",INDEX('Part types'!$Y:$Y,$AK275)&amp;"")</f>
        <v/>
      </c>
      <c r="AK275" s="9" t="n">
        <f aca="false">IFERROR(MATCH($AD275,'Part types'!$E:$E,0),0)</f>
        <v>241</v>
      </c>
    </row>
    <row r="276" customFormat="false" ht="15" hidden="false" customHeight="false" outlineLevel="0" collapsed="false">
      <c r="A276" s="9" t="s">
        <v>1453</v>
      </c>
      <c r="B276" s="9" t="s">
        <v>1409</v>
      </c>
      <c r="C276" s="9" t="s">
        <v>1447</v>
      </c>
      <c r="D276" s="9" t="str">
        <f aca="false">C276&amp;" - "&amp;E276</f>
        <v>Brake Caliper - Rear-Right</v>
      </c>
      <c r="E276" s="9" t="s">
        <v>1364</v>
      </c>
      <c r="F276" s="9" t="s">
        <v>1411</v>
      </c>
      <c r="G276" s="10" t="n">
        <f aca="false">IF($AK276=0,"",INDEX('Part types'!$P:$P,$AK276))</f>
        <v>30</v>
      </c>
      <c r="H276" s="10" t="n">
        <f aca="false">IF($AK276=0,"",INDEX('Part types'!$Q:$Q,$AK276))</f>
        <v>20</v>
      </c>
      <c r="I276" s="10" t="n">
        <f aca="false">IF($AK276=0,"",INDEX('Part types'!$R:$R,$AK276))</f>
        <v>15</v>
      </c>
      <c r="J276" s="10" t="n">
        <f aca="false">IF($AK276=0,"",INDEX('Part types'!$S:$S,$AK276))</f>
        <v>5</v>
      </c>
      <c r="K276" s="11" t="s">
        <v>1412</v>
      </c>
      <c r="L276" s="11" t="s">
        <v>1448</v>
      </c>
      <c r="M276" s="11" t="str">
        <f aca="false">L276&amp;" - "&amp;N276</f>
        <v>كاليبر فرامل - خلفي يمين</v>
      </c>
      <c r="N276" s="11" t="s">
        <v>1365</v>
      </c>
      <c r="O276" s="11" t="s">
        <v>1414</v>
      </c>
      <c r="P276" s="10" t="n">
        <f aca="false">G276</f>
        <v>30</v>
      </c>
      <c r="Q276" s="10" t="n">
        <f aca="false">H276</f>
        <v>20</v>
      </c>
      <c r="R276" s="10" t="n">
        <f aca="false">I276</f>
        <v>15</v>
      </c>
      <c r="S276" s="10" t="n">
        <f aca="false">J276</f>
        <v>5</v>
      </c>
      <c r="T276" s="12" t="s">
        <v>1415</v>
      </c>
      <c r="U276" s="12" t="s">
        <v>1449</v>
      </c>
      <c r="V276" s="9" t="str">
        <f aca="false">U276&amp;" - "&amp;W276</f>
        <v>制动卡钳 - 后右</v>
      </c>
      <c r="W276" s="12" t="s">
        <v>1366</v>
      </c>
      <c r="X276" s="12" t="s">
        <v>1417</v>
      </c>
      <c r="Y276" s="10" t="n">
        <f aca="false">G276</f>
        <v>30</v>
      </c>
      <c r="Z276" s="10" t="n">
        <f aca="false">H276</f>
        <v>20</v>
      </c>
      <c r="AA276" s="10" t="n">
        <f aca="false">I276</f>
        <v>15</v>
      </c>
      <c r="AB276" s="10" t="n">
        <f aca="false">J276</f>
        <v>5</v>
      </c>
      <c r="AC276" s="9" t="s">
        <v>1418</v>
      </c>
      <c r="AD276" s="9" t="s">
        <v>1450</v>
      </c>
      <c r="AE276" s="9" t="str">
        <f aca="false">IF($AK276=0,"",INDEX('Part types'!$T:$T,$AK276)&amp;"")</f>
        <v>All vehicles</v>
      </c>
      <c r="AF276" s="9" t="str">
        <f aca="false">IF($AK276=0,"",INDEX('Part types'!$U:$U,$AK276)&amp;"")</f>
        <v/>
      </c>
      <c r="AG276" s="9" t="str">
        <f aca="false">IF($AK276=0,"",INDEX('Part types'!$V:$V,$AK276)&amp;"")</f>
        <v>Estimate: item-specific</v>
      </c>
      <c r="AH276" s="9" t="str">
        <f aca="false">IF($AK276=0,"",INDEX('Part types'!$W:$W,$AK276)&amp;"")</f>
        <v/>
      </c>
      <c r="AI276" s="11" t="str">
        <f aca="false">IF($AK276=0,"",INDEX('Part types'!$X:$X,$AK276)&amp;"")</f>
        <v/>
      </c>
      <c r="AJ276" s="9" t="str">
        <f aca="false">IF($AK276=0,"",INDEX('Part types'!$Y:$Y,$AK276)&amp;"")</f>
        <v/>
      </c>
      <c r="AK276" s="9" t="n">
        <f aca="false">IFERROR(MATCH($AD276,'Part types'!$E:$E,0),0)</f>
        <v>241</v>
      </c>
    </row>
    <row r="277" customFormat="false" ht="15" hidden="false" customHeight="false" outlineLevel="0" collapsed="false">
      <c r="A277" s="9" t="s">
        <v>1454</v>
      </c>
      <c r="B277" s="9" t="s">
        <v>1409</v>
      </c>
      <c r="C277" s="9" t="s">
        <v>1455</v>
      </c>
      <c r="D277" s="9" t="str">
        <f aca="false">C277&amp;" - "&amp;E277</f>
        <v>Brake Caliper Bracket - Front-Left</v>
      </c>
      <c r="E277" s="9" t="s">
        <v>1346</v>
      </c>
      <c r="F277" s="9" t="s">
        <v>1411</v>
      </c>
      <c r="G277" s="10" t="n">
        <f aca="false">IF($AK277=0,"",INDEX('Part types'!$P:$P,$AK277))</f>
        <v>30</v>
      </c>
      <c r="H277" s="10" t="n">
        <f aca="false">IF($AK277=0,"",INDEX('Part types'!$Q:$Q,$AK277))</f>
        <v>20</v>
      </c>
      <c r="I277" s="10" t="n">
        <f aca="false">IF($AK277=0,"",INDEX('Part types'!$R:$R,$AK277))</f>
        <v>15</v>
      </c>
      <c r="J277" s="10" t="n">
        <f aca="false">IF($AK277=0,"",INDEX('Part types'!$S:$S,$AK277))</f>
        <v>1.8</v>
      </c>
      <c r="K277" s="11" t="s">
        <v>1412</v>
      </c>
      <c r="L277" s="11" t="s">
        <v>1456</v>
      </c>
      <c r="M277" s="11" t="str">
        <f aca="false">L277&amp;" - "&amp;N277</f>
        <v>حامل كاليبر الفرامل - أمامي يسار</v>
      </c>
      <c r="N277" s="11" t="s">
        <v>1349</v>
      </c>
      <c r="O277" s="11" t="s">
        <v>1414</v>
      </c>
      <c r="P277" s="10" t="n">
        <f aca="false">G277</f>
        <v>30</v>
      </c>
      <c r="Q277" s="10" t="n">
        <f aca="false">H277</f>
        <v>20</v>
      </c>
      <c r="R277" s="10" t="n">
        <f aca="false">I277</f>
        <v>15</v>
      </c>
      <c r="S277" s="10" t="n">
        <f aca="false">J277</f>
        <v>1.8</v>
      </c>
      <c r="T277" s="12" t="s">
        <v>1415</v>
      </c>
      <c r="U277" s="12" t="s">
        <v>1457</v>
      </c>
      <c r="V277" s="9" t="str">
        <f aca="false">U277&amp;" - "&amp;W277</f>
        <v>制动卡钳支架 - 前左</v>
      </c>
      <c r="W277" s="12" t="s">
        <v>1352</v>
      </c>
      <c r="X277" s="12" t="s">
        <v>1417</v>
      </c>
      <c r="Y277" s="10" t="n">
        <f aca="false">G277</f>
        <v>30</v>
      </c>
      <c r="Z277" s="10" t="n">
        <f aca="false">H277</f>
        <v>20</v>
      </c>
      <c r="AA277" s="10" t="n">
        <f aca="false">I277</f>
        <v>15</v>
      </c>
      <c r="AB277" s="10" t="n">
        <f aca="false">J277</f>
        <v>1.8</v>
      </c>
      <c r="AC277" s="9" t="s">
        <v>1418</v>
      </c>
      <c r="AD277" s="9" t="s">
        <v>1458</v>
      </c>
      <c r="AE277" s="9" t="str">
        <f aca="false">IF($AK277=0,"",INDEX('Part types'!$T:$T,$AK277)&amp;"")</f>
        <v>All vehicles</v>
      </c>
      <c r="AF277" s="9" t="str">
        <f aca="false">IF($AK277=0,"",INDEX('Part types'!$U:$U,$AK277)&amp;"")</f>
        <v/>
      </c>
      <c r="AG277" s="9" t="str">
        <f aca="false">IF($AK277=0,"",INDEX('Part types'!$V:$V,$AK277)&amp;"")</f>
        <v>Estimate: size class M2</v>
      </c>
      <c r="AH277" s="9" t="str">
        <f aca="false">IF($AK277=0,"",INDEX('Part types'!$W:$W,$AK277)&amp;"")</f>
        <v/>
      </c>
      <c r="AI277" s="11" t="str">
        <f aca="false">IF($AK277=0,"",INDEX('Part types'!$X:$X,$AK277)&amp;"")</f>
        <v/>
      </c>
      <c r="AJ277" s="9" t="str">
        <f aca="false">IF($AK277=0,"",INDEX('Part types'!$Y:$Y,$AK277)&amp;"")</f>
        <v/>
      </c>
      <c r="AK277" s="9" t="n">
        <f aca="false">IFERROR(MATCH($AD277,'Part types'!$E:$E,0),0)</f>
        <v>242</v>
      </c>
    </row>
    <row r="278" customFormat="false" ht="15" hidden="false" customHeight="false" outlineLevel="0" collapsed="false">
      <c r="A278" s="9" t="s">
        <v>1459</v>
      </c>
      <c r="B278" s="9" t="s">
        <v>1409</v>
      </c>
      <c r="C278" s="9" t="s">
        <v>1455</v>
      </c>
      <c r="D278" s="9" t="str">
        <f aca="false">C278&amp;" - "&amp;E278</f>
        <v>Brake Caliper Bracket - Front-Right</v>
      </c>
      <c r="E278" s="9" t="s">
        <v>1356</v>
      </c>
      <c r="F278" s="9" t="s">
        <v>1411</v>
      </c>
      <c r="G278" s="10" t="n">
        <f aca="false">IF($AK278=0,"",INDEX('Part types'!$P:$P,$AK278))</f>
        <v>30</v>
      </c>
      <c r="H278" s="10" t="n">
        <f aca="false">IF($AK278=0,"",INDEX('Part types'!$Q:$Q,$AK278))</f>
        <v>20</v>
      </c>
      <c r="I278" s="10" t="n">
        <f aca="false">IF($AK278=0,"",INDEX('Part types'!$R:$R,$AK278))</f>
        <v>15</v>
      </c>
      <c r="J278" s="10" t="n">
        <f aca="false">IF($AK278=0,"",INDEX('Part types'!$S:$S,$AK278))</f>
        <v>1.8</v>
      </c>
      <c r="K278" s="11" t="s">
        <v>1412</v>
      </c>
      <c r="L278" s="11" t="s">
        <v>1456</v>
      </c>
      <c r="M278" s="11" t="str">
        <f aca="false">L278&amp;" - "&amp;N278</f>
        <v>حامل كاليبر الفرامل - أمامي يمين</v>
      </c>
      <c r="N278" s="11" t="s">
        <v>1357</v>
      </c>
      <c r="O278" s="11" t="s">
        <v>1414</v>
      </c>
      <c r="P278" s="10" t="n">
        <f aca="false">G278</f>
        <v>30</v>
      </c>
      <c r="Q278" s="10" t="n">
        <f aca="false">H278</f>
        <v>20</v>
      </c>
      <c r="R278" s="10" t="n">
        <f aca="false">I278</f>
        <v>15</v>
      </c>
      <c r="S278" s="10" t="n">
        <f aca="false">J278</f>
        <v>1.8</v>
      </c>
      <c r="T278" s="12" t="s">
        <v>1415</v>
      </c>
      <c r="U278" s="12" t="s">
        <v>1457</v>
      </c>
      <c r="V278" s="9" t="str">
        <f aca="false">U278&amp;" - "&amp;W278</f>
        <v>制动卡钳支架 - 前右</v>
      </c>
      <c r="W278" s="12" t="s">
        <v>1358</v>
      </c>
      <c r="X278" s="12" t="s">
        <v>1417</v>
      </c>
      <c r="Y278" s="10" t="n">
        <f aca="false">G278</f>
        <v>30</v>
      </c>
      <c r="Z278" s="10" t="n">
        <f aca="false">H278</f>
        <v>20</v>
      </c>
      <c r="AA278" s="10" t="n">
        <f aca="false">I278</f>
        <v>15</v>
      </c>
      <c r="AB278" s="10" t="n">
        <f aca="false">J278</f>
        <v>1.8</v>
      </c>
      <c r="AC278" s="9" t="s">
        <v>1418</v>
      </c>
      <c r="AD278" s="9" t="s">
        <v>1458</v>
      </c>
      <c r="AE278" s="9" t="str">
        <f aca="false">IF($AK278=0,"",INDEX('Part types'!$T:$T,$AK278)&amp;"")</f>
        <v>All vehicles</v>
      </c>
      <c r="AF278" s="9" t="str">
        <f aca="false">IF($AK278=0,"",INDEX('Part types'!$U:$U,$AK278)&amp;"")</f>
        <v/>
      </c>
      <c r="AG278" s="9" t="str">
        <f aca="false">IF($AK278=0,"",INDEX('Part types'!$V:$V,$AK278)&amp;"")</f>
        <v>Estimate: size class M2</v>
      </c>
      <c r="AH278" s="9" t="str">
        <f aca="false">IF($AK278=0,"",INDEX('Part types'!$W:$W,$AK278)&amp;"")</f>
        <v/>
      </c>
      <c r="AI278" s="11" t="str">
        <f aca="false">IF($AK278=0,"",INDEX('Part types'!$X:$X,$AK278)&amp;"")</f>
        <v/>
      </c>
      <c r="AJ278" s="9" t="str">
        <f aca="false">IF($AK278=0,"",INDEX('Part types'!$Y:$Y,$AK278)&amp;"")</f>
        <v/>
      </c>
      <c r="AK278" s="9" t="n">
        <f aca="false">IFERROR(MATCH($AD278,'Part types'!$E:$E,0),0)</f>
        <v>242</v>
      </c>
    </row>
    <row r="279" customFormat="false" ht="15" hidden="false" customHeight="false" outlineLevel="0" collapsed="false">
      <c r="A279" s="9" t="s">
        <v>1460</v>
      </c>
      <c r="B279" s="9" t="s">
        <v>1409</v>
      </c>
      <c r="C279" s="9" t="s">
        <v>1455</v>
      </c>
      <c r="D279" s="9" t="str">
        <f aca="false">C279&amp;" - "&amp;E279</f>
        <v>Brake Caliper Bracket - Rear-Left</v>
      </c>
      <c r="E279" s="9" t="s">
        <v>1360</v>
      </c>
      <c r="F279" s="9" t="s">
        <v>1411</v>
      </c>
      <c r="G279" s="10" t="n">
        <f aca="false">IF($AK279=0,"",INDEX('Part types'!$P:$P,$AK279))</f>
        <v>30</v>
      </c>
      <c r="H279" s="10" t="n">
        <f aca="false">IF($AK279=0,"",INDEX('Part types'!$Q:$Q,$AK279))</f>
        <v>20</v>
      </c>
      <c r="I279" s="10" t="n">
        <f aca="false">IF($AK279=0,"",INDEX('Part types'!$R:$R,$AK279))</f>
        <v>15</v>
      </c>
      <c r="J279" s="10" t="n">
        <f aca="false">IF($AK279=0,"",INDEX('Part types'!$S:$S,$AK279))</f>
        <v>1.8</v>
      </c>
      <c r="K279" s="11" t="s">
        <v>1412</v>
      </c>
      <c r="L279" s="11" t="s">
        <v>1456</v>
      </c>
      <c r="M279" s="11" t="str">
        <f aca="false">L279&amp;" - "&amp;N279</f>
        <v>حامل كاليبر الفرامل - خلفي يسار</v>
      </c>
      <c r="N279" s="11" t="s">
        <v>1361</v>
      </c>
      <c r="O279" s="11" t="s">
        <v>1414</v>
      </c>
      <c r="P279" s="10" t="n">
        <f aca="false">G279</f>
        <v>30</v>
      </c>
      <c r="Q279" s="10" t="n">
        <f aca="false">H279</f>
        <v>20</v>
      </c>
      <c r="R279" s="10" t="n">
        <f aca="false">I279</f>
        <v>15</v>
      </c>
      <c r="S279" s="10" t="n">
        <f aca="false">J279</f>
        <v>1.8</v>
      </c>
      <c r="T279" s="12" t="s">
        <v>1415</v>
      </c>
      <c r="U279" s="12" t="s">
        <v>1457</v>
      </c>
      <c r="V279" s="9" t="str">
        <f aca="false">U279&amp;" - "&amp;W279</f>
        <v>制动卡钳支架 - 后左</v>
      </c>
      <c r="W279" s="12" t="s">
        <v>1362</v>
      </c>
      <c r="X279" s="12" t="s">
        <v>1417</v>
      </c>
      <c r="Y279" s="10" t="n">
        <f aca="false">G279</f>
        <v>30</v>
      </c>
      <c r="Z279" s="10" t="n">
        <f aca="false">H279</f>
        <v>20</v>
      </c>
      <c r="AA279" s="10" t="n">
        <f aca="false">I279</f>
        <v>15</v>
      </c>
      <c r="AB279" s="10" t="n">
        <f aca="false">J279</f>
        <v>1.8</v>
      </c>
      <c r="AC279" s="9" t="s">
        <v>1418</v>
      </c>
      <c r="AD279" s="9" t="s">
        <v>1458</v>
      </c>
      <c r="AE279" s="9" t="str">
        <f aca="false">IF($AK279=0,"",INDEX('Part types'!$T:$T,$AK279)&amp;"")</f>
        <v>All vehicles</v>
      </c>
      <c r="AF279" s="9" t="str">
        <f aca="false">IF($AK279=0,"",INDEX('Part types'!$U:$U,$AK279)&amp;"")</f>
        <v/>
      </c>
      <c r="AG279" s="9" t="str">
        <f aca="false">IF($AK279=0,"",INDEX('Part types'!$V:$V,$AK279)&amp;"")</f>
        <v>Estimate: size class M2</v>
      </c>
      <c r="AH279" s="9" t="str">
        <f aca="false">IF($AK279=0,"",INDEX('Part types'!$W:$W,$AK279)&amp;"")</f>
        <v/>
      </c>
      <c r="AI279" s="11" t="str">
        <f aca="false">IF($AK279=0,"",INDEX('Part types'!$X:$X,$AK279)&amp;"")</f>
        <v/>
      </c>
      <c r="AJ279" s="9" t="str">
        <f aca="false">IF($AK279=0,"",INDEX('Part types'!$Y:$Y,$AK279)&amp;"")</f>
        <v/>
      </c>
      <c r="AK279" s="9" t="n">
        <f aca="false">IFERROR(MATCH($AD279,'Part types'!$E:$E,0),0)</f>
        <v>242</v>
      </c>
    </row>
    <row r="280" customFormat="false" ht="15" hidden="false" customHeight="false" outlineLevel="0" collapsed="false">
      <c r="A280" s="9" t="s">
        <v>1461</v>
      </c>
      <c r="B280" s="9" t="s">
        <v>1409</v>
      </c>
      <c r="C280" s="9" t="s">
        <v>1455</v>
      </c>
      <c r="D280" s="9" t="str">
        <f aca="false">C280&amp;" - "&amp;E280</f>
        <v>Brake Caliper Bracket - Rear-Right</v>
      </c>
      <c r="E280" s="9" t="s">
        <v>1364</v>
      </c>
      <c r="F280" s="9" t="s">
        <v>1411</v>
      </c>
      <c r="G280" s="10" t="n">
        <f aca="false">IF($AK280=0,"",INDEX('Part types'!$P:$P,$AK280))</f>
        <v>30</v>
      </c>
      <c r="H280" s="10" t="n">
        <f aca="false">IF($AK280=0,"",INDEX('Part types'!$Q:$Q,$AK280))</f>
        <v>20</v>
      </c>
      <c r="I280" s="10" t="n">
        <f aca="false">IF($AK280=0,"",INDEX('Part types'!$R:$R,$AK280))</f>
        <v>15</v>
      </c>
      <c r="J280" s="10" t="n">
        <f aca="false">IF($AK280=0,"",INDEX('Part types'!$S:$S,$AK280))</f>
        <v>1.8</v>
      </c>
      <c r="K280" s="11" t="s">
        <v>1412</v>
      </c>
      <c r="L280" s="11" t="s">
        <v>1456</v>
      </c>
      <c r="M280" s="11" t="str">
        <f aca="false">L280&amp;" - "&amp;N280</f>
        <v>حامل كاليبر الفرامل - خلفي يمين</v>
      </c>
      <c r="N280" s="11" t="s">
        <v>1365</v>
      </c>
      <c r="O280" s="11" t="s">
        <v>1414</v>
      </c>
      <c r="P280" s="10" t="n">
        <f aca="false">G280</f>
        <v>30</v>
      </c>
      <c r="Q280" s="10" t="n">
        <f aca="false">H280</f>
        <v>20</v>
      </c>
      <c r="R280" s="10" t="n">
        <f aca="false">I280</f>
        <v>15</v>
      </c>
      <c r="S280" s="10" t="n">
        <f aca="false">J280</f>
        <v>1.8</v>
      </c>
      <c r="T280" s="12" t="s">
        <v>1415</v>
      </c>
      <c r="U280" s="12" t="s">
        <v>1457</v>
      </c>
      <c r="V280" s="9" t="str">
        <f aca="false">U280&amp;" - "&amp;W280</f>
        <v>制动卡钳支架 - 后右</v>
      </c>
      <c r="W280" s="12" t="s">
        <v>1366</v>
      </c>
      <c r="X280" s="12" t="s">
        <v>1417</v>
      </c>
      <c r="Y280" s="10" t="n">
        <f aca="false">G280</f>
        <v>30</v>
      </c>
      <c r="Z280" s="10" t="n">
        <f aca="false">H280</f>
        <v>20</v>
      </c>
      <c r="AA280" s="10" t="n">
        <f aca="false">I280</f>
        <v>15</v>
      </c>
      <c r="AB280" s="10" t="n">
        <f aca="false">J280</f>
        <v>1.8</v>
      </c>
      <c r="AC280" s="9" t="s">
        <v>1418</v>
      </c>
      <c r="AD280" s="9" t="s">
        <v>1458</v>
      </c>
      <c r="AE280" s="9" t="str">
        <f aca="false">IF($AK280=0,"",INDEX('Part types'!$T:$T,$AK280)&amp;"")</f>
        <v>All vehicles</v>
      </c>
      <c r="AF280" s="9" t="str">
        <f aca="false">IF($AK280=0,"",INDEX('Part types'!$U:$U,$AK280)&amp;"")</f>
        <v/>
      </c>
      <c r="AG280" s="9" t="str">
        <f aca="false">IF($AK280=0,"",INDEX('Part types'!$V:$V,$AK280)&amp;"")</f>
        <v>Estimate: size class M2</v>
      </c>
      <c r="AH280" s="9" t="str">
        <f aca="false">IF($AK280=0,"",INDEX('Part types'!$W:$W,$AK280)&amp;"")</f>
        <v/>
      </c>
      <c r="AI280" s="11" t="str">
        <f aca="false">IF($AK280=0,"",INDEX('Part types'!$X:$X,$AK280)&amp;"")</f>
        <v/>
      </c>
      <c r="AJ280" s="9" t="str">
        <f aca="false">IF($AK280=0,"",INDEX('Part types'!$Y:$Y,$AK280)&amp;"")</f>
        <v/>
      </c>
      <c r="AK280" s="9" t="n">
        <f aca="false">IFERROR(MATCH($AD280,'Part types'!$E:$E,0),0)</f>
        <v>242</v>
      </c>
    </row>
    <row r="281" customFormat="false" ht="15" hidden="false" customHeight="false" outlineLevel="0" collapsed="false">
      <c r="A281" s="9" t="s">
        <v>1462</v>
      </c>
      <c r="B281" s="9" t="s">
        <v>1409</v>
      </c>
      <c r="C281" s="9" t="s">
        <v>1463</v>
      </c>
      <c r="D281" s="9" t="str">
        <f aca="false">C281&amp;" - "&amp;E281</f>
        <v>Caliper Repair Kit - Front</v>
      </c>
      <c r="E281" s="9" t="s">
        <v>161</v>
      </c>
      <c r="F281" s="9" t="s">
        <v>1411</v>
      </c>
      <c r="G281" s="10" t="n">
        <f aca="false">IF($AK281=0,"",INDEX('Part types'!$P:$P,$AK281))</f>
        <v>15</v>
      </c>
      <c r="H281" s="10" t="n">
        <f aca="false">IF($AK281=0,"",INDEX('Part types'!$Q:$Q,$AK281))</f>
        <v>10</v>
      </c>
      <c r="I281" s="10" t="n">
        <f aca="false">IF($AK281=0,"",INDEX('Part types'!$R:$R,$AK281))</f>
        <v>8</v>
      </c>
      <c r="J281" s="10" t="n">
        <f aca="false">IF($AK281=0,"",INDEX('Part types'!$S:$S,$AK281))</f>
        <v>0.3</v>
      </c>
      <c r="K281" s="11" t="s">
        <v>1412</v>
      </c>
      <c r="L281" s="11" t="s">
        <v>1464</v>
      </c>
      <c r="M281" s="11" t="str">
        <f aca="false">L281&amp;" - "&amp;N281</f>
        <v>طقم إصلاح كاليبر الفرامل - أمامي</v>
      </c>
      <c r="N281" s="11" t="s">
        <v>163</v>
      </c>
      <c r="O281" s="11" t="s">
        <v>1414</v>
      </c>
      <c r="P281" s="10" t="n">
        <f aca="false">G281</f>
        <v>15</v>
      </c>
      <c r="Q281" s="10" t="n">
        <f aca="false">H281</f>
        <v>10</v>
      </c>
      <c r="R281" s="10" t="n">
        <f aca="false">I281</f>
        <v>8</v>
      </c>
      <c r="S281" s="10" t="n">
        <f aca="false">J281</f>
        <v>0.3</v>
      </c>
      <c r="T281" s="12" t="s">
        <v>1415</v>
      </c>
      <c r="U281" s="12" t="s">
        <v>1465</v>
      </c>
      <c r="V281" s="9" t="str">
        <f aca="false">U281&amp;" - "&amp;W281</f>
        <v>制动卡钳修理包 - 前部</v>
      </c>
      <c r="W281" s="12" t="s">
        <v>165</v>
      </c>
      <c r="X281" s="12" t="s">
        <v>1417</v>
      </c>
      <c r="Y281" s="10" t="n">
        <f aca="false">G281</f>
        <v>15</v>
      </c>
      <c r="Z281" s="10" t="n">
        <f aca="false">H281</f>
        <v>10</v>
      </c>
      <c r="AA281" s="10" t="n">
        <f aca="false">I281</f>
        <v>8</v>
      </c>
      <c r="AB281" s="10" t="n">
        <f aca="false">J281</f>
        <v>0.3</v>
      </c>
      <c r="AC281" s="9" t="s">
        <v>1418</v>
      </c>
      <c r="AD281" s="9" t="s">
        <v>1466</v>
      </c>
      <c r="AE281" s="9" t="str">
        <f aca="false">IF($AK281=0,"",INDEX('Part types'!$T:$T,$AK281)&amp;"")</f>
        <v>All vehicles</v>
      </c>
      <c r="AF281" s="9" t="str">
        <f aca="false">IF($AK281=0,"",INDEX('Part types'!$U:$U,$AK281)&amp;"")</f>
        <v/>
      </c>
      <c r="AG281" s="9" t="str">
        <f aca="false">IF($AK281=0,"",INDEX('Part types'!$V:$V,$AK281)&amp;"")</f>
        <v>Estimate: size class S</v>
      </c>
      <c r="AH281" s="9" t="str">
        <f aca="false">IF($AK281=0,"",INDEX('Part types'!$W:$W,$AK281)&amp;"")</f>
        <v>Brake Caliper Repair Kit</v>
      </c>
      <c r="AI281" s="11" t="str">
        <f aca="false">IF($AK281=0,"",INDEX('Part types'!$X:$X,$AK281)&amp;"")</f>
        <v/>
      </c>
      <c r="AJ281" s="9" t="str">
        <f aca="false">IF($AK281=0,"",INDEX('Part types'!$Y:$Y,$AK281)&amp;"")</f>
        <v/>
      </c>
      <c r="AK281" s="9" t="n">
        <f aca="false">IFERROR(MATCH($AD281,'Part types'!$E:$E,0),0)</f>
        <v>243</v>
      </c>
    </row>
    <row r="282" customFormat="false" ht="15" hidden="false" customHeight="false" outlineLevel="0" collapsed="false">
      <c r="A282" s="9" t="s">
        <v>1467</v>
      </c>
      <c r="B282" s="9" t="s">
        <v>1409</v>
      </c>
      <c r="C282" s="9" t="s">
        <v>1463</v>
      </c>
      <c r="D282" s="9" t="str">
        <f aca="false">C282&amp;" - "&amp;E282</f>
        <v>Caliper Repair Kit - Rear</v>
      </c>
      <c r="E282" s="9" t="s">
        <v>168</v>
      </c>
      <c r="F282" s="9" t="s">
        <v>1411</v>
      </c>
      <c r="G282" s="10" t="n">
        <f aca="false">IF($AK282=0,"",INDEX('Part types'!$P:$P,$AK282))</f>
        <v>15</v>
      </c>
      <c r="H282" s="10" t="n">
        <f aca="false">IF($AK282=0,"",INDEX('Part types'!$Q:$Q,$AK282))</f>
        <v>10</v>
      </c>
      <c r="I282" s="10" t="n">
        <f aca="false">IF($AK282=0,"",INDEX('Part types'!$R:$R,$AK282))</f>
        <v>8</v>
      </c>
      <c r="J282" s="10" t="n">
        <f aca="false">IF($AK282=0,"",INDEX('Part types'!$S:$S,$AK282))</f>
        <v>0.3</v>
      </c>
      <c r="K282" s="11" t="s">
        <v>1412</v>
      </c>
      <c r="L282" s="11" t="s">
        <v>1464</v>
      </c>
      <c r="M282" s="11" t="str">
        <f aca="false">L282&amp;" - "&amp;N282</f>
        <v>طقم إصلاح كاليبر الفرامل - خلفي</v>
      </c>
      <c r="N282" s="11" t="s">
        <v>169</v>
      </c>
      <c r="O282" s="11" t="s">
        <v>1414</v>
      </c>
      <c r="P282" s="10" t="n">
        <f aca="false">G282</f>
        <v>15</v>
      </c>
      <c r="Q282" s="10" t="n">
        <f aca="false">H282</f>
        <v>10</v>
      </c>
      <c r="R282" s="10" t="n">
        <f aca="false">I282</f>
        <v>8</v>
      </c>
      <c r="S282" s="10" t="n">
        <f aca="false">J282</f>
        <v>0.3</v>
      </c>
      <c r="T282" s="12" t="s">
        <v>1415</v>
      </c>
      <c r="U282" s="12" t="s">
        <v>1465</v>
      </c>
      <c r="V282" s="9" t="str">
        <f aca="false">U282&amp;" - "&amp;W282</f>
        <v>制动卡钳修理包 - 后部</v>
      </c>
      <c r="W282" s="12" t="s">
        <v>170</v>
      </c>
      <c r="X282" s="12" t="s">
        <v>1417</v>
      </c>
      <c r="Y282" s="10" t="n">
        <f aca="false">G282</f>
        <v>15</v>
      </c>
      <c r="Z282" s="10" t="n">
        <f aca="false">H282</f>
        <v>10</v>
      </c>
      <c r="AA282" s="10" t="n">
        <f aca="false">I282</f>
        <v>8</v>
      </c>
      <c r="AB282" s="10" t="n">
        <f aca="false">J282</f>
        <v>0.3</v>
      </c>
      <c r="AC282" s="9" t="s">
        <v>1418</v>
      </c>
      <c r="AD282" s="9" t="s">
        <v>1466</v>
      </c>
      <c r="AE282" s="9" t="str">
        <f aca="false">IF($AK282=0,"",INDEX('Part types'!$T:$T,$AK282)&amp;"")</f>
        <v>All vehicles</v>
      </c>
      <c r="AF282" s="9" t="str">
        <f aca="false">IF($AK282=0,"",INDEX('Part types'!$U:$U,$AK282)&amp;"")</f>
        <v/>
      </c>
      <c r="AG282" s="9" t="str">
        <f aca="false">IF($AK282=0,"",INDEX('Part types'!$V:$V,$AK282)&amp;"")</f>
        <v>Estimate: size class S</v>
      </c>
      <c r="AH282" s="9" t="str">
        <f aca="false">IF($AK282=0,"",INDEX('Part types'!$W:$W,$AK282)&amp;"")</f>
        <v>Brake Caliper Repair Kit</v>
      </c>
      <c r="AI282" s="11" t="str">
        <f aca="false">IF($AK282=0,"",INDEX('Part types'!$X:$X,$AK282)&amp;"")</f>
        <v/>
      </c>
      <c r="AJ282" s="9" t="str">
        <f aca="false">IF($AK282=0,"",INDEX('Part types'!$Y:$Y,$AK282)&amp;"")</f>
        <v/>
      </c>
      <c r="AK282" s="9" t="n">
        <f aca="false">IFERROR(MATCH($AD282,'Part types'!$E:$E,0),0)</f>
        <v>243</v>
      </c>
    </row>
    <row r="283" customFormat="false" ht="15" hidden="false" customHeight="false" outlineLevel="0" collapsed="false">
      <c r="A283" s="9" t="s">
        <v>1468</v>
      </c>
      <c r="B283" s="9" t="s">
        <v>1409</v>
      </c>
      <c r="C283" s="9" t="s">
        <v>1469</v>
      </c>
      <c r="D283" s="9" t="str">
        <f aca="false">C283&amp;" - "&amp;E283</f>
        <v>Caliper Pin Kit - Front</v>
      </c>
      <c r="E283" s="9" t="s">
        <v>161</v>
      </c>
      <c r="F283" s="9" t="s">
        <v>1411</v>
      </c>
      <c r="G283" s="10" t="n">
        <f aca="false">IF($AK283=0,"",INDEX('Part types'!$P:$P,$AK283))</f>
        <v>15</v>
      </c>
      <c r="H283" s="10" t="n">
        <f aca="false">IF($AK283=0,"",INDEX('Part types'!$Q:$Q,$AK283))</f>
        <v>10</v>
      </c>
      <c r="I283" s="10" t="n">
        <f aca="false">IF($AK283=0,"",INDEX('Part types'!$R:$R,$AK283))</f>
        <v>8</v>
      </c>
      <c r="J283" s="10" t="n">
        <f aca="false">IF($AK283=0,"",INDEX('Part types'!$S:$S,$AK283))</f>
        <v>0.3</v>
      </c>
      <c r="K283" s="11" t="s">
        <v>1412</v>
      </c>
      <c r="L283" s="11" t="s">
        <v>1470</v>
      </c>
      <c r="M283" s="11" t="str">
        <f aca="false">L283&amp;" - "&amp;N283</f>
        <v>طقم مسامير انزلاق الكاليبر - أمامي</v>
      </c>
      <c r="N283" s="11" t="s">
        <v>163</v>
      </c>
      <c r="O283" s="11" t="s">
        <v>1414</v>
      </c>
      <c r="P283" s="10" t="n">
        <f aca="false">G283</f>
        <v>15</v>
      </c>
      <c r="Q283" s="10" t="n">
        <f aca="false">H283</f>
        <v>10</v>
      </c>
      <c r="R283" s="10" t="n">
        <f aca="false">I283</f>
        <v>8</v>
      </c>
      <c r="S283" s="10" t="n">
        <f aca="false">J283</f>
        <v>0.3</v>
      </c>
      <c r="T283" s="12" t="s">
        <v>1415</v>
      </c>
      <c r="U283" s="12" t="s">
        <v>1471</v>
      </c>
      <c r="V283" s="9" t="str">
        <f aca="false">U283&amp;" - "&amp;W283</f>
        <v>制动卡钳导向销套装 - 前部</v>
      </c>
      <c r="W283" s="12" t="s">
        <v>165</v>
      </c>
      <c r="X283" s="12" t="s">
        <v>1417</v>
      </c>
      <c r="Y283" s="10" t="n">
        <f aca="false">G283</f>
        <v>15</v>
      </c>
      <c r="Z283" s="10" t="n">
        <f aca="false">H283</f>
        <v>10</v>
      </c>
      <c r="AA283" s="10" t="n">
        <f aca="false">I283</f>
        <v>8</v>
      </c>
      <c r="AB283" s="10" t="n">
        <f aca="false">J283</f>
        <v>0.3</v>
      </c>
      <c r="AC283" s="9" t="s">
        <v>1418</v>
      </c>
      <c r="AD283" s="9" t="s">
        <v>1472</v>
      </c>
      <c r="AE283" s="9" t="str">
        <f aca="false">IF($AK283=0,"",INDEX('Part types'!$T:$T,$AK283)&amp;"")</f>
        <v>All vehicles</v>
      </c>
      <c r="AF283" s="9" t="str">
        <f aca="false">IF($AK283=0,"",INDEX('Part types'!$U:$U,$AK283)&amp;"")</f>
        <v/>
      </c>
      <c r="AG283" s="9" t="str">
        <f aca="false">IF($AK283=0,"",INDEX('Part types'!$V:$V,$AK283)&amp;"")</f>
        <v>Estimate: size class S</v>
      </c>
      <c r="AH283" s="9" t="str">
        <f aca="false">IF($AK283=0,"",INDEX('Part types'!$W:$W,$AK283)&amp;"")</f>
        <v>Brake Caliper Slide Pin Kit</v>
      </c>
      <c r="AI283" s="11" t="str">
        <f aca="false">IF($AK283=0,"",INDEX('Part types'!$X:$X,$AK283)&amp;"")</f>
        <v/>
      </c>
      <c r="AJ283" s="9" t="str">
        <f aca="false">IF($AK283=0,"",INDEX('Part types'!$Y:$Y,$AK283)&amp;"")</f>
        <v/>
      </c>
      <c r="AK283" s="9" t="n">
        <f aca="false">IFERROR(MATCH($AD283,'Part types'!$E:$E,0),0)</f>
        <v>244</v>
      </c>
    </row>
    <row r="284" customFormat="false" ht="15" hidden="false" customHeight="false" outlineLevel="0" collapsed="false">
      <c r="A284" s="9" t="s">
        <v>1473</v>
      </c>
      <c r="B284" s="9" t="s">
        <v>1409</v>
      </c>
      <c r="C284" s="9" t="s">
        <v>1469</v>
      </c>
      <c r="D284" s="9" t="str">
        <f aca="false">C284&amp;" - "&amp;E284</f>
        <v>Caliper Pin Kit - Rear</v>
      </c>
      <c r="E284" s="9" t="s">
        <v>168</v>
      </c>
      <c r="F284" s="9" t="s">
        <v>1411</v>
      </c>
      <c r="G284" s="10" t="n">
        <f aca="false">IF($AK284=0,"",INDEX('Part types'!$P:$P,$AK284))</f>
        <v>15</v>
      </c>
      <c r="H284" s="10" t="n">
        <f aca="false">IF($AK284=0,"",INDEX('Part types'!$Q:$Q,$AK284))</f>
        <v>10</v>
      </c>
      <c r="I284" s="10" t="n">
        <f aca="false">IF($AK284=0,"",INDEX('Part types'!$R:$R,$AK284))</f>
        <v>8</v>
      </c>
      <c r="J284" s="10" t="n">
        <f aca="false">IF($AK284=0,"",INDEX('Part types'!$S:$S,$AK284))</f>
        <v>0.3</v>
      </c>
      <c r="K284" s="11" t="s">
        <v>1412</v>
      </c>
      <c r="L284" s="11" t="s">
        <v>1470</v>
      </c>
      <c r="M284" s="11" t="str">
        <f aca="false">L284&amp;" - "&amp;N284</f>
        <v>طقم مسامير انزلاق الكاليبر - خلفي</v>
      </c>
      <c r="N284" s="11" t="s">
        <v>169</v>
      </c>
      <c r="O284" s="11" t="s">
        <v>1414</v>
      </c>
      <c r="P284" s="10" t="n">
        <f aca="false">G284</f>
        <v>15</v>
      </c>
      <c r="Q284" s="10" t="n">
        <f aca="false">H284</f>
        <v>10</v>
      </c>
      <c r="R284" s="10" t="n">
        <f aca="false">I284</f>
        <v>8</v>
      </c>
      <c r="S284" s="10" t="n">
        <f aca="false">J284</f>
        <v>0.3</v>
      </c>
      <c r="T284" s="12" t="s">
        <v>1415</v>
      </c>
      <c r="U284" s="12" t="s">
        <v>1471</v>
      </c>
      <c r="V284" s="9" t="str">
        <f aca="false">U284&amp;" - "&amp;W284</f>
        <v>制动卡钳导向销套装 - 后部</v>
      </c>
      <c r="W284" s="12" t="s">
        <v>170</v>
      </c>
      <c r="X284" s="12" t="s">
        <v>1417</v>
      </c>
      <c r="Y284" s="10" t="n">
        <f aca="false">G284</f>
        <v>15</v>
      </c>
      <c r="Z284" s="10" t="n">
        <f aca="false">H284</f>
        <v>10</v>
      </c>
      <c r="AA284" s="10" t="n">
        <f aca="false">I284</f>
        <v>8</v>
      </c>
      <c r="AB284" s="10" t="n">
        <f aca="false">J284</f>
        <v>0.3</v>
      </c>
      <c r="AC284" s="9" t="s">
        <v>1418</v>
      </c>
      <c r="AD284" s="9" t="s">
        <v>1472</v>
      </c>
      <c r="AE284" s="9" t="str">
        <f aca="false">IF($AK284=0,"",INDEX('Part types'!$T:$T,$AK284)&amp;"")</f>
        <v>All vehicles</v>
      </c>
      <c r="AF284" s="9" t="str">
        <f aca="false">IF($AK284=0,"",INDEX('Part types'!$U:$U,$AK284)&amp;"")</f>
        <v/>
      </c>
      <c r="AG284" s="9" t="str">
        <f aca="false">IF($AK284=0,"",INDEX('Part types'!$V:$V,$AK284)&amp;"")</f>
        <v>Estimate: size class S</v>
      </c>
      <c r="AH284" s="9" t="str">
        <f aca="false">IF($AK284=0,"",INDEX('Part types'!$W:$W,$AK284)&amp;"")</f>
        <v>Brake Caliper Slide Pin Kit</v>
      </c>
      <c r="AI284" s="11" t="str">
        <f aca="false">IF($AK284=0,"",INDEX('Part types'!$X:$X,$AK284)&amp;"")</f>
        <v/>
      </c>
      <c r="AJ284" s="9" t="str">
        <f aca="false">IF($AK284=0,"",INDEX('Part types'!$Y:$Y,$AK284)&amp;"")</f>
        <v/>
      </c>
      <c r="AK284" s="9" t="n">
        <f aca="false">IFERROR(MATCH($AD284,'Part types'!$E:$E,0),0)</f>
        <v>244</v>
      </c>
    </row>
    <row r="285" customFormat="false" ht="15" hidden="false" customHeight="false" outlineLevel="0" collapsed="false">
      <c r="A285" s="9" t="s">
        <v>1474</v>
      </c>
      <c r="B285" s="9" t="s">
        <v>1409</v>
      </c>
      <c r="C285" s="9" t="s">
        <v>1475</v>
      </c>
      <c r="D285" s="9" t="str">
        <f aca="false">C285&amp;" - "&amp;E285</f>
        <v>Brake Hardware Kit - Front</v>
      </c>
      <c r="E285" s="9" t="s">
        <v>161</v>
      </c>
      <c r="F285" s="9" t="s">
        <v>1411</v>
      </c>
      <c r="G285" s="10" t="n">
        <f aca="false">IF($AK285=0,"",INDEX('Part types'!$P:$P,$AK285))</f>
        <v>15</v>
      </c>
      <c r="H285" s="10" t="n">
        <f aca="false">IF($AK285=0,"",INDEX('Part types'!$Q:$Q,$AK285))</f>
        <v>10</v>
      </c>
      <c r="I285" s="10" t="n">
        <f aca="false">IF($AK285=0,"",INDEX('Part types'!$R:$R,$AK285))</f>
        <v>8</v>
      </c>
      <c r="J285" s="10" t="n">
        <f aca="false">IF($AK285=0,"",INDEX('Part types'!$S:$S,$AK285))</f>
        <v>0.3</v>
      </c>
      <c r="K285" s="11" t="s">
        <v>1412</v>
      </c>
      <c r="L285" s="11" t="s">
        <v>1476</v>
      </c>
      <c r="M285" s="11" t="str">
        <f aca="false">L285&amp;" - "&amp;N285</f>
        <v>طقم زنبركات ومشابك الفرامل - أمامي</v>
      </c>
      <c r="N285" s="11" t="s">
        <v>163</v>
      </c>
      <c r="O285" s="11" t="s">
        <v>1414</v>
      </c>
      <c r="P285" s="10" t="n">
        <f aca="false">G285</f>
        <v>15</v>
      </c>
      <c r="Q285" s="10" t="n">
        <f aca="false">H285</f>
        <v>10</v>
      </c>
      <c r="R285" s="10" t="n">
        <f aca="false">I285</f>
        <v>8</v>
      </c>
      <c r="S285" s="10" t="n">
        <f aca="false">J285</f>
        <v>0.3</v>
      </c>
      <c r="T285" s="12" t="s">
        <v>1415</v>
      </c>
      <c r="U285" s="12" t="s">
        <v>1477</v>
      </c>
      <c r="V285" s="9" t="str">
        <f aca="false">U285&amp;" - "&amp;W285</f>
        <v>制动片弹簧卡扣套装 - 前部</v>
      </c>
      <c r="W285" s="12" t="s">
        <v>165</v>
      </c>
      <c r="X285" s="12" t="s">
        <v>1417</v>
      </c>
      <c r="Y285" s="10" t="n">
        <f aca="false">G285</f>
        <v>15</v>
      </c>
      <c r="Z285" s="10" t="n">
        <f aca="false">H285</f>
        <v>10</v>
      </c>
      <c r="AA285" s="10" t="n">
        <f aca="false">I285</f>
        <v>8</v>
      </c>
      <c r="AB285" s="10" t="n">
        <f aca="false">J285</f>
        <v>0.3</v>
      </c>
      <c r="AC285" s="9" t="s">
        <v>1418</v>
      </c>
      <c r="AD285" s="9" t="s">
        <v>1478</v>
      </c>
      <c r="AE285" s="9" t="str">
        <f aca="false">IF($AK285=0,"",INDEX('Part types'!$T:$T,$AK285)&amp;"")</f>
        <v>All vehicles</v>
      </c>
      <c r="AF285" s="9" t="str">
        <f aca="false">IF($AK285=0,"",INDEX('Part types'!$U:$U,$AK285)&amp;"")</f>
        <v/>
      </c>
      <c r="AG285" s="9" t="str">
        <f aca="false">IF($AK285=0,"",INDEX('Part types'!$V:$V,$AK285)&amp;"")</f>
        <v>Estimate: size class S</v>
      </c>
      <c r="AH285" s="9" t="str">
        <f aca="false">IF($AK285=0,"",INDEX('Part types'!$W:$W,$AK285)&amp;"")</f>
        <v/>
      </c>
      <c r="AI285" s="11" t="str">
        <f aca="false">IF($AK285=0,"",INDEX('Part types'!$X:$X,$AK285)&amp;"")</f>
        <v/>
      </c>
      <c r="AJ285" s="9" t="str">
        <f aca="false">IF($AK285=0,"",INDEX('Part types'!$Y:$Y,$AK285)&amp;"")</f>
        <v/>
      </c>
      <c r="AK285" s="9" t="n">
        <f aca="false">IFERROR(MATCH($AD285,'Part types'!$E:$E,0),0)</f>
        <v>245</v>
      </c>
    </row>
    <row r="286" customFormat="false" ht="15" hidden="false" customHeight="false" outlineLevel="0" collapsed="false">
      <c r="A286" s="9" t="s">
        <v>1479</v>
      </c>
      <c r="B286" s="9" t="s">
        <v>1409</v>
      </c>
      <c r="C286" s="9" t="s">
        <v>1475</v>
      </c>
      <c r="D286" s="9" t="str">
        <f aca="false">C286&amp;" - "&amp;E286</f>
        <v>Brake Hardware Kit - Rear</v>
      </c>
      <c r="E286" s="9" t="s">
        <v>168</v>
      </c>
      <c r="F286" s="9" t="s">
        <v>1411</v>
      </c>
      <c r="G286" s="10" t="n">
        <f aca="false">IF($AK286=0,"",INDEX('Part types'!$P:$P,$AK286))</f>
        <v>15</v>
      </c>
      <c r="H286" s="10" t="n">
        <f aca="false">IF($AK286=0,"",INDEX('Part types'!$Q:$Q,$AK286))</f>
        <v>10</v>
      </c>
      <c r="I286" s="10" t="n">
        <f aca="false">IF($AK286=0,"",INDEX('Part types'!$R:$R,$AK286))</f>
        <v>8</v>
      </c>
      <c r="J286" s="10" t="n">
        <f aca="false">IF($AK286=0,"",INDEX('Part types'!$S:$S,$AK286))</f>
        <v>0.3</v>
      </c>
      <c r="K286" s="11" t="s">
        <v>1412</v>
      </c>
      <c r="L286" s="11" t="s">
        <v>1476</v>
      </c>
      <c r="M286" s="11" t="str">
        <f aca="false">L286&amp;" - "&amp;N286</f>
        <v>طقم زنبركات ومشابك الفرامل - خلفي</v>
      </c>
      <c r="N286" s="11" t="s">
        <v>169</v>
      </c>
      <c r="O286" s="11" t="s">
        <v>1414</v>
      </c>
      <c r="P286" s="10" t="n">
        <f aca="false">G286</f>
        <v>15</v>
      </c>
      <c r="Q286" s="10" t="n">
        <f aca="false">H286</f>
        <v>10</v>
      </c>
      <c r="R286" s="10" t="n">
        <f aca="false">I286</f>
        <v>8</v>
      </c>
      <c r="S286" s="10" t="n">
        <f aca="false">J286</f>
        <v>0.3</v>
      </c>
      <c r="T286" s="12" t="s">
        <v>1415</v>
      </c>
      <c r="U286" s="12" t="s">
        <v>1477</v>
      </c>
      <c r="V286" s="9" t="str">
        <f aca="false">U286&amp;" - "&amp;W286</f>
        <v>制动片弹簧卡扣套装 - 后部</v>
      </c>
      <c r="W286" s="12" t="s">
        <v>170</v>
      </c>
      <c r="X286" s="12" t="s">
        <v>1417</v>
      </c>
      <c r="Y286" s="10" t="n">
        <f aca="false">G286</f>
        <v>15</v>
      </c>
      <c r="Z286" s="10" t="n">
        <f aca="false">H286</f>
        <v>10</v>
      </c>
      <c r="AA286" s="10" t="n">
        <f aca="false">I286</f>
        <v>8</v>
      </c>
      <c r="AB286" s="10" t="n">
        <f aca="false">J286</f>
        <v>0.3</v>
      </c>
      <c r="AC286" s="9" t="s">
        <v>1418</v>
      </c>
      <c r="AD286" s="9" t="s">
        <v>1478</v>
      </c>
      <c r="AE286" s="9" t="str">
        <f aca="false">IF($AK286=0,"",INDEX('Part types'!$T:$T,$AK286)&amp;"")</f>
        <v>All vehicles</v>
      </c>
      <c r="AF286" s="9" t="str">
        <f aca="false">IF($AK286=0,"",INDEX('Part types'!$U:$U,$AK286)&amp;"")</f>
        <v/>
      </c>
      <c r="AG286" s="9" t="str">
        <f aca="false">IF($AK286=0,"",INDEX('Part types'!$V:$V,$AK286)&amp;"")</f>
        <v>Estimate: size class S</v>
      </c>
      <c r="AH286" s="9" t="str">
        <f aca="false">IF($AK286=0,"",INDEX('Part types'!$W:$W,$AK286)&amp;"")</f>
        <v/>
      </c>
      <c r="AI286" s="11" t="str">
        <f aca="false">IF($AK286=0,"",INDEX('Part types'!$X:$X,$AK286)&amp;"")</f>
        <v/>
      </c>
      <c r="AJ286" s="9" t="str">
        <f aca="false">IF($AK286=0,"",INDEX('Part types'!$Y:$Y,$AK286)&amp;"")</f>
        <v/>
      </c>
      <c r="AK286" s="9" t="n">
        <f aca="false">IFERROR(MATCH($AD286,'Part types'!$E:$E,0),0)</f>
        <v>245</v>
      </c>
    </row>
    <row r="287" customFormat="false" ht="15" hidden="false" customHeight="false" outlineLevel="0" collapsed="false">
      <c r="A287" s="9" t="s">
        <v>1480</v>
      </c>
      <c r="B287" s="9" t="s">
        <v>1409</v>
      </c>
      <c r="C287" s="9" t="s">
        <v>1481</v>
      </c>
      <c r="D287" s="9" t="str">
        <f aca="false">C287&amp;" - "&amp;E287</f>
        <v>Pad Wear Sensor - Front</v>
      </c>
      <c r="E287" s="9" t="s">
        <v>161</v>
      </c>
      <c r="F287" s="9" t="s">
        <v>1411</v>
      </c>
      <c r="G287" s="10" t="n">
        <f aca="false">IF($AK287=0,"",INDEX('Part types'!$P:$P,$AK287))</f>
        <v>10</v>
      </c>
      <c r="H287" s="10" t="n">
        <f aca="false">IF($AK287=0,"",INDEX('Part types'!$Q:$Q,$AK287))</f>
        <v>8</v>
      </c>
      <c r="I287" s="10" t="n">
        <f aca="false">IF($AK287=0,"",INDEX('Part types'!$R:$R,$AK287))</f>
        <v>6</v>
      </c>
      <c r="J287" s="10" t="n">
        <f aca="false">IF($AK287=0,"",INDEX('Part types'!$S:$S,$AK287))</f>
        <v>0.1</v>
      </c>
      <c r="K287" s="11" t="s">
        <v>1412</v>
      </c>
      <c r="L287" s="11" t="s">
        <v>1482</v>
      </c>
      <c r="M287" s="11" t="str">
        <f aca="false">L287&amp;" - "&amp;N287</f>
        <v>حساس تآكل تيل الفرامل - أمامي</v>
      </c>
      <c r="N287" s="11" t="s">
        <v>163</v>
      </c>
      <c r="O287" s="11" t="s">
        <v>1414</v>
      </c>
      <c r="P287" s="10" t="n">
        <f aca="false">G287</f>
        <v>10</v>
      </c>
      <c r="Q287" s="10" t="n">
        <f aca="false">H287</f>
        <v>8</v>
      </c>
      <c r="R287" s="10" t="n">
        <f aca="false">I287</f>
        <v>6</v>
      </c>
      <c r="S287" s="10" t="n">
        <f aca="false">J287</f>
        <v>0.1</v>
      </c>
      <c r="T287" s="12" t="s">
        <v>1415</v>
      </c>
      <c r="U287" s="12" t="s">
        <v>1483</v>
      </c>
      <c r="V287" s="9" t="str">
        <f aca="false">U287&amp;" - "&amp;W287</f>
        <v>刹车片磨损传感器 - 前部</v>
      </c>
      <c r="W287" s="12" t="s">
        <v>165</v>
      </c>
      <c r="X287" s="12" t="s">
        <v>1417</v>
      </c>
      <c r="Y287" s="10" t="n">
        <f aca="false">G287</f>
        <v>10</v>
      </c>
      <c r="Z287" s="10" t="n">
        <f aca="false">H287</f>
        <v>8</v>
      </c>
      <c r="AA287" s="10" t="n">
        <f aca="false">I287</f>
        <v>6</v>
      </c>
      <c r="AB287" s="10" t="n">
        <f aca="false">J287</f>
        <v>0.1</v>
      </c>
      <c r="AC287" s="9" t="s">
        <v>1418</v>
      </c>
      <c r="AD287" s="9" t="s">
        <v>1484</v>
      </c>
      <c r="AE287" s="9" t="str">
        <f aca="false">IF($AK287=0,"",INDEX('Part types'!$T:$T,$AK287)&amp;"")</f>
        <v>All vehicles</v>
      </c>
      <c r="AF287" s="9" t="str">
        <f aca="false">IF($AK287=0,"",INDEX('Part types'!$U:$U,$AK287)&amp;"")</f>
        <v/>
      </c>
      <c r="AG287" s="9" t="str">
        <f aca="false">IF($AK287=0,"",INDEX('Part types'!$V:$V,$AK287)&amp;"")</f>
        <v>Estimate: size class XS</v>
      </c>
      <c r="AH287" s="9" t="str">
        <f aca="false">IF($AK287=0,"",INDEX('Part types'!$W:$W,$AK287)&amp;"")</f>
        <v>Brake Pad Wear Sensor</v>
      </c>
      <c r="AI287" s="11" t="str">
        <f aca="false">IF($AK287=0,"",INDEX('Part types'!$X:$X,$AK287)&amp;"")</f>
        <v/>
      </c>
      <c r="AJ287" s="9" t="str">
        <f aca="false">IF($AK287=0,"",INDEX('Part types'!$Y:$Y,$AK287)&amp;"")</f>
        <v/>
      </c>
      <c r="AK287" s="9" t="n">
        <f aca="false">IFERROR(MATCH($AD287,'Part types'!$E:$E,0),0)</f>
        <v>246</v>
      </c>
    </row>
    <row r="288" customFormat="false" ht="15" hidden="false" customHeight="false" outlineLevel="0" collapsed="false">
      <c r="A288" s="9" t="s">
        <v>1485</v>
      </c>
      <c r="B288" s="9" t="s">
        <v>1409</v>
      </c>
      <c r="C288" s="9" t="s">
        <v>1481</v>
      </c>
      <c r="D288" s="9" t="str">
        <f aca="false">C288&amp;" - "&amp;E288</f>
        <v>Pad Wear Sensor - Rear</v>
      </c>
      <c r="E288" s="9" t="s">
        <v>168</v>
      </c>
      <c r="F288" s="9" t="s">
        <v>1411</v>
      </c>
      <c r="G288" s="10" t="n">
        <f aca="false">IF($AK288=0,"",INDEX('Part types'!$P:$P,$AK288))</f>
        <v>10</v>
      </c>
      <c r="H288" s="10" t="n">
        <f aca="false">IF($AK288=0,"",INDEX('Part types'!$Q:$Q,$AK288))</f>
        <v>8</v>
      </c>
      <c r="I288" s="10" t="n">
        <f aca="false">IF($AK288=0,"",INDEX('Part types'!$R:$R,$AK288))</f>
        <v>6</v>
      </c>
      <c r="J288" s="10" t="n">
        <f aca="false">IF($AK288=0,"",INDEX('Part types'!$S:$S,$AK288))</f>
        <v>0.1</v>
      </c>
      <c r="K288" s="11" t="s">
        <v>1412</v>
      </c>
      <c r="L288" s="11" t="s">
        <v>1482</v>
      </c>
      <c r="M288" s="11" t="str">
        <f aca="false">L288&amp;" - "&amp;N288</f>
        <v>حساس تآكل تيل الفرامل - خلفي</v>
      </c>
      <c r="N288" s="11" t="s">
        <v>169</v>
      </c>
      <c r="O288" s="11" t="s">
        <v>1414</v>
      </c>
      <c r="P288" s="10" t="n">
        <f aca="false">G288</f>
        <v>10</v>
      </c>
      <c r="Q288" s="10" t="n">
        <f aca="false">H288</f>
        <v>8</v>
      </c>
      <c r="R288" s="10" t="n">
        <f aca="false">I288</f>
        <v>6</v>
      </c>
      <c r="S288" s="10" t="n">
        <f aca="false">J288</f>
        <v>0.1</v>
      </c>
      <c r="T288" s="12" t="s">
        <v>1415</v>
      </c>
      <c r="U288" s="12" t="s">
        <v>1483</v>
      </c>
      <c r="V288" s="9" t="str">
        <f aca="false">U288&amp;" - "&amp;W288</f>
        <v>刹车片磨损传感器 - 后部</v>
      </c>
      <c r="W288" s="12" t="s">
        <v>170</v>
      </c>
      <c r="X288" s="12" t="s">
        <v>1417</v>
      </c>
      <c r="Y288" s="10" t="n">
        <f aca="false">G288</f>
        <v>10</v>
      </c>
      <c r="Z288" s="10" t="n">
        <f aca="false">H288</f>
        <v>8</v>
      </c>
      <c r="AA288" s="10" t="n">
        <f aca="false">I288</f>
        <v>6</v>
      </c>
      <c r="AB288" s="10" t="n">
        <f aca="false">J288</f>
        <v>0.1</v>
      </c>
      <c r="AC288" s="9" t="s">
        <v>1418</v>
      </c>
      <c r="AD288" s="9" t="s">
        <v>1484</v>
      </c>
      <c r="AE288" s="9" t="str">
        <f aca="false">IF($AK288=0,"",INDEX('Part types'!$T:$T,$AK288)&amp;"")</f>
        <v>All vehicles</v>
      </c>
      <c r="AF288" s="9" t="str">
        <f aca="false">IF($AK288=0,"",INDEX('Part types'!$U:$U,$AK288)&amp;"")</f>
        <v/>
      </c>
      <c r="AG288" s="9" t="str">
        <f aca="false">IF($AK288=0,"",INDEX('Part types'!$V:$V,$AK288)&amp;"")</f>
        <v>Estimate: size class XS</v>
      </c>
      <c r="AH288" s="9" t="str">
        <f aca="false">IF($AK288=0,"",INDEX('Part types'!$W:$W,$AK288)&amp;"")</f>
        <v>Brake Pad Wear Sensor</v>
      </c>
      <c r="AI288" s="11" t="str">
        <f aca="false">IF($AK288=0,"",INDEX('Part types'!$X:$X,$AK288)&amp;"")</f>
        <v/>
      </c>
      <c r="AJ288" s="9" t="str">
        <f aca="false">IF($AK288=0,"",INDEX('Part types'!$Y:$Y,$AK288)&amp;"")</f>
        <v/>
      </c>
      <c r="AK288" s="9" t="n">
        <f aca="false">IFERROR(MATCH($AD288,'Part types'!$E:$E,0),0)</f>
        <v>246</v>
      </c>
    </row>
    <row r="289" customFormat="false" ht="15" hidden="false" customHeight="false" outlineLevel="0" collapsed="false">
      <c r="A289" s="9" t="s">
        <v>1486</v>
      </c>
      <c r="B289" s="9" t="s">
        <v>1409</v>
      </c>
      <c r="C289" s="9" t="s">
        <v>1487</v>
      </c>
      <c r="D289" s="9" t="str">
        <f aca="false">C289&amp;" - "&amp;E289</f>
        <v>Parking Brake Cable - Left</v>
      </c>
      <c r="E289" s="9" t="s">
        <v>218</v>
      </c>
      <c r="F289" s="9" t="s">
        <v>237</v>
      </c>
      <c r="G289" s="10" t="n">
        <f aca="false">IF($AK289=0,"",INDEX('Part types'!$P:$P,$AK289))</f>
        <v>25</v>
      </c>
      <c r="H289" s="10" t="n">
        <f aca="false">IF($AK289=0,"",INDEX('Part types'!$Q:$Q,$AK289))</f>
        <v>15</v>
      </c>
      <c r="I289" s="10" t="n">
        <f aca="false">IF($AK289=0,"",INDEX('Part types'!$R:$R,$AK289))</f>
        <v>10</v>
      </c>
      <c r="J289" s="10" t="n">
        <f aca="false">IF($AK289=0,"",INDEX('Part types'!$S:$S,$AK289))</f>
        <v>0.9</v>
      </c>
      <c r="K289" s="11" t="s">
        <v>1412</v>
      </c>
      <c r="L289" s="11" t="s">
        <v>1488</v>
      </c>
      <c r="M289" s="11" t="str">
        <f aca="false">L289&amp;" - "&amp;N289</f>
        <v>كابل الفرامل اليدوية - يسار</v>
      </c>
      <c r="N289" s="11" t="s">
        <v>220</v>
      </c>
      <c r="O289" s="11" t="s">
        <v>239</v>
      </c>
      <c r="P289" s="10" t="n">
        <f aca="false">G289</f>
        <v>25</v>
      </c>
      <c r="Q289" s="10" t="n">
        <f aca="false">H289</f>
        <v>15</v>
      </c>
      <c r="R289" s="10" t="n">
        <f aca="false">I289</f>
        <v>10</v>
      </c>
      <c r="S289" s="10" t="n">
        <f aca="false">J289</f>
        <v>0.9</v>
      </c>
      <c r="T289" s="12" t="s">
        <v>1415</v>
      </c>
      <c r="U289" s="12" t="s">
        <v>1489</v>
      </c>
      <c r="V289" s="9" t="str">
        <f aca="false">U289&amp;" - "&amp;W289</f>
        <v>驻车制动拉索 - 左侧</v>
      </c>
      <c r="W289" s="12" t="s">
        <v>222</v>
      </c>
      <c r="X289" s="12" t="s">
        <v>241</v>
      </c>
      <c r="Y289" s="10" t="n">
        <f aca="false">G289</f>
        <v>25</v>
      </c>
      <c r="Z289" s="10" t="n">
        <f aca="false">H289</f>
        <v>15</v>
      </c>
      <c r="AA289" s="10" t="n">
        <f aca="false">I289</f>
        <v>10</v>
      </c>
      <c r="AB289" s="10" t="n">
        <f aca="false">J289</f>
        <v>0.9</v>
      </c>
      <c r="AC289" s="9" t="s">
        <v>1418</v>
      </c>
      <c r="AD289" s="9" t="s">
        <v>1490</v>
      </c>
      <c r="AE289" s="9" t="str">
        <f aca="false">IF($AK289=0,"",INDEX('Part types'!$T:$T,$AK289)&amp;"")</f>
        <v>All vehicles</v>
      </c>
      <c r="AF289" s="9" t="str">
        <f aca="false">IF($AK289=0,"",INDEX('Part types'!$U:$U,$AK289)&amp;"")</f>
        <v/>
      </c>
      <c r="AG289" s="9" t="str">
        <f aca="false">IF($AK289=0,"",INDEX('Part types'!$V:$V,$AK289)&amp;"")</f>
        <v>Estimate: size class M</v>
      </c>
      <c r="AH289" s="9" t="str">
        <f aca="false">IF($AK289=0,"",INDEX('Part types'!$W:$W,$AK289)&amp;"")</f>
        <v/>
      </c>
      <c r="AI289" s="11" t="str">
        <f aca="false">IF($AK289=0,"",INDEX('Part types'!$X:$X,$AK289)&amp;"")</f>
        <v/>
      </c>
      <c r="AJ289" s="9" t="str">
        <f aca="false">IF($AK289=0,"",INDEX('Part types'!$Y:$Y,$AK289)&amp;"")</f>
        <v/>
      </c>
      <c r="AK289" s="9" t="n">
        <f aca="false">IFERROR(MATCH($AD289,'Part types'!$E:$E,0),0)</f>
        <v>247</v>
      </c>
    </row>
    <row r="290" customFormat="false" ht="15" hidden="false" customHeight="false" outlineLevel="0" collapsed="false">
      <c r="A290" s="9" t="s">
        <v>1491</v>
      </c>
      <c r="B290" s="9" t="s">
        <v>1409</v>
      </c>
      <c r="C290" s="9" t="s">
        <v>1487</v>
      </c>
      <c r="D290" s="9" t="str">
        <f aca="false">C290&amp;" - "&amp;E290</f>
        <v>Parking Brake Cable - Right</v>
      </c>
      <c r="E290" s="9" t="s">
        <v>225</v>
      </c>
      <c r="F290" s="9" t="s">
        <v>237</v>
      </c>
      <c r="G290" s="10" t="n">
        <f aca="false">IF($AK290=0,"",INDEX('Part types'!$P:$P,$AK290))</f>
        <v>25</v>
      </c>
      <c r="H290" s="10" t="n">
        <f aca="false">IF($AK290=0,"",INDEX('Part types'!$Q:$Q,$AK290))</f>
        <v>15</v>
      </c>
      <c r="I290" s="10" t="n">
        <f aca="false">IF($AK290=0,"",INDEX('Part types'!$R:$R,$AK290))</f>
        <v>10</v>
      </c>
      <c r="J290" s="10" t="n">
        <f aca="false">IF($AK290=0,"",INDEX('Part types'!$S:$S,$AK290))</f>
        <v>0.9</v>
      </c>
      <c r="K290" s="11" t="s">
        <v>1412</v>
      </c>
      <c r="L290" s="11" t="s">
        <v>1488</v>
      </c>
      <c r="M290" s="11" t="str">
        <f aca="false">L290&amp;" - "&amp;N290</f>
        <v>كابل الفرامل اليدوية - يمين</v>
      </c>
      <c r="N290" s="11" t="s">
        <v>226</v>
      </c>
      <c r="O290" s="11" t="s">
        <v>239</v>
      </c>
      <c r="P290" s="10" t="n">
        <f aca="false">G290</f>
        <v>25</v>
      </c>
      <c r="Q290" s="10" t="n">
        <f aca="false">H290</f>
        <v>15</v>
      </c>
      <c r="R290" s="10" t="n">
        <f aca="false">I290</f>
        <v>10</v>
      </c>
      <c r="S290" s="10" t="n">
        <f aca="false">J290</f>
        <v>0.9</v>
      </c>
      <c r="T290" s="12" t="s">
        <v>1415</v>
      </c>
      <c r="U290" s="12" t="s">
        <v>1489</v>
      </c>
      <c r="V290" s="9" t="str">
        <f aca="false">U290&amp;" - "&amp;W290</f>
        <v>驻车制动拉索 - 右侧</v>
      </c>
      <c r="W290" s="12" t="s">
        <v>227</v>
      </c>
      <c r="X290" s="12" t="s">
        <v>241</v>
      </c>
      <c r="Y290" s="10" t="n">
        <f aca="false">G290</f>
        <v>25</v>
      </c>
      <c r="Z290" s="10" t="n">
        <f aca="false">H290</f>
        <v>15</v>
      </c>
      <c r="AA290" s="10" t="n">
        <f aca="false">I290</f>
        <v>10</v>
      </c>
      <c r="AB290" s="10" t="n">
        <f aca="false">J290</f>
        <v>0.9</v>
      </c>
      <c r="AC290" s="9" t="s">
        <v>1418</v>
      </c>
      <c r="AD290" s="9" t="s">
        <v>1490</v>
      </c>
      <c r="AE290" s="9" t="str">
        <f aca="false">IF($AK290=0,"",INDEX('Part types'!$T:$T,$AK290)&amp;"")</f>
        <v>All vehicles</v>
      </c>
      <c r="AF290" s="9" t="str">
        <f aca="false">IF($AK290=0,"",INDEX('Part types'!$U:$U,$AK290)&amp;"")</f>
        <v/>
      </c>
      <c r="AG290" s="9" t="str">
        <f aca="false">IF($AK290=0,"",INDEX('Part types'!$V:$V,$AK290)&amp;"")</f>
        <v>Estimate: size class M</v>
      </c>
      <c r="AH290" s="9" t="str">
        <f aca="false">IF($AK290=0,"",INDEX('Part types'!$W:$W,$AK290)&amp;"")</f>
        <v/>
      </c>
      <c r="AI290" s="11" t="str">
        <f aca="false">IF($AK290=0,"",INDEX('Part types'!$X:$X,$AK290)&amp;"")</f>
        <v/>
      </c>
      <c r="AJ290" s="9" t="str">
        <f aca="false">IF($AK290=0,"",INDEX('Part types'!$Y:$Y,$AK290)&amp;"")</f>
        <v/>
      </c>
      <c r="AK290" s="9" t="n">
        <f aca="false">IFERROR(MATCH($AD290,'Part types'!$E:$E,0),0)</f>
        <v>247</v>
      </c>
    </row>
    <row r="291" customFormat="false" ht="15" hidden="false" customHeight="false" outlineLevel="0" collapsed="false">
      <c r="A291" s="9" t="s">
        <v>1492</v>
      </c>
      <c r="B291" s="9" t="s">
        <v>1409</v>
      </c>
      <c r="C291" s="9" t="s">
        <v>1493</v>
      </c>
      <c r="D291" s="9" t="str">
        <f aca="false">C291&amp;" - "&amp;E291</f>
        <v>Parking Brake Lever - Universal</v>
      </c>
      <c r="E291" s="9" t="s">
        <v>68</v>
      </c>
      <c r="F291" s="9" t="s">
        <v>1162</v>
      </c>
      <c r="G291" s="10" t="n">
        <f aca="false">IF($AK291=0,"",INDEX('Part types'!$P:$P,$AK291))</f>
        <v>30</v>
      </c>
      <c r="H291" s="10" t="n">
        <f aca="false">IF($AK291=0,"",INDEX('Part types'!$Q:$Q,$AK291))</f>
        <v>20</v>
      </c>
      <c r="I291" s="10" t="n">
        <f aca="false">IF($AK291=0,"",INDEX('Part types'!$R:$R,$AK291))</f>
        <v>15</v>
      </c>
      <c r="J291" s="10" t="n">
        <f aca="false">IF($AK291=0,"",INDEX('Part types'!$S:$S,$AK291))</f>
        <v>1.8</v>
      </c>
      <c r="K291" s="11" t="s">
        <v>1412</v>
      </c>
      <c r="L291" s="11" t="s">
        <v>1494</v>
      </c>
      <c r="M291" s="11" t="str">
        <f aca="false">L291&amp;" - "&amp;N291</f>
        <v>ذراع الفرامل اليدوية - عام</v>
      </c>
      <c r="N291" s="11" t="s">
        <v>72</v>
      </c>
      <c r="O291" s="11" t="s">
        <v>1164</v>
      </c>
      <c r="P291" s="10" t="n">
        <f aca="false">G291</f>
        <v>30</v>
      </c>
      <c r="Q291" s="10" t="n">
        <f aca="false">H291</f>
        <v>20</v>
      </c>
      <c r="R291" s="10" t="n">
        <f aca="false">I291</f>
        <v>15</v>
      </c>
      <c r="S291" s="10" t="n">
        <f aca="false">J291</f>
        <v>1.8</v>
      </c>
      <c r="T291" s="12" t="s">
        <v>1415</v>
      </c>
      <c r="U291" s="12" t="s">
        <v>1495</v>
      </c>
      <c r="V291" s="9" t="str">
        <f aca="false">U291&amp;" - "&amp;W291</f>
        <v>手刹拉杆 - 通用</v>
      </c>
      <c r="W291" s="12" t="s">
        <v>76</v>
      </c>
      <c r="X291" s="12" t="s">
        <v>1166</v>
      </c>
      <c r="Y291" s="10" t="n">
        <f aca="false">G291</f>
        <v>30</v>
      </c>
      <c r="Z291" s="10" t="n">
        <f aca="false">H291</f>
        <v>20</v>
      </c>
      <c r="AA291" s="10" t="n">
        <f aca="false">I291</f>
        <v>15</v>
      </c>
      <c r="AB291" s="10" t="n">
        <f aca="false">J291</f>
        <v>1.8</v>
      </c>
      <c r="AC291" s="9" t="s">
        <v>1418</v>
      </c>
      <c r="AD291" s="9" t="s">
        <v>1496</v>
      </c>
      <c r="AE291" s="9" t="str">
        <f aca="false">IF($AK291=0,"",INDEX('Part types'!$T:$T,$AK291)&amp;"")</f>
        <v>All vehicles</v>
      </c>
      <c r="AF291" s="9" t="str">
        <f aca="false">IF($AK291=0,"",INDEX('Part types'!$U:$U,$AK291)&amp;"")</f>
        <v/>
      </c>
      <c r="AG291" s="9" t="str">
        <f aca="false">IF($AK291=0,"",INDEX('Part types'!$V:$V,$AK291)&amp;"")</f>
        <v>Estimate: size class M2</v>
      </c>
      <c r="AH291" s="9" t="str">
        <f aca="false">IF($AK291=0,"",INDEX('Part types'!$W:$W,$AK291)&amp;"")</f>
        <v/>
      </c>
      <c r="AI291" s="11" t="str">
        <f aca="false">IF($AK291=0,"",INDEX('Part types'!$X:$X,$AK291)&amp;"")</f>
        <v/>
      </c>
      <c r="AJ291" s="9" t="str">
        <f aca="false">IF($AK291=0,"",INDEX('Part types'!$Y:$Y,$AK291)&amp;"")</f>
        <v/>
      </c>
      <c r="AK291" s="9" t="n">
        <f aca="false">IFERROR(MATCH($AD291,'Part types'!$E:$E,0),0)</f>
        <v>248</v>
      </c>
    </row>
    <row r="292" customFormat="false" ht="15" hidden="false" customHeight="false" outlineLevel="0" collapsed="false">
      <c r="A292" s="9" t="s">
        <v>1497</v>
      </c>
      <c r="B292" s="9" t="s">
        <v>1409</v>
      </c>
      <c r="C292" s="9" t="s">
        <v>1498</v>
      </c>
      <c r="D292" s="9" t="str">
        <f aca="false">C292&amp;" - "&amp;E292</f>
        <v>Parking Brake Actuator - Left</v>
      </c>
      <c r="E292" s="9" t="s">
        <v>218</v>
      </c>
      <c r="F292" s="9" t="s">
        <v>1435</v>
      </c>
      <c r="G292" s="10" t="n">
        <f aca="false">IF($AK292=0,"",INDEX('Part types'!$P:$P,$AK292))</f>
        <v>25</v>
      </c>
      <c r="H292" s="10" t="n">
        <f aca="false">IF($AK292=0,"",INDEX('Part types'!$Q:$Q,$AK292))</f>
        <v>15</v>
      </c>
      <c r="I292" s="10" t="n">
        <f aca="false">IF($AK292=0,"",INDEX('Part types'!$R:$R,$AK292))</f>
        <v>10</v>
      </c>
      <c r="J292" s="10" t="n">
        <f aca="false">IF($AK292=0,"",INDEX('Part types'!$S:$S,$AK292))</f>
        <v>0.9</v>
      </c>
      <c r="K292" s="11" t="s">
        <v>1412</v>
      </c>
      <c r="L292" s="11" t="s">
        <v>1499</v>
      </c>
      <c r="M292" s="11" t="str">
        <f aca="false">L292&amp;" - "&amp;N292</f>
        <v>مشغل الفرامل الإلكترونية - يسار</v>
      </c>
      <c r="N292" s="11" t="s">
        <v>220</v>
      </c>
      <c r="O292" s="11" t="s">
        <v>1437</v>
      </c>
      <c r="P292" s="10" t="n">
        <f aca="false">G292</f>
        <v>25</v>
      </c>
      <c r="Q292" s="10" t="n">
        <f aca="false">H292</f>
        <v>15</v>
      </c>
      <c r="R292" s="10" t="n">
        <f aca="false">I292</f>
        <v>10</v>
      </c>
      <c r="S292" s="10" t="n">
        <f aca="false">J292</f>
        <v>0.9</v>
      </c>
      <c r="T292" s="12" t="s">
        <v>1415</v>
      </c>
      <c r="U292" s="12" t="s">
        <v>1500</v>
      </c>
      <c r="V292" s="9" t="str">
        <f aca="false">U292&amp;" - "&amp;W292</f>
        <v>电子驻车制动执行器 - 左侧</v>
      </c>
      <c r="W292" s="12" t="s">
        <v>222</v>
      </c>
      <c r="X292" s="12" t="s">
        <v>1439</v>
      </c>
      <c r="Y292" s="10" t="n">
        <f aca="false">G292</f>
        <v>25</v>
      </c>
      <c r="Z292" s="10" t="n">
        <f aca="false">H292</f>
        <v>15</v>
      </c>
      <c r="AA292" s="10" t="n">
        <f aca="false">I292</f>
        <v>10</v>
      </c>
      <c r="AB292" s="10" t="n">
        <f aca="false">J292</f>
        <v>0.9</v>
      </c>
      <c r="AC292" s="9" t="s">
        <v>1418</v>
      </c>
      <c r="AD292" s="9" t="s">
        <v>1501</v>
      </c>
      <c r="AE292" s="9" t="str">
        <f aca="false">IF($AK292=0,"",INDEX('Part types'!$T:$T,$AK292)&amp;"")</f>
        <v>All vehicles</v>
      </c>
      <c r="AF292" s="9" t="str">
        <f aca="false">IF($AK292=0,"",INDEX('Part types'!$U:$U,$AK292)&amp;"")</f>
        <v/>
      </c>
      <c r="AG292" s="9" t="str">
        <f aca="false">IF($AK292=0,"",INDEX('Part types'!$V:$V,$AK292)&amp;"")</f>
        <v>Estimate: size class M</v>
      </c>
      <c r="AH292" s="9" t="str">
        <f aca="false">IF($AK292=0,"",INDEX('Part types'!$W:$W,$AK292)&amp;"")</f>
        <v>Electronic Parking Brake Actuator</v>
      </c>
      <c r="AI292" s="11" t="str">
        <f aca="false">IF($AK292=0,"",INDEX('Part types'!$X:$X,$AK292)&amp;"")</f>
        <v/>
      </c>
      <c r="AJ292" s="9" t="str">
        <f aca="false">IF($AK292=0,"",INDEX('Part types'!$Y:$Y,$AK292)&amp;"")</f>
        <v/>
      </c>
      <c r="AK292" s="9" t="n">
        <f aca="false">IFERROR(MATCH($AD292,'Part types'!$E:$E,0),0)</f>
        <v>249</v>
      </c>
    </row>
    <row r="293" customFormat="false" ht="15" hidden="false" customHeight="false" outlineLevel="0" collapsed="false">
      <c r="A293" s="9" t="s">
        <v>1502</v>
      </c>
      <c r="B293" s="9" t="s">
        <v>1409</v>
      </c>
      <c r="C293" s="9" t="s">
        <v>1498</v>
      </c>
      <c r="D293" s="9" t="str">
        <f aca="false">C293&amp;" - "&amp;E293</f>
        <v>Parking Brake Actuator - Right</v>
      </c>
      <c r="E293" s="9" t="s">
        <v>225</v>
      </c>
      <c r="F293" s="9" t="s">
        <v>1435</v>
      </c>
      <c r="G293" s="10" t="n">
        <f aca="false">IF($AK293=0,"",INDEX('Part types'!$P:$P,$AK293))</f>
        <v>25</v>
      </c>
      <c r="H293" s="10" t="n">
        <f aca="false">IF($AK293=0,"",INDEX('Part types'!$Q:$Q,$AK293))</f>
        <v>15</v>
      </c>
      <c r="I293" s="10" t="n">
        <f aca="false">IF($AK293=0,"",INDEX('Part types'!$R:$R,$AK293))</f>
        <v>10</v>
      </c>
      <c r="J293" s="10" t="n">
        <f aca="false">IF($AK293=0,"",INDEX('Part types'!$S:$S,$AK293))</f>
        <v>0.9</v>
      </c>
      <c r="K293" s="11" t="s">
        <v>1412</v>
      </c>
      <c r="L293" s="11" t="s">
        <v>1499</v>
      </c>
      <c r="M293" s="11" t="str">
        <f aca="false">L293&amp;" - "&amp;N293</f>
        <v>مشغل الفرامل الإلكترونية - يمين</v>
      </c>
      <c r="N293" s="11" t="s">
        <v>226</v>
      </c>
      <c r="O293" s="11" t="s">
        <v>1437</v>
      </c>
      <c r="P293" s="10" t="n">
        <f aca="false">G293</f>
        <v>25</v>
      </c>
      <c r="Q293" s="10" t="n">
        <f aca="false">H293</f>
        <v>15</v>
      </c>
      <c r="R293" s="10" t="n">
        <f aca="false">I293</f>
        <v>10</v>
      </c>
      <c r="S293" s="10" t="n">
        <f aca="false">J293</f>
        <v>0.9</v>
      </c>
      <c r="T293" s="12" t="s">
        <v>1415</v>
      </c>
      <c r="U293" s="12" t="s">
        <v>1500</v>
      </c>
      <c r="V293" s="9" t="str">
        <f aca="false">U293&amp;" - "&amp;W293</f>
        <v>电子驻车制动执行器 - 右侧</v>
      </c>
      <c r="W293" s="12" t="s">
        <v>227</v>
      </c>
      <c r="X293" s="12" t="s">
        <v>1439</v>
      </c>
      <c r="Y293" s="10" t="n">
        <f aca="false">G293</f>
        <v>25</v>
      </c>
      <c r="Z293" s="10" t="n">
        <f aca="false">H293</f>
        <v>15</v>
      </c>
      <c r="AA293" s="10" t="n">
        <f aca="false">I293</f>
        <v>10</v>
      </c>
      <c r="AB293" s="10" t="n">
        <f aca="false">J293</f>
        <v>0.9</v>
      </c>
      <c r="AC293" s="9" t="s">
        <v>1418</v>
      </c>
      <c r="AD293" s="9" t="s">
        <v>1501</v>
      </c>
      <c r="AE293" s="9" t="str">
        <f aca="false">IF($AK293=0,"",INDEX('Part types'!$T:$T,$AK293)&amp;"")</f>
        <v>All vehicles</v>
      </c>
      <c r="AF293" s="9" t="str">
        <f aca="false">IF($AK293=0,"",INDEX('Part types'!$U:$U,$AK293)&amp;"")</f>
        <v/>
      </c>
      <c r="AG293" s="9" t="str">
        <f aca="false">IF($AK293=0,"",INDEX('Part types'!$V:$V,$AK293)&amp;"")</f>
        <v>Estimate: size class M</v>
      </c>
      <c r="AH293" s="9" t="str">
        <f aca="false">IF($AK293=0,"",INDEX('Part types'!$W:$W,$AK293)&amp;"")</f>
        <v>Electronic Parking Brake Actuator</v>
      </c>
      <c r="AI293" s="11" t="str">
        <f aca="false">IF($AK293=0,"",INDEX('Part types'!$X:$X,$AK293)&amp;"")</f>
        <v/>
      </c>
      <c r="AJ293" s="9" t="str">
        <f aca="false">IF($AK293=0,"",INDEX('Part types'!$Y:$Y,$AK293)&amp;"")</f>
        <v/>
      </c>
      <c r="AK293" s="9" t="n">
        <f aca="false">IFERROR(MATCH($AD293,'Part types'!$E:$E,0),0)</f>
        <v>249</v>
      </c>
    </row>
    <row r="294" customFormat="false" ht="15" hidden="false" customHeight="false" outlineLevel="0" collapsed="false">
      <c r="A294" s="9" t="s">
        <v>1503</v>
      </c>
      <c r="B294" s="9" t="s">
        <v>1409</v>
      </c>
      <c r="C294" s="9" t="s">
        <v>1504</v>
      </c>
      <c r="D294" s="9" t="str">
        <f aca="false">C294&amp;" - "&amp;E294</f>
        <v>Parking Brake Switch - Universal</v>
      </c>
      <c r="E294" s="9" t="s">
        <v>68</v>
      </c>
      <c r="F294" s="9" t="s">
        <v>1162</v>
      </c>
      <c r="G294" s="10" t="n">
        <f aca="false">IF($AK294=0,"",INDEX('Part types'!$P:$P,$AK294))</f>
        <v>10</v>
      </c>
      <c r="H294" s="10" t="n">
        <f aca="false">IF($AK294=0,"",INDEX('Part types'!$Q:$Q,$AK294))</f>
        <v>8</v>
      </c>
      <c r="I294" s="10" t="n">
        <f aca="false">IF($AK294=0,"",INDEX('Part types'!$R:$R,$AK294))</f>
        <v>6</v>
      </c>
      <c r="J294" s="10" t="n">
        <f aca="false">IF($AK294=0,"",INDEX('Part types'!$S:$S,$AK294))</f>
        <v>0.1</v>
      </c>
      <c r="K294" s="11" t="s">
        <v>1412</v>
      </c>
      <c r="L294" s="11" t="s">
        <v>1505</v>
      </c>
      <c r="M294" s="11" t="str">
        <f aca="false">L294&amp;" - "&amp;N294</f>
        <v>مفتاح الفرامل الإلكترونية - عام</v>
      </c>
      <c r="N294" s="11" t="s">
        <v>72</v>
      </c>
      <c r="O294" s="11" t="s">
        <v>1164</v>
      </c>
      <c r="P294" s="10" t="n">
        <f aca="false">G294</f>
        <v>10</v>
      </c>
      <c r="Q294" s="10" t="n">
        <f aca="false">H294</f>
        <v>8</v>
      </c>
      <c r="R294" s="10" t="n">
        <f aca="false">I294</f>
        <v>6</v>
      </c>
      <c r="S294" s="10" t="n">
        <f aca="false">J294</f>
        <v>0.1</v>
      </c>
      <c r="T294" s="12" t="s">
        <v>1415</v>
      </c>
      <c r="U294" s="12" t="s">
        <v>1506</v>
      </c>
      <c r="V294" s="9" t="str">
        <f aca="false">U294&amp;" - "&amp;W294</f>
        <v>电子驻车制动开关 - 通用</v>
      </c>
      <c r="W294" s="12" t="s">
        <v>76</v>
      </c>
      <c r="X294" s="12" t="s">
        <v>1166</v>
      </c>
      <c r="Y294" s="10" t="n">
        <f aca="false">G294</f>
        <v>10</v>
      </c>
      <c r="Z294" s="10" t="n">
        <f aca="false">H294</f>
        <v>8</v>
      </c>
      <c r="AA294" s="10" t="n">
        <f aca="false">I294</f>
        <v>6</v>
      </c>
      <c r="AB294" s="10" t="n">
        <f aca="false">J294</f>
        <v>0.1</v>
      </c>
      <c r="AC294" s="9" t="s">
        <v>1418</v>
      </c>
      <c r="AD294" s="9" t="s">
        <v>1507</v>
      </c>
      <c r="AE294" s="9" t="str">
        <f aca="false">IF($AK294=0,"",INDEX('Part types'!$T:$T,$AK294)&amp;"")</f>
        <v>All vehicles</v>
      </c>
      <c r="AF294" s="9" t="str">
        <f aca="false">IF($AK294=0,"",INDEX('Part types'!$U:$U,$AK294)&amp;"")</f>
        <v/>
      </c>
      <c r="AG294" s="9" t="str">
        <f aca="false">IF($AK294=0,"",INDEX('Part types'!$V:$V,$AK294)&amp;"")</f>
        <v>Estimate: size class XS</v>
      </c>
      <c r="AH294" s="9" t="str">
        <f aca="false">IF($AK294=0,"",INDEX('Part types'!$W:$W,$AK294)&amp;"")</f>
        <v>Electronic Parking Brake Switch</v>
      </c>
      <c r="AI294" s="11" t="str">
        <f aca="false">IF($AK294=0,"",INDEX('Part types'!$X:$X,$AK294)&amp;"")</f>
        <v/>
      </c>
      <c r="AJ294" s="9" t="str">
        <f aca="false">IF($AK294=0,"",INDEX('Part types'!$Y:$Y,$AK294)&amp;"")</f>
        <v/>
      </c>
      <c r="AK294" s="9" t="n">
        <f aca="false">IFERROR(MATCH($AD294,'Part types'!$E:$E,0),0)</f>
        <v>250</v>
      </c>
    </row>
    <row r="295" customFormat="false" ht="15" hidden="false" customHeight="false" outlineLevel="0" collapsed="false">
      <c r="A295" s="9" t="s">
        <v>1508</v>
      </c>
      <c r="B295" s="9" t="s">
        <v>1409</v>
      </c>
      <c r="C295" s="9" t="s">
        <v>1509</v>
      </c>
      <c r="D295" s="9" t="str">
        <f aca="false">C295&amp;" - "&amp;E295</f>
        <v>Brake Backing Plate - Front-Left</v>
      </c>
      <c r="E295" s="9" t="s">
        <v>1346</v>
      </c>
      <c r="F295" s="9" t="s">
        <v>1510</v>
      </c>
      <c r="G295" s="10" t="n">
        <f aca="false">IF($AK295=0,"",INDEX('Part types'!$P:$P,$AK295))</f>
        <v>30</v>
      </c>
      <c r="H295" s="10" t="n">
        <f aca="false">IF($AK295=0,"",INDEX('Part types'!$Q:$Q,$AK295))</f>
        <v>20</v>
      </c>
      <c r="I295" s="10" t="n">
        <f aca="false">IF($AK295=0,"",INDEX('Part types'!$R:$R,$AK295))</f>
        <v>15</v>
      </c>
      <c r="J295" s="10" t="n">
        <f aca="false">IF($AK295=0,"",INDEX('Part types'!$S:$S,$AK295))</f>
        <v>1.8</v>
      </c>
      <c r="K295" s="11" t="s">
        <v>1412</v>
      </c>
      <c r="L295" s="11" t="s">
        <v>1511</v>
      </c>
      <c r="M295" s="11" t="str">
        <f aca="false">L295&amp;" - "&amp;N295</f>
        <v>لوحة خلفية للفرامل - أمامي يسار</v>
      </c>
      <c r="N295" s="11" t="s">
        <v>1349</v>
      </c>
      <c r="O295" s="11" t="s">
        <v>1512</v>
      </c>
      <c r="P295" s="10" t="n">
        <f aca="false">G295</f>
        <v>30</v>
      </c>
      <c r="Q295" s="10" t="n">
        <f aca="false">H295</f>
        <v>20</v>
      </c>
      <c r="R295" s="10" t="n">
        <f aca="false">I295</f>
        <v>15</v>
      </c>
      <c r="S295" s="10" t="n">
        <f aca="false">J295</f>
        <v>1.8</v>
      </c>
      <c r="T295" s="12" t="s">
        <v>1415</v>
      </c>
      <c r="U295" s="12" t="s">
        <v>1513</v>
      </c>
      <c r="V295" s="9" t="str">
        <f aca="false">U295&amp;" - "&amp;W295</f>
        <v>制动底板 - 前左</v>
      </c>
      <c r="W295" s="12" t="s">
        <v>1352</v>
      </c>
      <c r="X295" s="12" t="s">
        <v>1514</v>
      </c>
      <c r="Y295" s="10" t="n">
        <f aca="false">G295</f>
        <v>30</v>
      </c>
      <c r="Z295" s="10" t="n">
        <f aca="false">H295</f>
        <v>20</v>
      </c>
      <c r="AA295" s="10" t="n">
        <f aca="false">I295</f>
        <v>15</v>
      </c>
      <c r="AB295" s="10" t="n">
        <f aca="false">J295</f>
        <v>1.8</v>
      </c>
      <c r="AC295" s="9" t="s">
        <v>1418</v>
      </c>
      <c r="AD295" s="9" t="s">
        <v>1515</v>
      </c>
      <c r="AE295" s="9" t="str">
        <f aca="false">IF($AK295=0,"",INDEX('Part types'!$T:$T,$AK295)&amp;"")</f>
        <v>All vehicles</v>
      </c>
      <c r="AF295" s="9" t="str">
        <f aca="false">IF($AK295=0,"",INDEX('Part types'!$U:$U,$AK295)&amp;"")</f>
        <v/>
      </c>
      <c r="AG295" s="9" t="str">
        <f aca="false">IF($AK295=0,"",INDEX('Part types'!$V:$V,$AK295)&amp;"")</f>
        <v>Estimate: size class M2</v>
      </c>
      <c r="AH295" s="9" t="str">
        <f aca="false">IF($AK295=0,"",INDEX('Part types'!$W:$W,$AK295)&amp;"")</f>
        <v/>
      </c>
      <c r="AI295" s="11" t="str">
        <f aca="false">IF($AK295=0,"",INDEX('Part types'!$X:$X,$AK295)&amp;"")</f>
        <v/>
      </c>
      <c r="AJ295" s="9" t="str">
        <f aca="false">IF($AK295=0,"",INDEX('Part types'!$Y:$Y,$AK295)&amp;"")</f>
        <v/>
      </c>
      <c r="AK295" s="9" t="n">
        <f aca="false">IFERROR(MATCH($AD295,'Part types'!$E:$E,0),0)</f>
        <v>251</v>
      </c>
    </row>
    <row r="296" customFormat="false" ht="15" hidden="false" customHeight="false" outlineLevel="0" collapsed="false">
      <c r="A296" s="9" t="s">
        <v>1516</v>
      </c>
      <c r="B296" s="9" t="s">
        <v>1409</v>
      </c>
      <c r="C296" s="9" t="s">
        <v>1509</v>
      </c>
      <c r="D296" s="9" t="str">
        <f aca="false">C296&amp;" - "&amp;E296</f>
        <v>Brake Backing Plate - Front-Right</v>
      </c>
      <c r="E296" s="9" t="s">
        <v>1356</v>
      </c>
      <c r="F296" s="9" t="s">
        <v>1510</v>
      </c>
      <c r="G296" s="10" t="n">
        <f aca="false">IF($AK296=0,"",INDEX('Part types'!$P:$P,$AK296))</f>
        <v>30</v>
      </c>
      <c r="H296" s="10" t="n">
        <f aca="false">IF($AK296=0,"",INDEX('Part types'!$Q:$Q,$AK296))</f>
        <v>20</v>
      </c>
      <c r="I296" s="10" t="n">
        <f aca="false">IF($AK296=0,"",INDEX('Part types'!$R:$R,$AK296))</f>
        <v>15</v>
      </c>
      <c r="J296" s="10" t="n">
        <f aca="false">IF($AK296=0,"",INDEX('Part types'!$S:$S,$AK296))</f>
        <v>1.8</v>
      </c>
      <c r="K296" s="11" t="s">
        <v>1412</v>
      </c>
      <c r="L296" s="11" t="s">
        <v>1511</v>
      </c>
      <c r="M296" s="11" t="str">
        <f aca="false">L296&amp;" - "&amp;N296</f>
        <v>لوحة خلفية للفرامل - أمامي يمين</v>
      </c>
      <c r="N296" s="11" t="s">
        <v>1357</v>
      </c>
      <c r="O296" s="11" t="s">
        <v>1512</v>
      </c>
      <c r="P296" s="10" t="n">
        <f aca="false">G296</f>
        <v>30</v>
      </c>
      <c r="Q296" s="10" t="n">
        <f aca="false">H296</f>
        <v>20</v>
      </c>
      <c r="R296" s="10" t="n">
        <f aca="false">I296</f>
        <v>15</v>
      </c>
      <c r="S296" s="10" t="n">
        <f aca="false">J296</f>
        <v>1.8</v>
      </c>
      <c r="T296" s="12" t="s">
        <v>1415</v>
      </c>
      <c r="U296" s="12" t="s">
        <v>1513</v>
      </c>
      <c r="V296" s="9" t="str">
        <f aca="false">U296&amp;" - "&amp;W296</f>
        <v>制动底板 - 前右</v>
      </c>
      <c r="W296" s="12" t="s">
        <v>1358</v>
      </c>
      <c r="X296" s="12" t="s">
        <v>1514</v>
      </c>
      <c r="Y296" s="10" t="n">
        <f aca="false">G296</f>
        <v>30</v>
      </c>
      <c r="Z296" s="10" t="n">
        <f aca="false">H296</f>
        <v>20</v>
      </c>
      <c r="AA296" s="10" t="n">
        <f aca="false">I296</f>
        <v>15</v>
      </c>
      <c r="AB296" s="10" t="n">
        <f aca="false">J296</f>
        <v>1.8</v>
      </c>
      <c r="AC296" s="9" t="s">
        <v>1418</v>
      </c>
      <c r="AD296" s="9" t="s">
        <v>1515</v>
      </c>
      <c r="AE296" s="9" t="str">
        <f aca="false">IF($AK296=0,"",INDEX('Part types'!$T:$T,$AK296)&amp;"")</f>
        <v>All vehicles</v>
      </c>
      <c r="AF296" s="9" t="str">
        <f aca="false">IF($AK296=0,"",INDEX('Part types'!$U:$U,$AK296)&amp;"")</f>
        <v/>
      </c>
      <c r="AG296" s="9" t="str">
        <f aca="false">IF($AK296=0,"",INDEX('Part types'!$V:$V,$AK296)&amp;"")</f>
        <v>Estimate: size class M2</v>
      </c>
      <c r="AH296" s="9" t="str">
        <f aca="false">IF($AK296=0,"",INDEX('Part types'!$W:$W,$AK296)&amp;"")</f>
        <v/>
      </c>
      <c r="AI296" s="11" t="str">
        <f aca="false">IF($AK296=0,"",INDEX('Part types'!$X:$X,$AK296)&amp;"")</f>
        <v/>
      </c>
      <c r="AJ296" s="9" t="str">
        <f aca="false">IF($AK296=0,"",INDEX('Part types'!$Y:$Y,$AK296)&amp;"")</f>
        <v/>
      </c>
      <c r="AK296" s="9" t="n">
        <f aca="false">IFERROR(MATCH($AD296,'Part types'!$E:$E,0),0)</f>
        <v>251</v>
      </c>
    </row>
    <row r="297" customFormat="false" ht="15" hidden="false" customHeight="false" outlineLevel="0" collapsed="false">
      <c r="A297" s="9" t="s">
        <v>1517</v>
      </c>
      <c r="B297" s="9" t="s">
        <v>1409</v>
      </c>
      <c r="C297" s="9" t="s">
        <v>1509</v>
      </c>
      <c r="D297" s="9" t="str">
        <f aca="false">C297&amp;" - "&amp;E297</f>
        <v>Brake Backing Plate - Rear-Left</v>
      </c>
      <c r="E297" s="9" t="s">
        <v>1360</v>
      </c>
      <c r="F297" s="9" t="s">
        <v>1510</v>
      </c>
      <c r="G297" s="10" t="n">
        <f aca="false">IF($AK297=0,"",INDEX('Part types'!$P:$P,$AK297))</f>
        <v>30</v>
      </c>
      <c r="H297" s="10" t="n">
        <f aca="false">IF($AK297=0,"",INDEX('Part types'!$Q:$Q,$AK297))</f>
        <v>20</v>
      </c>
      <c r="I297" s="10" t="n">
        <f aca="false">IF($AK297=0,"",INDEX('Part types'!$R:$R,$AK297))</f>
        <v>15</v>
      </c>
      <c r="J297" s="10" t="n">
        <f aca="false">IF($AK297=0,"",INDEX('Part types'!$S:$S,$AK297))</f>
        <v>1.8</v>
      </c>
      <c r="K297" s="11" t="s">
        <v>1412</v>
      </c>
      <c r="L297" s="11" t="s">
        <v>1511</v>
      </c>
      <c r="M297" s="11" t="str">
        <f aca="false">L297&amp;" - "&amp;N297</f>
        <v>لوحة خلفية للفرامل - خلفي يسار</v>
      </c>
      <c r="N297" s="11" t="s">
        <v>1361</v>
      </c>
      <c r="O297" s="11" t="s">
        <v>1512</v>
      </c>
      <c r="P297" s="10" t="n">
        <f aca="false">G297</f>
        <v>30</v>
      </c>
      <c r="Q297" s="10" t="n">
        <f aca="false">H297</f>
        <v>20</v>
      </c>
      <c r="R297" s="10" t="n">
        <f aca="false">I297</f>
        <v>15</v>
      </c>
      <c r="S297" s="10" t="n">
        <f aca="false">J297</f>
        <v>1.8</v>
      </c>
      <c r="T297" s="12" t="s">
        <v>1415</v>
      </c>
      <c r="U297" s="12" t="s">
        <v>1513</v>
      </c>
      <c r="V297" s="9" t="str">
        <f aca="false">U297&amp;" - "&amp;W297</f>
        <v>制动底板 - 后左</v>
      </c>
      <c r="W297" s="12" t="s">
        <v>1362</v>
      </c>
      <c r="X297" s="12" t="s">
        <v>1514</v>
      </c>
      <c r="Y297" s="10" t="n">
        <f aca="false">G297</f>
        <v>30</v>
      </c>
      <c r="Z297" s="10" t="n">
        <f aca="false">H297</f>
        <v>20</v>
      </c>
      <c r="AA297" s="10" t="n">
        <f aca="false">I297</f>
        <v>15</v>
      </c>
      <c r="AB297" s="10" t="n">
        <f aca="false">J297</f>
        <v>1.8</v>
      </c>
      <c r="AC297" s="9" t="s">
        <v>1418</v>
      </c>
      <c r="AD297" s="9" t="s">
        <v>1515</v>
      </c>
      <c r="AE297" s="9" t="str">
        <f aca="false">IF($AK297=0,"",INDEX('Part types'!$T:$T,$AK297)&amp;"")</f>
        <v>All vehicles</v>
      </c>
      <c r="AF297" s="9" t="str">
        <f aca="false">IF($AK297=0,"",INDEX('Part types'!$U:$U,$AK297)&amp;"")</f>
        <v/>
      </c>
      <c r="AG297" s="9" t="str">
        <f aca="false">IF($AK297=0,"",INDEX('Part types'!$V:$V,$AK297)&amp;"")</f>
        <v>Estimate: size class M2</v>
      </c>
      <c r="AH297" s="9" t="str">
        <f aca="false">IF($AK297=0,"",INDEX('Part types'!$W:$W,$AK297)&amp;"")</f>
        <v/>
      </c>
      <c r="AI297" s="11" t="str">
        <f aca="false">IF($AK297=0,"",INDEX('Part types'!$X:$X,$AK297)&amp;"")</f>
        <v/>
      </c>
      <c r="AJ297" s="9" t="str">
        <f aca="false">IF($AK297=0,"",INDEX('Part types'!$Y:$Y,$AK297)&amp;"")</f>
        <v/>
      </c>
      <c r="AK297" s="9" t="n">
        <f aca="false">IFERROR(MATCH($AD297,'Part types'!$E:$E,0),0)</f>
        <v>251</v>
      </c>
    </row>
    <row r="298" customFormat="false" ht="15" hidden="false" customHeight="false" outlineLevel="0" collapsed="false">
      <c r="A298" s="9" t="s">
        <v>1518</v>
      </c>
      <c r="B298" s="9" t="s">
        <v>1409</v>
      </c>
      <c r="C298" s="9" t="s">
        <v>1509</v>
      </c>
      <c r="D298" s="9" t="str">
        <f aca="false">C298&amp;" - "&amp;E298</f>
        <v>Brake Backing Plate - Rear-Right</v>
      </c>
      <c r="E298" s="9" t="s">
        <v>1364</v>
      </c>
      <c r="F298" s="9" t="s">
        <v>1510</v>
      </c>
      <c r="G298" s="10" t="n">
        <f aca="false">IF($AK298=0,"",INDEX('Part types'!$P:$P,$AK298))</f>
        <v>30</v>
      </c>
      <c r="H298" s="10" t="n">
        <f aca="false">IF($AK298=0,"",INDEX('Part types'!$Q:$Q,$AK298))</f>
        <v>20</v>
      </c>
      <c r="I298" s="10" t="n">
        <f aca="false">IF($AK298=0,"",INDEX('Part types'!$R:$R,$AK298))</f>
        <v>15</v>
      </c>
      <c r="J298" s="10" t="n">
        <f aca="false">IF($AK298=0,"",INDEX('Part types'!$S:$S,$AK298))</f>
        <v>1.8</v>
      </c>
      <c r="K298" s="11" t="s">
        <v>1412</v>
      </c>
      <c r="L298" s="11" t="s">
        <v>1511</v>
      </c>
      <c r="M298" s="11" t="str">
        <f aca="false">L298&amp;" - "&amp;N298</f>
        <v>لوحة خلفية للفرامل - خلفي يمين</v>
      </c>
      <c r="N298" s="11" t="s">
        <v>1365</v>
      </c>
      <c r="O298" s="11" t="s">
        <v>1512</v>
      </c>
      <c r="P298" s="10" t="n">
        <f aca="false">G298</f>
        <v>30</v>
      </c>
      <c r="Q298" s="10" t="n">
        <f aca="false">H298</f>
        <v>20</v>
      </c>
      <c r="R298" s="10" t="n">
        <f aca="false">I298</f>
        <v>15</v>
      </c>
      <c r="S298" s="10" t="n">
        <f aca="false">J298</f>
        <v>1.8</v>
      </c>
      <c r="T298" s="12" t="s">
        <v>1415</v>
      </c>
      <c r="U298" s="12" t="s">
        <v>1513</v>
      </c>
      <c r="V298" s="9" t="str">
        <f aca="false">U298&amp;" - "&amp;W298</f>
        <v>制动底板 - 后右</v>
      </c>
      <c r="W298" s="12" t="s">
        <v>1366</v>
      </c>
      <c r="X298" s="12" t="s">
        <v>1514</v>
      </c>
      <c r="Y298" s="10" t="n">
        <f aca="false">G298</f>
        <v>30</v>
      </c>
      <c r="Z298" s="10" t="n">
        <f aca="false">H298</f>
        <v>20</v>
      </c>
      <c r="AA298" s="10" t="n">
        <f aca="false">I298</f>
        <v>15</v>
      </c>
      <c r="AB298" s="10" t="n">
        <f aca="false">J298</f>
        <v>1.8</v>
      </c>
      <c r="AC298" s="9" t="s">
        <v>1418</v>
      </c>
      <c r="AD298" s="9" t="s">
        <v>1515</v>
      </c>
      <c r="AE298" s="9" t="str">
        <f aca="false">IF($AK298=0,"",INDEX('Part types'!$T:$T,$AK298)&amp;"")</f>
        <v>All vehicles</v>
      </c>
      <c r="AF298" s="9" t="str">
        <f aca="false">IF($AK298=0,"",INDEX('Part types'!$U:$U,$AK298)&amp;"")</f>
        <v/>
      </c>
      <c r="AG298" s="9" t="str">
        <f aca="false">IF($AK298=0,"",INDEX('Part types'!$V:$V,$AK298)&amp;"")</f>
        <v>Estimate: size class M2</v>
      </c>
      <c r="AH298" s="9" t="str">
        <f aca="false">IF($AK298=0,"",INDEX('Part types'!$W:$W,$AK298)&amp;"")</f>
        <v/>
      </c>
      <c r="AI298" s="11" t="str">
        <f aca="false">IF($AK298=0,"",INDEX('Part types'!$X:$X,$AK298)&amp;"")</f>
        <v/>
      </c>
      <c r="AJ298" s="9" t="str">
        <f aca="false">IF($AK298=0,"",INDEX('Part types'!$Y:$Y,$AK298)&amp;"")</f>
        <v/>
      </c>
      <c r="AK298" s="9" t="n">
        <f aca="false">IFERROR(MATCH($AD298,'Part types'!$E:$E,0),0)</f>
        <v>251</v>
      </c>
    </row>
    <row r="299" customFormat="false" ht="15" hidden="false" customHeight="false" outlineLevel="0" collapsed="false">
      <c r="A299" s="9" t="s">
        <v>1519</v>
      </c>
      <c r="B299" s="9" t="s">
        <v>1409</v>
      </c>
      <c r="C299" s="9" t="s">
        <v>1520</v>
      </c>
      <c r="D299" s="9" t="str">
        <f aca="false">C299&amp;" - "&amp;E299</f>
        <v>Brake Dust Shield - Front-Left</v>
      </c>
      <c r="E299" s="9" t="s">
        <v>1346</v>
      </c>
      <c r="F299" s="9" t="s">
        <v>1510</v>
      </c>
      <c r="G299" s="10" t="n">
        <f aca="false">IF($AK299=0,"",INDEX('Part types'!$P:$P,$AK299))</f>
        <v>25</v>
      </c>
      <c r="H299" s="10" t="n">
        <f aca="false">IF($AK299=0,"",INDEX('Part types'!$Q:$Q,$AK299))</f>
        <v>15</v>
      </c>
      <c r="I299" s="10" t="n">
        <f aca="false">IF($AK299=0,"",INDEX('Part types'!$R:$R,$AK299))</f>
        <v>10</v>
      </c>
      <c r="J299" s="10" t="n">
        <f aca="false">IF($AK299=0,"",INDEX('Part types'!$S:$S,$AK299))</f>
        <v>0.9</v>
      </c>
      <c r="K299" s="11" t="s">
        <v>1412</v>
      </c>
      <c r="L299" s="11" t="s">
        <v>1521</v>
      </c>
      <c r="M299" s="11" t="str">
        <f aca="false">L299&amp;" - "&amp;N299</f>
        <v>درع غبار الفرامل - أمامي يسار</v>
      </c>
      <c r="N299" s="11" t="s">
        <v>1349</v>
      </c>
      <c r="O299" s="11" t="s">
        <v>1512</v>
      </c>
      <c r="P299" s="10" t="n">
        <f aca="false">G299</f>
        <v>25</v>
      </c>
      <c r="Q299" s="10" t="n">
        <f aca="false">H299</f>
        <v>15</v>
      </c>
      <c r="R299" s="10" t="n">
        <f aca="false">I299</f>
        <v>10</v>
      </c>
      <c r="S299" s="10" t="n">
        <f aca="false">J299</f>
        <v>0.9</v>
      </c>
      <c r="T299" s="12" t="s">
        <v>1415</v>
      </c>
      <c r="U299" s="12" t="s">
        <v>1522</v>
      </c>
      <c r="V299" s="9" t="str">
        <f aca="false">U299&amp;" - "&amp;W299</f>
        <v>制动盘防尘罩 - 前左</v>
      </c>
      <c r="W299" s="12" t="s">
        <v>1352</v>
      </c>
      <c r="X299" s="12" t="s">
        <v>1514</v>
      </c>
      <c r="Y299" s="10" t="n">
        <f aca="false">G299</f>
        <v>25</v>
      </c>
      <c r="Z299" s="10" t="n">
        <f aca="false">H299</f>
        <v>15</v>
      </c>
      <c r="AA299" s="10" t="n">
        <f aca="false">I299</f>
        <v>10</v>
      </c>
      <c r="AB299" s="10" t="n">
        <f aca="false">J299</f>
        <v>0.9</v>
      </c>
      <c r="AC299" s="9" t="s">
        <v>1418</v>
      </c>
      <c r="AD299" s="9" t="s">
        <v>1523</v>
      </c>
      <c r="AE299" s="9" t="str">
        <f aca="false">IF($AK299=0,"",INDEX('Part types'!$T:$T,$AK299)&amp;"")</f>
        <v>All vehicles</v>
      </c>
      <c r="AF299" s="9" t="str">
        <f aca="false">IF($AK299=0,"",INDEX('Part types'!$U:$U,$AK299)&amp;"")</f>
        <v/>
      </c>
      <c r="AG299" s="9" t="str">
        <f aca="false">IF($AK299=0,"",INDEX('Part types'!$V:$V,$AK299)&amp;"")</f>
        <v>Estimate: size class M</v>
      </c>
      <c r="AH299" s="9" t="str">
        <f aca="false">IF($AK299=0,"",INDEX('Part types'!$W:$W,$AK299)&amp;"")</f>
        <v/>
      </c>
      <c r="AI299" s="11" t="str">
        <f aca="false">IF($AK299=0,"",INDEX('Part types'!$X:$X,$AK299)&amp;"")</f>
        <v/>
      </c>
      <c r="AJ299" s="9" t="str">
        <f aca="false">IF($AK299=0,"",INDEX('Part types'!$Y:$Y,$AK299)&amp;"")</f>
        <v/>
      </c>
      <c r="AK299" s="9" t="n">
        <f aca="false">IFERROR(MATCH($AD299,'Part types'!$E:$E,0),0)</f>
        <v>252</v>
      </c>
    </row>
    <row r="300" customFormat="false" ht="15" hidden="false" customHeight="false" outlineLevel="0" collapsed="false">
      <c r="A300" s="9" t="s">
        <v>1524</v>
      </c>
      <c r="B300" s="9" t="s">
        <v>1409</v>
      </c>
      <c r="C300" s="9" t="s">
        <v>1520</v>
      </c>
      <c r="D300" s="9" t="str">
        <f aca="false">C300&amp;" - "&amp;E300</f>
        <v>Brake Dust Shield - Front-Right</v>
      </c>
      <c r="E300" s="9" t="s">
        <v>1356</v>
      </c>
      <c r="F300" s="9" t="s">
        <v>1510</v>
      </c>
      <c r="G300" s="10" t="n">
        <f aca="false">IF($AK300=0,"",INDEX('Part types'!$P:$P,$AK300))</f>
        <v>25</v>
      </c>
      <c r="H300" s="10" t="n">
        <f aca="false">IF($AK300=0,"",INDEX('Part types'!$Q:$Q,$AK300))</f>
        <v>15</v>
      </c>
      <c r="I300" s="10" t="n">
        <f aca="false">IF($AK300=0,"",INDEX('Part types'!$R:$R,$AK300))</f>
        <v>10</v>
      </c>
      <c r="J300" s="10" t="n">
        <f aca="false">IF($AK300=0,"",INDEX('Part types'!$S:$S,$AK300))</f>
        <v>0.9</v>
      </c>
      <c r="K300" s="11" t="s">
        <v>1412</v>
      </c>
      <c r="L300" s="11" t="s">
        <v>1521</v>
      </c>
      <c r="M300" s="11" t="str">
        <f aca="false">L300&amp;" - "&amp;N300</f>
        <v>درع غبار الفرامل - أمامي يمين</v>
      </c>
      <c r="N300" s="11" t="s">
        <v>1357</v>
      </c>
      <c r="O300" s="11" t="s">
        <v>1512</v>
      </c>
      <c r="P300" s="10" t="n">
        <f aca="false">G300</f>
        <v>25</v>
      </c>
      <c r="Q300" s="10" t="n">
        <f aca="false">H300</f>
        <v>15</v>
      </c>
      <c r="R300" s="10" t="n">
        <f aca="false">I300</f>
        <v>10</v>
      </c>
      <c r="S300" s="10" t="n">
        <f aca="false">J300</f>
        <v>0.9</v>
      </c>
      <c r="T300" s="12" t="s">
        <v>1415</v>
      </c>
      <c r="U300" s="12" t="s">
        <v>1522</v>
      </c>
      <c r="V300" s="9" t="str">
        <f aca="false">U300&amp;" - "&amp;W300</f>
        <v>制动盘防尘罩 - 前右</v>
      </c>
      <c r="W300" s="12" t="s">
        <v>1358</v>
      </c>
      <c r="X300" s="12" t="s">
        <v>1514</v>
      </c>
      <c r="Y300" s="10" t="n">
        <f aca="false">G300</f>
        <v>25</v>
      </c>
      <c r="Z300" s="10" t="n">
        <f aca="false">H300</f>
        <v>15</v>
      </c>
      <c r="AA300" s="10" t="n">
        <f aca="false">I300</f>
        <v>10</v>
      </c>
      <c r="AB300" s="10" t="n">
        <f aca="false">J300</f>
        <v>0.9</v>
      </c>
      <c r="AC300" s="9" t="s">
        <v>1418</v>
      </c>
      <c r="AD300" s="9" t="s">
        <v>1523</v>
      </c>
      <c r="AE300" s="9" t="str">
        <f aca="false">IF($AK300=0,"",INDEX('Part types'!$T:$T,$AK300)&amp;"")</f>
        <v>All vehicles</v>
      </c>
      <c r="AF300" s="9" t="str">
        <f aca="false">IF($AK300=0,"",INDEX('Part types'!$U:$U,$AK300)&amp;"")</f>
        <v/>
      </c>
      <c r="AG300" s="9" t="str">
        <f aca="false">IF($AK300=0,"",INDEX('Part types'!$V:$V,$AK300)&amp;"")</f>
        <v>Estimate: size class M</v>
      </c>
      <c r="AH300" s="9" t="str">
        <f aca="false">IF($AK300=0,"",INDEX('Part types'!$W:$W,$AK300)&amp;"")</f>
        <v/>
      </c>
      <c r="AI300" s="11" t="str">
        <f aca="false">IF($AK300=0,"",INDEX('Part types'!$X:$X,$AK300)&amp;"")</f>
        <v/>
      </c>
      <c r="AJ300" s="9" t="str">
        <f aca="false">IF($AK300=0,"",INDEX('Part types'!$Y:$Y,$AK300)&amp;"")</f>
        <v/>
      </c>
      <c r="AK300" s="9" t="n">
        <f aca="false">IFERROR(MATCH($AD300,'Part types'!$E:$E,0),0)</f>
        <v>252</v>
      </c>
    </row>
    <row r="301" customFormat="false" ht="15" hidden="false" customHeight="false" outlineLevel="0" collapsed="false">
      <c r="A301" s="9" t="s">
        <v>1525</v>
      </c>
      <c r="B301" s="9" t="s">
        <v>1409</v>
      </c>
      <c r="C301" s="9" t="s">
        <v>1520</v>
      </c>
      <c r="D301" s="9" t="str">
        <f aca="false">C301&amp;" - "&amp;E301</f>
        <v>Brake Dust Shield - Rear-Left</v>
      </c>
      <c r="E301" s="9" t="s">
        <v>1360</v>
      </c>
      <c r="F301" s="9" t="s">
        <v>1510</v>
      </c>
      <c r="G301" s="10" t="n">
        <f aca="false">IF($AK301=0,"",INDEX('Part types'!$P:$P,$AK301))</f>
        <v>25</v>
      </c>
      <c r="H301" s="10" t="n">
        <f aca="false">IF($AK301=0,"",INDEX('Part types'!$Q:$Q,$AK301))</f>
        <v>15</v>
      </c>
      <c r="I301" s="10" t="n">
        <f aca="false">IF($AK301=0,"",INDEX('Part types'!$R:$R,$AK301))</f>
        <v>10</v>
      </c>
      <c r="J301" s="10" t="n">
        <f aca="false">IF($AK301=0,"",INDEX('Part types'!$S:$S,$AK301))</f>
        <v>0.9</v>
      </c>
      <c r="K301" s="11" t="s">
        <v>1412</v>
      </c>
      <c r="L301" s="11" t="s">
        <v>1521</v>
      </c>
      <c r="M301" s="11" t="str">
        <f aca="false">L301&amp;" - "&amp;N301</f>
        <v>درع غبار الفرامل - خلفي يسار</v>
      </c>
      <c r="N301" s="11" t="s">
        <v>1361</v>
      </c>
      <c r="O301" s="11" t="s">
        <v>1512</v>
      </c>
      <c r="P301" s="10" t="n">
        <f aca="false">G301</f>
        <v>25</v>
      </c>
      <c r="Q301" s="10" t="n">
        <f aca="false">H301</f>
        <v>15</v>
      </c>
      <c r="R301" s="10" t="n">
        <f aca="false">I301</f>
        <v>10</v>
      </c>
      <c r="S301" s="10" t="n">
        <f aca="false">J301</f>
        <v>0.9</v>
      </c>
      <c r="T301" s="12" t="s">
        <v>1415</v>
      </c>
      <c r="U301" s="12" t="s">
        <v>1522</v>
      </c>
      <c r="V301" s="9" t="str">
        <f aca="false">U301&amp;" - "&amp;W301</f>
        <v>制动盘防尘罩 - 后左</v>
      </c>
      <c r="W301" s="12" t="s">
        <v>1362</v>
      </c>
      <c r="X301" s="12" t="s">
        <v>1514</v>
      </c>
      <c r="Y301" s="10" t="n">
        <f aca="false">G301</f>
        <v>25</v>
      </c>
      <c r="Z301" s="10" t="n">
        <f aca="false">H301</f>
        <v>15</v>
      </c>
      <c r="AA301" s="10" t="n">
        <f aca="false">I301</f>
        <v>10</v>
      </c>
      <c r="AB301" s="10" t="n">
        <f aca="false">J301</f>
        <v>0.9</v>
      </c>
      <c r="AC301" s="9" t="s">
        <v>1418</v>
      </c>
      <c r="AD301" s="9" t="s">
        <v>1523</v>
      </c>
      <c r="AE301" s="9" t="str">
        <f aca="false">IF($AK301=0,"",INDEX('Part types'!$T:$T,$AK301)&amp;"")</f>
        <v>All vehicles</v>
      </c>
      <c r="AF301" s="9" t="str">
        <f aca="false">IF($AK301=0,"",INDEX('Part types'!$U:$U,$AK301)&amp;"")</f>
        <v/>
      </c>
      <c r="AG301" s="9" t="str">
        <f aca="false">IF($AK301=0,"",INDEX('Part types'!$V:$V,$AK301)&amp;"")</f>
        <v>Estimate: size class M</v>
      </c>
      <c r="AH301" s="9" t="str">
        <f aca="false">IF($AK301=0,"",INDEX('Part types'!$W:$W,$AK301)&amp;"")</f>
        <v/>
      </c>
      <c r="AI301" s="11" t="str">
        <f aca="false">IF($AK301=0,"",INDEX('Part types'!$X:$X,$AK301)&amp;"")</f>
        <v/>
      </c>
      <c r="AJ301" s="9" t="str">
        <f aca="false">IF($AK301=0,"",INDEX('Part types'!$Y:$Y,$AK301)&amp;"")</f>
        <v/>
      </c>
      <c r="AK301" s="9" t="n">
        <f aca="false">IFERROR(MATCH($AD301,'Part types'!$E:$E,0),0)</f>
        <v>252</v>
      </c>
    </row>
    <row r="302" customFormat="false" ht="15" hidden="false" customHeight="false" outlineLevel="0" collapsed="false">
      <c r="A302" s="9" t="s">
        <v>1526</v>
      </c>
      <c r="B302" s="9" t="s">
        <v>1409</v>
      </c>
      <c r="C302" s="9" t="s">
        <v>1520</v>
      </c>
      <c r="D302" s="9" t="str">
        <f aca="false">C302&amp;" - "&amp;E302</f>
        <v>Brake Dust Shield - Rear-Right</v>
      </c>
      <c r="E302" s="9" t="s">
        <v>1364</v>
      </c>
      <c r="F302" s="9" t="s">
        <v>1510</v>
      </c>
      <c r="G302" s="10" t="n">
        <f aca="false">IF($AK302=0,"",INDEX('Part types'!$P:$P,$AK302))</f>
        <v>25</v>
      </c>
      <c r="H302" s="10" t="n">
        <f aca="false">IF($AK302=0,"",INDEX('Part types'!$Q:$Q,$AK302))</f>
        <v>15</v>
      </c>
      <c r="I302" s="10" t="n">
        <f aca="false">IF($AK302=0,"",INDEX('Part types'!$R:$R,$AK302))</f>
        <v>10</v>
      </c>
      <c r="J302" s="10" t="n">
        <f aca="false">IF($AK302=0,"",INDEX('Part types'!$S:$S,$AK302))</f>
        <v>0.9</v>
      </c>
      <c r="K302" s="11" t="s">
        <v>1412</v>
      </c>
      <c r="L302" s="11" t="s">
        <v>1521</v>
      </c>
      <c r="M302" s="11" t="str">
        <f aca="false">L302&amp;" - "&amp;N302</f>
        <v>درع غبار الفرامل - خلفي يمين</v>
      </c>
      <c r="N302" s="11" t="s">
        <v>1365</v>
      </c>
      <c r="O302" s="11" t="s">
        <v>1512</v>
      </c>
      <c r="P302" s="10" t="n">
        <f aca="false">G302</f>
        <v>25</v>
      </c>
      <c r="Q302" s="10" t="n">
        <f aca="false">H302</f>
        <v>15</v>
      </c>
      <c r="R302" s="10" t="n">
        <f aca="false">I302</f>
        <v>10</v>
      </c>
      <c r="S302" s="10" t="n">
        <f aca="false">J302</f>
        <v>0.9</v>
      </c>
      <c r="T302" s="12" t="s">
        <v>1415</v>
      </c>
      <c r="U302" s="12" t="s">
        <v>1522</v>
      </c>
      <c r="V302" s="9" t="str">
        <f aca="false">U302&amp;" - "&amp;W302</f>
        <v>制动盘防尘罩 - 后右</v>
      </c>
      <c r="W302" s="12" t="s">
        <v>1366</v>
      </c>
      <c r="X302" s="12" t="s">
        <v>1514</v>
      </c>
      <c r="Y302" s="10" t="n">
        <f aca="false">G302</f>
        <v>25</v>
      </c>
      <c r="Z302" s="10" t="n">
        <f aca="false">H302</f>
        <v>15</v>
      </c>
      <c r="AA302" s="10" t="n">
        <f aca="false">I302</f>
        <v>10</v>
      </c>
      <c r="AB302" s="10" t="n">
        <f aca="false">J302</f>
        <v>0.9</v>
      </c>
      <c r="AC302" s="9" t="s">
        <v>1418</v>
      </c>
      <c r="AD302" s="9" t="s">
        <v>1523</v>
      </c>
      <c r="AE302" s="9" t="str">
        <f aca="false">IF($AK302=0,"",INDEX('Part types'!$T:$T,$AK302)&amp;"")</f>
        <v>All vehicles</v>
      </c>
      <c r="AF302" s="9" t="str">
        <f aca="false">IF($AK302=0,"",INDEX('Part types'!$U:$U,$AK302)&amp;"")</f>
        <v/>
      </c>
      <c r="AG302" s="9" t="str">
        <f aca="false">IF($AK302=0,"",INDEX('Part types'!$V:$V,$AK302)&amp;"")</f>
        <v>Estimate: size class M</v>
      </c>
      <c r="AH302" s="9" t="str">
        <f aca="false">IF($AK302=0,"",INDEX('Part types'!$W:$W,$AK302)&amp;"")</f>
        <v/>
      </c>
      <c r="AI302" s="11" t="str">
        <f aca="false">IF($AK302=0,"",INDEX('Part types'!$X:$X,$AK302)&amp;"")</f>
        <v/>
      </c>
      <c r="AJ302" s="9" t="str">
        <f aca="false">IF($AK302=0,"",INDEX('Part types'!$Y:$Y,$AK302)&amp;"")</f>
        <v/>
      </c>
      <c r="AK302" s="9" t="n">
        <f aca="false">IFERROR(MATCH($AD302,'Part types'!$E:$E,0),0)</f>
        <v>252</v>
      </c>
    </row>
    <row r="303" customFormat="false" ht="15" hidden="false" customHeight="false" outlineLevel="0" collapsed="false">
      <c r="A303" s="9" t="s">
        <v>1527</v>
      </c>
      <c r="B303" s="9" t="s">
        <v>1528</v>
      </c>
      <c r="C303" s="9" t="s">
        <v>1529</v>
      </c>
      <c r="D303" s="9" t="str">
        <f aca="false">C303&amp;" - "&amp;E303</f>
        <v>Brake Master Cylinder - Universal</v>
      </c>
      <c r="E303" s="9" t="s">
        <v>68</v>
      </c>
      <c r="F303" s="9" t="s">
        <v>831</v>
      </c>
      <c r="G303" s="10" t="n">
        <f aca="false">IF($AK303=0,"",INDEX('Part types'!$P:$P,$AK303))</f>
        <v>30</v>
      </c>
      <c r="H303" s="10" t="n">
        <f aca="false">IF($AK303=0,"",INDEX('Part types'!$Q:$Q,$AK303))</f>
        <v>20</v>
      </c>
      <c r="I303" s="10" t="n">
        <f aca="false">IF($AK303=0,"",INDEX('Part types'!$R:$R,$AK303))</f>
        <v>15</v>
      </c>
      <c r="J303" s="10" t="n">
        <f aca="false">IF($AK303=0,"",INDEX('Part types'!$S:$S,$AK303))</f>
        <v>1.8</v>
      </c>
      <c r="K303" s="11" t="s">
        <v>1530</v>
      </c>
      <c r="L303" s="11" t="s">
        <v>1531</v>
      </c>
      <c r="M303" s="11" t="str">
        <f aca="false">L303&amp;" - "&amp;N303</f>
        <v>طلمبة الفرامل الرئيسية - عام</v>
      </c>
      <c r="N303" s="11" t="s">
        <v>72</v>
      </c>
      <c r="O303" s="11" t="s">
        <v>833</v>
      </c>
      <c r="P303" s="10" t="n">
        <f aca="false">G303</f>
        <v>30</v>
      </c>
      <c r="Q303" s="10" t="n">
        <f aca="false">H303</f>
        <v>20</v>
      </c>
      <c r="R303" s="10" t="n">
        <f aca="false">I303</f>
        <v>15</v>
      </c>
      <c r="S303" s="10" t="n">
        <f aca="false">J303</f>
        <v>1.8</v>
      </c>
      <c r="T303" s="12" t="s">
        <v>1532</v>
      </c>
      <c r="U303" s="12" t="s">
        <v>1533</v>
      </c>
      <c r="V303" s="9" t="str">
        <f aca="false">U303&amp;" - "&amp;W303</f>
        <v>制动总泵 - 通用</v>
      </c>
      <c r="W303" s="12" t="s">
        <v>76</v>
      </c>
      <c r="X303" s="12" t="s">
        <v>835</v>
      </c>
      <c r="Y303" s="10" t="n">
        <f aca="false">G303</f>
        <v>30</v>
      </c>
      <c r="Z303" s="10" t="n">
        <f aca="false">H303</f>
        <v>20</v>
      </c>
      <c r="AA303" s="10" t="n">
        <f aca="false">I303</f>
        <v>15</v>
      </c>
      <c r="AB303" s="10" t="n">
        <f aca="false">J303</f>
        <v>1.8</v>
      </c>
      <c r="AC303" s="9" t="s">
        <v>1534</v>
      </c>
      <c r="AD303" s="9" t="s">
        <v>1535</v>
      </c>
      <c r="AE303" s="9" t="str">
        <f aca="false">IF($AK303=0,"",INDEX('Part types'!$T:$T,$AK303)&amp;"")</f>
        <v>All vehicles</v>
      </c>
      <c r="AF303" s="9" t="str">
        <f aca="false">IF($AK303=0,"",INDEX('Part types'!$U:$U,$AK303)&amp;"")</f>
        <v/>
      </c>
      <c r="AG303" s="9" t="str">
        <f aca="false">IF($AK303=0,"",INDEX('Part types'!$V:$V,$AK303)&amp;"")</f>
        <v>Estimate: size class M2</v>
      </c>
      <c r="AH303" s="9" t="str">
        <f aca="false">IF($AK303=0,"",INDEX('Part types'!$W:$W,$AK303)&amp;"")</f>
        <v/>
      </c>
      <c r="AI303" s="11" t="str">
        <f aca="false">IF($AK303=0,"",INDEX('Part types'!$X:$X,$AK303)&amp;"")</f>
        <v/>
      </c>
      <c r="AJ303" s="9" t="str">
        <f aca="false">IF($AK303=0,"",INDEX('Part types'!$Y:$Y,$AK303)&amp;"")</f>
        <v/>
      </c>
      <c r="AK303" s="9" t="n">
        <f aca="false">IFERROR(MATCH($AD303,'Part types'!$E:$E,0),0)</f>
        <v>253</v>
      </c>
    </row>
    <row r="304" customFormat="false" ht="15" hidden="false" customHeight="false" outlineLevel="0" collapsed="false">
      <c r="A304" s="9" t="s">
        <v>1536</v>
      </c>
      <c r="B304" s="9" t="s">
        <v>1528</v>
      </c>
      <c r="C304" s="9" t="s">
        <v>1537</v>
      </c>
      <c r="D304" s="9" t="str">
        <f aca="false">C304&amp;" - "&amp;E304</f>
        <v>Brake Booster - Universal</v>
      </c>
      <c r="E304" s="9" t="s">
        <v>68</v>
      </c>
      <c r="F304" s="9" t="s">
        <v>831</v>
      </c>
      <c r="G304" s="10" t="n">
        <f aca="false">IF($AK304=0,"",INDEX('Part types'!$P:$P,$AK304))</f>
        <v>30</v>
      </c>
      <c r="H304" s="10" t="n">
        <f aca="false">IF($AK304=0,"",INDEX('Part types'!$Q:$Q,$AK304))</f>
        <v>30</v>
      </c>
      <c r="I304" s="10" t="n">
        <f aca="false">IF($AK304=0,"",INDEX('Part types'!$R:$R,$AK304))</f>
        <v>20</v>
      </c>
      <c r="J304" s="10" t="n">
        <f aca="false">IF($AK304=0,"",INDEX('Part types'!$S:$S,$AK304))</f>
        <v>4</v>
      </c>
      <c r="K304" s="11" t="s">
        <v>1530</v>
      </c>
      <c r="L304" s="11" t="s">
        <v>1538</v>
      </c>
      <c r="M304" s="11" t="str">
        <f aca="false">L304&amp;" - "&amp;N304</f>
        <v>مساعد الفرامل - عام</v>
      </c>
      <c r="N304" s="11" t="s">
        <v>72</v>
      </c>
      <c r="O304" s="11" t="s">
        <v>833</v>
      </c>
      <c r="P304" s="10" t="n">
        <f aca="false">G304</f>
        <v>30</v>
      </c>
      <c r="Q304" s="10" t="n">
        <f aca="false">H304</f>
        <v>30</v>
      </c>
      <c r="R304" s="10" t="n">
        <f aca="false">I304</f>
        <v>20</v>
      </c>
      <c r="S304" s="10" t="n">
        <f aca="false">J304</f>
        <v>4</v>
      </c>
      <c r="T304" s="12" t="s">
        <v>1532</v>
      </c>
      <c r="U304" s="12" t="s">
        <v>1539</v>
      </c>
      <c r="V304" s="9" t="str">
        <f aca="false">U304&amp;" - "&amp;W304</f>
        <v>制动助力器 - 通用</v>
      </c>
      <c r="W304" s="12" t="s">
        <v>76</v>
      </c>
      <c r="X304" s="12" t="s">
        <v>835</v>
      </c>
      <c r="Y304" s="10" t="n">
        <f aca="false">G304</f>
        <v>30</v>
      </c>
      <c r="Z304" s="10" t="n">
        <f aca="false">H304</f>
        <v>30</v>
      </c>
      <c r="AA304" s="10" t="n">
        <f aca="false">I304</f>
        <v>20</v>
      </c>
      <c r="AB304" s="10" t="n">
        <f aca="false">J304</f>
        <v>4</v>
      </c>
      <c r="AC304" s="9" t="s">
        <v>1534</v>
      </c>
      <c r="AD304" s="9" t="s">
        <v>1540</v>
      </c>
      <c r="AE304" s="9" t="str">
        <f aca="false">IF($AK304=0,"",INDEX('Part types'!$T:$T,$AK304)&amp;"")</f>
        <v>All vehicles</v>
      </c>
      <c r="AF304" s="9" t="str">
        <f aca="false">IF($AK304=0,"",INDEX('Part types'!$U:$U,$AK304)&amp;"")</f>
        <v/>
      </c>
      <c r="AG304" s="9" t="str">
        <f aca="false">IF($AK304=0,"",INDEX('Part types'!$V:$V,$AK304)&amp;"")</f>
        <v>Estimate: item-specific</v>
      </c>
      <c r="AH304" s="9" t="str">
        <f aca="false">IF($AK304=0,"",INDEX('Part types'!$W:$W,$AK304)&amp;"")</f>
        <v/>
      </c>
      <c r="AI304" s="11" t="str">
        <f aca="false">IF($AK304=0,"",INDEX('Part types'!$X:$X,$AK304)&amp;"")</f>
        <v>هيدروفاك</v>
      </c>
      <c r="AJ304" s="9" t="str">
        <f aca="false">IF($AK304=0,"",INDEX('Part types'!$Y:$Y,$AK304)&amp;"")</f>
        <v/>
      </c>
      <c r="AK304" s="9" t="n">
        <f aca="false">IFERROR(MATCH($AD304,'Part types'!$E:$E,0),0)</f>
        <v>254</v>
      </c>
    </row>
    <row r="305" customFormat="false" ht="15" hidden="false" customHeight="false" outlineLevel="0" collapsed="false">
      <c r="A305" s="9" t="s">
        <v>1541</v>
      </c>
      <c r="B305" s="9" t="s">
        <v>1528</v>
      </c>
      <c r="C305" s="9" t="s">
        <v>1542</v>
      </c>
      <c r="D305" s="9" t="str">
        <f aca="false">C305&amp;" - "&amp;E305</f>
        <v>Booster Check Valve - Universal</v>
      </c>
      <c r="E305" s="9" t="s">
        <v>68</v>
      </c>
      <c r="F305" s="9" t="s">
        <v>831</v>
      </c>
      <c r="G305" s="10" t="n">
        <f aca="false">IF($AK305=0,"",INDEX('Part types'!$P:$P,$AK305))</f>
        <v>10</v>
      </c>
      <c r="H305" s="10" t="n">
        <f aca="false">IF($AK305=0,"",INDEX('Part types'!$Q:$Q,$AK305))</f>
        <v>8</v>
      </c>
      <c r="I305" s="10" t="n">
        <f aca="false">IF($AK305=0,"",INDEX('Part types'!$R:$R,$AK305))</f>
        <v>6</v>
      </c>
      <c r="J305" s="10" t="n">
        <f aca="false">IF($AK305=0,"",INDEX('Part types'!$S:$S,$AK305))</f>
        <v>0.1</v>
      </c>
      <c r="K305" s="11" t="s">
        <v>1530</v>
      </c>
      <c r="L305" s="11" t="s">
        <v>1543</v>
      </c>
      <c r="M305" s="11" t="str">
        <f aca="false">L305&amp;" - "&amp;N305</f>
        <v>صمام عدم رجوع مساعد الفرامل - عام</v>
      </c>
      <c r="N305" s="11" t="s">
        <v>72</v>
      </c>
      <c r="O305" s="11" t="s">
        <v>833</v>
      </c>
      <c r="P305" s="10" t="n">
        <f aca="false">G305</f>
        <v>10</v>
      </c>
      <c r="Q305" s="10" t="n">
        <f aca="false">H305</f>
        <v>8</v>
      </c>
      <c r="R305" s="10" t="n">
        <f aca="false">I305</f>
        <v>6</v>
      </c>
      <c r="S305" s="10" t="n">
        <f aca="false">J305</f>
        <v>0.1</v>
      </c>
      <c r="T305" s="12" t="s">
        <v>1532</v>
      </c>
      <c r="U305" s="12" t="s">
        <v>1544</v>
      </c>
      <c r="V305" s="9" t="str">
        <f aca="false">U305&amp;" - "&amp;W305</f>
        <v>制动助力器单向阀 - 通用</v>
      </c>
      <c r="W305" s="12" t="s">
        <v>76</v>
      </c>
      <c r="X305" s="12" t="s">
        <v>835</v>
      </c>
      <c r="Y305" s="10" t="n">
        <f aca="false">G305</f>
        <v>10</v>
      </c>
      <c r="Z305" s="10" t="n">
        <f aca="false">H305</f>
        <v>8</v>
      </c>
      <c r="AA305" s="10" t="n">
        <f aca="false">I305</f>
        <v>6</v>
      </c>
      <c r="AB305" s="10" t="n">
        <f aca="false">J305</f>
        <v>0.1</v>
      </c>
      <c r="AC305" s="9" t="s">
        <v>1534</v>
      </c>
      <c r="AD305" s="9" t="s">
        <v>1545</v>
      </c>
      <c r="AE305" s="9" t="str">
        <f aca="false">IF($AK305=0,"",INDEX('Part types'!$T:$T,$AK305)&amp;"")</f>
        <v>Combustion engine (petrol, diesel, hybrid, range extender)</v>
      </c>
      <c r="AF305" s="9" t="str">
        <f aca="false">IF($AK305=0,"",INDEX('Part types'!$U:$U,$AK305)&amp;"")</f>
        <v/>
      </c>
      <c r="AG305" s="9" t="str">
        <f aca="false">IF($AK305=0,"",INDEX('Part types'!$V:$V,$AK305)&amp;"")</f>
        <v>Estimate: size class XS</v>
      </c>
      <c r="AH305" s="9" t="str">
        <f aca="false">IF($AK305=0,"",INDEX('Part types'!$W:$W,$AK305)&amp;"")</f>
        <v>Brake Booster Check Valve</v>
      </c>
      <c r="AI305" s="11" t="str">
        <f aca="false">IF($AK305=0,"",INDEX('Part types'!$X:$X,$AK305)&amp;"")</f>
        <v/>
      </c>
      <c r="AJ305" s="9" t="str">
        <f aca="false">IF($AK305=0,"",INDEX('Part types'!$Y:$Y,$AK305)&amp;"")</f>
        <v/>
      </c>
      <c r="AK305" s="9" t="n">
        <f aca="false">IFERROR(MATCH($AD305,'Part types'!$E:$E,0),0)</f>
        <v>255</v>
      </c>
    </row>
    <row r="306" customFormat="false" ht="15" hidden="false" customHeight="false" outlineLevel="0" collapsed="false">
      <c r="A306" s="9" t="s">
        <v>1546</v>
      </c>
      <c r="B306" s="9" t="s">
        <v>1528</v>
      </c>
      <c r="C306" s="9" t="s">
        <v>1547</v>
      </c>
      <c r="D306" s="9" t="str">
        <f aca="false">C306&amp;" - "&amp;E306</f>
        <v>Brake Vacuum Hose - Universal</v>
      </c>
      <c r="E306" s="9" t="s">
        <v>68</v>
      </c>
      <c r="F306" s="9" t="s">
        <v>831</v>
      </c>
      <c r="G306" s="10" t="n">
        <f aca="false">IF($AK306=0,"",INDEX('Part types'!$P:$P,$AK306))</f>
        <v>15</v>
      </c>
      <c r="H306" s="10" t="n">
        <f aca="false">IF($AK306=0,"",INDEX('Part types'!$Q:$Q,$AK306))</f>
        <v>10</v>
      </c>
      <c r="I306" s="10" t="n">
        <f aca="false">IF($AK306=0,"",INDEX('Part types'!$R:$R,$AK306))</f>
        <v>8</v>
      </c>
      <c r="J306" s="10" t="n">
        <f aca="false">IF($AK306=0,"",INDEX('Part types'!$S:$S,$AK306))</f>
        <v>0.3</v>
      </c>
      <c r="K306" s="11" t="s">
        <v>1530</v>
      </c>
      <c r="L306" s="11" t="s">
        <v>1548</v>
      </c>
      <c r="M306" s="11" t="str">
        <f aca="false">L306&amp;" - "&amp;N306</f>
        <v>خرطوم تفريغ الفرامل - عام</v>
      </c>
      <c r="N306" s="11" t="s">
        <v>72</v>
      </c>
      <c r="O306" s="11" t="s">
        <v>833</v>
      </c>
      <c r="P306" s="10" t="n">
        <f aca="false">G306</f>
        <v>15</v>
      </c>
      <c r="Q306" s="10" t="n">
        <f aca="false">H306</f>
        <v>10</v>
      </c>
      <c r="R306" s="10" t="n">
        <f aca="false">I306</f>
        <v>8</v>
      </c>
      <c r="S306" s="10" t="n">
        <f aca="false">J306</f>
        <v>0.3</v>
      </c>
      <c r="T306" s="12" t="s">
        <v>1532</v>
      </c>
      <c r="U306" s="12" t="s">
        <v>1549</v>
      </c>
      <c r="V306" s="9" t="str">
        <f aca="false">U306&amp;" - "&amp;W306</f>
        <v>制动真空管 - 通用</v>
      </c>
      <c r="W306" s="12" t="s">
        <v>76</v>
      </c>
      <c r="X306" s="12" t="s">
        <v>835</v>
      </c>
      <c r="Y306" s="10" t="n">
        <f aca="false">G306</f>
        <v>15</v>
      </c>
      <c r="Z306" s="10" t="n">
        <f aca="false">H306</f>
        <v>10</v>
      </c>
      <c r="AA306" s="10" t="n">
        <f aca="false">I306</f>
        <v>8</v>
      </c>
      <c r="AB306" s="10" t="n">
        <f aca="false">J306</f>
        <v>0.3</v>
      </c>
      <c r="AC306" s="9" t="s">
        <v>1534</v>
      </c>
      <c r="AD306" s="9" t="s">
        <v>1550</v>
      </c>
      <c r="AE306" s="9" t="str">
        <f aca="false">IF($AK306=0,"",INDEX('Part types'!$T:$T,$AK306)&amp;"")</f>
        <v>Combustion engine (petrol, diesel, hybrid, range extender)</v>
      </c>
      <c r="AF306" s="9" t="str">
        <f aca="false">IF($AK306=0,"",INDEX('Part types'!$U:$U,$AK306)&amp;"")</f>
        <v/>
      </c>
      <c r="AG306" s="9" t="str">
        <f aca="false">IF($AK306=0,"",INDEX('Part types'!$V:$V,$AK306)&amp;"")</f>
        <v>Estimate: size class S</v>
      </c>
      <c r="AH306" s="9" t="str">
        <f aca="false">IF($AK306=0,"",INDEX('Part types'!$W:$W,$AK306)&amp;"")</f>
        <v/>
      </c>
      <c r="AI306" s="11" t="str">
        <f aca="false">IF($AK306=0,"",INDEX('Part types'!$X:$X,$AK306)&amp;"")</f>
        <v/>
      </c>
      <c r="AJ306" s="9" t="str">
        <f aca="false">IF($AK306=0,"",INDEX('Part types'!$Y:$Y,$AK306)&amp;"")</f>
        <v/>
      </c>
      <c r="AK306" s="9" t="n">
        <f aca="false">IFERROR(MATCH($AD306,'Part types'!$E:$E,0),0)</f>
        <v>256</v>
      </c>
    </row>
    <row r="307" customFormat="false" ht="15" hidden="false" customHeight="false" outlineLevel="0" collapsed="false">
      <c r="A307" s="9" t="s">
        <v>1551</v>
      </c>
      <c r="B307" s="9" t="s">
        <v>1528</v>
      </c>
      <c r="C307" s="9" t="s">
        <v>1552</v>
      </c>
      <c r="D307" s="9" t="str">
        <f aca="false">C307&amp;" - "&amp;E307</f>
        <v>Brake Fluid Reservoir - Universal</v>
      </c>
      <c r="E307" s="9" t="s">
        <v>68</v>
      </c>
      <c r="F307" s="9" t="s">
        <v>69</v>
      </c>
      <c r="G307" s="10" t="n">
        <f aca="false">IF($AK307=0,"",INDEX('Part types'!$P:$P,$AK307))</f>
        <v>25</v>
      </c>
      <c r="H307" s="10" t="n">
        <f aca="false">IF($AK307=0,"",INDEX('Part types'!$Q:$Q,$AK307))</f>
        <v>15</v>
      </c>
      <c r="I307" s="10" t="n">
        <f aca="false">IF($AK307=0,"",INDEX('Part types'!$R:$R,$AK307))</f>
        <v>10</v>
      </c>
      <c r="J307" s="10" t="n">
        <f aca="false">IF($AK307=0,"",INDEX('Part types'!$S:$S,$AK307))</f>
        <v>0.9</v>
      </c>
      <c r="K307" s="11" t="s">
        <v>1530</v>
      </c>
      <c r="L307" s="11" t="s">
        <v>1553</v>
      </c>
      <c r="M307" s="11" t="str">
        <f aca="false">L307&amp;" - "&amp;N307</f>
        <v>خزان زيت الفرامل - عام</v>
      </c>
      <c r="N307" s="11" t="s">
        <v>72</v>
      </c>
      <c r="O307" s="11" t="s">
        <v>73</v>
      </c>
      <c r="P307" s="10" t="n">
        <f aca="false">G307</f>
        <v>25</v>
      </c>
      <c r="Q307" s="10" t="n">
        <f aca="false">H307</f>
        <v>15</v>
      </c>
      <c r="R307" s="10" t="n">
        <f aca="false">I307</f>
        <v>10</v>
      </c>
      <c r="S307" s="10" t="n">
        <f aca="false">J307</f>
        <v>0.9</v>
      </c>
      <c r="T307" s="12" t="s">
        <v>1532</v>
      </c>
      <c r="U307" s="12" t="s">
        <v>1554</v>
      </c>
      <c r="V307" s="9" t="str">
        <f aca="false">U307&amp;" - "&amp;W307</f>
        <v>制动液壶 - 通用</v>
      </c>
      <c r="W307" s="12" t="s">
        <v>76</v>
      </c>
      <c r="X307" s="12" t="s">
        <v>77</v>
      </c>
      <c r="Y307" s="10" t="n">
        <f aca="false">G307</f>
        <v>25</v>
      </c>
      <c r="Z307" s="10" t="n">
        <f aca="false">H307</f>
        <v>15</v>
      </c>
      <c r="AA307" s="10" t="n">
        <f aca="false">I307</f>
        <v>10</v>
      </c>
      <c r="AB307" s="10" t="n">
        <f aca="false">J307</f>
        <v>0.9</v>
      </c>
      <c r="AC307" s="9" t="s">
        <v>1534</v>
      </c>
      <c r="AD307" s="9" t="s">
        <v>1555</v>
      </c>
      <c r="AE307" s="9" t="str">
        <f aca="false">IF($AK307=0,"",INDEX('Part types'!$T:$T,$AK307)&amp;"")</f>
        <v>All vehicles</v>
      </c>
      <c r="AF307" s="9" t="str">
        <f aca="false">IF($AK307=0,"",INDEX('Part types'!$U:$U,$AK307)&amp;"")</f>
        <v/>
      </c>
      <c r="AG307" s="9" t="str">
        <f aca="false">IF($AK307=0,"",INDEX('Part types'!$V:$V,$AK307)&amp;"")</f>
        <v>Estimate: size class M</v>
      </c>
      <c r="AH307" s="9" t="str">
        <f aca="false">IF($AK307=0,"",INDEX('Part types'!$W:$W,$AK307)&amp;"")</f>
        <v/>
      </c>
      <c r="AI307" s="11" t="str">
        <f aca="false">IF($AK307=0,"",INDEX('Part types'!$X:$X,$AK307)&amp;"")</f>
        <v/>
      </c>
      <c r="AJ307" s="9" t="str">
        <f aca="false">IF($AK307=0,"",INDEX('Part types'!$Y:$Y,$AK307)&amp;"")</f>
        <v/>
      </c>
      <c r="AK307" s="9" t="n">
        <f aca="false">IFERROR(MATCH($AD307,'Part types'!$E:$E,0),0)</f>
        <v>257</v>
      </c>
    </row>
    <row r="308" customFormat="false" ht="15" hidden="false" customHeight="false" outlineLevel="0" collapsed="false">
      <c r="A308" s="9" t="s">
        <v>1556</v>
      </c>
      <c r="B308" s="9" t="s">
        <v>1528</v>
      </c>
      <c r="C308" s="9" t="s">
        <v>1557</v>
      </c>
      <c r="D308" s="9" t="str">
        <f aca="false">C308&amp;" - "&amp;E308</f>
        <v>Brake Reservoir Cap - Universal</v>
      </c>
      <c r="E308" s="9" t="s">
        <v>68</v>
      </c>
      <c r="F308" s="9" t="s">
        <v>69</v>
      </c>
      <c r="G308" s="10" t="n">
        <f aca="false">IF($AK308=0,"",INDEX('Part types'!$P:$P,$AK308))</f>
        <v>10</v>
      </c>
      <c r="H308" s="10" t="n">
        <f aca="false">IF($AK308=0,"",INDEX('Part types'!$Q:$Q,$AK308))</f>
        <v>8</v>
      </c>
      <c r="I308" s="10" t="n">
        <f aca="false">IF($AK308=0,"",INDEX('Part types'!$R:$R,$AK308))</f>
        <v>6</v>
      </c>
      <c r="J308" s="10" t="n">
        <f aca="false">IF($AK308=0,"",INDEX('Part types'!$S:$S,$AK308))</f>
        <v>0.1</v>
      </c>
      <c r="K308" s="11" t="s">
        <v>1530</v>
      </c>
      <c r="L308" s="11" t="s">
        <v>1558</v>
      </c>
      <c r="M308" s="11" t="str">
        <f aca="false">L308&amp;" - "&amp;N308</f>
        <v>غطاء خزان زيت الفرامل - عام</v>
      </c>
      <c r="N308" s="11" t="s">
        <v>72</v>
      </c>
      <c r="O308" s="11" t="s">
        <v>73</v>
      </c>
      <c r="P308" s="10" t="n">
        <f aca="false">G308</f>
        <v>10</v>
      </c>
      <c r="Q308" s="10" t="n">
        <f aca="false">H308</f>
        <v>8</v>
      </c>
      <c r="R308" s="10" t="n">
        <f aca="false">I308</f>
        <v>6</v>
      </c>
      <c r="S308" s="10" t="n">
        <f aca="false">J308</f>
        <v>0.1</v>
      </c>
      <c r="T308" s="12" t="s">
        <v>1532</v>
      </c>
      <c r="U308" s="12" t="s">
        <v>1559</v>
      </c>
      <c r="V308" s="9" t="str">
        <f aca="false">U308&amp;" - "&amp;W308</f>
        <v>制动液壶盖 - 通用</v>
      </c>
      <c r="W308" s="12" t="s">
        <v>76</v>
      </c>
      <c r="X308" s="12" t="s">
        <v>77</v>
      </c>
      <c r="Y308" s="10" t="n">
        <f aca="false">G308</f>
        <v>10</v>
      </c>
      <c r="Z308" s="10" t="n">
        <f aca="false">H308</f>
        <v>8</v>
      </c>
      <c r="AA308" s="10" t="n">
        <f aca="false">I308</f>
        <v>6</v>
      </c>
      <c r="AB308" s="10" t="n">
        <f aca="false">J308</f>
        <v>0.1</v>
      </c>
      <c r="AC308" s="9" t="s">
        <v>1534</v>
      </c>
      <c r="AD308" s="9" t="s">
        <v>1560</v>
      </c>
      <c r="AE308" s="9" t="str">
        <f aca="false">IF($AK308=0,"",INDEX('Part types'!$T:$T,$AK308)&amp;"")</f>
        <v>All vehicles</v>
      </c>
      <c r="AF308" s="9" t="str">
        <f aca="false">IF($AK308=0,"",INDEX('Part types'!$U:$U,$AK308)&amp;"")</f>
        <v/>
      </c>
      <c r="AG308" s="9" t="str">
        <f aca="false">IF($AK308=0,"",INDEX('Part types'!$V:$V,$AK308)&amp;"")</f>
        <v>Estimate: size class XS</v>
      </c>
      <c r="AH308" s="9" t="str">
        <f aca="false">IF($AK308=0,"",INDEX('Part types'!$W:$W,$AK308)&amp;"")</f>
        <v>Brake Fluid Reservoir Cap</v>
      </c>
      <c r="AI308" s="11" t="str">
        <f aca="false">IF($AK308=0,"",INDEX('Part types'!$X:$X,$AK308)&amp;"")</f>
        <v/>
      </c>
      <c r="AJ308" s="9" t="str">
        <f aca="false">IF($AK308=0,"",INDEX('Part types'!$Y:$Y,$AK308)&amp;"")</f>
        <v/>
      </c>
      <c r="AK308" s="9" t="n">
        <f aca="false">IFERROR(MATCH($AD308,'Part types'!$E:$E,0),0)</f>
        <v>258</v>
      </c>
    </row>
    <row r="309" customFormat="false" ht="15" hidden="false" customHeight="false" outlineLevel="0" collapsed="false">
      <c r="A309" s="9" t="s">
        <v>1561</v>
      </c>
      <c r="B309" s="9" t="s">
        <v>1528</v>
      </c>
      <c r="C309" s="9" t="s">
        <v>1562</v>
      </c>
      <c r="D309" s="9" t="str">
        <f aca="false">C309&amp;" - "&amp;E309</f>
        <v>Brake Hose - Front-Left</v>
      </c>
      <c r="E309" s="9" t="s">
        <v>1346</v>
      </c>
      <c r="F309" s="9" t="s">
        <v>1411</v>
      </c>
      <c r="G309" s="10" t="n">
        <f aca="false">IF($AK309=0,"",INDEX('Part types'!$P:$P,$AK309))</f>
        <v>15</v>
      </c>
      <c r="H309" s="10" t="n">
        <f aca="false">IF($AK309=0,"",INDEX('Part types'!$Q:$Q,$AK309))</f>
        <v>10</v>
      </c>
      <c r="I309" s="10" t="n">
        <f aca="false">IF($AK309=0,"",INDEX('Part types'!$R:$R,$AK309))</f>
        <v>8</v>
      </c>
      <c r="J309" s="10" t="n">
        <f aca="false">IF($AK309=0,"",INDEX('Part types'!$S:$S,$AK309))</f>
        <v>0.3</v>
      </c>
      <c r="K309" s="11" t="s">
        <v>1530</v>
      </c>
      <c r="L309" s="11" t="s">
        <v>1563</v>
      </c>
      <c r="M309" s="11" t="str">
        <f aca="false">L309&amp;" - "&amp;N309</f>
        <v>خرطوم الفرامل المطاطي - أمامي يسار</v>
      </c>
      <c r="N309" s="11" t="s">
        <v>1349</v>
      </c>
      <c r="O309" s="11" t="s">
        <v>1414</v>
      </c>
      <c r="P309" s="10" t="n">
        <f aca="false">G309</f>
        <v>15</v>
      </c>
      <c r="Q309" s="10" t="n">
        <f aca="false">H309</f>
        <v>10</v>
      </c>
      <c r="R309" s="10" t="n">
        <f aca="false">I309</f>
        <v>8</v>
      </c>
      <c r="S309" s="10" t="n">
        <f aca="false">J309</f>
        <v>0.3</v>
      </c>
      <c r="T309" s="12" t="s">
        <v>1532</v>
      </c>
      <c r="U309" s="12" t="s">
        <v>1564</v>
      </c>
      <c r="V309" s="9" t="str">
        <f aca="false">U309&amp;" - "&amp;W309</f>
        <v>制动软管 - 前左</v>
      </c>
      <c r="W309" s="12" t="s">
        <v>1352</v>
      </c>
      <c r="X309" s="12" t="s">
        <v>1417</v>
      </c>
      <c r="Y309" s="10" t="n">
        <f aca="false">G309</f>
        <v>15</v>
      </c>
      <c r="Z309" s="10" t="n">
        <f aca="false">H309</f>
        <v>10</v>
      </c>
      <c r="AA309" s="10" t="n">
        <f aca="false">I309</f>
        <v>8</v>
      </c>
      <c r="AB309" s="10" t="n">
        <f aca="false">J309</f>
        <v>0.3</v>
      </c>
      <c r="AC309" s="9" t="s">
        <v>1534</v>
      </c>
      <c r="AD309" s="9" t="s">
        <v>1565</v>
      </c>
      <c r="AE309" s="9" t="str">
        <f aca="false">IF($AK309=0,"",INDEX('Part types'!$T:$T,$AK309)&amp;"")</f>
        <v>All vehicles</v>
      </c>
      <c r="AF309" s="9" t="str">
        <f aca="false">IF($AK309=0,"",INDEX('Part types'!$U:$U,$AK309)&amp;"")</f>
        <v/>
      </c>
      <c r="AG309" s="9" t="str">
        <f aca="false">IF($AK309=0,"",INDEX('Part types'!$V:$V,$AK309)&amp;"")</f>
        <v>Estimate: size class S</v>
      </c>
      <c r="AH309" s="9" t="str">
        <f aca="false">IF($AK309=0,"",INDEX('Part types'!$W:$W,$AK309)&amp;"")</f>
        <v/>
      </c>
      <c r="AI309" s="11" t="str">
        <f aca="false">IF($AK309=0,"",INDEX('Part types'!$X:$X,$AK309)&amp;"")</f>
        <v/>
      </c>
      <c r="AJ309" s="9" t="str">
        <f aca="false">IF($AK309=0,"",INDEX('Part types'!$Y:$Y,$AK309)&amp;"")</f>
        <v/>
      </c>
      <c r="AK309" s="9" t="n">
        <f aca="false">IFERROR(MATCH($AD309,'Part types'!$E:$E,0),0)</f>
        <v>259</v>
      </c>
    </row>
    <row r="310" customFormat="false" ht="15" hidden="false" customHeight="false" outlineLevel="0" collapsed="false">
      <c r="A310" s="9" t="s">
        <v>1566</v>
      </c>
      <c r="B310" s="9" t="s">
        <v>1528</v>
      </c>
      <c r="C310" s="9" t="s">
        <v>1562</v>
      </c>
      <c r="D310" s="9" t="str">
        <f aca="false">C310&amp;" - "&amp;E310</f>
        <v>Brake Hose - Front-Right</v>
      </c>
      <c r="E310" s="9" t="s">
        <v>1356</v>
      </c>
      <c r="F310" s="9" t="s">
        <v>1411</v>
      </c>
      <c r="G310" s="10" t="n">
        <f aca="false">IF($AK310=0,"",INDEX('Part types'!$P:$P,$AK310))</f>
        <v>15</v>
      </c>
      <c r="H310" s="10" t="n">
        <f aca="false">IF($AK310=0,"",INDEX('Part types'!$Q:$Q,$AK310))</f>
        <v>10</v>
      </c>
      <c r="I310" s="10" t="n">
        <f aca="false">IF($AK310=0,"",INDEX('Part types'!$R:$R,$AK310))</f>
        <v>8</v>
      </c>
      <c r="J310" s="10" t="n">
        <f aca="false">IF($AK310=0,"",INDEX('Part types'!$S:$S,$AK310))</f>
        <v>0.3</v>
      </c>
      <c r="K310" s="11" t="s">
        <v>1530</v>
      </c>
      <c r="L310" s="11" t="s">
        <v>1563</v>
      </c>
      <c r="M310" s="11" t="str">
        <f aca="false">L310&amp;" - "&amp;N310</f>
        <v>خرطوم الفرامل المطاطي - أمامي يمين</v>
      </c>
      <c r="N310" s="11" t="s">
        <v>1357</v>
      </c>
      <c r="O310" s="11" t="s">
        <v>1414</v>
      </c>
      <c r="P310" s="10" t="n">
        <f aca="false">G310</f>
        <v>15</v>
      </c>
      <c r="Q310" s="10" t="n">
        <f aca="false">H310</f>
        <v>10</v>
      </c>
      <c r="R310" s="10" t="n">
        <f aca="false">I310</f>
        <v>8</v>
      </c>
      <c r="S310" s="10" t="n">
        <f aca="false">J310</f>
        <v>0.3</v>
      </c>
      <c r="T310" s="12" t="s">
        <v>1532</v>
      </c>
      <c r="U310" s="12" t="s">
        <v>1564</v>
      </c>
      <c r="V310" s="9" t="str">
        <f aca="false">U310&amp;" - "&amp;W310</f>
        <v>制动软管 - 前右</v>
      </c>
      <c r="W310" s="12" t="s">
        <v>1358</v>
      </c>
      <c r="X310" s="12" t="s">
        <v>1417</v>
      </c>
      <c r="Y310" s="10" t="n">
        <f aca="false">G310</f>
        <v>15</v>
      </c>
      <c r="Z310" s="10" t="n">
        <f aca="false">H310</f>
        <v>10</v>
      </c>
      <c r="AA310" s="10" t="n">
        <f aca="false">I310</f>
        <v>8</v>
      </c>
      <c r="AB310" s="10" t="n">
        <f aca="false">J310</f>
        <v>0.3</v>
      </c>
      <c r="AC310" s="9" t="s">
        <v>1534</v>
      </c>
      <c r="AD310" s="9" t="s">
        <v>1565</v>
      </c>
      <c r="AE310" s="9" t="str">
        <f aca="false">IF($AK310=0,"",INDEX('Part types'!$T:$T,$AK310)&amp;"")</f>
        <v>All vehicles</v>
      </c>
      <c r="AF310" s="9" t="str">
        <f aca="false">IF($AK310=0,"",INDEX('Part types'!$U:$U,$AK310)&amp;"")</f>
        <v/>
      </c>
      <c r="AG310" s="9" t="str">
        <f aca="false">IF($AK310=0,"",INDEX('Part types'!$V:$V,$AK310)&amp;"")</f>
        <v>Estimate: size class S</v>
      </c>
      <c r="AH310" s="9" t="str">
        <f aca="false">IF($AK310=0,"",INDEX('Part types'!$W:$W,$AK310)&amp;"")</f>
        <v/>
      </c>
      <c r="AI310" s="11" t="str">
        <f aca="false">IF($AK310=0,"",INDEX('Part types'!$X:$X,$AK310)&amp;"")</f>
        <v/>
      </c>
      <c r="AJ310" s="9" t="str">
        <f aca="false">IF($AK310=0,"",INDEX('Part types'!$Y:$Y,$AK310)&amp;"")</f>
        <v/>
      </c>
      <c r="AK310" s="9" t="n">
        <f aca="false">IFERROR(MATCH($AD310,'Part types'!$E:$E,0),0)</f>
        <v>259</v>
      </c>
    </row>
    <row r="311" customFormat="false" ht="15" hidden="false" customHeight="false" outlineLevel="0" collapsed="false">
      <c r="A311" s="9" t="s">
        <v>1567</v>
      </c>
      <c r="B311" s="9" t="s">
        <v>1528</v>
      </c>
      <c r="C311" s="9" t="s">
        <v>1562</v>
      </c>
      <c r="D311" s="9" t="str">
        <f aca="false">C311&amp;" - "&amp;E311</f>
        <v>Brake Hose - Rear-Left</v>
      </c>
      <c r="E311" s="9" t="s">
        <v>1360</v>
      </c>
      <c r="F311" s="9" t="s">
        <v>1411</v>
      </c>
      <c r="G311" s="10" t="n">
        <f aca="false">IF($AK311=0,"",INDEX('Part types'!$P:$P,$AK311))</f>
        <v>15</v>
      </c>
      <c r="H311" s="10" t="n">
        <f aca="false">IF($AK311=0,"",INDEX('Part types'!$Q:$Q,$AK311))</f>
        <v>10</v>
      </c>
      <c r="I311" s="10" t="n">
        <f aca="false">IF($AK311=0,"",INDEX('Part types'!$R:$R,$AK311))</f>
        <v>8</v>
      </c>
      <c r="J311" s="10" t="n">
        <f aca="false">IF($AK311=0,"",INDEX('Part types'!$S:$S,$AK311))</f>
        <v>0.3</v>
      </c>
      <c r="K311" s="11" t="s">
        <v>1530</v>
      </c>
      <c r="L311" s="11" t="s">
        <v>1563</v>
      </c>
      <c r="M311" s="11" t="str">
        <f aca="false">L311&amp;" - "&amp;N311</f>
        <v>خرطوم الفرامل المطاطي - خلفي يسار</v>
      </c>
      <c r="N311" s="11" t="s">
        <v>1361</v>
      </c>
      <c r="O311" s="11" t="s">
        <v>1414</v>
      </c>
      <c r="P311" s="10" t="n">
        <f aca="false">G311</f>
        <v>15</v>
      </c>
      <c r="Q311" s="10" t="n">
        <f aca="false">H311</f>
        <v>10</v>
      </c>
      <c r="R311" s="10" t="n">
        <f aca="false">I311</f>
        <v>8</v>
      </c>
      <c r="S311" s="10" t="n">
        <f aca="false">J311</f>
        <v>0.3</v>
      </c>
      <c r="T311" s="12" t="s">
        <v>1532</v>
      </c>
      <c r="U311" s="12" t="s">
        <v>1564</v>
      </c>
      <c r="V311" s="9" t="str">
        <f aca="false">U311&amp;" - "&amp;W311</f>
        <v>制动软管 - 后左</v>
      </c>
      <c r="W311" s="12" t="s">
        <v>1362</v>
      </c>
      <c r="X311" s="12" t="s">
        <v>1417</v>
      </c>
      <c r="Y311" s="10" t="n">
        <f aca="false">G311</f>
        <v>15</v>
      </c>
      <c r="Z311" s="10" t="n">
        <f aca="false">H311</f>
        <v>10</v>
      </c>
      <c r="AA311" s="10" t="n">
        <f aca="false">I311</f>
        <v>8</v>
      </c>
      <c r="AB311" s="10" t="n">
        <f aca="false">J311</f>
        <v>0.3</v>
      </c>
      <c r="AC311" s="9" t="s">
        <v>1534</v>
      </c>
      <c r="AD311" s="9" t="s">
        <v>1565</v>
      </c>
      <c r="AE311" s="9" t="str">
        <f aca="false">IF($AK311=0,"",INDEX('Part types'!$T:$T,$AK311)&amp;"")</f>
        <v>All vehicles</v>
      </c>
      <c r="AF311" s="9" t="str">
        <f aca="false">IF($AK311=0,"",INDEX('Part types'!$U:$U,$AK311)&amp;"")</f>
        <v/>
      </c>
      <c r="AG311" s="9" t="str">
        <f aca="false">IF($AK311=0,"",INDEX('Part types'!$V:$V,$AK311)&amp;"")</f>
        <v>Estimate: size class S</v>
      </c>
      <c r="AH311" s="9" t="str">
        <f aca="false">IF($AK311=0,"",INDEX('Part types'!$W:$W,$AK311)&amp;"")</f>
        <v/>
      </c>
      <c r="AI311" s="11" t="str">
        <f aca="false">IF($AK311=0,"",INDEX('Part types'!$X:$X,$AK311)&amp;"")</f>
        <v/>
      </c>
      <c r="AJ311" s="9" t="str">
        <f aca="false">IF($AK311=0,"",INDEX('Part types'!$Y:$Y,$AK311)&amp;"")</f>
        <v/>
      </c>
      <c r="AK311" s="9" t="n">
        <f aca="false">IFERROR(MATCH($AD311,'Part types'!$E:$E,0),0)</f>
        <v>259</v>
      </c>
    </row>
    <row r="312" customFormat="false" ht="15" hidden="false" customHeight="false" outlineLevel="0" collapsed="false">
      <c r="A312" s="9" t="s">
        <v>1568</v>
      </c>
      <c r="B312" s="9" t="s">
        <v>1528</v>
      </c>
      <c r="C312" s="9" t="s">
        <v>1562</v>
      </c>
      <c r="D312" s="9" t="str">
        <f aca="false">C312&amp;" - "&amp;E312</f>
        <v>Brake Hose - Rear-Right</v>
      </c>
      <c r="E312" s="9" t="s">
        <v>1364</v>
      </c>
      <c r="F312" s="9" t="s">
        <v>1411</v>
      </c>
      <c r="G312" s="10" t="n">
        <f aca="false">IF($AK312=0,"",INDEX('Part types'!$P:$P,$AK312))</f>
        <v>15</v>
      </c>
      <c r="H312" s="10" t="n">
        <f aca="false">IF($AK312=0,"",INDEX('Part types'!$Q:$Q,$AK312))</f>
        <v>10</v>
      </c>
      <c r="I312" s="10" t="n">
        <f aca="false">IF($AK312=0,"",INDEX('Part types'!$R:$R,$AK312))</f>
        <v>8</v>
      </c>
      <c r="J312" s="10" t="n">
        <f aca="false">IF($AK312=0,"",INDEX('Part types'!$S:$S,$AK312))</f>
        <v>0.3</v>
      </c>
      <c r="K312" s="11" t="s">
        <v>1530</v>
      </c>
      <c r="L312" s="11" t="s">
        <v>1563</v>
      </c>
      <c r="M312" s="11" t="str">
        <f aca="false">L312&amp;" - "&amp;N312</f>
        <v>خرطوم الفرامل المطاطي - خلفي يمين</v>
      </c>
      <c r="N312" s="11" t="s">
        <v>1365</v>
      </c>
      <c r="O312" s="11" t="s">
        <v>1414</v>
      </c>
      <c r="P312" s="10" t="n">
        <f aca="false">G312</f>
        <v>15</v>
      </c>
      <c r="Q312" s="10" t="n">
        <f aca="false">H312</f>
        <v>10</v>
      </c>
      <c r="R312" s="10" t="n">
        <f aca="false">I312</f>
        <v>8</v>
      </c>
      <c r="S312" s="10" t="n">
        <f aca="false">J312</f>
        <v>0.3</v>
      </c>
      <c r="T312" s="12" t="s">
        <v>1532</v>
      </c>
      <c r="U312" s="12" t="s">
        <v>1564</v>
      </c>
      <c r="V312" s="9" t="str">
        <f aca="false">U312&amp;" - "&amp;W312</f>
        <v>制动软管 - 后右</v>
      </c>
      <c r="W312" s="12" t="s">
        <v>1366</v>
      </c>
      <c r="X312" s="12" t="s">
        <v>1417</v>
      </c>
      <c r="Y312" s="10" t="n">
        <f aca="false">G312</f>
        <v>15</v>
      </c>
      <c r="Z312" s="10" t="n">
        <f aca="false">H312</f>
        <v>10</v>
      </c>
      <c r="AA312" s="10" t="n">
        <f aca="false">I312</f>
        <v>8</v>
      </c>
      <c r="AB312" s="10" t="n">
        <f aca="false">J312</f>
        <v>0.3</v>
      </c>
      <c r="AC312" s="9" t="s">
        <v>1534</v>
      </c>
      <c r="AD312" s="9" t="s">
        <v>1565</v>
      </c>
      <c r="AE312" s="9" t="str">
        <f aca="false">IF($AK312=0,"",INDEX('Part types'!$T:$T,$AK312)&amp;"")</f>
        <v>All vehicles</v>
      </c>
      <c r="AF312" s="9" t="str">
        <f aca="false">IF($AK312=0,"",INDEX('Part types'!$U:$U,$AK312)&amp;"")</f>
        <v/>
      </c>
      <c r="AG312" s="9" t="str">
        <f aca="false">IF($AK312=0,"",INDEX('Part types'!$V:$V,$AK312)&amp;"")</f>
        <v>Estimate: size class S</v>
      </c>
      <c r="AH312" s="9" t="str">
        <f aca="false">IF($AK312=0,"",INDEX('Part types'!$W:$W,$AK312)&amp;"")</f>
        <v/>
      </c>
      <c r="AI312" s="11" t="str">
        <f aca="false">IF($AK312=0,"",INDEX('Part types'!$X:$X,$AK312)&amp;"")</f>
        <v/>
      </c>
      <c r="AJ312" s="9" t="str">
        <f aca="false">IF($AK312=0,"",INDEX('Part types'!$Y:$Y,$AK312)&amp;"")</f>
        <v/>
      </c>
      <c r="AK312" s="9" t="n">
        <f aca="false">IFERROR(MATCH($AD312,'Part types'!$E:$E,0),0)</f>
        <v>259</v>
      </c>
    </row>
    <row r="313" customFormat="false" ht="15" hidden="false" customHeight="false" outlineLevel="0" collapsed="false">
      <c r="A313" s="9" t="s">
        <v>1569</v>
      </c>
      <c r="B313" s="9" t="s">
        <v>1528</v>
      </c>
      <c r="C313" s="9" t="s">
        <v>1570</v>
      </c>
      <c r="D313" s="9" t="str">
        <f aca="false">C313&amp;" - "&amp;E313</f>
        <v>Brake Line - Front</v>
      </c>
      <c r="E313" s="9" t="s">
        <v>161</v>
      </c>
      <c r="F313" s="9" t="s">
        <v>237</v>
      </c>
      <c r="G313" s="10" t="n">
        <f aca="false">IF($AK313=0,"",INDEX('Part types'!$P:$P,$AK313))</f>
        <v>25</v>
      </c>
      <c r="H313" s="10" t="n">
        <f aca="false">IF($AK313=0,"",INDEX('Part types'!$Q:$Q,$AK313))</f>
        <v>15</v>
      </c>
      <c r="I313" s="10" t="n">
        <f aca="false">IF($AK313=0,"",INDEX('Part types'!$R:$R,$AK313))</f>
        <v>10</v>
      </c>
      <c r="J313" s="10" t="n">
        <f aca="false">IF($AK313=0,"",INDEX('Part types'!$S:$S,$AK313))</f>
        <v>0.9</v>
      </c>
      <c r="K313" s="11" t="s">
        <v>1530</v>
      </c>
      <c r="L313" s="11" t="s">
        <v>1571</v>
      </c>
      <c r="M313" s="11" t="str">
        <f aca="false">L313&amp;" - "&amp;N313</f>
        <v>ماسورة فرامل معدنية - أمامي</v>
      </c>
      <c r="N313" s="11" t="s">
        <v>163</v>
      </c>
      <c r="O313" s="11" t="s">
        <v>239</v>
      </c>
      <c r="P313" s="10" t="n">
        <f aca="false">G313</f>
        <v>25</v>
      </c>
      <c r="Q313" s="10" t="n">
        <f aca="false">H313</f>
        <v>15</v>
      </c>
      <c r="R313" s="10" t="n">
        <f aca="false">I313</f>
        <v>10</v>
      </c>
      <c r="S313" s="10" t="n">
        <f aca="false">J313</f>
        <v>0.9</v>
      </c>
      <c r="T313" s="12" t="s">
        <v>1532</v>
      </c>
      <c r="U313" s="12" t="s">
        <v>1572</v>
      </c>
      <c r="V313" s="9" t="str">
        <f aca="false">U313&amp;" - "&amp;W313</f>
        <v>制动硬管 - 前部</v>
      </c>
      <c r="W313" s="12" t="s">
        <v>165</v>
      </c>
      <c r="X313" s="12" t="s">
        <v>241</v>
      </c>
      <c r="Y313" s="10" t="n">
        <f aca="false">G313</f>
        <v>25</v>
      </c>
      <c r="Z313" s="10" t="n">
        <f aca="false">H313</f>
        <v>15</v>
      </c>
      <c r="AA313" s="10" t="n">
        <f aca="false">I313</f>
        <v>10</v>
      </c>
      <c r="AB313" s="10" t="n">
        <f aca="false">J313</f>
        <v>0.9</v>
      </c>
      <c r="AC313" s="9" t="s">
        <v>1534</v>
      </c>
      <c r="AD313" s="9" t="s">
        <v>1573</v>
      </c>
      <c r="AE313" s="9" t="str">
        <f aca="false">IF($AK313=0,"",INDEX('Part types'!$T:$T,$AK313)&amp;"")</f>
        <v>All vehicles</v>
      </c>
      <c r="AF313" s="9" t="str">
        <f aca="false">IF($AK313=0,"",INDEX('Part types'!$U:$U,$AK313)&amp;"")</f>
        <v/>
      </c>
      <c r="AG313" s="9" t="str">
        <f aca="false">IF($AK313=0,"",INDEX('Part types'!$V:$V,$AK313)&amp;"")</f>
        <v>Estimate: size class M</v>
      </c>
      <c r="AH313" s="9" t="str">
        <f aca="false">IF($AK313=0,"",INDEX('Part types'!$W:$W,$AK313)&amp;"")</f>
        <v>Hard Pipe</v>
      </c>
      <c r="AI313" s="11" t="str">
        <f aca="false">IF($AK313=0,"",INDEX('Part types'!$X:$X,$AK313)&amp;"")</f>
        <v/>
      </c>
      <c r="AJ313" s="9" t="str">
        <f aca="false">IF($AK313=0,"",INDEX('Part types'!$Y:$Y,$AK313)&amp;"")</f>
        <v/>
      </c>
      <c r="AK313" s="9" t="n">
        <f aca="false">IFERROR(MATCH($AD313,'Part types'!$E:$E,0),0)</f>
        <v>260</v>
      </c>
    </row>
    <row r="314" customFormat="false" ht="15" hidden="false" customHeight="false" outlineLevel="0" collapsed="false">
      <c r="A314" s="9" t="s">
        <v>1574</v>
      </c>
      <c r="B314" s="9" t="s">
        <v>1528</v>
      </c>
      <c r="C314" s="9" t="s">
        <v>1570</v>
      </c>
      <c r="D314" s="9" t="str">
        <f aca="false">C314&amp;" - "&amp;E314</f>
        <v>Brake Line - Rear</v>
      </c>
      <c r="E314" s="9" t="s">
        <v>168</v>
      </c>
      <c r="F314" s="9" t="s">
        <v>237</v>
      </c>
      <c r="G314" s="10" t="n">
        <f aca="false">IF($AK314=0,"",INDEX('Part types'!$P:$P,$AK314))</f>
        <v>25</v>
      </c>
      <c r="H314" s="10" t="n">
        <f aca="false">IF($AK314=0,"",INDEX('Part types'!$Q:$Q,$AK314))</f>
        <v>15</v>
      </c>
      <c r="I314" s="10" t="n">
        <f aca="false">IF($AK314=0,"",INDEX('Part types'!$R:$R,$AK314))</f>
        <v>10</v>
      </c>
      <c r="J314" s="10" t="n">
        <f aca="false">IF($AK314=0,"",INDEX('Part types'!$S:$S,$AK314))</f>
        <v>0.9</v>
      </c>
      <c r="K314" s="11" t="s">
        <v>1530</v>
      </c>
      <c r="L314" s="11" t="s">
        <v>1571</v>
      </c>
      <c r="M314" s="11" t="str">
        <f aca="false">L314&amp;" - "&amp;N314</f>
        <v>ماسورة فرامل معدنية - خلفي</v>
      </c>
      <c r="N314" s="11" t="s">
        <v>169</v>
      </c>
      <c r="O314" s="11" t="s">
        <v>239</v>
      </c>
      <c r="P314" s="10" t="n">
        <f aca="false">G314</f>
        <v>25</v>
      </c>
      <c r="Q314" s="10" t="n">
        <f aca="false">H314</f>
        <v>15</v>
      </c>
      <c r="R314" s="10" t="n">
        <f aca="false">I314</f>
        <v>10</v>
      </c>
      <c r="S314" s="10" t="n">
        <f aca="false">J314</f>
        <v>0.9</v>
      </c>
      <c r="T314" s="12" t="s">
        <v>1532</v>
      </c>
      <c r="U314" s="12" t="s">
        <v>1572</v>
      </c>
      <c r="V314" s="9" t="str">
        <f aca="false">U314&amp;" - "&amp;W314</f>
        <v>制动硬管 - 后部</v>
      </c>
      <c r="W314" s="12" t="s">
        <v>170</v>
      </c>
      <c r="X314" s="12" t="s">
        <v>241</v>
      </c>
      <c r="Y314" s="10" t="n">
        <f aca="false">G314</f>
        <v>25</v>
      </c>
      <c r="Z314" s="10" t="n">
        <f aca="false">H314</f>
        <v>15</v>
      </c>
      <c r="AA314" s="10" t="n">
        <f aca="false">I314</f>
        <v>10</v>
      </c>
      <c r="AB314" s="10" t="n">
        <f aca="false">J314</f>
        <v>0.9</v>
      </c>
      <c r="AC314" s="9" t="s">
        <v>1534</v>
      </c>
      <c r="AD314" s="9" t="s">
        <v>1573</v>
      </c>
      <c r="AE314" s="9" t="str">
        <f aca="false">IF($AK314=0,"",INDEX('Part types'!$T:$T,$AK314)&amp;"")</f>
        <v>All vehicles</v>
      </c>
      <c r="AF314" s="9" t="str">
        <f aca="false">IF($AK314=0,"",INDEX('Part types'!$U:$U,$AK314)&amp;"")</f>
        <v/>
      </c>
      <c r="AG314" s="9" t="str">
        <f aca="false">IF($AK314=0,"",INDEX('Part types'!$V:$V,$AK314)&amp;"")</f>
        <v>Estimate: size class M</v>
      </c>
      <c r="AH314" s="9" t="str">
        <f aca="false">IF($AK314=0,"",INDEX('Part types'!$W:$W,$AK314)&amp;"")</f>
        <v>Hard Pipe</v>
      </c>
      <c r="AI314" s="11" t="str">
        <f aca="false">IF($AK314=0,"",INDEX('Part types'!$X:$X,$AK314)&amp;"")</f>
        <v/>
      </c>
      <c r="AJ314" s="9" t="str">
        <f aca="false">IF($AK314=0,"",INDEX('Part types'!$Y:$Y,$AK314)&amp;"")</f>
        <v/>
      </c>
      <c r="AK314" s="9" t="n">
        <f aca="false">IFERROR(MATCH($AD314,'Part types'!$E:$E,0),0)</f>
        <v>260</v>
      </c>
    </row>
    <row r="315" customFormat="false" ht="15" hidden="false" customHeight="false" outlineLevel="0" collapsed="false">
      <c r="A315" s="9" t="s">
        <v>1575</v>
      </c>
      <c r="B315" s="9" t="s">
        <v>1528</v>
      </c>
      <c r="C315" s="9" t="s">
        <v>1576</v>
      </c>
      <c r="D315" s="9" t="str">
        <f aca="false">C315&amp;" - "&amp;E315</f>
        <v>Brake Proportioning Valve - Universal</v>
      </c>
      <c r="E315" s="9" t="s">
        <v>68</v>
      </c>
      <c r="F315" s="9" t="s">
        <v>1411</v>
      </c>
      <c r="G315" s="10" t="n">
        <f aca="false">IF($AK315=0,"",INDEX('Part types'!$P:$P,$AK315))</f>
        <v>15</v>
      </c>
      <c r="H315" s="10" t="n">
        <f aca="false">IF($AK315=0,"",INDEX('Part types'!$Q:$Q,$AK315))</f>
        <v>10</v>
      </c>
      <c r="I315" s="10" t="n">
        <f aca="false">IF($AK315=0,"",INDEX('Part types'!$R:$R,$AK315))</f>
        <v>8</v>
      </c>
      <c r="J315" s="10" t="n">
        <f aca="false">IF($AK315=0,"",INDEX('Part types'!$S:$S,$AK315))</f>
        <v>0.3</v>
      </c>
      <c r="K315" s="11" t="s">
        <v>1530</v>
      </c>
      <c r="L315" s="11" t="s">
        <v>1577</v>
      </c>
      <c r="M315" s="11" t="str">
        <f aca="false">L315&amp;" - "&amp;N315</f>
        <v>صمام توزيع قوة الفرامل - عام</v>
      </c>
      <c r="N315" s="11" t="s">
        <v>72</v>
      </c>
      <c r="O315" s="11" t="s">
        <v>1414</v>
      </c>
      <c r="P315" s="10" t="n">
        <f aca="false">G315</f>
        <v>15</v>
      </c>
      <c r="Q315" s="10" t="n">
        <f aca="false">H315</f>
        <v>10</v>
      </c>
      <c r="R315" s="10" t="n">
        <f aca="false">I315</f>
        <v>8</v>
      </c>
      <c r="S315" s="10" t="n">
        <f aca="false">J315</f>
        <v>0.3</v>
      </c>
      <c r="T315" s="12" t="s">
        <v>1532</v>
      </c>
      <c r="U315" s="12" t="s">
        <v>1578</v>
      </c>
      <c r="V315" s="9" t="str">
        <f aca="false">U315&amp;" - "&amp;W315</f>
        <v>制动力分配阀 - 通用</v>
      </c>
      <c r="W315" s="12" t="s">
        <v>76</v>
      </c>
      <c r="X315" s="12" t="s">
        <v>1417</v>
      </c>
      <c r="Y315" s="10" t="n">
        <f aca="false">G315</f>
        <v>15</v>
      </c>
      <c r="Z315" s="10" t="n">
        <f aca="false">H315</f>
        <v>10</v>
      </c>
      <c r="AA315" s="10" t="n">
        <f aca="false">I315</f>
        <v>8</v>
      </c>
      <c r="AB315" s="10" t="n">
        <f aca="false">J315</f>
        <v>0.3</v>
      </c>
      <c r="AC315" s="9" t="s">
        <v>1534</v>
      </c>
      <c r="AD315" s="9" t="s">
        <v>1579</v>
      </c>
      <c r="AE315" s="9" t="str">
        <f aca="false">IF($AK315=0,"",INDEX('Part types'!$T:$T,$AK315)&amp;"")</f>
        <v>All vehicles</v>
      </c>
      <c r="AF315" s="9" t="str">
        <f aca="false">IF($AK315=0,"",INDEX('Part types'!$U:$U,$AK315)&amp;"")</f>
        <v/>
      </c>
      <c r="AG315" s="9" t="str">
        <f aca="false">IF($AK315=0,"",INDEX('Part types'!$V:$V,$AK315)&amp;"")</f>
        <v>Estimate: size class S</v>
      </c>
      <c r="AH315" s="9" t="str">
        <f aca="false">IF($AK315=0,"",INDEX('Part types'!$W:$W,$AK315)&amp;"")</f>
        <v/>
      </c>
      <c r="AI315" s="11" t="str">
        <f aca="false">IF($AK315=0,"",INDEX('Part types'!$X:$X,$AK315)&amp;"")</f>
        <v/>
      </c>
      <c r="AJ315" s="9" t="str">
        <f aca="false">IF($AK315=0,"",INDEX('Part types'!$Y:$Y,$AK315)&amp;"")</f>
        <v/>
      </c>
      <c r="AK315" s="9" t="n">
        <f aca="false">IFERROR(MATCH($AD315,'Part types'!$E:$E,0),0)</f>
        <v>261</v>
      </c>
    </row>
    <row r="316" customFormat="false" ht="15" hidden="false" customHeight="false" outlineLevel="0" collapsed="false">
      <c r="A316" s="9" t="s">
        <v>1580</v>
      </c>
      <c r="B316" s="9" t="s">
        <v>1528</v>
      </c>
      <c r="C316" s="9" t="s">
        <v>1581</v>
      </c>
      <c r="D316" s="9" t="str">
        <f aca="false">C316&amp;" - "&amp;E316</f>
        <v>ABS Hydraulic Unit - Universal</v>
      </c>
      <c r="E316" s="9" t="s">
        <v>68</v>
      </c>
      <c r="F316" s="9" t="s">
        <v>69</v>
      </c>
      <c r="G316" s="10" t="n">
        <f aca="false">IF($AK316=0,"",INDEX('Part types'!$P:$P,$AK316))</f>
        <v>20</v>
      </c>
      <c r="H316" s="10" t="n">
        <f aca="false">IF($AK316=0,"",INDEX('Part types'!$Q:$Q,$AK316))</f>
        <v>15</v>
      </c>
      <c r="I316" s="10" t="n">
        <f aca="false">IF($AK316=0,"",INDEX('Part types'!$R:$R,$AK316))</f>
        <v>15</v>
      </c>
      <c r="J316" s="10" t="n">
        <f aca="false">IF($AK316=0,"",INDEX('Part types'!$S:$S,$AK316))</f>
        <v>3</v>
      </c>
      <c r="K316" s="11" t="s">
        <v>1530</v>
      </c>
      <c r="L316" s="11" t="s">
        <v>1582</v>
      </c>
      <c r="M316" s="11" t="str">
        <f aca="false">L316&amp;" - "&amp;N316</f>
        <v>وحدة ABS الهيدروليكية - عام</v>
      </c>
      <c r="N316" s="11" t="s">
        <v>72</v>
      </c>
      <c r="O316" s="11" t="s">
        <v>73</v>
      </c>
      <c r="P316" s="10" t="n">
        <f aca="false">G316</f>
        <v>20</v>
      </c>
      <c r="Q316" s="10" t="n">
        <f aca="false">H316</f>
        <v>15</v>
      </c>
      <c r="R316" s="10" t="n">
        <f aca="false">I316</f>
        <v>15</v>
      </c>
      <c r="S316" s="10" t="n">
        <f aca="false">J316</f>
        <v>3</v>
      </c>
      <c r="T316" s="12" t="s">
        <v>1532</v>
      </c>
      <c r="U316" s="9" t="s">
        <v>1583</v>
      </c>
      <c r="V316" s="9" t="str">
        <f aca="false">U316&amp;" - "&amp;W316</f>
        <v>ABS液压单元 - 通用</v>
      </c>
      <c r="W316" s="12" t="s">
        <v>76</v>
      </c>
      <c r="X316" s="12" t="s">
        <v>77</v>
      </c>
      <c r="Y316" s="10" t="n">
        <f aca="false">G316</f>
        <v>20</v>
      </c>
      <c r="Z316" s="10" t="n">
        <f aca="false">H316</f>
        <v>15</v>
      </c>
      <c r="AA316" s="10" t="n">
        <f aca="false">I316</f>
        <v>15</v>
      </c>
      <c r="AB316" s="10" t="n">
        <f aca="false">J316</f>
        <v>3</v>
      </c>
      <c r="AC316" s="9" t="s">
        <v>1534</v>
      </c>
      <c r="AD316" s="9" t="s">
        <v>1584</v>
      </c>
      <c r="AE316" s="9" t="str">
        <f aca="false">IF($AK316=0,"",INDEX('Part types'!$T:$T,$AK316)&amp;"")</f>
        <v>All vehicles</v>
      </c>
      <c r="AF316" s="9" t="str">
        <f aca="false">IF($AK316=0,"",INDEX('Part types'!$U:$U,$AK316)&amp;"")</f>
        <v/>
      </c>
      <c r="AG316" s="9" t="str">
        <f aca="false">IF($AK316=0,"",INDEX('Part types'!$V:$V,$AK316)&amp;"")</f>
        <v>Estimate: item-specific</v>
      </c>
      <c r="AH316" s="9" t="str">
        <f aca="false">IF($AK316=0,"",INDEX('Part types'!$W:$W,$AK316)&amp;"")</f>
        <v/>
      </c>
      <c r="AI316" s="11" t="str">
        <f aca="false">IF($AK316=0,"",INDEX('Part types'!$X:$X,$AK316)&amp;"")</f>
        <v/>
      </c>
      <c r="AJ316" s="9" t="str">
        <f aca="false">IF($AK316=0,"",INDEX('Part types'!$Y:$Y,$AK316)&amp;"")</f>
        <v/>
      </c>
      <c r="AK316" s="9" t="n">
        <f aca="false">IFERROR(MATCH($AD316,'Part types'!$E:$E,0),0)</f>
        <v>262</v>
      </c>
    </row>
    <row r="317" customFormat="false" ht="15" hidden="false" customHeight="false" outlineLevel="0" collapsed="false">
      <c r="A317" s="9" t="s">
        <v>1585</v>
      </c>
      <c r="B317" s="9" t="s">
        <v>1528</v>
      </c>
      <c r="C317" s="9" t="s">
        <v>1586</v>
      </c>
      <c r="D317" s="9" t="str">
        <f aca="false">C317&amp;" - "&amp;E317</f>
        <v>ABS Speed Sensor - Front-Left</v>
      </c>
      <c r="E317" s="9" t="s">
        <v>1346</v>
      </c>
      <c r="F317" s="9" t="s">
        <v>1510</v>
      </c>
      <c r="G317" s="10" t="n">
        <f aca="false">IF($AK317=0,"",INDEX('Part types'!$P:$P,$AK317))</f>
        <v>10</v>
      </c>
      <c r="H317" s="10" t="n">
        <f aca="false">IF($AK317=0,"",INDEX('Part types'!$Q:$Q,$AK317))</f>
        <v>8</v>
      </c>
      <c r="I317" s="10" t="n">
        <f aca="false">IF($AK317=0,"",INDEX('Part types'!$R:$R,$AK317))</f>
        <v>6</v>
      </c>
      <c r="J317" s="10" t="n">
        <f aca="false">IF($AK317=0,"",INDEX('Part types'!$S:$S,$AK317))</f>
        <v>0.1</v>
      </c>
      <c r="K317" s="11" t="s">
        <v>1530</v>
      </c>
      <c r="L317" s="11" t="s">
        <v>1587</v>
      </c>
      <c r="M317" s="11" t="str">
        <f aca="false">L317&amp;" - "&amp;N317</f>
        <v>حساس سرعة العجلة - أمامي يسار</v>
      </c>
      <c r="N317" s="11" t="s">
        <v>1349</v>
      </c>
      <c r="O317" s="11" t="s">
        <v>1512</v>
      </c>
      <c r="P317" s="10" t="n">
        <f aca="false">G317</f>
        <v>10</v>
      </c>
      <c r="Q317" s="10" t="n">
        <f aca="false">H317</f>
        <v>8</v>
      </c>
      <c r="R317" s="10" t="n">
        <f aca="false">I317</f>
        <v>6</v>
      </c>
      <c r="S317" s="10" t="n">
        <f aca="false">J317</f>
        <v>0.1</v>
      </c>
      <c r="T317" s="12" t="s">
        <v>1532</v>
      </c>
      <c r="U317" s="9" t="s">
        <v>1588</v>
      </c>
      <c r="V317" s="9" t="str">
        <f aca="false">U317&amp;" - "&amp;W317</f>
        <v>ABS轮速传感器 - 前左</v>
      </c>
      <c r="W317" s="12" t="s">
        <v>1352</v>
      </c>
      <c r="X317" s="12" t="s">
        <v>1514</v>
      </c>
      <c r="Y317" s="10" t="n">
        <f aca="false">G317</f>
        <v>10</v>
      </c>
      <c r="Z317" s="10" t="n">
        <f aca="false">H317</f>
        <v>8</v>
      </c>
      <c r="AA317" s="10" t="n">
        <f aca="false">I317</f>
        <v>6</v>
      </c>
      <c r="AB317" s="10" t="n">
        <f aca="false">J317</f>
        <v>0.1</v>
      </c>
      <c r="AC317" s="9" t="s">
        <v>1534</v>
      </c>
      <c r="AD317" s="9" t="s">
        <v>1589</v>
      </c>
      <c r="AE317" s="9" t="str">
        <f aca="false">IF($AK317=0,"",INDEX('Part types'!$T:$T,$AK317)&amp;"")</f>
        <v>All vehicles</v>
      </c>
      <c r="AF317" s="9" t="str">
        <f aca="false">IF($AK317=0,"",INDEX('Part types'!$U:$U,$AK317)&amp;"")</f>
        <v/>
      </c>
      <c r="AG317" s="9" t="str">
        <f aca="false">IF($AK317=0,"",INDEX('Part types'!$V:$V,$AK317)&amp;"")</f>
        <v>Estimate: size class XS</v>
      </c>
      <c r="AH317" s="9" t="str">
        <f aca="false">IF($AK317=0,"",INDEX('Part types'!$W:$W,$AK317)&amp;"")</f>
        <v>ABS Wheel Speed Sensor</v>
      </c>
      <c r="AI317" s="11" t="str">
        <f aca="false">IF($AK317=0,"",INDEX('Part types'!$X:$X,$AK317)&amp;"")</f>
        <v>ABS</v>
      </c>
      <c r="AJ317" s="9" t="str">
        <f aca="false">IF($AK317=0,"",INDEX('Part types'!$Y:$Y,$AK317)&amp;"")</f>
        <v/>
      </c>
      <c r="AK317" s="9" t="n">
        <f aca="false">IFERROR(MATCH($AD317,'Part types'!$E:$E,0),0)</f>
        <v>263</v>
      </c>
    </row>
    <row r="318" customFormat="false" ht="15" hidden="false" customHeight="false" outlineLevel="0" collapsed="false">
      <c r="A318" s="9" t="s">
        <v>1590</v>
      </c>
      <c r="B318" s="9" t="s">
        <v>1528</v>
      </c>
      <c r="C318" s="9" t="s">
        <v>1586</v>
      </c>
      <c r="D318" s="9" t="str">
        <f aca="false">C318&amp;" - "&amp;E318</f>
        <v>ABS Speed Sensor - Front-Right</v>
      </c>
      <c r="E318" s="9" t="s">
        <v>1356</v>
      </c>
      <c r="F318" s="9" t="s">
        <v>1510</v>
      </c>
      <c r="G318" s="10" t="n">
        <f aca="false">IF($AK318=0,"",INDEX('Part types'!$P:$P,$AK318))</f>
        <v>10</v>
      </c>
      <c r="H318" s="10" t="n">
        <f aca="false">IF($AK318=0,"",INDEX('Part types'!$Q:$Q,$AK318))</f>
        <v>8</v>
      </c>
      <c r="I318" s="10" t="n">
        <f aca="false">IF($AK318=0,"",INDEX('Part types'!$R:$R,$AK318))</f>
        <v>6</v>
      </c>
      <c r="J318" s="10" t="n">
        <f aca="false">IF($AK318=0,"",INDEX('Part types'!$S:$S,$AK318))</f>
        <v>0.1</v>
      </c>
      <c r="K318" s="11" t="s">
        <v>1530</v>
      </c>
      <c r="L318" s="11" t="s">
        <v>1587</v>
      </c>
      <c r="M318" s="11" t="str">
        <f aca="false">L318&amp;" - "&amp;N318</f>
        <v>حساس سرعة العجلة - أمامي يمين</v>
      </c>
      <c r="N318" s="11" t="s">
        <v>1357</v>
      </c>
      <c r="O318" s="11" t="s">
        <v>1512</v>
      </c>
      <c r="P318" s="10" t="n">
        <f aca="false">G318</f>
        <v>10</v>
      </c>
      <c r="Q318" s="10" t="n">
        <f aca="false">H318</f>
        <v>8</v>
      </c>
      <c r="R318" s="10" t="n">
        <f aca="false">I318</f>
        <v>6</v>
      </c>
      <c r="S318" s="10" t="n">
        <f aca="false">J318</f>
        <v>0.1</v>
      </c>
      <c r="T318" s="12" t="s">
        <v>1532</v>
      </c>
      <c r="U318" s="9" t="s">
        <v>1588</v>
      </c>
      <c r="V318" s="9" t="str">
        <f aca="false">U318&amp;" - "&amp;W318</f>
        <v>ABS轮速传感器 - 前右</v>
      </c>
      <c r="W318" s="12" t="s">
        <v>1358</v>
      </c>
      <c r="X318" s="12" t="s">
        <v>1514</v>
      </c>
      <c r="Y318" s="10" t="n">
        <f aca="false">G318</f>
        <v>10</v>
      </c>
      <c r="Z318" s="10" t="n">
        <f aca="false">H318</f>
        <v>8</v>
      </c>
      <c r="AA318" s="10" t="n">
        <f aca="false">I318</f>
        <v>6</v>
      </c>
      <c r="AB318" s="10" t="n">
        <f aca="false">J318</f>
        <v>0.1</v>
      </c>
      <c r="AC318" s="9" t="s">
        <v>1534</v>
      </c>
      <c r="AD318" s="9" t="s">
        <v>1589</v>
      </c>
      <c r="AE318" s="9" t="str">
        <f aca="false">IF($AK318=0,"",INDEX('Part types'!$T:$T,$AK318)&amp;"")</f>
        <v>All vehicles</v>
      </c>
      <c r="AF318" s="9" t="str">
        <f aca="false">IF($AK318=0,"",INDEX('Part types'!$U:$U,$AK318)&amp;"")</f>
        <v/>
      </c>
      <c r="AG318" s="9" t="str">
        <f aca="false">IF($AK318=0,"",INDEX('Part types'!$V:$V,$AK318)&amp;"")</f>
        <v>Estimate: size class XS</v>
      </c>
      <c r="AH318" s="9" t="str">
        <f aca="false">IF($AK318=0,"",INDEX('Part types'!$W:$W,$AK318)&amp;"")</f>
        <v>ABS Wheel Speed Sensor</v>
      </c>
      <c r="AI318" s="11" t="str">
        <f aca="false">IF($AK318=0,"",INDEX('Part types'!$X:$X,$AK318)&amp;"")</f>
        <v>ABS</v>
      </c>
      <c r="AJ318" s="9" t="str">
        <f aca="false">IF($AK318=0,"",INDEX('Part types'!$Y:$Y,$AK318)&amp;"")</f>
        <v/>
      </c>
      <c r="AK318" s="9" t="n">
        <f aca="false">IFERROR(MATCH($AD318,'Part types'!$E:$E,0),0)</f>
        <v>263</v>
      </c>
    </row>
    <row r="319" customFormat="false" ht="15" hidden="false" customHeight="false" outlineLevel="0" collapsed="false">
      <c r="A319" s="9" t="s">
        <v>1591</v>
      </c>
      <c r="B319" s="9" t="s">
        <v>1528</v>
      </c>
      <c r="C319" s="9" t="s">
        <v>1586</v>
      </c>
      <c r="D319" s="9" t="str">
        <f aca="false">C319&amp;" - "&amp;E319</f>
        <v>ABS Speed Sensor - Rear-Left</v>
      </c>
      <c r="E319" s="9" t="s">
        <v>1360</v>
      </c>
      <c r="F319" s="9" t="s">
        <v>1510</v>
      </c>
      <c r="G319" s="10" t="n">
        <f aca="false">IF($AK319=0,"",INDEX('Part types'!$P:$P,$AK319))</f>
        <v>10</v>
      </c>
      <c r="H319" s="10" t="n">
        <f aca="false">IF($AK319=0,"",INDEX('Part types'!$Q:$Q,$AK319))</f>
        <v>8</v>
      </c>
      <c r="I319" s="10" t="n">
        <f aca="false">IF($AK319=0,"",INDEX('Part types'!$R:$R,$AK319))</f>
        <v>6</v>
      </c>
      <c r="J319" s="10" t="n">
        <f aca="false">IF($AK319=0,"",INDEX('Part types'!$S:$S,$AK319))</f>
        <v>0.1</v>
      </c>
      <c r="K319" s="11" t="s">
        <v>1530</v>
      </c>
      <c r="L319" s="11" t="s">
        <v>1587</v>
      </c>
      <c r="M319" s="11" t="str">
        <f aca="false">L319&amp;" - "&amp;N319</f>
        <v>حساس سرعة العجلة - خلفي يسار</v>
      </c>
      <c r="N319" s="11" t="s">
        <v>1361</v>
      </c>
      <c r="O319" s="11" t="s">
        <v>1512</v>
      </c>
      <c r="P319" s="10" t="n">
        <f aca="false">G319</f>
        <v>10</v>
      </c>
      <c r="Q319" s="10" t="n">
        <f aca="false">H319</f>
        <v>8</v>
      </c>
      <c r="R319" s="10" t="n">
        <f aca="false">I319</f>
        <v>6</v>
      </c>
      <c r="S319" s="10" t="n">
        <f aca="false">J319</f>
        <v>0.1</v>
      </c>
      <c r="T319" s="12" t="s">
        <v>1532</v>
      </c>
      <c r="U319" s="9" t="s">
        <v>1588</v>
      </c>
      <c r="V319" s="9" t="str">
        <f aca="false">U319&amp;" - "&amp;W319</f>
        <v>ABS轮速传感器 - 后左</v>
      </c>
      <c r="W319" s="12" t="s">
        <v>1362</v>
      </c>
      <c r="X319" s="12" t="s">
        <v>1514</v>
      </c>
      <c r="Y319" s="10" t="n">
        <f aca="false">G319</f>
        <v>10</v>
      </c>
      <c r="Z319" s="10" t="n">
        <f aca="false">H319</f>
        <v>8</v>
      </c>
      <c r="AA319" s="10" t="n">
        <f aca="false">I319</f>
        <v>6</v>
      </c>
      <c r="AB319" s="10" t="n">
        <f aca="false">J319</f>
        <v>0.1</v>
      </c>
      <c r="AC319" s="9" t="s">
        <v>1534</v>
      </c>
      <c r="AD319" s="9" t="s">
        <v>1589</v>
      </c>
      <c r="AE319" s="9" t="str">
        <f aca="false">IF($AK319=0,"",INDEX('Part types'!$T:$T,$AK319)&amp;"")</f>
        <v>All vehicles</v>
      </c>
      <c r="AF319" s="9" t="str">
        <f aca="false">IF($AK319=0,"",INDEX('Part types'!$U:$U,$AK319)&amp;"")</f>
        <v/>
      </c>
      <c r="AG319" s="9" t="str">
        <f aca="false">IF($AK319=0,"",INDEX('Part types'!$V:$V,$AK319)&amp;"")</f>
        <v>Estimate: size class XS</v>
      </c>
      <c r="AH319" s="9" t="str">
        <f aca="false">IF($AK319=0,"",INDEX('Part types'!$W:$W,$AK319)&amp;"")</f>
        <v>ABS Wheel Speed Sensor</v>
      </c>
      <c r="AI319" s="11" t="str">
        <f aca="false">IF($AK319=0,"",INDEX('Part types'!$X:$X,$AK319)&amp;"")</f>
        <v>ABS</v>
      </c>
      <c r="AJ319" s="9" t="str">
        <f aca="false">IF($AK319=0,"",INDEX('Part types'!$Y:$Y,$AK319)&amp;"")</f>
        <v/>
      </c>
      <c r="AK319" s="9" t="n">
        <f aca="false">IFERROR(MATCH($AD319,'Part types'!$E:$E,0),0)</f>
        <v>263</v>
      </c>
    </row>
    <row r="320" customFormat="false" ht="15" hidden="false" customHeight="false" outlineLevel="0" collapsed="false">
      <c r="A320" s="9" t="s">
        <v>1592</v>
      </c>
      <c r="B320" s="9" t="s">
        <v>1528</v>
      </c>
      <c r="C320" s="9" t="s">
        <v>1586</v>
      </c>
      <c r="D320" s="9" t="str">
        <f aca="false">C320&amp;" - "&amp;E320</f>
        <v>ABS Speed Sensor - Rear-Right</v>
      </c>
      <c r="E320" s="9" t="s">
        <v>1364</v>
      </c>
      <c r="F320" s="9" t="s">
        <v>1510</v>
      </c>
      <c r="G320" s="10" t="n">
        <f aca="false">IF($AK320=0,"",INDEX('Part types'!$P:$P,$AK320))</f>
        <v>10</v>
      </c>
      <c r="H320" s="10" t="n">
        <f aca="false">IF($AK320=0,"",INDEX('Part types'!$Q:$Q,$AK320))</f>
        <v>8</v>
      </c>
      <c r="I320" s="10" t="n">
        <f aca="false">IF($AK320=0,"",INDEX('Part types'!$R:$R,$AK320))</f>
        <v>6</v>
      </c>
      <c r="J320" s="10" t="n">
        <f aca="false">IF($AK320=0,"",INDEX('Part types'!$S:$S,$AK320))</f>
        <v>0.1</v>
      </c>
      <c r="K320" s="11" t="s">
        <v>1530</v>
      </c>
      <c r="L320" s="11" t="s">
        <v>1587</v>
      </c>
      <c r="M320" s="11" t="str">
        <f aca="false">L320&amp;" - "&amp;N320</f>
        <v>حساس سرعة العجلة - خلفي يمين</v>
      </c>
      <c r="N320" s="11" t="s">
        <v>1365</v>
      </c>
      <c r="O320" s="11" t="s">
        <v>1512</v>
      </c>
      <c r="P320" s="10" t="n">
        <f aca="false">G320</f>
        <v>10</v>
      </c>
      <c r="Q320" s="10" t="n">
        <f aca="false">H320</f>
        <v>8</v>
      </c>
      <c r="R320" s="10" t="n">
        <f aca="false">I320</f>
        <v>6</v>
      </c>
      <c r="S320" s="10" t="n">
        <f aca="false">J320</f>
        <v>0.1</v>
      </c>
      <c r="T320" s="12" t="s">
        <v>1532</v>
      </c>
      <c r="U320" s="9" t="s">
        <v>1588</v>
      </c>
      <c r="V320" s="9" t="str">
        <f aca="false">U320&amp;" - "&amp;W320</f>
        <v>ABS轮速传感器 - 后右</v>
      </c>
      <c r="W320" s="12" t="s">
        <v>1366</v>
      </c>
      <c r="X320" s="12" t="s">
        <v>1514</v>
      </c>
      <c r="Y320" s="10" t="n">
        <f aca="false">G320</f>
        <v>10</v>
      </c>
      <c r="Z320" s="10" t="n">
        <f aca="false">H320</f>
        <v>8</v>
      </c>
      <c r="AA320" s="10" t="n">
        <f aca="false">I320</f>
        <v>6</v>
      </c>
      <c r="AB320" s="10" t="n">
        <f aca="false">J320</f>
        <v>0.1</v>
      </c>
      <c r="AC320" s="9" t="s">
        <v>1534</v>
      </c>
      <c r="AD320" s="9" t="s">
        <v>1589</v>
      </c>
      <c r="AE320" s="9" t="str">
        <f aca="false">IF($AK320=0,"",INDEX('Part types'!$T:$T,$AK320)&amp;"")</f>
        <v>All vehicles</v>
      </c>
      <c r="AF320" s="9" t="str">
        <f aca="false">IF($AK320=0,"",INDEX('Part types'!$U:$U,$AK320)&amp;"")</f>
        <v/>
      </c>
      <c r="AG320" s="9" t="str">
        <f aca="false">IF($AK320=0,"",INDEX('Part types'!$V:$V,$AK320)&amp;"")</f>
        <v>Estimate: size class XS</v>
      </c>
      <c r="AH320" s="9" t="str">
        <f aca="false">IF($AK320=0,"",INDEX('Part types'!$W:$W,$AK320)&amp;"")</f>
        <v>ABS Wheel Speed Sensor</v>
      </c>
      <c r="AI320" s="11" t="str">
        <f aca="false">IF($AK320=0,"",INDEX('Part types'!$X:$X,$AK320)&amp;"")</f>
        <v>ABS</v>
      </c>
      <c r="AJ320" s="9" t="str">
        <f aca="false">IF($AK320=0,"",INDEX('Part types'!$Y:$Y,$AK320)&amp;"")</f>
        <v/>
      </c>
      <c r="AK320" s="9" t="n">
        <f aca="false">IFERROR(MATCH($AD320,'Part types'!$E:$E,0),0)</f>
        <v>263</v>
      </c>
    </row>
    <row r="321" customFormat="false" ht="15" hidden="false" customHeight="false" outlineLevel="0" collapsed="false">
      <c r="A321" s="9" t="s">
        <v>1593</v>
      </c>
      <c r="B321" s="9" t="s">
        <v>1528</v>
      </c>
      <c r="C321" s="9" t="s">
        <v>1594</v>
      </c>
      <c r="D321" s="9" t="str">
        <f aca="false">C321&amp;" - "&amp;E321</f>
        <v>ABS Tone Ring - Front-Left</v>
      </c>
      <c r="E321" s="9" t="s">
        <v>1346</v>
      </c>
      <c r="F321" s="9" t="s">
        <v>1510</v>
      </c>
      <c r="G321" s="10" t="n">
        <f aca="false">IF($AK321=0,"",INDEX('Part types'!$P:$P,$AK321))</f>
        <v>15</v>
      </c>
      <c r="H321" s="10" t="n">
        <f aca="false">IF($AK321=0,"",INDEX('Part types'!$Q:$Q,$AK321))</f>
        <v>10</v>
      </c>
      <c r="I321" s="10" t="n">
        <f aca="false">IF($AK321=0,"",INDEX('Part types'!$R:$R,$AK321))</f>
        <v>8</v>
      </c>
      <c r="J321" s="10" t="n">
        <f aca="false">IF($AK321=0,"",INDEX('Part types'!$S:$S,$AK321))</f>
        <v>0.3</v>
      </c>
      <c r="K321" s="11" t="s">
        <v>1530</v>
      </c>
      <c r="L321" s="11" t="s">
        <v>1595</v>
      </c>
      <c r="M321" s="11" t="str">
        <f aca="false">L321&amp;" - "&amp;N321</f>
        <v>حلقة حساس ABS - أمامي يسار</v>
      </c>
      <c r="N321" s="11" t="s">
        <v>1349</v>
      </c>
      <c r="O321" s="11" t="s">
        <v>1512</v>
      </c>
      <c r="P321" s="10" t="n">
        <f aca="false">G321</f>
        <v>15</v>
      </c>
      <c r="Q321" s="10" t="n">
        <f aca="false">H321</f>
        <v>10</v>
      </c>
      <c r="R321" s="10" t="n">
        <f aca="false">I321</f>
        <v>8</v>
      </c>
      <c r="S321" s="10" t="n">
        <f aca="false">J321</f>
        <v>0.3</v>
      </c>
      <c r="T321" s="12" t="s">
        <v>1532</v>
      </c>
      <c r="U321" s="9" t="s">
        <v>1596</v>
      </c>
      <c r="V321" s="9" t="str">
        <f aca="false">U321&amp;" - "&amp;W321</f>
        <v>ABS齿圈 - 前左</v>
      </c>
      <c r="W321" s="12" t="s">
        <v>1352</v>
      </c>
      <c r="X321" s="12" t="s">
        <v>1514</v>
      </c>
      <c r="Y321" s="10" t="n">
        <f aca="false">G321</f>
        <v>15</v>
      </c>
      <c r="Z321" s="10" t="n">
        <f aca="false">H321</f>
        <v>10</v>
      </c>
      <c r="AA321" s="10" t="n">
        <f aca="false">I321</f>
        <v>8</v>
      </c>
      <c r="AB321" s="10" t="n">
        <f aca="false">J321</f>
        <v>0.3</v>
      </c>
      <c r="AC321" s="9" t="s">
        <v>1534</v>
      </c>
      <c r="AD321" s="9" t="s">
        <v>1597</v>
      </c>
      <c r="AE321" s="9" t="str">
        <f aca="false">IF($AK321=0,"",INDEX('Part types'!$T:$T,$AK321)&amp;"")</f>
        <v>All vehicles</v>
      </c>
      <c r="AF321" s="9" t="str">
        <f aca="false">IF($AK321=0,"",INDEX('Part types'!$U:$U,$AK321)&amp;"")</f>
        <v/>
      </c>
      <c r="AG321" s="9" t="str">
        <f aca="false">IF($AK321=0,"",INDEX('Part types'!$V:$V,$AK321)&amp;"")</f>
        <v>Estimate: size class S</v>
      </c>
      <c r="AH321" s="9" t="str">
        <f aca="false">IF($AK321=0,"",INDEX('Part types'!$W:$W,$AK321)&amp;"")</f>
        <v/>
      </c>
      <c r="AI321" s="11" t="str">
        <f aca="false">IF($AK321=0,"",INDEX('Part types'!$X:$X,$AK321)&amp;"")</f>
        <v/>
      </c>
      <c r="AJ321" s="9" t="str">
        <f aca="false">IF($AK321=0,"",INDEX('Part types'!$Y:$Y,$AK321)&amp;"")</f>
        <v/>
      </c>
      <c r="AK321" s="9" t="n">
        <f aca="false">IFERROR(MATCH($AD321,'Part types'!$E:$E,0),0)</f>
        <v>264</v>
      </c>
    </row>
    <row r="322" customFormat="false" ht="15" hidden="false" customHeight="false" outlineLevel="0" collapsed="false">
      <c r="A322" s="9" t="s">
        <v>1598</v>
      </c>
      <c r="B322" s="9" t="s">
        <v>1528</v>
      </c>
      <c r="C322" s="9" t="s">
        <v>1594</v>
      </c>
      <c r="D322" s="9" t="str">
        <f aca="false">C322&amp;" - "&amp;E322</f>
        <v>ABS Tone Ring - Front-Right</v>
      </c>
      <c r="E322" s="9" t="s">
        <v>1356</v>
      </c>
      <c r="F322" s="9" t="s">
        <v>1510</v>
      </c>
      <c r="G322" s="10" t="n">
        <f aca="false">IF($AK322=0,"",INDEX('Part types'!$P:$P,$AK322))</f>
        <v>15</v>
      </c>
      <c r="H322" s="10" t="n">
        <f aca="false">IF($AK322=0,"",INDEX('Part types'!$Q:$Q,$AK322))</f>
        <v>10</v>
      </c>
      <c r="I322" s="10" t="n">
        <f aca="false">IF($AK322=0,"",INDEX('Part types'!$R:$R,$AK322))</f>
        <v>8</v>
      </c>
      <c r="J322" s="10" t="n">
        <f aca="false">IF($AK322=0,"",INDEX('Part types'!$S:$S,$AK322))</f>
        <v>0.3</v>
      </c>
      <c r="K322" s="11" t="s">
        <v>1530</v>
      </c>
      <c r="L322" s="11" t="s">
        <v>1595</v>
      </c>
      <c r="M322" s="11" t="str">
        <f aca="false">L322&amp;" - "&amp;N322</f>
        <v>حلقة حساس ABS - أمامي يمين</v>
      </c>
      <c r="N322" s="11" t="s">
        <v>1357</v>
      </c>
      <c r="O322" s="11" t="s">
        <v>1512</v>
      </c>
      <c r="P322" s="10" t="n">
        <f aca="false">G322</f>
        <v>15</v>
      </c>
      <c r="Q322" s="10" t="n">
        <f aca="false">H322</f>
        <v>10</v>
      </c>
      <c r="R322" s="10" t="n">
        <f aca="false">I322</f>
        <v>8</v>
      </c>
      <c r="S322" s="10" t="n">
        <f aca="false">J322</f>
        <v>0.3</v>
      </c>
      <c r="T322" s="12" t="s">
        <v>1532</v>
      </c>
      <c r="U322" s="9" t="s">
        <v>1596</v>
      </c>
      <c r="V322" s="9" t="str">
        <f aca="false">U322&amp;" - "&amp;W322</f>
        <v>ABS齿圈 - 前右</v>
      </c>
      <c r="W322" s="12" t="s">
        <v>1358</v>
      </c>
      <c r="X322" s="12" t="s">
        <v>1514</v>
      </c>
      <c r="Y322" s="10" t="n">
        <f aca="false">G322</f>
        <v>15</v>
      </c>
      <c r="Z322" s="10" t="n">
        <f aca="false">H322</f>
        <v>10</v>
      </c>
      <c r="AA322" s="10" t="n">
        <f aca="false">I322</f>
        <v>8</v>
      </c>
      <c r="AB322" s="10" t="n">
        <f aca="false">J322</f>
        <v>0.3</v>
      </c>
      <c r="AC322" s="9" t="s">
        <v>1534</v>
      </c>
      <c r="AD322" s="9" t="s">
        <v>1597</v>
      </c>
      <c r="AE322" s="9" t="str">
        <f aca="false">IF($AK322=0,"",INDEX('Part types'!$T:$T,$AK322)&amp;"")</f>
        <v>All vehicles</v>
      </c>
      <c r="AF322" s="9" t="str">
        <f aca="false">IF($AK322=0,"",INDEX('Part types'!$U:$U,$AK322)&amp;"")</f>
        <v/>
      </c>
      <c r="AG322" s="9" t="str">
        <f aca="false">IF($AK322=0,"",INDEX('Part types'!$V:$V,$AK322)&amp;"")</f>
        <v>Estimate: size class S</v>
      </c>
      <c r="AH322" s="9" t="str">
        <f aca="false">IF($AK322=0,"",INDEX('Part types'!$W:$W,$AK322)&amp;"")</f>
        <v/>
      </c>
      <c r="AI322" s="11" t="str">
        <f aca="false">IF($AK322=0,"",INDEX('Part types'!$X:$X,$AK322)&amp;"")</f>
        <v/>
      </c>
      <c r="AJ322" s="9" t="str">
        <f aca="false">IF($AK322=0,"",INDEX('Part types'!$Y:$Y,$AK322)&amp;"")</f>
        <v/>
      </c>
      <c r="AK322" s="9" t="n">
        <f aca="false">IFERROR(MATCH($AD322,'Part types'!$E:$E,0),0)</f>
        <v>264</v>
      </c>
    </row>
    <row r="323" customFormat="false" ht="15" hidden="false" customHeight="false" outlineLevel="0" collapsed="false">
      <c r="A323" s="9" t="s">
        <v>1599</v>
      </c>
      <c r="B323" s="9" t="s">
        <v>1528</v>
      </c>
      <c r="C323" s="9" t="s">
        <v>1594</v>
      </c>
      <c r="D323" s="9" t="str">
        <f aca="false">C323&amp;" - "&amp;E323</f>
        <v>ABS Tone Ring - Rear-Left</v>
      </c>
      <c r="E323" s="9" t="s">
        <v>1360</v>
      </c>
      <c r="F323" s="9" t="s">
        <v>1510</v>
      </c>
      <c r="G323" s="10" t="n">
        <f aca="false">IF($AK323=0,"",INDEX('Part types'!$P:$P,$AK323))</f>
        <v>15</v>
      </c>
      <c r="H323" s="10" t="n">
        <f aca="false">IF($AK323=0,"",INDEX('Part types'!$Q:$Q,$AK323))</f>
        <v>10</v>
      </c>
      <c r="I323" s="10" t="n">
        <f aca="false">IF($AK323=0,"",INDEX('Part types'!$R:$R,$AK323))</f>
        <v>8</v>
      </c>
      <c r="J323" s="10" t="n">
        <f aca="false">IF($AK323=0,"",INDEX('Part types'!$S:$S,$AK323))</f>
        <v>0.3</v>
      </c>
      <c r="K323" s="11" t="s">
        <v>1530</v>
      </c>
      <c r="L323" s="11" t="s">
        <v>1595</v>
      </c>
      <c r="M323" s="11" t="str">
        <f aca="false">L323&amp;" - "&amp;N323</f>
        <v>حلقة حساس ABS - خلفي يسار</v>
      </c>
      <c r="N323" s="11" t="s">
        <v>1361</v>
      </c>
      <c r="O323" s="11" t="s">
        <v>1512</v>
      </c>
      <c r="P323" s="10" t="n">
        <f aca="false">G323</f>
        <v>15</v>
      </c>
      <c r="Q323" s="10" t="n">
        <f aca="false">H323</f>
        <v>10</v>
      </c>
      <c r="R323" s="10" t="n">
        <f aca="false">I323</f>
        <v>8</v>
      </c>
      <c r="S323" s="10" t="n">
        <f aca="false">J323</f>
        <v>0.3</v>
      </c>
      <c r="T323" s="12" t="s">
        <v>1532</v>
      </c>
      <c r="U323" s="9" t="s">
        <v>1596</v>
      </c>
      <c r="V323" s="9" t="str">
        <f aca="false">U323&amp;" - "&amp;W323</f>
        <v>ABS齿圈 - 后左</v>
      </c>
      <c r="W323" s="12" t="s">
        <v>1362</v>
      </c>
      <c r="X323" s="12" t="s">
        <v>1514</v>
      </c>
      <c r="Y323" s="10" t="n">
        <f aca="false">G323</f>
        <v>15</v>
      </c>
      <c r="Z323" s="10" t="n">
        <f aca="false">H323</f>
        <v>10</v>
      </c>
      <c r="AA323" s="10" t="n">
        <f aca="false">I323</f>
        <v>8</v>
      </c>
      <c r="AB323" s="10" t="n">
        <f aca="false">J323</f>
        <v>0.3</v>
      </c>
      <c r="AC323" s="9" t="s">
        <v>1534</v>
      </c>
      <c r="AD323" s="9" t="s">
        <v>1597</v>
      </c>
      <c r="AE323" s="9" t="str">
        <f aca="false">IF($AK323=0,"",INDEX('Part types'!$T:$T,$AK323)&amp;"")</f>
        <v>All vehicles</v>
      </c>
      <c r="AF323" s="9" t="str">
        <f aca="false">IF($AK323=0,"",INDEX('Part types'!$U:$U,$AK323)&amp;"")</f>
        <v/>
      </c>
      <c r="AG323" s="9" t="str">
        <f aca="false">IF($AK323=0,"",INDEX('Part types'!$V:$V,$AK323)&amp;"")</f>
        <v>Estimate: size class S</v>
      </c>
      <c r="AH323" s="9" t="str">
        <f aca="false">IF($AK323=0,"",INDEX('Part types'!$W:$W,$AK323)&amp;"")</f>
        <v/>
      </c>
      <c r="AI323" s="11" t="str">
        <f aca="false">IF($AK323=0,"",INDEX('Part types'!$X:$X,$AK323)&amp;"")</f>
        <v/>
      </c>
      <c r="AJ323" s="9" t="str">
        <f aca="false">IF($AK323=0,"",INDEX('Part types'!$Y:$Y,$AK323)&amp;"")</f>
        <v/>
      </c>
      <c r="AK323" s="9" t="n">
        <f aca="false">IFERROR(MATCH($AD323,'Part types'!$E:$E,0),0)</f>
        <v>264</v>
      </c>
    </row>
    <row r="324" customFormat="false" ht="15" hidden="false" customHeight="false" outlineLevel="0" collapsed="false">
      <c r="A324" s="9" t="s">
        <v>1600</v>
      </c>
      <c r="B324" s="9" t="s">
        <v>1528</v>
      </c>
      <c r="C324" s="9" t="s">
        <v>1594</v>
      </c>
      <c r="D324" s="9" t="str">
        <f aca="false">C324&amp;" - "&amp;E324</f>
        <v>ABS Tone Ring - Rear-Right</v>
      </c>
      <c r="E324" s="9" t="s">
        <v>1364</v>
      </c>
      <c r="F324" s="9" t="s">
        <v>1510</v>
      </c>
      <c r="G324" s="10" t="n">
        <f aca="false">IF($AK324=0,"",INDEX('Part types'!$P:$P,$AK324))</f>
        <v>15</v>
      </c>
      <c r="H324" s="10" t="n">
        <f aca="false">IF($AK324=0,"",INDEX('Part types'!$Q:$Q,$AK324))</f>
        <v>10</v>
      </c>
      <c r="I324" s="10" t="n">
        <f aca="false">IF($AK324=0,"",INDEX('Part types'!$R:$R,$AK324))</f>
        <v>8</v>
      </c>
      <c r="J324" s="10" t="n">
        <f aca="false">IF($AK324=0,"",INDEX('Part types'!$S:$S,$AK324))</f>
        <v>0.3</v>
      </c>
      <c r="K324" s="11" t="s">
        <v>1530</v>
      </c>
      <c r="L324" s="11" t="s">
        <v>1595</v>
      </c>
      <c r="M324" s="11" t="str">
        <f aca="false">L324&amp;" - "&amp;N324</f>
        <v>حلقة حساس ABS - خلفي يمين</v>
      </c>
      <c r="N324" s="11" t="s">
        <v>1365</v>
      </c>
      <c r="O324" s="11" t="s">
        <v>1512</v>
      </c>
      <c r="P324" s="10" t="n">
        <f aca="false">G324</f>
        <v>15</v>
      </c>
      <c r="Q324" s="10" t="n">
        <f aca="false">H324</f>
        <v>10</v>
      </c>
      <c r="R324" s="10" t="n">
        <f aca="false">I324</f>
        <v>8</v>
      </c>
      <c r="S324" s="10" t="n">
        <f aca="false">J324</f>
        <v>0.3</v>
      </c>
      <c r="T324" s="12" t="s">
        <v>1532</v>
      </c>
      <c r="U324" s="9" t="s">
        <v>1596</v>
      </c>
      <c r="V324" s="9" t="str">
        <f aca="false">U324&amp;" - "&amp;W324</f>
        <v>ABS齿圈 - 后右</v>
      </c>
      <c r="W324" s="12" t="s">
        <v>1366</v>
      </c>
      <c r="X324" s="12" t="s">
        <v>1514</v>
      </c>
      <c r="Y324" s="10" t="n">
        <f aca="false">G324</f>
        <v>15</v>
      </c>
      <c r="Z324" s="10" t="n">
        <f aca="false">H324</f>
        <v>10</v>
      </c>
      <c r="AA324" s="10" t="n">
        <f aca="false">I324</f>
        <v>8</v>
      </c>
      <c r="AB324" s="10" t="n">
        <f aca="false">J324</f>
        <v>0.3</v>
      </c>
      <c r="AC324" s="9" t="s">
        <v>1534</v>
      </c>
      <c r="AD324" s="9" t="s">
        <v>1597</v>
      </c>
      <c r="AE324" s="9" t="str">
        <f aca="false">IF($AK324=0,"",INDEX('Part types'!$T:$T,$AK324)&amp;"")</f>
        <v>All vehicles</v>
      </c>
      <c r="AF324" s="9" t="str">
        <f aca="false">IF($AK324=0,"",INDEX('Part types'!$U:$U,$AK324)&amp;"")</f>
        <v/>
      </c>
      <c r="AG324" s="9" t="str">
        <f aca="false">IF($AK324=0,"",INDEX('Part types'!$V:$V,$AK324)&amp;"")</f>
        <v>Estimate: size class S</v>
      </c>
      <c r="AH324" s="9" t="str">
        <f aca="false">IF($AK324=0,"",INDEX('Part types'!$W:$W,$AK324)&amp;"")</f>
        <v/>
      </c>
      <c r="AI324" s="11" t="str">
        <f aca="false">IF($AK324=0,"",INDEX('Part types'!$X:$X,$AK324)&amp;"")</f>
        <v/>
      </c>
      <c r="AJ324" s="9" t="str">
        <f aca="false">IF($AK324=0,"",INDEX('Part types'!$Y:$Y,$AK324)&amp;"")</f>
        <v/>
      </c>
      <c r="AK324" s="9" t="n">
        <f aca="false">IFERROR(MATCH($AD324,'Part types'!$E:$E,0),0)</f>
        <v>264</v>
      </c>
    </row>
    <row r="325" customFormat="false" ht="15" hidden="false" customHeight="false" outlineLevel="0" collapsed="false">
      <c r="A325" s="9" t="s">
        <v>1601</v>
      </c>
      <c r="B325" s="9" t="s">
        <v>1528</v>
      </c>
      <c r="C325" s="9" t="s">
        <v>1602</v>
      </c>
      <c r="D325" s="9" t="str">
        <f aca="false">C325&amp;" - "&amp;E325</f>
        <v>Brake Bleeder Screw - Front-Left</v>
      </c>
      <c r="E325" s="9" t="s">
        <v>1346</v>
      </c>
      <c r="F325" s="9" t="s">
        <v>1411</v>
      </c>
      <c r="G325" s="10" t="n">
        <f aca="false">IF($AK325=0,"",INDEX('Part types'!$P:$P,$AK325))</f>
        <v>6</v>
      </c>
      <c r="H325" s="10" t="n">
        <f aca="false">IF($AK325=0,"",INDEX('Part types'!$Q:$Q,$AK325))</f>
        <v>4</v>
      </c>
      <c r="I325" s="10" t="n">
        <f aca="false">IF($AK325=0,"",INDEX('Part types'!$R:$R,$AK325))</f>
        <v>3</v>
      </c>
      <c r="J325" s="10" t="n">
        <f aca="false">IF($AK325=0,"",INDEX('Part types'!$S:$S,$AK325))</f>
        <v>0.02</v>
      </c>
      <c r="K325" s="11" t="s">
        <v>1530</v>
      </c>
      <c r="L325" s="11" t="s">
        <v>1603</v>
      </c>
      <c r="M325" s="11" t="str">
        <f aca="false">L325&amp;" - "&amp;N325</f>
        <v>برغي تهوية الفرامل - أمامي يسار</v>
      </c>
      <c r="N325" s="11" t="s">
        <v>1349</v>
      </c>
      <c r="O325" s="11" t="s">
        <v>1414</v>
      </c>
      <c r="P325" s="10" t="n">
        <f aca="false">G325</f>
        <v>6</v>
      </c>
      <c r="Q325" s="10" t="n">
        <f aca="false">H325</f>
        <v>4</v>
      </c>
      <c r="R325" s="10" t="n">
        <f aca="false">I325</f>
        <v>3</v>
      </c>
      <c r="S325" s="10" t="n">
        <f aca="false">J325</f>
        <v>0.02</v>
      </c>
      <c r="T325" s="12" t="s">
        <v>1532</v>
      </c>
      <c r="U325" s="12" t="s">
        <v>1604</v>
      </c>
      <c r="V325" s="9" t="str">
        <f aca="false">U325&amp;" - "&amp;W325</f>
        <v>制动放气螺丝 - 前左</v>
      </c>
      <c r="W325" s="12" t="s">
        <v>1352</v>
      </c>
      <c r="X325" s="12" t="s">
        <v>1417</v>
      </c>
      <c r="Y325" s="10" t="n">
        <f aca="false">G325</f>
        <v>6</v>
      </c>
      <c r="Z325" s="10" t="n">
        <f aca="false">H325</f>
        <v>4</v>
      </c>
      <c r="AA325" s="10" t="n">
        <f aca="false">I325</f>
        <v>3</v>
      </c>
      <c r="AB325" s="10" t="n">
        <f aca="false">J325</f>
        <v>0.02</v>
      </c>
      <c r="AC325" s="9" t="s">
        <v>1534</v>
      </c>
      <c r="AD325" s="9" t="s">
        <v>1605</v>
      </c>
      <c r="AE325" s="9" t="str">
        <f aca="false">IF($AK325=0,"",INDEX('Part types'!$T:$T,$AK325)&amp;"")</f>
        <v>All vehicles</v>
      </c>
      <c r="AF325" s="9" t="str">
        <f aca="false">IF($AK325=0,"",INDEX('Part types'!$U:$U,$AK325)&amp;"")</f>
        <v/>
      </c>
      <c r="AG325" s="9" t="str">
        <f aca="false">IF($AK325=0,"",INDEX('Part types'!$V:$V,$AK325)&amp;"")</f>
        <v>Estimate: size class T</v>
      </c>
      <c r="AH325" s="9" t="str">
        <f aca="false">IF($AK325=0,"",INDEX('Part types'!$W:$W,$AK325)&amp;"")</f>
        <v/>
      </c>
      <c r="AI325" s="11" t="str">
        <f aca="false">IF($AK325=0,"",INDEX('Part types'!$X:$X,$AK325)&amp;"")</f>
        <v/>
      </c>
      <c r="AJ325" s="9" t="str">
        <f aca="false">IF($AK325=0,"",INDEX('Part types'!$Y:$Y,$AK325)&amp;"")</f>
        <v/>
      </c>
      <c r="AK325" s="9" t="n">
        <f aca="false">IFERROR(MATCH($AD325,'Part types'!$E:$E,0),0)</f>
        <v>265</v>
      </c>
    </row>
    <row r="326" customFormat="false" ht="15" hidden="false" customHeight="false" outlineLevel="0" collapsed="false">
      <c r="A326" s="9" t="s">
        <v>1606</v>
      </c>
      <c r="B326" s="9" t="s">
        <v>1528</v>
      </c>
      <c r="C326" s="9" t="s">
        <v>1602</v>
      </c>
      <c r="D326" s="9" t="str">
        <f aca="false">C326&amp;" - "&amp;E326</f>
        <v>Brake Bleeder Screw - Front-Right</v>
      </c>
      <c r="E326" s="9" t="s">
        <v>1356</v>
      </c>
      <c r="F326" s="9" t="s">
        <v>1411</v>
      </c>
      <c r="G326" s="10" t="n">
        <f aca="false">IF($AK326=0,"",INDEX('Part types'!$P:$P,$AK326))</f>
        <v>6</v>
      </c>
      <c r="H326" s="10" t="n">
        <f aca="false">IF($AK326=0,"",INDEX('Part types'!$Q:$Q,$AK326))</f>
        <v>4</v>
      </c>
      <c r="I326" s="10" t="n">
        <f aca="false">IF($AK326=0,"",INDEX('Part types'!$R:$R,$AK326))</f>
        <v>3</v>
      </c>
      <c r="J326" s="10" t="n">
        <f aca="false">IF($AK326=0,"",INDEX('Part types'!$S:$S,$AK326))</f>
        <v>0.02</v>
      </c>
      <c r="K326" s="11" t="s">
        <v>1530</v>
      </c>
      <c r="L326" s="11" t="s">
        <v>1603</v>
      </c>
      <c r="M326" s="11" t="str">
        <f aca="false">L326&amp;" - "&amp;N326</f>
        <v>برغي تهوية الفرامل - أمامي يمين</v>
      </c>
      <c r="N326" s="11" t="s">
        <v>1357</v>
      </c>
      <c r="O326" s="11" t="s">
        <v>1414</v>
      </c>
      <c r="P326" s="10" t="n">
        <f aca="false">G326</f>
        <v>6</v>
      </c>
      <c r="Q326" s="10" t="n">
        <f aca="false">H326</f>
        <v>4</v>
      </c>
      <c r="R326" s="10" t="n">
        <f aca="false">I326</f>
        <v>3</v>
      </c>
      <c r="S326" s="10" t="n">
        <f aca="false">J326</f>
        <v>0.02</v>
      </c>
      <c r="T326" s="12" t="s">
        <v>1532</v>
      </c>
      <c r="U326" s="12" t="s">
        <v>1604</v>
      </c>
      <c r="V326" s="9" t="str">
        <f aca="false">U326&amp;" - "&amp;W326</f>
        <v>制动放气螺丝 - 前右</v>
      </c>
      <c r="W326" s="12" t="s">
        <v>1358</v>
      </c>
      <c r="X326" s="12" t="s">
        <v>1417</v>
      </c>
      <c r="Y326" s="10" t="n">
        <f aca="false">G326</f>
        <v>6</v>
      </c>
      <c r="Z326" s="10" t="n">
        <f aca="false">H326</f>
        <v>4</v>
      </c>
      <c r="AA326" s="10" t="n">
        <f aca="false">I326</f>
        <v>3</v>
      </c>
      <c r="AB326" s="10" t="n">
        <f aca="false">J326</f>
        <v>0.02</v>
      </c>
      <c r="AC326" s="9" t="s">
        <v>1534</v>
      </c>
      <c r="AD326" s="9" t="s">
        <v>1605</v>
      </c>
      <c r="AE326" s="9" t="str">
        <f aca="false">IF($AK326=0,"",INDEX('Part types'!$T:$T,$AK326)&amp;"")</f>
        <v>All vehicles</v>
      </c>
      <c r="AF326" s="9" t="str">
        <f aca="false">IF($AK326=0,"",INDEX('Part types'!$U:$U,$AK326)&amp;"")</f>
        <v/>
      </c>
      <c r="AG326" s="9" t="str">
        <f aca="false">IF($AK326=0,"",INDEX('Part types'!$V:$V,$AK326)&amp;"")</f>
        <v>Estimate: size class T</v>
      </c>
      <c r="AH326" s="9" t="str">
        <f aca="false">IF($AK326=0,"",INDEX('Part types'!$W:$W,$AK326)&amp;"")</f>
        <v/>
      </c>
      <c r="AI326" s="11" t="str">
        <f aca="false">IF($AK326=0,"",INDEX('Part types'!$X:$X,$AK326)&amp;"")</f>
        <v/>
      </c>
      <c r="AJ326" s="9" t="str">
        <f aca="false">IF($AK326=0,"",INDEX('Part types'!$Y:$Y,$AK326)&amp;"")</f>
        <v/>
      </c>
      <c r="AK326" s="9" t="n">
        <f aca="false">IFERROR(MATCH($AD326,'Part types'!$E:$E,0),0)</f>
        <v>265</v>
      </c>
    </row>
    <row r="327" customFormat="false" ht="15" hidden="false" customHeight="false" outlineLevel="0" collapsed="false">
      <c r="A327" s="9" t="s">
        <v>1607</v>
      </c>
      <c r="B327" s="9" t="s">
        <v>1528</v>
      </c>
      <c r="C327" s="9" t="s">
        <v>1602</v>
      </c>
      <c r="D327" s="9" t="str">
        <f aca="false">C327&amp;" - "&amp;E327</f>
        <v>Brake Bleeder Screw - Rear-Left</v>
      </c>
      <c r="E327" s="9" t="s">
        <v>1360</v>
      </c>
      <c r="F327" s="9" t="s">
        <v>1411</v>
      </c>
      <c r="G327" s="10" t="n">
        <f aca="false">IF($AK327=0,"",INDEX('Part types'!$P:$P,$AK327))</f>
        <v>6</v>
      </c>
      <c r="H327" s="10" t="n">
        <f aca="false">IF($AK327=0,"",INDEX('Part types'!$Q:$Q,$AK327))</f>
        <v>4</v>
      </c>
      <c r="I327" s="10" t="n">
        <f aca="false">IF($AK327=0,"",INDEX('Part types'!$R:$R,$AK327))</f>
        <v>3</v>
      </c>
      <c r="J327" s="10" t="n">
        <f aca="false">IF($AK327=0,"",INDEX('Part types'!$S:$S,$AK327))</f>
        <v>0.02</v>
      </c>
      <c r="K327" s="11" t="s">
        <v>1530</v>
      </c>
      <c r="L327" s="11" t="s">
        <v>1603</v>
      </c>
      <c r="M327" s="11" t="str">
        <f aca="false">L327&amp;" - "&amp;N327</f>
        <v>برغي تهوية الفرامل - خلفي يسار</v>
      </c>
      <c r="N327" s="11" t="s">
        <v>1361</v>
      </c>
      <c r="O327" s="11" t="s">
        <v>1414</v>
      </c>
      <c r="P327" s="10" t="n">
        <f aca="false">G327</f>
        <v>6</v>
      </c>
      <c r="Q327" s="10" t="n">
        <f aca="false">H327</f>
        <v>4</v>
      </c>
      <c r="R327" s="10" t="n">
        <f aca="false">I327</f>
        <v>3</v>
      </c>
      <c r="S327" s="10" t="n">
        <f aca="false">J327</f>
        <v>0.02</v>
      </c>
      <c r="T327" s="12" t="s">
        <v>1532</v>
      </c>
      <c r="U327" s="12" t="s">
        <v>1604</v>
      </c>
      <c r="V327" s="9" t="str">
        <f aca="false">U327&amp;" - "&amp;W327</f>
        <v>制动放气螺丝 - 后左</v>
      </c>
      <c r="W327" s="12" t="s">
        <v>1362</v>
      </c>
      <c r="X327" s="12" t="s">
        <v>1417</v>
      </c>
      <c r="Y327" s="10" t="n">
        <f aca="false">G327</f>
        <v>6</v>
      </c>
      <c r="Z327" s="10" t="n">
        <f aca="false">H327</f>
        <v>4</v>
      </c>
      <c r="AA327" s="10" t="n">
        <f aca="false">I327</f>
        <v>3</v>
      </c>
      <c r="AB327" s="10" t="n">
        <f aca="false">J327</f>
        <v>0.02</v>
      </c>
      <c r="AC327" s="9" t="s">
        <v>1534</v>
      </c>
      <c r="AD327" s="9" t="s">
        <v>1605</v>
      </c>
      <c r="AE327" s="9" t="str">
        <f aca="false">IF($AK327=0,"",INDEX('Part types'!$T:$T,$AK327)&amp;"")</f>
        <v>All vehicles</v>
      </c>
      <c r="AF327" s="9" t="str">
        <f aca="false">IF($AK327=0,"",INDEX('Part types'!$U:$U,$AK327)&amp;"")</f>
        <v/>
      </c>
      <c r="AG327" s="9" t="str">
        <f aca="false">IF($AK327=0,"",INDEX('Part types'!$V:$V,$AK327)&amp;"")</f>
        <v>Estimate: size class T</v>
      </c>
      <c r="AH327" s="9" t="str">
        <f aca="false">IF($AK327=0,"",INDEX('Part types'!$W:$W,$AK327)&amp;"")</f>
        <v/>
      </c>
      <c r="AI327" s="11" t="str">
        <f aca="false">IF($AK327=0,"",INDEX('Part types'!$X:$X,$AK327)&amp;"")</f>
        <v/>
      </c>
      <c r="AJ327" s="9" t="str">
        <f aca="false">IF($AK327=0,"",INDEX('Part types'!$Y:$Y,$AK327)&amp;"")</f>
        <v/>
      </c>
      <c r="AK327" s="9" t="n">
        <f aca="false">IFERROR(MATCH($AD327,'Part types'!$E:$E,0),0)</f>
        <v>265</v>
      </c>
    </row>
    <row r="328" customFormat="false" ht="15" hidden="false" customHeight="false" outlineLevel="0" collapsed="false">
      <c r="A328" s="9" t="s">
        <v>1608</v>
      </c>
      <c r="B328" s="9" t="s">
        <v>1528</v>
      </c>
      <c r="C328" s="9" t="s">
        <v>1602</v>
      </c>
      <c r="D328" s="9" t="str">
        <f aca="false">C328&amp;" - "&amp;E328</f>
        <v>Brake Bleeder Screw - Rear-Right</v>
      </c>
      <c r="E328" s="9" t="s">
        <v>1364</v>
      </c>
      <c r="F328" s="9" t="s">
        <v>1411</v>
      </c>
      <c r="G328" s="10" t="n">
        <f aca="false">IF($AK328=0,"",INDEX('Part types'!$P:$P,$AK328))</f>
        <v>6</v>
      </c>
      <c r="H328" s="10" t="n">
        <f aca="false">IF($AK328=0,"",INDEX('Part types'!$Q:$Q,$AK328))</f>
        <v>4</v>
      </c>
      <c r="I328" s="10" t="n">
        <f aca="false">IF($AK328=0,"",INDEX('Part types'!$R:$R,$AK328))</f>
        <v>3</v>
      </c>
      <c r="J328" s="10" t="n">
        <f aca="false">IF($AK328=0,"",INDEX('Part types'!$S:$S,$AK328))</f>
        <v>0.02</v>
      </c>
      <c r="K328" s="11" t="s">
        <v>1530</v>
      </c>
      <c r="L328" s="11" t="s">
        <v>1603</v>
      </c>
      <c r="M328" s="11" t="str">
        <f aca="false">L328&amp;" - "&amp;N328</f>
        <v>برغي تهوية الفرامل - خلفي يمين</v>
      </c>
      <c r="N328" s="11" t="s">
        <v>1365</v>
      </c>
      <c r="O328" s="11" t="s">
        <v>1414</v>
      </c>
      <c r="P328" s="10" t="n">
        <f aca="false">G328</f>
        <v>6</v>
      </c>
      <c r="Q328" s="10" t="n">
        <f aca="false">H328</f>
        <v>4</v>
      </c>
      <c r="R328" s="10" t="n">
        <f aca="false">I328</f>
        <v>3</v>
      </c>
      <c r="S328" s="10" t="n">
        <f aca="false">J328</f>
        <v>0.02</v>
      </c>
      <c r="T328" s="12" t="s">
        <v>1532</v>
      </c>
      <c r="U328" s="12" t="s">
        <v>1604</v>
      </c>
      <c r="V328" s="9" t="str">
        <f aca="false">U328&amp;" - "&amp;W328</f>
        <v>制动放气螺丝 - 后右</v>
      </c>
      <c r="W328" s="12" t="s">
        <v>1366</v>
      </c>
      <c r="X328" s="12" t="s">
        <v>1417</v>
      </c>
      <c r="Y328" s="10" t="n">
        <f aca="false">G328</f>
        <v>6</v>
      </c>
      <c r="Z328" s="10" t="n">
        <f aca="false">H328</f>
        <v>4</v>
      </c>
      <c r="AA328" s="10" t="n">
        <f aca="false">I328</f>
        <v>3</v>
      </c>
      <c r="AB328" s="10" t="n">
        <f aca="false">J328</f>
        <v>0.02</v>
      </c>
      <c r="AC328" s="9" t="s">
        <v>1534</v>
      </c>
      <c r="AD328" s="9" t="s">
        <v>1605</v>
      </c>
      <c r="AE328" s="9" t="str">
        <f aca="false">IF($AK328=0,"",INDEX('Part types'!$T:$T,$AK328)&amp;"")</f>
        <v>All vehicles</v>
      </c>
      <c r="AF328" s="9" t="str">
        <f aca="false">IF($AK328=0,"",INDEX('Part types'!$U:$U,$AK328)&amp;"")</f>
        <v/>
      </c>
      <c r="AG328" s="9" t="str">
        <f aca="false">IF($AK328=0,"",INDEX('Part types'!$V:$V,$AK328)&amp;"")</f>
        <v>Estimate: size class T</v>
      </c>
      <c r="AH328" s="9" t="str">
        <f aca="false">IF($AK328=0,"",INDEX('Part types'!$W:$W,$AK328)&amp;"")</f>
        <v/>
      </c>
      <c r="AI328" s="11" t="str">
        <f aca="false">IF($AK328=0,"",INDEX('Part types'!$X:$X,$AK328)&amp;"")</f>
        <v/>
      </c>
      <c r="AJ328" s="9" t="str">
        <f aca="false">IF($AK328=0,"",INDEX('Part types'!$Y:$Y,$AK328)&amp;"")</f>
        <v/>
      </c>
      <c r="AK328" s="9" t="n">
        <f aca="false">IFERROR(MATCH($AD328,'Part types'!$E:$E,0),0)</f>
        <v>265</v>
      </c>
    </row>
    <row r="329" customFormat="false" ht="15" hidden="false" customHeight="false" outlineLevel="0" collapsed="false">
      <c r="A329" s="9" t="s">
        <v>1609</v>
      </c>
      <c r="B329" s="9" t="s">
        <v>1610</v>
      </c>
      <c r="C329" s="9" t="s">
        <v>1611</v>
      </c>
      <c r="D329" s="9" t="str">
        <f aca="false">C329&amp;" - "&amp;E329</f>
        <v>Shock Absorber - Front-Left</v>
      </c>
      <c r="E329" s="9" t="s">
        <v>1346</v>
      </c>
      <c r="F329" s="9" t="s">
        <v>1612</v>
      </c>
      <c r="G329" s="10" t="n">
        <f aca="false">IF($AK329=0,"",INDEX('Part types'!$P:$P,$AK329))</f>
        <v>60</v>
      </c>
      <c r="H329" s="10" t="n">
        <f aca="false">IF($AK329=0,"",INDEX('Part types'!$Q:$Q,$AK329))</f>
        <v>12</v>
      </c>
      <c r="I329" s="10" t="n">
        <f aca="false">IF($AK329=0,"",INDEX('Part types'!$R:$R,$AK329))</f>
        <v>12</v>
      </c>
      <c r="J329" s="10" t="n">
        <f aca="false">IF($AK329=0,"",INDEX('Part types'!$S:$S,$AK329))</f>
        <v>3.5</v>
      </c>
      <c r="K329" s="11" t="s">
        <v>1613</v>
      </c>
      <c r="L329" s="11" t="s">
        <v>1614</v>
      </c>
      <c r="M329" s="11" t="str">
        <f aca="false">L329&amp;" - "&amp;N329</f>
        <v>ممتص صدمات - أمامي يسار</v>
      </c>
      <c r="N329" s="11" t="s">
        <v>1349</v>
      </c>
      <c r="O329" s="11" t="s">
        <v>1615</v>
      </c>
      <c r="P329" s="10" t="n">
        <f aca="false">G329</f>
        <v>60</v>
      </c>
      <c r="Q329" s="10" t="n">
        <f aca="false">H329</f>
        <v>12</v>
      </c>
      <c r="R329" s="10" t="n">
        <f aca="false">I329</f>
        <v>12</v>
      </c>
      <c r="S329" s="10" t="n">
        <f aca="false">J329</f>
        <v>3.5</v>
      </c>
      <c r="T329" s="12" t="s">
        <v>1616</v>
      </c>
      <c r="U329" s="12" t="s">
        <v>1617</v>
      </c>
      <c r="V329" s="9" t="str">
        <f aca="false">U329&amp;" - "&amp;W329</f>
        <v>减震器 - 前左</v>
      </c>
      <c r="W329" s="12" t="s">
        <v>1352</v>
      </c>
      <c r="X329" s="12" t="s">
        <v>1618</v>
      </c>
      <c r="Y329" s="10" t="n">
        <f aca="false">G329</f>
        <v>60</v>
      </c>
      <c r="Z329" s="10" t="n">
        <f aca="false">H329</f>
        <v>12</v>
      </c>
      <c r="AA329" s="10" t="n">
        <f aca="false">I329</f>
        <v>12</v>
      </c>
      <c r="AB329" s="10" t="n">
        <f aca="false">J329</f>
        <v>3.5</v>
      </c>
      <c r="AC329" s="9" t="s">
        <v>1619</v>
      </c>
      <c r="AD329" s="9" t="s">
        <v>1620</v>
      </c>
      <c r="AE329" s="9" t="str">
        <f aca="false">IF($AK329=0,"",INDEX('Part types'!$T:$T,$AK329)&amp;"")</f>
        <v>All vehicles</v>
      </c>
      <c r="AF329" s="9" t="str">
        <f aca="false">IF($AK329=0,"",INDEX('Part types'!$U:$U,$AK329)&amp;"")</f>
        <v/>
      </c>
      <c r="AG329" s="9" t="str">
        <f aca="false">IF($AK329=0,"",INDEX('Part types'!$V:$V,$AK329)&amp;"")</f>
        <v>Estimate: item-specific</v>
      </c>
      <c r="AH329" s="9" t="str">
        <f aca="false">IF($AK329=0,"",INDEX('Part types'!$W:$W,$AK329)&amp;"")</f>
        <v/>
      </c>
      <c r="AI329" s="11" t="str">
        <f aca="false">IF($AK329=0,"",INDEX('Part types'!$X:$X,$AK329)&amp;"")</f>
        <v>مساعد</v>
      </c>
      <c r="AJ329" s="9" t="str">
        <f aca="false">IF($AK329=0,"",INDEX('Part types'!$Y:$Y,$AK329)&amp;"")</f>
        <v/>
      </c>
      <c r="AK329" s="9" t="n">
        <f aca="false">IFERROR(MATCH($AD329,'Part types'!$E:$E,0),0)</f>
        <v>266</v>
      </c>
    </row>
    <row r="330" customFormat="false" ht="15" hidden="false" customHeight="false" outlineLevel="0" collapsed="false">
      <c r="A330" s="9" t="s">
        <v>1621</v>
      </c>
      <c r="B330" s="9" t="s">
        <v>1610</v>
      </c>
      <c r="C330" s="9" t="s">
        <v>1611</v>
      </c>
      <c r="D330" s="9" t="str">
        <f aca="false">C330&amp;" - "&amp;E330</f>
        <v>Shock Absorber - Front-Right</v>
      </c>
      <c r="E330" s="9" t="s">
        <v>1356</v>
      </c>
      <c r="F330" s="9" t="s">
        <v>1612</v>
      </c>
      <c r="G330" s="10" t="n">
        <f aca="false">IF($AK330=0,"",INDEX('Part types'!$P:$P,$AK330))</f>
        <v>60</v>
      </c>
      <c r="H330" s="10" t="n">
        <f aca="false">IF($AK330=0,"",INDEX('Part types'!$Q:$Q,$AK330))</f>
        <v>12</v>
      </c>
      <c r="I330" s="10" t="n">
        <f aca="false">IF($AK330=0,"",INDEX('Part types'!$R:$R,$AK330))</f>
        <v>12</v>
      </c>
      <c r="J330" s="10" t="n">
        <f aca="false">IF($AK330=0,"",INDEX('Part types'!$S:$S,$AK330))</f>
        <v>3.5</v>
      </c>
      <c r="K330" s="11" t="s">
        <v>1613</v>
      </c>
      <c r="L330" s="11" t="s">
        <v>1614</v>
      </c>
      <c r="M330" s="11" t="str">
        <f aca="false">L330&amp;" - "&amp;N330</f>
        <v>ممتص صدمات - أمامي يمين</v>
      </c>
      <c r="N330" s="11" t="s">
        <v>1357</v>
      </c>
      <c r="O330" s="11" t="s">
        <v>1615</v>
      </c>
      <c r="P330" s="10" t="n">
        <f aca="false">G330</f>
        <v>60</v>
      </c>
      <c r="Q330" s="10" t="n">
        <f aca="false">H330</f>
        <v>12</v>
      </c>
      <c r="R330" s="10" t="n">
        <f aca="false">I330</f>
        <v>12</v>
      </c>
      <c r="S330" s="10" t="n">
        <f aca="false">J330</f>
        <v>3.5</v>
      </c>
      <c r="T330" s="12" t="s">
        <v>1616</v>
      </c>
      <c r="U330" s="12" t="s">
        <v>1617</v>
      </c>
      <c r="V330" s="9" t="str">
        <f aca="false">U330&amp;" - "&amp;W330</f>
        <v>减震器 - 前右</v>
      </c>
      <c r="W330" s="12" t="s">
        <v>1358</v>
      </c>
      <c r="X330" s="12" t="s">
        <v>1618</v>
      </c>
      <c r="Y330" s="10" t="n">
        <f aca="false">G330</f>
        <v>60</v>
      </c>
      <c r="Z330" s="10" t="n">
        <f aca="false">H330</f>
        <v>12</v>
      </c>
      <c r="AA330" s="10" t="n">
        <f aca="false">I330</f>
        <v>12</v>
      </c>
      <c r="AB330" s="10" t="n">
        <f aca="false">J330</f>
        <v>3.5</v>
      </c>
      <c r="AC330" s="9" t="s">
        <v>1619</v>
      </c>
      <c r="AD330" s="9" t="s">
        <v>1620</v>
      </c>
      <c r="AE330" s="9" t="str">
        <f aca="false">IF($AK330=0,"",INDEX('Part types'!$T:$T,$AK330)&amp;"")</f>
        <v>All vehicles</v>
      </c>
      <c r="AF330" s="9" t="str">
        <f aca="false">IF($AK330=0,"",INDEX('Part types'!$U:$U,$AK330)&amp;"")</f>
        <v/>
      </c>
      <c r="AG330" s="9" t="str">
        <f aca="false">IF($AK330=0,"",INDEX('Part types'!$V:$V,$AK330)&amp;"")</f>
        <v>Estimate: item-specific</v>
      </c>
      <c r="AH330" s="9" t="str">
        <f aca="false">IF($AK330=0,"",INDEX('Part types'!$W:$W,$AK330)&amp;"")</f>
        <v/>
      </c>
      <c r="AI330" s="11" t="str">
        <f aca="false">IF($AK330=0,"",INDEX('Part types'!$X:$X,$AK330)&amp;"")</f>
        <v>مساعد</v>
      </c>
      <c r="AJ330" s="9" t="str">
        <f aca="false">IF($AK330=0,"",INDEX('Part types'!$Y:$Y,$AK330)&amp;"")</f>
        <v/>
      </c>
      <c r="AK330" s="9" t="n">
        <f aca="false">IFERROR(MATCH($AD330,'Part types'!$E:$E,0),0)</f>
        <v>266</v>
      </c>
    </row>
    <row r="331" customFormat="false" ht="15" hidden="false" customHeight="false" outlineLevel="0" collapsed="false">
      <c r="A331" s="9" t="s">
        <v>1622</v>
      </c>
      <c r="B331" s="9" t="s">
        <v>1610</v>
      </c>
      <c r="C331" s="9" t="s">
        <v>1611</v>
      </c>
      <c r="D331" s="9" t="str">
        <f aca="false">C331&amp;" - "&amp;E331</f>
        <v>Shock Absorber - Rear-Left</v>
      </c>
      <c r="E331" s="9" t="s">
        <v>1360</v>
      </c>
      <c r="F331" s="9" t="s">
        <v>1612</v>
      </c>
      <c r="G331" s="10" t="n">
        <f aca="false">IF($AK331=0,"",INDEX('Part types'!$P:$P,$AK331))</f>
        <v>60</v>
      </c>
      <c r="H331" s="10" t="n">
        <f aca="false">IF($AK331=0,"",INDEX('Part types'!$Q:$Q,$AK331))</f>
        <v>12</v>
      </c>
      <c r="I331" s="10" t="n">
        <f aca="false">IF($AK331=0,"",INDEX('Part types'!$R:$R,$AK331))</f>
        <v>12</v>
      </c>
      <c r="J331" s="10" t="n">
        <f aca="false">IF($AK331=0,"",INDEX('Part types'!$S:$S,$AK331))</f>
        <v>3.5</v>
      </c>
      <c r="K331" s="11" t="s">
        <v>1613</v>
      </c>
      <c r="L331" s="11" t="s">
        <v>1614</v>
      </c>
      <c r="M331" s="11" t="str">
        <f aca="false">L331&amp;" - "&amp;N331</f>
        <v>ممتص صدمات - خلفي يسار</v>
      </c>
      <c r="N331" s="11" t="s">
        <v>1361</v>
      </c>
      <c r="O331" s="11" t="s">
        <v>1615</v>
      </c>
      <c r="P331" s="10" t="n">
        <f aca="false">G331</f>
        <v>60</v>
      </c>
      <c r="Q331" s="10" t="n">
        <f aca="false">H331</f>
        <v>12</v>
      </c>
      <c r="R331" s="10" t="n">
        <f aca="false">I331</f>
        <v>12</v>
      </c>
      <c r="S331" s="10" t="n">
        <f aca="false">J331</f>
        <v>3.5</v>
      </c>
      <c r="T331" s="12" t="s">
        <v>1616</v>
      </c>
      <c r="U331" s="12" t="s">
        <v>1617</v>
      </c>
      <c r="V331" s="9" t="str">
        <f aca="false">U331&amp;" - "&amp;W331</f>
        <v>减震器 - 后左</v>
      </c>
      <c r="W331" s="12" t="s">
        <v>1362</v>
      </c>
      <c r="X331" s="12" t="s">
        <v>1618</v>
      </c>
      <c r="Y331" s="10" t="n">
        <f aca="false">G331</f>
        <v>60</v>
      </c>
      <c r="Z331" s="10" t="n">
        <f aca="false">H331</f>
        <v>12</v>
      </c>
      <c r="AA331" s="10" t="n">
        <f aca="false">I331</f>
        <v>12</v>
      </c>
      <c r="AB331" s="10" t="n">
        <f aca="false">J331</f>
        <v>3.5</v>
      </c>
      <c r="AC331" s="9" t="s">
        <v>1619</v>
      </c>
      <c r="AD331" s="9" t="s">
        <v>1620</v>
      </c>
      <c r="AE331" s="9" t="str">
        <f aca="false">IF($AK331=0,"",INDEX('Part types'!$T:$T,$AK331)&amp;"")</f>
        <v>All vehicles</v>
      </c>
      <c r="AF331" s="9" t="str">
        <f aca="false">IF($AK331=0,"",INDEX('Part types'!$U:$U,$AK331)&amp;"")</f>
        <v/>
      </c>
      <c r="AG331" s="9" t="str">
        <f aca="false">IF($AK331=0,"",INDEX('Part types'!$V:$V,$AK331)&amp;"")</f>
        <v>Estimate: item-specific</v>
      </c>
      <c r="AH331" s="9" t="str">
        <f aca="false">IF($AK331=0,"",INDEX('Part types'!$W:$W,$AK331)&amp;"")</f>
        <v/>
      </c>
      <c r="AI331" s="11" t="str">
        <f aca="false">IF($AK331=0,"",INDEX('Part types'!$X:$X,$AK331)&amp;"")</f>
        <v>مساعد</v>
      </c>
      <c r="AJ331" s="9" t="str">
        <f aca="false">IF($AK331=0,"",INDEX('Part types'!$Y:$Y,$AK331)&amp;"")</f>
        <v/>
      </c>
      <c r="AK331" s="9" t="n">
        <f aca="false">IFERROR(MATCH($AD331,'Part types'!$E:$E,0),0)</f>
        <v>266</v>
      </c>
    </row>
    <row r="332" customFormat="false" ht="15" hidden="false" customHeight="false" outlineLevel="0" collapsed="false">
      <c r="A332" s="9" t="s">
        <v>1623</v>
      </c>
      <c r="B332" s="9" t="s">
        <v>1610</v>
      </c>
      <c r="C332" s="9" t="s">
        <v>1611</v>
      </c>
      <c r="D332" s="9" t="str">
        <f aca="false">C332&amp;" - "&amp;E332</f>
        <v>Shock Absorber - Rear-Right</v>
      </c>
      <c r="E332" s="9" t="s">
        <v>1364</v>
      </c>
      <c r="F332" s="9" t="s">
        <v>1612</v>
      </c>
      <c r="G332" s="10" t="n">
        <f aca="false">IF($AK332=0,"",INDEX('Part types'!$P:$P,$AK332))</f>
        <v>60</v>
      </c>
      <c r="H332" s="10" t="n">
        <f aca="false">IF($AK332=0,"",INDEX('Part types'!$Q:$Q,$AK332))</f>
        <v>12</v>
      </c>
      <c r="I332" s="10" t="n">
        <f aca="false">IF($AK332=0,"",INDEX('Part types'!$R:$R,$AK332))</f>
        <v>12</v>
      </c>
      <c r="J332" s="10" t="n">
        <f aca="false">IF($AK332=0,"",INDEX('Part types'!$S:$S,$AK332))</f>
        <v>3.5</v>
      </c>
      <c r="K332" s="11" t="s">
        <v>1613</v>
      </c>
      <c r="L332" s="11" t="s">
        <v>1614</v>
      </c>
      <c r="M332" s="11" t="str">
        <f aca="false">L332&amp;" - "&amp;N332</f>
        <v>ممتص صدمات - خلفي يمين</v>
      </c>
      <c r="N332" s="11" t="s">
        <v>1365</v>
      </c>
      <c r="O332" s="11" t="s">
        <v>1615</v>
      </c>
      <c r="P332" s="10" t="n">
        <f aca="false">G332</f>
        <v>60</v>
      </c>
      <c r="Q332" s="10" t="n">
        <f aca="false">H332</f>
        <v>12</v>
      </c>
      <c r="R332" s="10" t="n">
        <f aca="false">I332</f>
        <v>12</v>
      </c>
      <c r="S332" s="10" t="n">
        <f aca="false">J332</f>
        <v>3.5</v>
      </c>
      <c r="T332" s="12" t="s">
        <v>1616</v>
      </c>
      <c r="U332" s="12" t="s">
        <v>1617</v>
      </c>
      <c r="V332" s="9" t="str">
        <f aca="false">U332&amp;" - "&amp;W332</f>
        <v>减震器 - 后右</v>
      </c>
      <c r="W332" s="12" t="s">
        <v>1366</v>
      </c>
      <c r="X332" s="12" t="s">
        <v>1618</v>
      </c>
      <c r="Y332" s="10" t="n">
        <f aca="false">G332</f>
        <v>60</v>
      </c>
      <c r="Z332" s="10" t="n">
        <f aca="false">H332</f>
        <v>12</v>
      </c>
      <c r="AA332" s="10" t="n">
        <f aca="false">I332</f>
        <v>12</v>
      </c>
      <c r="AB332" s="10" t="n">
        <f aca="false">J332</f>
        <v>3.5</v>
      </c>
      <c r="AC332" s="9" t="s">
        <v>1619</v>
      </c>
      <c r="AD332" s="9" t="s">
        <v>1620</v>
      </c>
      <c r="AE332" s="9" t="str">
        <f aca="false">IF($AK332=0,"",INDEX('Part types'!$T:$T,$AK332)&amp;"")</f>
        <v>All vehicles</v>
      </c>
      <c r="AF332" s="9" t="str">
        <f aca="false">IF($AK332=0,"",INDEX('Part types'!$U:$U,$AK332)&amp;"")</f>
        <v/>
      </c>
      <c r="AG332" s="9" t="str">
        <f aca="false">IF($AK332=0,"",INDEX('Part types'!$V:$V,$AK332)&amp;"")</f>
        <v>Estimate: item-specific</v>
      </c>
      <c r="AH332" s="9" t="str">
        <f aca="false">IF($AK332=0,"",INDEX('Part types'!$W:$W,$AK332)&amp;"")</f>
        <v/>
      </c>
      <c r="AI332" s="11" t="str">
        <f aca="false">IF($AK332=0,"",INDEX('Part types'!$X:$X,$AK332)&amp;"")</f>
        <v>مساعد</v>
      </c>
      <c r="AJ332" s="9" t="str">
        <f aca="false">IF($AK332=0,"",INDEX('Part types'!$Y:$Y,$AK332)&amp;"")</f>
        <v/>
      </c>
      <c r="AK332" s="9" t="n">
        <f aca="false">IFERROR(MATCH($AD332,'Part types'!$E:$E,0),0)</f>
        <v>266</v>
      </c>
    </row>
    <row r="333" customFormat="false" ht="15" hidden="false" customHeight="false" outlineLevel="0" collapsed="false">
      <c r="A333" s="9" t="s">
        <v>1624</v>
      </c>
      <c r="B333" s="9" t="s">
        <v>1610</v>
      </c>
      <c r="C333" s="9" t="s">
        <v>1625</v>
      </c>
      <c r="D333" s="9" t="str">
        <f aca="false">C333&amp;" - "&amp;E333</f>
        <v>Strut Assembly - Front-Left</v>
      </c>
      <c r="E333" s="9" t="s">
        <v>1346</v>
      </c>
      <c r="F333" s="9" t="s">
        <v>1612</v>
      </c>
      <c r="G333" s="10" t="n">
        <f aca="false">IF($AK333=0,"",INDEX('Part types'!$P:$P,$AK333))</f>
        <v>70</v>
      </c>
      <c r="H333" s="10" t="n">
        <f aca="false">IF($AK333=0,"",INDEX('Part types'!$Q:$Q,$AK333))</f>
        <v>20</v>
      </c>
      <c r="I333" s="10" t="n">
        <f aca="false">IF($AK333=0,"",INDEX('Part types'!$R:$R,$AK333))</f>
        <v>20</v>
      </c>
      <c r="J333" s="10" t="n">
        <f aca="false">IF($AK333=0,"",INDEX('Part types'!$S:$S,$AK333))</f>
        <v>7</v>
      </c>
      <c r="K333" s="11" t="s">
        <v>1613</v>
      </c>
      <c r="L333" s="11" t="s">
        <v>1626</v>
      </c>
      <c r="M333" s="11" t="str">
        <f aca="false">L333&amp;" - "&amp;N333</f>
        <v>مجموعة الستروت - أمامي يسار</v>
      </c>
      <c r="N333" s="11" t="s">
        <v>1349</v>
      </c>
      <c r="O333" s="11" t="s">
        <v>1615</v>
      </c>
      <c r="P333" s="10" t="n">
        <f aca="false">G333</f>
        <v>70</v>
      </c>
      <c r="Q333" s="10" t="n">
        <f aca="false">H333</f>
        <v>20</v>
      </c>
      <c r="R333" s="10" t="n">
        <f aca="false">I333</f>
        <v>20</v>
      </c>
      <c r="S333" s="10" t="n">
        <f aca="false">J333</f>
        <v>7</v>
      </c>
      <c r="T333" s="12" t="s">
        <v>1616</v>
      </c>
      <c r="U333" s="12" t="s">
        <v>1627</v>
      </c>
      <c r="V333" s="9" t="str">
        <f aca="false">U333&amp;" - "&amp;W333</f>
        <v>减震支柱总成 - 前左</v>
      </c>
      <c r="W333" s="12" t="s">
        <v>1352</v>
      </c>
      <c r="X333" s="12" t="s">
        <v>1618</v>
      </c>
      <c r="Y333" s="10" t="n">
        <f aca="false">G333</f>
        <v>70</v>
      </c>
      <c r="Z333" s="10" t="n">
        <f aca="false">H333</f>
        <v>20</v>
      </c>
      <c r="AA333" s="10" t="n">
        <f aca="false">I333</f>
        <v>20</v>
      </c>
      <c r="AB333" s="10" t="n">
        <f aca="false">J333</f>
        <v>7</v>
      </c>
      <c r="AC333" s="9" t="s">
        <v>1619</v>
      </c>
      <c r="AD333" s="9" t="s">
        <v>1628</v>
      </c>
      <c r="AE333" s="9" t="str">
        <f aca="false">IF($AK333=0,"",INDEX('Part types'!$T:$T,$AK333)&amp;"")</f>
        <v>All vehicles</v>
      </c>
      <c r="AF333" s="9" t="str">
        <f aca="false">IF($AK333=0,"",INDEX('Part types'!$U:$U,$AK333)&amp;"")</f>
        <v/>
      </c>
      <c r="AG333" s="9" t="str">
        <f aca="false">IF($AK333=0,"",INDEX('Part types'!$V:$V,$AK333)&amp;"")</f>
        <v>Estimate: item-specific</v>
      </c>
      <c r="AH333" s="9" t="str">
        <f aca="false">IF($AK333=0,"",INDEX('Part types'!$W:$W,$AK333)&amp;"")</f>
        <v/>
      </c>
      <c r="AI333" s="11" t="str">
        <f aca="false">IF($AK333=0,"",INDEX('Part types'!$X:$X,$AK333)&amp;"")</f>
        <v/>
      </c>
      <c r="AJ333" s="9" t="str">
        <f aca="false">IF($AK333=0,"",INDEX('Part types'!$Y:$Y,$AK333)&amp;"")</f>
        <v/>
      </c>
      <c r="AK333" s="9" t="n">
        <f aca="false">IFERROR(MATCH($AD333,'Part types'!$E:$E,0),0)</f>
        <v>267</v>
      </c>
    </row>
    <row r="334" customFormat="false" ht="15" hidden="false" customHeight="false" outlineLevel="0" collapsed="false">
      <c r="A334" s="9" t="s">
        <v>1629</v>
      </c>
      <c r="B334" s="9" t="s">
        <v>1610</v>
      </c>
      <c r="C334" s="9" t="s">
        <v>1625</v>
      </c>
      <c r="D334" s="9" t="str">
        <f aca="false">C334&amp;" - "&amp;E334</f>
        <v>Strut Assembly - Front-Right</v>
      </c>
      <c r="E334" s="9" t="s">
        <v>1356</v>
      </c>
      <c r="F334" s="9" t="s">
        <v>1612</v>
      </c>
      <c r="G334" s="10" t="n">
        <f aca="false">IF($AK334=0,"",INDEX('Part types'!$P:$P,$AK334))</f>
        <v>70</v>
      </c>
      <c r="H334" s="10" t="n">
        <f aca="false">IF($AK334=0,"",INDEX('Part types'!$Q:$Q,$AK334))</f>
        <v>20</v>
      </c>
      <c r="I334" s="10" t="n">
        <f aca="false">IF($AK334=0,"",INDEX('Part types'!$R:$R,$AK334))</f>
        <v>20</v>
      </c>
      <c r="J334" s="10" t="n">
        <f aca="false">IF($AK334=0,"",INDEX('Part types'!$S:$S,$AK334))</f>
        <v>7</v>
      </c>
      <c r="K334" s="11" t="s">
        <v>1613</v>
      </c>
      <c r="L334" s="11" t="s">
        <v>1626</v>
      </c>
      <c r="M334" s="11" t="str">
        <f aca="false">L334&amp;" - "&amp;N334</f>
        <v>مجموعة الستروت - أمامي يمين</v>
      </c>
      <c r="N334" s="11" t="s">
        <v>1357</v>
      </c>
      <c r="O334" s="11" t="s">
        <v>1615</v>
      </c>
      <c r="P334" s="10" t="n">
        <f aca="false">G334</f>
        <v>70</v>
      </c>
      <c r="Q334" s="10" t="n">
        <f aca="false">H334</f>
        <v>20</v>
      </c>
      <c r="R334" s="10" t="n">
        <f aca="false">I334</f>
        <v>20</v>
      </c>
      <c r="S334" s="10" t="n">
        <f aca="false">J334</f>
        <v>7</v>
      </c>
      <c r="T334" s="12" t="s">
        <v>1616</v>
      </c>
      <c r="U334" s="12" t="s">
        <v>1627</v>
      </c>
      <c r="V334" s="9" t="str">
        <f aca="false">U334&amp;" - "&amp;W334</f>
        <v>减震支柱总成 - 前右</v>
      </c>
      <c r="W334" s="12" t="s">
        <v>1358</v>
      </c>
      <c r="X334" s="12" t="s">
        <v>1618</v>
      </c>
      <c r="Y334" s="10" t="n">
        <f aca="false">G334</f>
        <v>70</v>
      </c>
      <c r="Z334" s="10" t="n">
        <f aca="false">H334</f>
        <v>20</v>
      </c>
      <c r="AA334" s="10" t="n">
        <f aca="false">I334</f>
        <v>20</v>
      </c>
      <c r="AB334" s="10" t="n">
        <f aca="false">J334</f>
        <v>7</v>
      </c>
      <c r="AC334" s="9" t="s">
        <v>1619</v>
      </c>
      <c r="AD334" s="9" t="s">
        <v>1628</v>
      </c>
      <c r="AE334" s="9" t="str">
        <f aca="false">IF($AK334=0,"",INDEX('Part types'!$T:$T,$AK334)&amp;"")</f>
        <v>All vehicles</v>
      </c>
      <c r="AF334" s="9" t="str">
        <f aca="false">IF($AK334=0,"",INDEX('Part types'!$U:$U,$AK334)&amp;"")</f>
        <v/>
      </c>
      <c r="AG334" s="9" t="str">
        <f aca="false">IF($AK334=0,"",INDEX('Part types'!$V:$V,$AK334)&amp;"")</f>
        <v>Estimate: item-specific</v>
      </c>
      <c r="AH334" s="9" t="str">
        <f aca="false">IF($AK334=0,"",INDEX('Part types'!$W:$W,$AK334)&amp;"")</f>
        <v/>
      </c>
      <c r="AI334" s="11" t="str">
        <f aca="false">IF($AK334=0,"",INDEX('Part types'!$X:$X,$AK334)&amp;"")</f>
        <v/>
      </c>
      <c r="AJ334" s="9" t="str">
        <f aca="false">IF($AK334=0,"",INDEX('Part types'!$Y:$Y,$AK334)&amp;"")</f>
        <v/>
      </c>
      <c r="AK334" s="9" t="n">
        <f aca="false">IFERROR(MATCH($AD334,'Part types'!$E:$E,0),0)</f>
        <v>267</v>
      </c>
    </row>
    <row r="335" customFormat="false" ht="15" hidden="false" customHeight="false" outlineLevel="0" collapsed="false">
      <c r="A335" s="9" t="s">
        <v>1630</v>
      </c>
      <c r="B335" s="9" t="s">
        <v>1610</v>
      </c>
      <c r="C335" s="9" t="s">
        <v>1625</v>
      </c>
      <c r="D335" s="9" t="str">
        <f aca="false">C335&amp;" - "&amp;E335</f>
        <v>Strut Assembly - Rear-Left</v>
      </c>
      <c r="E335" s="9" t="s">
        <v>1360</v>
      </c>
      <c r="F335" s="9" t="s">
        <v>1612</v>
      </c>
      <c r="G335" s="10" t="n">
        <f aca="false">IF($AK335=0,"",INDEX('Part types'!$P:$P,$AK335))</f>
        <v>70</v>
      </c>
      <c r="H335" s="10" t="n">
        <f aca="false">IF($AK335=0,"",INDEX('Part types'!$Q:$Q,$AK335))</f>
        <v>20</v>
      </c>
      <c r="I335" s="10" t="n">
        <f aca="false">IF($AK335=0,"",INDEX('Part types'!$R:$R,$AK335))</f>
        <v>20</v>
      </c>
      <c r="J335" s="10" t="n">
        <f aca="false">IF($AK335=0,"",INDEX('Part types'!$S:$S,$AK335))</f>
        <v>7</v>
      </c>
      <c r="K335" s="11" t="s">
        <v>1613</v>
      </c>
      <c r="L335" s="11" t="s">
        <v>1626</v>
      </c>
      <c r="M335" s="11" t="str">
        <f aca="false">L335&amp;" - "&amp;N335</f>
        <v>مجموعة الستروت - خلفي يسار</v>
      </c>
      <c r="N335" s="11" t="s">
        <v>1361</v>
      </c>
      <c r="O335" s="11" t="s">
        <v>1615</v>
      </c>
      <c r="P335" s="10" t="n">
        <f aca="false">G335</f>
        <v>70</v>
      </c>
      <c r="Q335" s="10" t="n">
        <f aca="false">H335</f>
        <v>20</v>
      </c>
      <c r="R335" s="10" t="n">
        <f aca="false">I335</f>
        <v>20</v>
      </c>
      <c r="S335" s="10" t="n">
        <f aca="false">J335</f>
        <v>7</v>
      </c>
      <c r="T335" s="12" t="s">
        <v>1616</v>
      </c>
      <c r="U335" s="12" t="s">
        <v>1627</v>
      </c>
      <c r="V335" s="9" t="str">
        <f aca="false">U335&amp;" - "&amp;W335</f>
        <v>减震支柱总成 - 后左</v>
      </c>
      <c r="W335" s="12" t="s">
        <v>1362</v>
      </c>
      <c r="X335" s="12" t="s">
        <v>1618</v>
      </c>
      <c r="Y335" s="10" t="n">
        <f aca="false">G335</f>
        <v>70</v>
      </c>
      <c r="Z335" s="10" t="n">
        <f aca="false">H335</f>
        <v>20</v>
      </c>
      <c r="AA335" s="10" t="n">
        <f aca="false">I335</f>
        <v>20</v>
      </c>
      <c r="AB335" s="10" t="n">
        <f aca="false">J335</f>
        <v>7</v>
      </c>
      <c r="AC335" s="9" t="s">
        <v>1619</v>
      </c>
      <c r="AD335" s="9" t="s">
        <v>1628</v>
      </c>
      <c r="AE335" s="9" t="str">
        <f aca="false">IF($AK335=0,"",INDEX('Part types'!$T:$T,$AK335)&amp;"")</f>
        <v>All vehicles</v>
      </c>
      <c r="AF335" s="9" t="str">
        <f aca="false">IF($AK335=0,"",INDEX('Part types'!$U:$U,$AK335)&amp;"")</f>
        <v/>
      </c>
      <c r="AG335" s="9" t="str">
        <f aca="false">IF($AK335=0,"",INDEX('Part types'!$V:$V,$AK335)&amp;"")</f>
        <v>Estimate: item-specific</v>
      </c>
      <c r="AH335" s="9" t="str">
        <f aca="false">IF($AK335=0,"",INDEX('Part types'!$W:$W,$AK335)&amp;"")</f>
        <v/>
      </c>
      <c r="AI335" s="11" t="str">
        <f aca="false">IF($AK335=0,"",INDEX('Part types'!$X:$X,$AK335)&amp;"")</f>
        <v/>
      </c>
      <c r="AJ335" s="9" t="str">
        <f aca="false">IF($AK335=0,"",INDEX('Part types'!$Y:$Y,$AK335)&amp;"")</f>
        <v/>
      </c>
      <c r="AK335" s="9" t="n">
        <f aca="false">IFERROR(MATCH($AD335,'Part types'!$E:$E,0),0)</f>
        <v>267</v>
      </c>
    </row>
    <row r="336" customFormat="false" ht="15" hidden="false" customHeight="false" outlineLevel="0" collapsed="false">
      <c r="A336" s="9" t="s">
        <v>1631</v>
      </c>
      <c r="B336" s="9" t="s">
        <v>1610</v>
      </c>
      <c r="C336" s="9" t="s">
        <v>1625</v>
      </c>
      <c r="D336" s="9" t="str">
        <f aca="false">C336&amp;" - "&amp;E336</f>
        <v>Strut Assembly - Rear-Right</v>
      </c>
      <c r="E336" s="9" t="s">
        <v>1364</v>
      </c>
      <c r="F336" s="9" t="s">
        <v>1612</v>
      </c>
      <c r="G336" s="10" t="n">
        <f aca="false">IF($AK336=0,"",INDEX('Part types'!$P:$P,$AK336))</f>
        <v>70</v>
      </c>
      <c r="H336" s="10" t="n">
        <f aca="false">IF($AK336=0,"",INDEX('Part types'!$Q:$Q,$AK336))</f>
        <v>20</v>
      </c>
      <c r="I336" s="10" t="n">
        <f aca="false">IF($AK336=0,"",INDEX('Part types'!$R:$R,$AK336))</f>
        <v>20</v>
      </c>
      <c r="J336" s="10" t="n">
        <f aca="false">IF($AK336=0,"",INDEX('Part types'!$S:$S,$AK336))</f>
        <v>7</v>
      </c>
      <c r="K336" s="11" t="s">
        <v>1613</v>
      </c>
      <c r="L336" s="11" t="s">
        <v>1626</v>
      </c>
      <c r="M336" s="11" t="str">
        <f aca="false">L336&amp;" - "&amp;N336</f>
        <v>مجموعة الستروت - خلفي يمين</v>
      </c>
      <c r="N336" s="11" t="s">
        <v>1365</v>
      </c>
      <c r="O336" s="11" t="s">
        <v>1615</v>
      </c>
      <c r="P336" s="10" t="n">
        <f aca="false">G336</f>
        <v>70</v>
      </c>
      <c r="Q336" s="10" t="n">
        <f aca="false">H336</f>
        <v>20</v>
      </c>
      <c r="R336" s="10" t="n">
        <f aca="false">I336</f>
        <v>20</v>
      </c>
      <c r="S336" s="10" t="n">
        <f aca="false">J336</f>
        <v>7</v>
      </c>
      <c r="T336" s="12" t="s">
        <v>1616</v>
      </c>
      <c r="U336" s="12" t="s">
        <v>1627</v>
      </c>
      <c r="V336" s="9" t="str">
        <f aca="false">U336&amp;" - "&amp;W336</f>
        <v>减震支柱总成 - 后右</v>
      </c>
      <c r="W336" s="12" t="s">
        <v>1366</v>
      </c>
      <c r="X336" s="12" t="s">
        <v>1618</v>
      </c>
      <c r="Y336" s="10" t="n">
        <f aca="false">G336</f>
        <v>70</v>
      </c>
      <c r="Z336" s="10" t="n">
        <f aca="false">H336</f>
        <v>20</v>
      </c>
      <c r="AA336" s="10" t="n">
        <f aca="false">I336</f>
        <v>20</v>
      </c>
      <c r="AB336" s="10" t="n">
        <f aca="false">J336</f>
        <v>7</v>
      </c>
      <c r="AC336" s="9" t="s">
        <v>1619</v>
      </c>
      <c r="AD336" s="9" t="s">
        <v>1628</v>
      </c>
      <c r="AE336" s="9" t="str">
        <f aca="false">IF($AK336=0,"",INDEX('Part types'!$T:$T,$AK336)&amp;"")</f>
        <v>All vehicles</v>
      </c>
      <c r="AF336" s="9" t="str">
        <f aca="false">IF($AK336=0,"",INDEX('Part types'!$U:$U,$AK336)&amp;"")</f>
        <v/>
      </c>
      <c r="AG336" s="9" t="str">
        <f aca="false">IF($AK336=0,"",INDEX('Part types'!$V:$V,$AK336)&amp;"")</f>
        <v>Estimate: item-specific</v>
      </c>
      <c r="AH336" s="9" t="str">
        <f aca="false">IF($AK336=0,"",INDEX('Part types'!$W:$W,$AK336)&amp;"")</f>
        <v/>
      </c>
      <c r="AI336" s="11" t="str">
        <f aca="false">IF($AK336=0,"",INDEX('Part types'!$X:$X,$AK336)&amp;"")</f>
        <v/>
      </c>
      <c r="AJ336" s="9" t="str">
        <f aca="false">IF($AK336=0,"",INDEX('Part types'!$Y:$Y,$AK336)&amp;"")</f>
        <v/>
      </c>
      <c r="AK336" s="9" t="n">
        <f aca="false">IFERROR(MATCH($AD336,'Part types'!$E:$E,0),0)</f>
        <v>267</v>
      </c>
    </row>
    <row r="337" customFormat="false" ht="15" hidden="false" customHeight="false" outlineLevel="0" collapsed="false">
      <c r="A337" s="9" t="s">
        <v>1632</v>
      </c>
      <c r="B337" s="9" t="s">
        <v>1610</v>
      </c>
      <c r="C337" s="9" t="s">
        <v>1633</v>
      </c>
      <c r="D337" s="9" t="str">
        <f aca="false">C337&amp;" - "&amp;E337</f>
        <v>Coil Spring - Front-Left</v>
      </c>
      <c r="E337" s="9" t="s">
        <v>1346</v>
      </c>
      <c r="F337" s="9" t="s">
        <v>1612</v>
      </c>
      <c r="G337" s="10" t="n">
        <f aca="false">IF($AK337=0,"",INDEX('Part types'!$P:$P,$AK337))</f>
        <v>40</v>
      </c>
      <c r="H337" s="10" t="n">
        <f aca="false">IF($AK337=0,"",INDEX('Part types'!$Q:$Q,$AK337))</f>
        <v>15</v>
      </c>
      <c r="I337" s="10" t="n">
        <f aca="false">IF($AK337=0,"",INDEX('Part types'!$R:$R,$AK337))</f>
        <v>15</v>
      </c>
      <c r="J337" s="10" t="n">
        <f aca="false">IF($AK337=0,"",INDEX('Part types'!$S:$S,$AK337))</f>
        <v>3</v>
      </c>
      <c r="K337" s="11" t="s">
        <v>1613</v>
      </c>
      <c r="L337" s="11" t="s">
        <v>1634</v>
      </c>
      <c r="M337" s="11" t="str">
        <f aca="false">L337&amp;" - "&amp;N337</f>
        <v>زنبرك لولبي - أمامي يسار</v>
      </c>
      <c r="N337" s="11" t="s">
        <v>1349</v>
      </c>
      <c r="O337" s="11" t="s">
        <v>1615</v>
      </c>
      <c r="P337" s="10" t="n">
        <f aca="false">G337</f>
        <v>40</v>
      </c>
      <c r="Q337" s="10" t="n">
        <f aca="false">H337</f>
        <v>15</v>
      </c>
      <c r="R337" s="10" t="n">
        <f aca="false">I337</f>
        <v>15</v>
      </c>
      <c r="S337" s="10" t="n">
        <f aca="false">J337</f>
        <v>3</v>
      </c>
      <c r="T337" s="12" t="s">
        <v>1616</v>
      </c>
      <c r="U337" s="12" t="s">
        <v>1635</v>
      </c>
      <c r="V337" s="9" t="str">
        <f aca="false">U337&amp;" - "&amp;W337</f>
        <v>螺旋弹簧 - 前左</v>
      </c>
      <c r="W337" s="12" t="s">
        <v>1352</v>
      </c>
      <c r="X337" s="12" t="s">
        <v>1618</v>
      </c>
      <c r="Y337" s="10" t="n">
        <f aca="false">G337</f>
        <v>40</v>
      </c>
      <c r="Z337" s="10" t="n">
        <f aca="false">H337</f>
        <v>15</v>
      </c>
      <c r="AA337" s="10" t="n">
        <f aca="false">I337</f>
        <v>15</v>
      </c>
      <c r="AB337" s="10" t="n">
        <f aca="false">J337</f>
        <v>3</v>
      </c>
      <c r="AC337" s="9" t="s">
        <v>1619</v>
      </c>
      <c r="AD337" s="9" t="s">
        <v>1636</v>
      </c>
      <c r="AE337" s="9" t="str">
        <f aca="false">IF($AK337=0,"",INDEX('Part types'!$T:$T,$AK337)&amp;"")</f>
        <v>All vehicles</v>
      </c>
      <c r="AF337" s="9" t="str">
        <f aca="false">IF($AK337=0,"",INDEX('Part types'!$U:$U,$AK337)&amp;"")</f>
        <v/>
      </c>
      <c r="AG337" s="9" t="str">
        <f aca="false">IF($AK337=0,"",INDEX('Part types'!$V:$V,$AK337)&amp;"")</f>
        <v>Estimate: item-specific</v>
      </c>
      <c r="AH337" s="9" t="str">
        <f aca="false">IF($AK337=0,"",INDEX('Part types'!$W:$W,$AK337)&amp;"")</f>
        <v/>
      </c>
      <c r="AI337" s="11" t="str">
        <f aca="false">IF($AK337=0,"",INDEX('Part types'!$X:$X,$AK337)&amp;"")</f>
        <v>سوستة</v>
      </c>
      <c r="AJ337" s="9" t="str">
        <f aca="false">IF($AK337=0,"",INDEX('Part types'!$Y:$Y,$AK337)&amp;"")</f>
        <v/>
      </c>
      <c r="AK337" s="9" t="n">
        <f aca="false">IFERROR(MATCH($AD337,'Part types'!$E:$E,0),0)</f>
        <v>268</v>
      </c>
    </row>
    <row r="338" customFormat="false" ht="15" hidden="false" customHeight="false" outlineLevel="0" collapsed="false">
      <c r="A338" s="9" t="s">
        <v>1637</v>
      </c>
      <c r="B338" s="9" t="s">
        <v>1610</v>
      </c>
      <c r="C338" s="9" t="s">
        <v>1633</v>
      </c>
      <c r="D338" s="9" t="str">
        <f aca="false">C338&amp;" - "&amp;E338</f>
        <v>Coil Spring - Front-Right</v>
      </c>
      <c r="E338" s="9" t="s">
        <v>1356</v>
      </c>
      <c r="F338" s="9" t="s">
        <v>1612</v>
      </c>
      <c r="G338" s="10" t="n">
        <f aca="false">IF($AK338=0,"",INDEX('Part types'!$P:$P,$AK338))</f>
        <v>40</v>
      </c>
      <c r="H338" s="10" t="n">
        <f aca="false">IF($AK338=0,"",INDEX('Part types'!$Q:$Q,$AK338))</f>
        <v>15</v>
      </c>
      <c r="I338" s="10" t="n">
        <f aca="false">IF($AK338=0,"",INDEX('Part types'!$R:$R,$AK338))</f>
        <v>15</v>
      </c>
      <c r="J338" s="10" t="n">
        <f aca="false">IF($AK338=0,"",INDEX('Part types'!$S:$S,$AK338))</f>
        <v>3</v>
      </c>
      <c r="K338" s="11" t="s">
        <v>1613</v>
      </c>
      <c r="L338" s="11" t="s">
        <v>1634</v>
      </c>
      <c r="M338" s="11" t="str">
        <f aca="false">L338&amp;" - "&amp;N338</f>
        <v>زنبرك لولبي - أمامي يمين</v>
      </c>
      <c r="N338" s="11" t="s">
        <v>1357</v>
      </c>
      <c r="O338" s="11" t="s">
        <v>1615</v>
      </c>
      <c r="P338" s="10" t="n">
        <f aca="false">G338</f>
        <v>40</v>
      </c>
      <c r="Q338" s="10" t="n">
        <f aca="false">H338</f>
        <v>15</v>
      </c>
      <c r="R338" s="10" t="n">
        <f aca="false">I338</f>
        <v>15</v>
      </c>
      <c r="S338" s="10" t="n">
        <f aca="false">J338</f>
        <v>3</v>
      </c>
      <c r="T338" s="12" t="s">
        <v>1616</v>
      </c>
      <c r="U338" s="12" t="s">
        <v>1635</v>
      </c>
      <c r="V338" s="9" t="str">
        <f aca="false">U338&amp;" - "&amp;W338</f>
        <v>螺旋弹簧 - 前右</v>
      </c>
      <c r="W338" s="12" t="s">
        <v>1358</v>
      </c>
      <c r="X338" s="12" t="s">
        <v>1618</v>
      </c>
      <c r="Y338" s="10" t="n">
        <f aca="false">G338</f>
        <v>40</v>
      </c>
      <c r="Z338" s="10" t="n">
        <f aca="false">H338</f>
        <v>15</v>
      </c>
      <c r="AA338" s="10" t="n">
        <f aca="false">I338</f>
        <v>15</v>
      </c>
      <c r="AB338" s="10" t="n">
        <f aca="false">J338</f>
        <v>3</v>
      </c>
      <c r="AC338" s="9" t="s">
        <v>1619</v>
      </c>
      <c r="AD338" s="9" t="s">
        <v>1636</v>
      </c>
      <c r="AE338" s="9" t="str">
        <f aca="false">IF($AK338=0,"",INDEX('Part types'!$T:$T,$AK338)&amp;"")</f>
        <v>All vehicles</v>
      </c>
      <c r="AF338" s="9" t="str">
        <f aca="false">IF($AK338=0,"",INDEX('Part types'!$U:$U,$AK338)&amp;"")</f>
        <v/>
      </c>
      <c r="AG338" s="9" t="str">
        <f aca="false">IF($AK338=0,"",INDEX('Part types'!$V:$V,$AK338)&amp;"")</f>
        <v>Estimate: item-specific</v>
      </c>
      <c r="AH338" s="9" t="str">
        <f aca="false">IF($AK338=0,"",INDEX('Part types'!$W:$W,$AK338)&amp;"")</f>
        <v/>
      </c>
      <c r="AI338" s="11" t="str">
        <f aca="false">IF($AK338=0,"",INDEX('Part types'!$X:$X,$AK338)&amp;"")</f>
        <v>سوستة</v>
      </c>
      <c r="AJ338" s="9" t="str">
        <f aca="false">IF($AK338=0,"",INDEX('Part types'!$Y:$Y,$AK338)&amp;"")</f>
        <v/>
      </c>
      <c r="AK338" s="9" t="n">
        <f aca="false">IFERROR(MATCH($AD338,'Part types'!$E:$E,0),0)</f>
        <v>268</v>
      </c>
    </row>
    <row r="339" customFormat="false" ht="15" hidden="false" customHeight="false" outlineLevel="0" collapsed="false">
      <c r="A339" s="9" t="s">
        <v>1638</v>
      </c>
      <c r="B339" s="9" t="s">
        <v>1610</v>
      </c>
      <c r="C339" s="9" t="s">
        <v>1633</v>
      </c>
      <c r="D339" s="9" t="str">
        <f aca="false">C339&amp;" - "&amp;E339</f>
        <v>Coil Spring - Rear-Left</v>
      </c>
      <c r="E339" s="9" t="s">
        <v>1360</v>
      </c>
      <c r="F339" s="9" t="s">
        <v>1612</v>
      </c>
      <c r="G339" s="10" t="n">
        <f aca="false">IF($AK339=0,"",INDEX('Part types'!$P:$P,$AK339))</f>
        <v>40</v>
      </c>
      <c r="H339" s="10" t="n">
        <f aca="false">IF($AK339=0,"",INDEX('Part types'!$Q:$Q,$AK339))</f>
        <v>15</v>
      </c>
      <c r="I339" s="10" t="n">
        <f aca="false">IF($AK339=0,"",INDEX('Part types'!$R:$R,$AK339))</f>
        <v>15</v>
      </c>
      <c r="J339" s="10" t="n">
        <f aca="false">IF($AK339=0,"",INDEX('Part types'!$S:$S,$AK339))</f>
        <v>3</v>
      </c>
      <c r="K339" s="11" t="s">
        <v>1613</v>
      </c>
      <c r="L339" s="11" t="s">
        <v>1634</v>
      </c>
      <c r="M339" s="11" t="str">
        <f aca="false">L339&amp;" - "&amp;N339</f>
        <v>زنبرك لولبي - خلفي يسار</v>
      </c>
      <c r="N339" s="11" t="s">
        <v>1361</v>
      </c>
      <c r="O339" s="11" t="s">
        <v>1615</v>
      </c>
      <c r="P339" s="10" t="n">
        <f aca="false">G339</f>
        <v>40</v>
      </c>
      <c r="Q339" s="10" t="n">
        <f aca="false">H339</f>
        <v>15</v>
      </c>
      <c r="R339" s="10" t="n">
        <f aca="false">I339</f>
        <v>15</v>
      </c>
      <c r="S339" s="10" t="n">
        <f aca="false">J339</f>
        <v>3</v>
      </c>
      <c r="T339" s="12" t="s">
        <v>1616</v>
      </c>
      <c r="U339" s="12" t="s">
        <v>1635</v>
      </c>
      <c r="V339" s="9" t="str">
        <f aca="false">U339&amp;" - "&amp;W339</f>
        <v>螺旋弹簧 - 后左</v>
      </c>
      <c r="W339" s="12" t="s">
        <v>1362</v>
      </c>
      <c r="X339" s="12" t="s">
        <v>1618</v>
      </c>
      <c r="Y339" s="10" t="n">
        <f aca="false">G339</f>
        <v>40</v>
      </c>
      <c r="Z339" s="10" t="n">
        <f aca="false">H339</f>
        <v>15</v>
      </c>
      <c r="AA339" s="10" t="n">
        <f aca="false">I339</f>
        <v>15</v>
      </c>
      <c r="AB339" s="10" t="n">
        <f aca="false">J339</f>
        <v>3</v>
      </c>
      <c r="AC339" s="9" t="s">
        <v>1619</v>
      </c>
      <c r="AD339" s="9" t="s">
        <v>1636</v>
      </c>
      <c r="AE339" s="9" t="str">
        <f aca="false">IF($AK339=0,"",INDEX('Part types'!$T:$T,$AK339)&amp;"")</f>
        <v>All vehicles</v>
      </c>
      <c r="AF339" s="9" t="str">
        <f aca="false">IF($AK339=0,"",INDEX('Part types'!$U:$U,$AK339)&amp;"")</f>
        <v/>
      </c>
      <c r="AG339" s="9" t="str">
        <f aca="false">IF($AK339=0,"",INDEX('Part types'!$V:$V,$AK339)&amp;"")</f>
        <v>Estimate: item-specific</v>
      </c>
      <c r="AH339" s="9" t="str">
        <f aca="false">IF($AK339=0,"",INDEX('Part types'!$W:$W,$AK339)&amp;"")</f>
        <v/>
      </c>
      <c r="AI339" s="11" t="str">
        <f aca="false">IF($AK339=0,"",INDEX('Part types'!$X:$X,$AK339)&amp;"")</f>
        <v>سوستة</v>
      </c>
      <c r="AJ339" s="9" t="str">
        <f aca="false">IF($AK339=0,"",INDEX('Part types'!$Y:$Y,$AK339)&amp;"")</f>
        <v/>
      </c>
      <c r="AK339" s="9" t="n">
        <f aca="false">IFERROR(MATCH($AD339,'Part types'!$E:$E,0),0)</f>
        <v>268</v>
      </c>
    </row>
    <row r="340" customFormat="false" ht="15" hidden="false" customHeight="false" outlineLevel="0" collapsed="false">
      <c r="A340" s="9" t="s">
        <v>1639</v>
      </c>
      <c r="B340" s="9" t="s">
        <v>1610</v>
      </c>
      <c r="C340" s="9" t="s">
        <v>1633</v>
      </c>
      <c r="D340" s="9" t="str">
        <f aca="false">C340&amp;" - "&amp;E340</f>
        <v>Coil Spring - Rear-Right</v>
      </c>
      <c r="E340" s="9" t="s">
        <v>1364</v>
      </c>
      <c r="F340" s="9" t="s">
        <v>1612</v>
      </c>
      <c r="G340" s="10" t="n">
        <f aca="false">IF($AK340=0,"",INDEX('Part types'!$P:$P,$AK340))</f>
        <v>40</v>
      </c>
      <c r="H340" s="10" t="n">
        <f aca="false">IF($AK340=0,"",INDEX('Part types'!$Q:$Q,$AK340))</f>
        <v>15</v>
      </c>
      <c r="I340" s="10" t="n">
        <f aca="false">IF($AK340=0,"",INDEX('Part types'!$R:$R,$AK340))</f>
        <v>15</v>
      </c>
      <c r="J340" s="10" t="n">
        <f aca="false">IF($AK340=0,"",INDEX('Part types'!$S:$S,$AK340))</f>
        <v>3</v>
      </c>
      <c r="K340" s="11" t="s">
        <v>1613</v>
      </c>
      <c r="L340" s="11" t="s">
        <v>1634</v>
      </c>
      <c r="M340" s="11" t="str">
        <f aca="false">L340&amp;" - "&amp;N340</f>
        <v>زنبرك لولبي - خلفي يمين</v>
      </c>
      <c r="N340" s="11" t="s">
        <v>1365</v>
      </c>
      <c r="O340" s="11" t="s">
        <v>1615</v>
      </c>
      <c r="P340" s="10" t="n">
        <f aca="false">G340</f>
        <v>40</v>
      </c>
      <c r="Q340" s="10" t="n">
        <f aca="false">H340</f>
        <v>15</v>
      </c>
      <c r="R340" s="10" t="n">
        <f aca="false">I340</f>
        <v>15</v>
      </c>
      <c r="S340" s="10" t="n">
        <f aca="false">J340</f>
        <v>3</v>
      </c>
      <c r="T340" s="12" t="s">
        <v>1616</v>
      </c>
      <c r="U340" s="12" t="s">
        <v>1635</v>
      </c>
      <c r="V340" s="9" t="str">
        <f aca="false">U340&amp;" - "&amp;W340</f>
        <v>螺旋弹簧 - 后右</v>
      </c>
      <c r="W340" s="12" t="s">
        <v>1366</v>
      </c>
      <c r="X340" s="12" t="s">
        <v>1618</v>
      </c>
      <c r="Y340" s="10" t="n">
        <f aca="false">G340</f>
        <v>40</v>
      </c>
      <c r="Z340" s="10" t="n">
        <f aca="false">H340</f>
        <v>15</v>
      </c>
      <c r="AA340" s="10" t="n">
        <f aca="false">I340</f>
        <v>15</v>
      </c>
      <c r="AB340" s="10" t="n">
        <f aca="false">J340</f>
        <v>3</v>
      </c>
      <c r="AC340" s="9" t="s">
        <v>1619</v>
      </c>
      <c r="AD340" s="9" t="s">
        <v>1636</v>
      </c>
      <c r="AE340" s="9" t="str">
        <f aca="false">IF($AK340=0,"",INDEX('Part types'!$T:$T,$AK340)&amp;"")</f>
        <v>All vehicles</v>
      </c>
      <c r="AF340" s="9" t="str">
        <f aca="false">IF($AK340=0,"",INDEX('Part types'!$U:$U,$AK340)&amp;"")</f>
        <v/>
      </c>
      <c r="AG340" s="9" t="str">
        <f aca="false">IF($AK340=0,"",INDEX('Part types'!$V:$V,$AK340)&amp;"")</f>
        <v>Estimate: item-specific</v>
      </c>
      <c r="AH340" s="9" t="str">
        <f aca="false">IF($AK340=0,"",INDEX('Part types'!$W:$W,$AK340)&amp;"")</f>
        <v/>
      </c>
      <c r="AI340" s="11" t="str">
        <f aca="false">IF($AK340=0,"",INDEX('Part types'!$X:$X,$AK340)&amp;"")</f>
        <v>سوستة</v>
      </c>
      <c r="AJ340" s="9" t="str">
        <f aca="false">IF($AK340=0,"",INDEX('Part types'!$Y:$Y,$AK340)&amp;"")</f>
        <v/>
      </c>
      <c r="AK340" s="9" t="n">
        <f aca="false">IFERROR(MATCH($AD340,'Part types'!$E:$E,0),0)</f>
        <v>268</v>
      </c>
    </row>
    <row r="341" customFormat="false" ht="15" hidden="false" customHeight="false" outlineLevel="0" collapsed="false">
      <c r="A341" s="9" t="s">
        <v>1640</v>
      </c>
      <c r="B341" s="9" t="s">
        <v>1610</v>
      </c>
      <c r="C341" s="9" t="s">
        <v>1641</v>
      </c>
      <c r="D341" s="9" t="str">
        <f aca="false">C341&amp;" - "&amp;E341</f>
        <v>Leaf Spring - Left</v>
      </c>
      <c r="E341" s="9" t="s">
        <v>218</v>
      </c>
      <c r="F341" s="9" t="s">
        <v>1642</v>
      </c>
      <c r="G341" s="10" t="n">
        <f aca="false">IF($AK341=0,"",INDEX('Part types'!$P:$P,$AK341))</f>
        <v>110</v>
      </c>
      <c r="H341" s="10" t="n">
        <f aca="false">IF($AK341=0,"",INDEX('Part types'!$Q:$Q,$AK341))</f>
        <v>10</v>
      </c>
      <c r="I341" s="10" t="n">
        <f aca="false">IF($AK341=0,"",INDEX('Part types'!$R:$R,$AK341))</f>
        <v>10</v>
      </c>
      <c r="J341" s="10" t="n">
        <f aca="false">IF($AK341=0,"",INDEX('Part types'!$S:$S,$AK341))</f>
        <v>16</v>
      </c>
      <c r="K341" s="11" t="s">
        <v>1613</v>
      </c>
      <c r="L341" s="11" t="s">
        <v>1643</v>
      </c>
      <c r="M341" s="11" t="str">
        <f aca="false">L341&amp;" - "&amp;N341</f>
        <v>سوستة ورقية - يسار</v>
      </c>
      <c r="N341" s="11" t="s">
        <v>220</v>
      </c>
      <c r="O341" s="11" t="s">
        <v>1644</v>
      </c>
      <c r="P341" s="10" t="n">
        <f aca="false">G341</f>
        <v>110</v>
      </c>
      <c r="Q341" s="10" t="n">
        <f aca="false">H341</f>
        <v>10</v>
      </c>
      <c r="R341" s="10" t="n">
        <f aca="false">I341</f>
        <v>10</v>
      </c>
      <c r="S341" s="10" t="n">
        <f aca="false">J341</f>
        <v>16</v>
      </c>
      <c r="T341" s="12" t="s">
        <v>1616</v>
      </c>
      <c r="U341" s="12" t="s">
        <v>1645</v>
      </c>
      <c r="V341" s="9" t="str">
        <f aca="false">U341&amp;" - "&amp;W341</f>
        <v>钢板弹簧 - 左侧</v>
      </c>
      <c r="W341" s="12" t="s">
        <v>222</v>
      </c>
      <c r="X341" s="12" t="s">
        <v>1646</v>
      </c>
      <c r="Y341" s="10" t="n">
        <f aca="false">G341</f>
        <v>110</v>
      </c>
      <c r="Z341" s="10" t="n">
        <f aca="false">H341</f>
        <v>10</v>
      </c>
      <c r="AA341" s="10" t="n">
        <f aca="false">I341</f>
        <v>10</v>
      </c>
      <c r="AB341" s="10" t="n">
        <f aca="false">J341</f>
        <v>16</v>
      </c>
      <c r="AC341" s="9" t="s">
        <v>1619</v>
      </c>
      <c r="AD341" s="9" t="s">
        <v>1647</v>
      </c>
      <c r="AE341" s="9" t="str">
        <f aca="false">IF($AK341=0,"",INDEX('Part types'!$T:$T,$AK341)&amp;"")</f>
        <v>All vehicles</v>
      </c>
      <c r="AF341" s="9" t="str">
        <f aca="false">IF($AK341=0,"",INDEX('Part types'!$U:$U,$AK341)&amp;"")</f>
        <v/>
      </c>
      <c r="AG341" s="9" t="str">
        <f aca="false">IF($AK341=0,"",INDEX('Part types'!$V:$V,$AK341)&amp;"")</f>
        <v>Estimate: item-specific</v>
      </c>
      <c r="AH341" s="9" t="str">
        <f aca="false">IF($AK341=0,"",INDEX('Part types'!$W:$W,$AK341)&amp;"")</f>
        <v/>
      </c>
      <c r="AI341" s="11" t="str">
        <f aca="false">IF($AK341=0,"",INDEX('Part types'!$X:$X,$AK341)&amp;"")</f>
        <v/>
      </c>
      <c r="AJ341" s="9" t="str">
        <f aca="false">IF($AK341=0,"",INDEX('Part types'!$Y:$Y,$AK341)&amp;"")</f>
        <v/>
      </c>
      <c r="AK341" s="9" t="n">
        <f aca="false">IFERROR(MATCH($AD341,'Part types'!$E:$E,0),0)</f>
        <v>269</v>
      </c>
    </row>
    <row r="342" customFormat="false" ht="15" hidden="false" customHeight="false" outlineLevel="0" collapsed="false">
      <c r="A342" s="9" t="s">
        <v>1648</v>
      </c>
      <c r="B342" s="9" t="s">
        <v>1610</v>
      </c>
      <c r="C342" s="9" t="s">
        <v>1641</v>
      </c>
      <c r="D342" s="9" t="str">
        <f aca="false">C342&amp;" - "&amp;E342</f>
        <v>Leaf Spring - Right</v>
      </c>
      <c r="E342" s="9" t="s">
        <v>225</v>
      </c>
      <c r="F342" s="9" t="s">
        <v>1642</v>
      </c>
      <c r="G342" s="10" t="n">
        <f aca="false">IF($AK342=0,"",INDEX('Part types'!$P:$P,$AK342))</f>
        <v>110</v>
      </c>
      <c r="H342" s="10" t="n">
        <f aca="false">IF($AK342=0,"",INDEX('Part types'!$Q:$Q,$AK342))</f>
        <v>10</v>
      </c>
      <c r="I342" s="10" t="n">
        <f aca="false">IF($AK342=0,"",INDEX('Part types'!$R:$R,$AK342))</f>
        <v>10</v>
      </c>
      <c r="J342" s="10" t="n">
        <f aca="false">IF($AK342=0,"",INDEX('Part types'!$S:$S,$AK342))</f>
        <v>16</v>
      </c>
      <c r="K342" s="11" t="s">
        <v>1613</v>
      </c>
      <c r="L342" s="11" t="s">
        <v>1643</v>
      </c>
      <c r="M342" s="11" t="str">
        <f aca="false">L342&amp;" - "&amp;N342</f>
        <v>سوستة ورقية - يمين</v>
      </c>
      <c r="N342" s="11" t="s">
        <v>226</v>
      </c>
      <c r="O342" s="11" t="s">
        <v>1644</v>
      </c>
      <c r="P342" s="10" t="n">
        <f aca="false">G342</f>
        <v>110</v>
      </c>
      <c r="Q342" s="10" t="n">
        <f aca="false">H342</f>
        <v>10</v>
      </c>
      <c r="R342" s="10" t="n">
        <f aca="false">I342</f>
        <v>10</v>
      </c>
      <c r="S342" s="10" t="n">
        <f aca="false">J342</f>
        <v>16</v>
      </c>
      <c r="T342" s="12" t="s">
        <v>1616</v>
      </c>
      <c r="U342" s="12" t="s">
        <v>1645</v>
      </c>
      <c r="V342" s="9" t="str">
        <f aca="false">U342&amp;" - "&amp;W342</f>
        <v>钢板弹簧 - 右侧</v>
      </c>
      <c r="W342" s="12" t="s">
        <v>227</v>
      </c>
      <c r="X342" s="12" t="s">
        <v>1646</v>
      </c>
      <c r="Y342" s="10" t="n">
        <f aca="false">G342</f>
        <v>110</v>
      </c>
      <c r="Z342" s="10" t="n">
        <f aca="false">H342</f>
        <v>10</v>
      </c>
      <c r="AA342" s="10" t="n">
        <f aca="false">I342</f>
        <v>10</v>
      </c>
      <c r="AB342" s="10" t="n">
        <f aca="false">J342</f>
        <v>16</v>
      </c>
      <c r="AC342" s="9" t="s">
        <v>1619</v>
      </c>
      <c r="AD342" s="9" t="s">
        <v>1647</v>
      </c>
      <c r="AE342" s="9" t="str">
        <f aca="false">IF($AK342=0,"",INDEX('Part types'!$T:$T,$AK342)&amp;"")</f>
        <v>All vehicles</v>
      </c>
      <c r="AF342" s="9" t="str">
        <f aca="false">IF($AK342=0,"",INDEX('Part types'!$U:$U,$AK342)&amp;"")</f>
        <v/>
      </c>
      <c r="AG342" s="9" t="str">
        <f aca="false">IF($AK342=0,"",INDEX('Part types'!$V:$V,$AK342)&amp;"")</f>
        <v>Estimate: item-specific</v>
      </c>
      <c r="AH342" s="9" t="str">
        <f aca="false">IF($AK342=0,"",INDEX('Part types'!$W:$W,$AK342)&amp;"")</f>
        <v/>
      </c>
      <c r="AI342" s="11" t="str">
        <f aca="false">IF($AK342=0,"",INDEX('Part types'!$X:$X,$AK342)&amp;"")</f>
        <v/>
      </c>
      <c r="AJ342" s="9" t="str">
        <f aca="false">IF($AK342=0,"",INDEX('Part types'!$Y:$Y,$AK342)&amp;"")</f>
        <v/>
      </c>
      <c r="AK342" s="9" t="n">
        <f aca="false">IFERROR(MATCH($AD342,'Part types'!$E:$E,0),0)</f>
        <v>269</v>
      </c>
    </row>
    <row r="343" customFormat="false" ht="15" hidden="false" customHeight="false" outlineLevel="0" collapsed="false">
      <c r="A343" s="9" t="s">
        <v>1649</v>
      </c>
      <c r="B343" s="9" t="s">
        <v>1610</v>
      </c>
      <c r="C343" s="9" t="s">
        <v>1650</v>
      </c>
      <c r="D343" s="9" t="str">
        <f aca="false">C343&amp;" - "&amp;E343</f>
        <v>Strut Mount - Front-Left</v>
      </c>
      <c r="E343" s="9" t="s">
        <v>1346</v>
      </c>
      <c r="F343" s="9" t="s">
        <v>1612</v>
      </c>
      <c r="G343" s="10" t="n">
        <f aca="false">IF($AK343=0,"",INDEX('Part types'!$P:$P,$AK343))</f>
        <v>25</v>
      </c>
      <c r="H343" s="10" t="n">
        <f aca="false">IF($AK343=0,"",INDEX('Part types'!$Q:$Q,$AK343))</f>
        <v>15</v>
      </c>
      <c r="I343" s="10" t="n">
        <f aca="false">IF($AK343=0,"",INDEX('Part types'!$R:$R,$AK343))</f>
        <v>10</v>
      </c>
      <c r="J343" s="10" t="n">
        <f aca="false">IF($AK343=0,"",INDEX('Part types'!$S:$S,$AK343))</f>
        <v>0.9</v>
      </c>
      <c r="K343" s="11" t="s">
        <v>1613</v>
      </c>
      <c r="L343" s="11" t="s">
        <v>1651</v>
      </c>
      <c r="M343" s="11" t="str">
        <f aca="false">L343&amp;" - "&amp;N343</f>
        <v>قاعدة الستروت - أمامي يسار</v>
      </c>
      <c r="N343" s="11" t="s">
        <v>1349</v>
      </c>
      <c r="O343" s="11" t="s">
        <v>1615</v>
      </c>
      <c r="P343" s="10" t="n">
        <f aca="false">G343</f>
        <v>25</v>
      </c>
      <c r="Q343" s="10" t="n">
        <f aca="false">H343</f>
        <v>15</v>
      </c>
      <c r="R343" s="10" t="n">
        <f aca="false">I343</f>
        <v>10</v>
      </c>
      <c r="S343" s="10" t="n">
        <f aca="false">J343</f>
        <v>0.9</v>
      </c>
      <c r="T343" s="12" t="s">
        <v>1616</v>
      </c>
      <c r="U343" s="12" t="s">
        <v>1652</v>
      </c>
      <c r="V343" s="9" t="str">
        <f aca="false">U343&amp;" - "&amp;W343</f>
        <v>减震器上支座 - 前左</v>
      </c>
      <c r="W343" s="12" t="s">
        <v>1352</v>
      </c>
      <c r="X343" s="12" t="s">
        <v>1618</v>
      </c>
      <c r="Y343" s="10" t="n">
        <f aca="false">G343</f>
        <v>25</v>
      </c>
      <c r="Z343" s="10" t="n">
        <f aca="false">H343</f>
        <v>15</v>
      </c>
      <c r="AA343" s="10" t="n">
        <f aca="false">I343</f>
        <v>10</v>
      </c>
      <c r="AB343" s="10" t="n">
        <f aca="false">J343</f>
        <v>0.9</v>
      </c>
      <c r="AC343" s="9" t="s">
        <v>1619</v>
      </c>
      <c r="AD343" s="9" t="s">
        <v>1653</v>
      </c>
      <c r="AE343" s="9" t="str">
        <f aca="false">IF($AK343=0,"",INDEX('Part types'!$T:$T,$AK343)&amp;"")</f>
        <v>All vehicles</v>
      </c>
      <c r="AF343" s="9" t="str">
        <f aca="false">IF($AK343=0,"",INDEX('Part types'!$U:$U,$AK343)&amp;"")</f>
        <v/>
      </c>
      <c r="AG343" s="9" t="str">
        <f aca="false">IF($AK343=0,"",INDEX('Part types'!$V:$V,$AK343)&amp;"")</f>
        <v>Estimate: size class M</v>
      </c>
      <c r="AH343" s="9" t="str">
        <f aca="false">IF($AK343=0,"",INDEX('Part types'!$W:$W,$AK343)&amp;"")</f>
        <v/>
      </c>
      <c r="AI343" s="11" t="str">
        <f aca="false">IF($AK343=0,"",INDEX('Part types'!$X:$X,$AK343)&amp;"")</f>
        <v/>
      </c>
      <c r="AJ343" s="9" t="str">
        <f aca="false">IF($AK343=0,"",INDEX('Part types'!$Y:$Y,$AK343)&amp;"")</f>
        <v/>
      </c>
      <c r="AK343" s="9" t="n">
        <f aca="false">IFERROR(MATCH($AD343,'Part types'!$E:$E,0),0)</f>
        <v>270</v>
      </c>
    </row>
    <row r="344" customFormat="false" ht="15" hidden="false" customHeight="false" outlineLevel="0" collapsed="false">
      <c r="A344" s="9" t="s">
        <v>1654</v>
      </c>
      <c r="B344" s="9" t="s">
        <v>1610</v>
      </c>
      <c r="C344" s="9" t="s">
        <v>1650</v>
      </c>
      <c r="D344" s="9" t="str">
        <f aca="false">C344&amp;" - "&amp;E344</f>
        <v>Strut Mount - Front-Right</v>
      </c>
      <c r="E344" s="9" t="s">
        <v>1356</v>
      </c>
      <c r="F344" s="9" t="s">
        <v>1612</v>
      </c>
      <c r="G344" s="10" t="n">
        <f aca="false">IF($AK344=0,"",INDEX('Part types'!$P:$P,$AK344))</f>
        <v>25</v>
      </c>
      <c r="H344" s="10" t="n">
        <f aca="false">IF($AK344=0,"",INDEX('Part types'!$Q:$Q,$AK344))</f>
        <v>15</v>
      </c>
      <c r="I344" s="10" t="n">
        <f aca="false">IF($AK344=0,"",INDEX('Part types'!$R:$R,$AK344))</f>
        <v>10</v>
      </c>
      <c r="J344" s="10" t="n">
        <f aca="false">IF($AK344=0,"",INDEX('Part types'!$S:$S,$AK344))</f>
        <v>0.9</v>
      </c>
      <c r="K344" s="11" t="s">
        <v>1613</v>
      </c>
      <c r="L344" s="11" t="s">
        <v>1651</v>
      </c>
      <c r="M344" s="11" t="str">
        <f aca="false">L344&amp;" - "&amp;N344</f>
        <v>قاعدة الستروت - أمامي يمين</v>
      </c>
      <c r="N344" s="11" t="s">
        <v>1357</v>
      </c>
      <c r="O344" s="11" t="s">
        <v>1615</v>
      </c>
      <c r="P344" s="10" t="n">
        <f aca="false">G344</f>
        <v>25</v>
      </c>
      <c r="Q344" s="10" t="n">
        <f aca="false">H344</f>
        <v>15</v>
      </c>
      <c r="R344" s="10" t="n">
        <f aca="false">I344</f>
        <v>10</v>
      </c>
      <c r="S344" s="10" t="n">
        <f aca="false">J344</f>
        <v>0.9</v>
      </c>
      <c r="T344" s="12" t="s">
        <v>1616</v>
      </c>
      <c r="U344" s="12" t="s">
        <v>1652</v>
      </c>
      <c r="V344" s="9" t="str">
        <f aca="false">U344&amp;" - "&amp;W344</f>
        <v>减震器上支座 - 前右</v>
      </c>
      <c r="W344" s="12" t="s">
        <v>1358</v>
      </c>
      <c r="X344" s="12" t="s">
        <v>1618</v>
      </c>
      <c r="Y344" s="10" t="n">
        <f aca="false">G344</f>
        <v>25</v>
      </c>
      <c r="Z344" s="10" t="n">
        <f aca="false">H344</f>
        <v>15</v>
      </c>
      <c r="AA344" s="10" t="n">
        <f aca="false">I344</f>
        <v>10</v>
      </c>
      <c r="AB344" s="10" t="n">
        <f aca="false">J344</f>
        <v>0.9</v>
      </c>
      <c r="AC344" s="9" t="s">
        <v>1619</v>
      </c>
      <c r="AD344" s="9" t="s">
        <v>1653</v>
      </c>
      <c r="AE344" s="9" t="str">
        <f aca="false">IF($AK344=0,"",INDEX('Part types'!$T:$T,$AK344)&amp;"")</f>
        <v>All vehicles</v>
      </c>
      <c r="AF344" s="9" t="str">
        <f aca="false">IF($AK344=0,"",INDEX('Part types'!$U:$U,$AK344)&amp;"")</f>
        <v/>
      </c>
      <c r="AG344" s="9" t="str">
        <f aca="false">IF($AK344=0,"",INDEX('Part types'!$V:$V,$AK344)&amp;"")</f>
        <v>Estimate: size class M</v>
      </c>
      <c r="AH344" s="9" t="str">
        <f aca="false">IF($AK344=0,"",INDEX('Part types'!$W:$W,$AK344)&amp;"")</f>
        <v/>
      </c>
      <c r="AI344" s="11" t="str">
        <f aca="false">IF($AK344=0,"",INDEX('Part types'!$X:$X,$AK344)&amp;"")</f>
        <v/>
      </c>
      <c r="AJ344" s="9" t="str">
        <f aca="false">IF($AK344=0,"",INDEX('Part types'!$Y:$Y,$AK344)&amp;"")</f>
        <v/>
      </c>
      <c r="AK344" s="9" t="n">
        <f aca="false">IFERROR(MATCH($AD344,'Part types'!$E:$E,0),0)</f>
        <v>270</v>
      </c>
    </row>
    <row r="345" customFormat="false" ht="15" hidden="false" customHeight="false" outlineLevel="0" collapsed="false">
      <c r="A345" s="9" t="s">
        <v>1655</v>
      </c>
      <c r="B345" s="9" t="s">
        <v>1610</v>
      </c>
      <c r="C345" s="9" t="s">
        <v>1650</v>
      </c>
      <c r="D345" s="9" t="str">
        <f aca="false">C345&amp;" - "&amp;E345</f>
        <v>Strut Mount - Rear-Left</v>
      </c>
      <c r="E345" s="9" t="s">
        <v>1360</v>
      </c>
      <c r="F345" s="9" t="s">
        <v>1612</v>
      </c>
      <c r="G345" s="10" t="n">
        <f aca="false">IF($AK345=0,"",INDEX('Part types'!$P:$P,$AK345))</f>
        <v>25</v>
      </c>
      <c r="H345" s="10" t="n">
        <f aca="false">IF($AK345=0,"",INDEX('Part types'!$Q:$Q,$AK345))</f>
        <v>15</v>
      </c>
      <c r="I345" s="10" t="n">
        <f aca="false">IF($AK345=0,"",INDEX('Part types'!$R:$R,$AK345))</f>
        <v>10</v>
      </c>
      <c r="J345" s="10" t="n">
        <f aca="false">IF($AK345=0,"",INDEX('Part types'!$S:$S,$AK345))</f>
        <v>0.9</v>
      </c>
      <c r="K345" s="11" t="s">
        <v>1613</v>
      </c>
      <c r="L345" s="11" t="s">
        <v>1651</v>
      </c>
      <c r="M345" s="11" t="str">
        <f aca="false">L345&amp;" - "&amp;N345</f>
        <v>قاعدة الستروت - خلفي يسار</v>
      </c>
      <c r="N345" s="11" t="s">
        <v>1361</v>
      </c>
      <c r="O345" s="11" t="s">
        <v>1615</v>
      </c>
      <c r="P345" s="10" t="n">
        <f aca="false">G345</f>
        <v>25</v>
      </c>
      <c r="Q345" s="10" t="n">
        <f aca="false">H345</f>
        <v>15</v>
      </c>
      <c r="R345" s="10" t="n">
        <f aca="false">I345</f>
        <v>10</v>
      </c>
      <c r="S345" s="10" t="n">
        <f aca="false">J345</f>
        <v>0.9</v>
      </c>
      <c r="T345" s="12" t="s">
        <v>1616</v>
      </c>
      <c r="U345" s="12" t="s">
        <v>1652</v>
      </c>
      <c r="V345" s="9" t="str">
        <f aca="false">U345&amp;" - "&amp;W345</f>
        <v>减震器上支座 - 后左</v>
      </c>
      <c r="W345" s="12" t="s">
        <v>1362</v>
      </c>
      <c r="X345" s="12" t="s">
        <v>1618</v>
      </c>
      <c r="Y345" s="10" t="n">
        <f aca="false">G345</f>
        <v>25</v>
      </c>
      <c r="Z345" s="10" t="n">
        <f aca="false">H345</f>
        <v>15</v>
      </c>
      <c r="AA345" s="10" t="n">
        <f aca="false">I345</f>
        <v>10</v>
      </c>
      <c r="AB345" s="10" t="n">
        <f aca="false">J345</f>
        <v>0.9</v>
      </c>
      <c r="AC345" s="9" t="s">
        <v>1619</v>
      </c>
      <c r="AD345" s="9" t="s">
        <v>1653</v>
      </c>
      <c r="AE345" s="9" t="str">
        <f aca="false">IF($AK345=0,"",INDEX('Part types'!$T:$T,$AK345)&amp;"")</f>
        <v>All vehicles</v>
      </c>
      <c r="AF345" s="9" t="str">
        <f aca="false">IF($AK345=0,"",INDEX('Part types'!$U:$U,$AK345)&amp;"")</f>
        <v/>
      </c>
      <c r="AG345" s="9" t="str">
        <f aca="false">IF($AK345=0,"",INDEX('Part types'!$V:$V,$AK345)&amp;"")</f>
        <v>Estimate: size class M</v>
      </c>
      <c r="AH345" s="9" t="str">
        <f aca="false">IF($AK345=0,"",INDEX('Part types'!$W:$W,$AK345)&amp;"")</f>
        <v/>
      </c>
      <c r="AI345" s="11" t="str">
        <f aca="false">IF($AK345=0,"",INDEX('Part types'!$X:$X,$AK345)&amp;"")</f>
        <v/>
      </c>
      <c r="AJ345" s="9" t="str">
        <f aca="false">IF($AK345=0,"",INDEX('Part types'!$Y:$Y,$AK345)&amp;"")</f>
        <v/>
      </c>
      <c r="AK345" s="9" t="n">
        <f aca="false">IFERROR(MATCH($AD345,'Part types'!$E:$E,0),0)</f>
        <v>270</v>
      </c>
    </row>
    <row r="346" customFormat="false" ht="15" hidden="false" customHeight="false" outlineLevel="0" collapsed="false">
      <c r="A346" s="9" t="s">
        <v>1656</v>
      </c>
      <c r="B346" s="9" t="s">
        <v>1610</v>
      </c>
      <c r="C346" s="9" t="s">
        <v>1650</v>
      </c>
      <c r="D346" s="9" t="str">
        <f aca="false">C346&amp;" - "&amp;E346</f>
        <v>Strut Mount - Rear-Right</v>
      </c>
      <c r="E346" s="9" t="s">
        <v>1364</v>
      </c>
      <c r="F346" s="9" t="s">
        <v>1612</v>
      </c>
      <c r="G346" s="10" t="n">
        <f aca="false">IF($AK346=0,"",INDEX('Part types'!$P:$P,$AK346))</f>
        <v>25</v>
      </c>
      <c r="H346" s="10" t="n">
        <f aca="false">IF($AK346=0,"",INDEX('Part types'!$Q:$Q,$AK346))</f>
        <v>15</v>
      </c>
      <c r="I346" s="10" t="n">
        <f aca="false">IF($AK346=0,"",INDEX('Part types'!$R:$R,$AK346))</f>
        <v>10</v>
      </c>
      <c r="J346" s="10" t="n">
        <f aca="false">IF($AK346=0,"",INDEX('Part types'!$S:$S,$AK346))</f>
        <v>0.9</v>
      </c>
      <c r="K346" s="11" t="s">
        <v>1613</v>
      </c>
      <c r="L346" s="11" t="s">
        <v>1651</v>
      </c>
      <c r="M346" s="11" t="str">
        <f aca="false">L346&amp;" - "&amp;N346</f>
        <v>قاعدة الستروت - خلفي يمين</v>
      </c>
      <c r="N346" s="11" t="s">
        <v>1365</v>
      </c>
      <c r="O346" s="11" t="s">
        <v>1615</v>
      </c>
      <c r="P346" s="10" t="n">
        <f aca="false">G346</f>
        <v>25</v>
      </c>
      <c r="Q346" s="10" t="n">
        <f aca="false">H346</f>
        <v>15</v>
      </c>
      <c r="R346" s="10" t="n">
        <f aca="false">I346</f>
        <v>10</v>
      </c>
      <c r="S346" s="10" t="n">
        <f aca="false">J346</f>
        <v>0.9</v>
      </c>
      <c r="T346" s="12" t="s">
        <v>1616</v>
      </c>
      <c r="U346" s="12" t="s">
        <v>1652</v>
      </c>
      <c r="V346" s="9" t="str">
        <f aca="false">U346&amp;" - "&amp;W346</f>
        <v>减震器上支座 - 后右</v>
      </c>
      <c r="W346" s="12" t="s">
        <v>1366</v>
      </c>
      <c r="X346" s="12" t="s">
        <v>1618</v>
      </c>
      <c r="Y346" s="10" t="n">
        <f aca="false">G346</f>
        <v>25</v>
      </c>
      <c r="Z346" s="10" t="n">
        <f aca="false">H346</f>
        <v>15</v>
      </c>
      <c r="AA346" s="10" t="n">
        <f aca="false">I346</f>
        <v>10</v>
      </c>
      <c r="AB346" s="10" t="n">
        <f aca="false">J346</f>
        <v>0.9</v>
      </c>
      <c r="AC346" s="9" t="s">
        <v>1619</v>
      </c>
      <c r="AD346" s="9" t="s">
        <v>1653</v>
      </c>
      <c r="AE346" s="9" t="str">
        <f aca="false">IF($AK346=0,"",INDEX('Part types'!$T:$T,$AK346)&amp;"")</f>
        <v>All vehicles</v>
      </c>
      <c r="AF346" s="9" t="str">
        <f aca="false">IF($AK346=0,"",INDEX('Part types'!$U:$U,$AK346)&amp;"")</f>
        <v/>
      </c>
      <c r="AG346" s="9" t="str">
        <f aca="false">IF($AK346=0,"",INDEX('Part types'!$V:$V,$AK346)&amp;"")</f>
        <v>Estimate: size class M</v>
      </c>
      <c r="AH346" s="9" t="str">
        <f aca="false">IF($AK346=0,"",INDEX('Part types'!$W:$W,$AK346)&amp;"")</f>
        <v/>
      </c>
      <c r="AI346" s="11" t="str">
        <f aca="false">IF($AK346=0,"",INDEX('Part types'!$X:$X,$AK346)&amp;"")</f>
        <v/>
      </c>
      <c r="AJ346" s="9" t="str">
        <f aca="false">IF($AK346=0,"",INDEX('Part types'!$Y:$Y,$AK346)&amp;"")</f>
        <v/>
      </c>
      <c r="AK346" s="9" t="n">
        <f aca="false">IFERROR(MATCH($AD346,'Part types'!$E:$E,0),0)</f>
        <v>270</v>
      </c>
    </row>
    <row r="347" customFormat="false" ht="15" hidden="false" customHeight="false" outlineLevel="0" collapsed="false">
      <c r="A347" s="9" t="s">
        <v>1657</v>
      </c>
      <c r="B347" s="9" t="s">
        <v>1610</v>
      </c>
      <c r="C347" s="9" t="s">
        <v>1658</v>
      </c>
      <c r="D347" s="9" t="str">
        <f aca="false">C347&amp;" - "&amp;E347</f>
        <v>Strut Mount Bearing - Front-Left</v>
      </c>
      <c r="E347" s="9" t="s">
        <v>1346</v>
      </c>
      <c r="F347" s="9" t="s">
        <v>1659</v>
      </c>
      <c r="G347" s="10" t="n">
        <f aca="false">IF($AK347=0,"",INDEX('Part types'!$P:$P,$AK347))</f>
        <v>15</v>
      </c>
      <c r="H347" s="10" t="n">
        <f aca="false">IF($AK347=0,"",INDEX('Part types'!$Q:$Q,$AK347))</f>
        <v>10</v>
      </c>
      <c r="I347" s="10" t="n">
        <f aca="false">IF($AK347=0,"",INDEX('Part types'!$R:$R,$AK347))</f>
        <v>8</v>
      </c>
      <c r="J347" s="10" t="n">
        <f aca="false">IF($AK347=0,"",INDEX('Part types'!$S:$S,$AK347))</f>
        <v>0.3</v>
      </c>
      <c r="K347" s="11" t="s">
        <v>1613</v>
      </c>
      <c r="L347" s="11" t="s">
        <v>1660</v>
      </c>
      <c r="M347" s="11" t="str">
        <f aca="false">L347&amp;" - "&amp;N347</f>
        <v>رولمان قاعدة الستروت - أمامي يسار</v>
      </c>
      <c r="N347" s="11" t="s">
        <v>1349</v>
      </c>
      <c r="O347" s="11" t="s">
        <v>1661</v>
      </c>
      <c r="P347" s="10" t="n">
        <f aca="false">G347</f>
        <v>15</v>
      </c>
      <c r="Q347" s="10" t="n">
        <f aca="false">H347</f>
        <v>10</v>
      </c>
      <c r="R347" s="10" t="n">
        <f aca="false">I347</f>
        <v>8</v>
      </c>
      <c r="S347" s="10" t="n">
        <f aca="false">J347</f>
        <v>0.3</v>
      </c>
      <c r="T347" s="12" t="s">
        <v>1616</v>
      </c>
      <c r="U347" s="12" t="s">
        <v>1662</v>
      </c>
      <c r="V347" s="9" t="str">
        <f aca="false">U347&amp;" - "&amp;W347</f>
        <v>减震器支座轴承 - 前左</v>
      </c>
      <c r="W347" s="12" t="s">
        <v>1352</v>
      </c>
      <c r="X347" s="12" t="s">
        <v>1663</v>
      </c>
      <c r="Y347" s="10" t="n">
        <f aca="false">G347</f>
        <v>15</v>
      </c>
      <c r="Z347" s="10" t="n">
        <f aca="false">H347</f>
        <v>10</v>
      </c>
      <c r="AA347" s="10" t="n">
        <f aca="false">I347</f>
        <v>8</v>
      </c>
      <c r="AB347" s="10" t="n">
        <f aca="false">J347</f>
        <v>0.3</v>
      </c>
      <c r="AC347" s="9" t="s">
        <v>1619</v>
      </c>
      <c r="AD347" s="9" t="s">
        <v>1664</v>
      </c>
      <c r="AE347" s="9" t="str">
        <f aca="false">IF($AK347=0,"",INDEX('Part types'!$T:$T,$AK347)&amp;"")</f>
        <v>All vehicles</v>
      </c>
      <c r="AF347" s="9" t="str">
        <f aca="false">IF($AK347=0,"",INDEX('Part types'!$U:$U,$AK347)&amp;"")</f>
        <v/>
      </c>
      <c r="AG347" s="9" t="str">
        <f aca="false">IF($AK347=0,"",INDEX('Part types'!$V:$V,$AK347)&amp;"")</f>
        <v>Estimate: size class S</v>
      </c>
      <c r="AH347" s="9" t="str">
        <f aca="false">IF($AK347=0,"",INDEX('Part types'!$W:$W,$AK347)&amp;"")</f>
        <v/>
      </c>
      <c r="AI347" s="11" t="str">
        <f aca="false">IF($AK347=0,"",INDEX('Part types'!$X:$X,$AK347)&amp;"")</f>
        <v/>
      </c>
      <c r="AJ347" s="9" t="str">
        <f aca="false">IF($AK347=0,"",INDEX('Part types'!$Y:$Y,$AK347)&amp;"")</f>
        <v/>
      </c>
      <c r="AK347" s="9" t="n">
        <f aca="false">IFERROR(MATCH($AD347,'Part types'!$E:$E,0),0)</f>
        <v>271</v>
      </c>
    </row>
    <row r="348" customFormat="false" ht="15" hidden="false" customHeight="false" outlineLevel="0" collapsed="false">
      <c r="A348" s="9" t="s">
        <v>1665</v>
      </c>
      <c r="B348" s="9" t="s">
        <v>1610</v>
      </c>
      <c r="C348" s="9" t="s">
        <v>1658</v>
      </c>
      <c r="D348" s="9" t="str">
        <f aca="false">C348&amp;" - "&amp;E348</f>
        <v>Strut Mount Bearing - Front-Right</v>
      </c>
      <c r="E348" s="9" t="s">
        <v>1356</v>
      </c>
      <c r="F348" s="9" t="s">
        <v>1659</v>
      </c>
      <c r="G348" s="10" t="n">
        <f aca="false">IF($AK348=0,"",INDEX('Part types'!$P:$P,$AK348))</f>
        <v>15</v>
      </c>
      <c r="H348" s="10" t="n">
        <f aca="false">IF($AK348=0,"",INDEX('Part types'!$Q:$Q,$AK348))</f>
        <v>10</v>
      </c>
      <c r="I348" s="10" t="n">
        <f aca="false">IF($AK348=0,"",INDEX('Part types'!$R:$R,$AK348))</f>
        <v>8</v>
      </c>
      <c r="J348" s="10" t="n">
        <f aca="false">IF($AK348=0,"",INDEX('Part types'!$S:$S,$AK348))</f>
        <v>0.3</v>
      </c>
      <c r="K348" s="11" t="s">
        <v>1613</v>
      </c>
      <c r="L348" s="11" t="s">
        <v>1660</v>
      </c>
      <c r="M348" s="11" t="str">
        <f aca="false">L348&amp;" - "&amp;N348</f>
        <v>رولمان قاعدة الستروت - أمامي يمين</v>
      </c>
      <c r="N348" s="11" t="s">
        <v>1357</v>
      </c>
      <c r="O348" s="11" t="s">
        <v>1661</v>
      </c>
      <c r="P348" s="10" t="n">
        <f aca="false">G348</f>
        <v>15</v>
      </c>
      <c r="Q348" s="10" t="n">
        <f aca="false">H348</f>
        <v>10</v>
      </c>
      <c r="R348" s="10" t="n">
        <f aca="false">I348</f>
        <v>8</v>
      </c>
      <c r="S348" s="10" t="n">
        <f aca="false">J348</f>
        <v>0.3</v>
      </c>
      <c r="T348" s="12" t="s">
        <v>1616</v>
      </c>
      <c r="U348" s="12" t="s">
        <v>1662</v>
      </c>
      <c r="V348" s="9" t="str">
        <f aca="false">U348&amp;" - "&amp;W348</f>
        <v>减震器支座轴承 - 前右</v>
      </c>
      <c r="W348" s="12" t="s">
        <v>1358</v>
      </c>
      <c r="X348" s="12" t="s">
        <v>1663</v>
      </c>
      <c r="Y348" s="10" t="n">
        <f aca="false">G348</f>
        <v>15</v>
      </c>
      <c r="Z348" s="10" t="n">
        <f aca="false">H348</f>
        <v>10</v>
      </c>
      <c r="AA348" s="10" t="n">
        <f aca="false">I348</f>
        <v>8</v>
      </c>
      <c r="AB348" s="10" t="n">
        <f aca="false">J348</f>
        <v>0.3</v>
      </c>
      <c r="AC348" s="9" t="s">
        <v>1619</v>
      </c>
      <c r="AD348" s="9" t="s">
        <v>1664</v>
      </c>
      <c r="AE348" s="9" t="str">
        <f aca="false">IF($AK348=0,"",INDEX('Part types'!$T:$T,$AK348)&amp;"")</f>
        <v>All vehicles</v>
      </c>
      <c r="AF348" s="9" t="str">
        <f aca="false">IF($AK348=0,"",INDEX('Part types'!$U:$U,$AK348)&amp;"")</f>
        <v/>
      </c>
      <c r="AG348" s="9" t="str">
        <f aca="false">IF($AK348=0,"",INDEX('Part types'!$V:$V,$AK348)&amp;"")</f>
        <v>Estimate: size class S</v>
      </c>
      <c r="AH348" s="9" t="str">
        <f aca="false">IF($AK348=0,"",INDEX('Part types'!$W:$W,$AK348)&amp;"")</f>
        <v/>
      </c>
      <c r="AI348" s="11" t="str">
        <f aca="false">IF($AK348=0,"",INDEX('Part types'!$X:$X,$AK348)&amp;"")</f>
        <v/>
      </c>
      <c r="AJ348" s="9" t="str">
        <f aca="false">IF($AK348=0,"",INDEX('Part types'!$Y:$Y,$AK348)&amp;"")</f>
        <v/>
      </c>
      <c r="AK348" s="9" t="n">
        <f aca="false">IFERROR(MATCH($AD348,'Part types'!$E:$E,0),0)</f>
        <v>271</v>
      </c>
    </row>
    <row r="349" customFormat="false" ht="15" hidden="false" customHeight="false" outlineLevel="0" collapsed="false">
      <c r="A349" s="9" t="s">
        <v>1666</v>
      </c>
      <c r="B349" s="9" t="s">
        <v>1610</v>
      </c>
      <c r="C349" s="9" t="s">
        <v>1667</v>
      </c>
      <c r="D349" s="9" t="str">
        <f aca="false">C349&amp;" - "&amp;E349</f>
        <v>Strut Boot Kit - Front-Left</v>
      </c>
      <c r="E349" s="9" t="s">
        <v>1346</v>
      </c>
      <c r="F349" s="9" t="s">
        <v>1612</v>
      </c>
      <c r="G349" s="10" t="n">
        <f aca="false">IF($AK349=0,"",INDEX('Part types'!$P:$P,$AK349))</f>
        <v>15</v>
      </c>
      <c r="H349" s="10" t="n">
        <f aca="false">IF($AK349=0,"",INDEX('Part types'!$Q:$Q,$AK349))</f>
        <v>10</v>
      </c>
      <c r="I349" s="10" t="n">
        <f aca="false">IF($AK349=0,"",INDEX('Part types'!$R:$R,$AK349))</f>
        <v>8</v>
      </c>
      <c r="J349" s="10" t="n">
        <f aca="false">IF($AK349=0,"",INDEX('Part types'!$S:$S,$AK349))</f>
        <v>0.3</v>
      </c>
      <c r="K349" s="11" t="s">
        <v>1613</v>
      </c>
      <c r="L349" s="11" t="s">
        <v>1668</v>
      </c>
      <c r="M349" s="11" t="str">
        <f aca="false">L349&amp;" - "&amp;N349</f>
        <v>طقم مطاط وحماية الستروت - أمامي يسار</v>
      </c>
      <c r="N349" s="11" t="s">
        <v>1349</v>
      </c>
      <c r="O349" s="11" t="s">
        <v>1615</v>
      </c>
      <c r="P349" s="10" t="n">
        <f aca="false">G349</f>
        <v>15</v>
      </c>
      <c r="Q349" s="10" t="n">
        <f aca="false">H349</f>
        <v>10</v>
      </c>
      <c r="R349" s="10" t="n">
        <f aca="false">I349</f>
        <v>8</v>
      </c>
      <c r="S349" s="10" t="n">
        <f aca="false">J349</f>
        <v>0.3</v>
      </c>
      <c r="T349" s="12" t="s">
        <v>1616</v>
      </c>
      <c r="U349" s="12" t="s">
        <v>1669</v>
      </c>
      <c r="V349" s="9" t="str">
        <f aca="false">U349&amp;" - "&amp;W349</f>
        <v>减震器防尘套缓冲块套装 - 前左</v>
      </c>
      <c r="W349" s="12" t="s">
        <v>1352</v>
      </c>
      <c r="X349" s="12" t="s">
        <v>1618</v>
      </c>
      <c r="Y349" s="10" t="n">
        <f aca="false">G349</f>
        <v>15</v>
      </c>
      <c r="Z349" s="10" t="n">
        <f aca="false">H349</f>
        <v>10</v>
      </c>
      <c r="AA349" s="10" t="n">
        <f aca="false">I349</f>
        <v>8</v>
      </c>
      <c r="AB349" s="10" t="n">
        <f aca="false">J349</f>
        <v>0.3</v>
      </c>
      <c r="AC349" s="9" t="s">
        <v>1619</v>
      </c>
      <c r="AD349" s="9" t="s">
        <v>1670</v>
      </c>
      <c r="AE349" s="9" t="str">
        <f aca="false">IF($AK349=0,"",INDEX('Part types'!$T:$T,$AK349)&amp;"")</f>
        <v>All vehicles</v>
      </c>
      <c r="AF349" s="9" t="str">
        <f aca="false">IF($AK349=0,"",INDEX('Part types'!$U:$U,$AK349)&amp;"")</f>
        <v/>
      </c>
      <c r="AG349" s="9" t="str">
        <f aca="false">IF($AK349=0,"",INDEX('Part types'!$V:$V,$AK349)&amp;"")</f>
        <v>Estimate: size class S</v>
      </c>
      <c r="AH349" s="9" t="str">
        <f aca="false">IF($AK349=0,"",INDEX('Part types'!$W:$W,$AK349)&amp;"")</f>
        <v>Strut Bump Stop and Boot Kit</v>
      </c>
      <c r="AI349" s="11" t="str">
        <f aca="false">IF($AK349=0,"",INDEX('Part types'!$X:$X,$AK349)&amp;"")</f>
        <v/>
      </c>
      <c r="AJ349" s="9" t="str">
        <f aca="false">IF($AK349=0,"",INDEX('Part types'!$Y:$Y,$AK349)&amp;"")</f>
        <v/>
      </c>
      <c r="AK349" s="9" t="n">
        <f aca="false">IFERROR(MATCH($AD349,'Part types'!$E:$E,0),0)</f>
        <v>272</v>
      </c>
    </row>
    <row r="350" customFormat="false" ht="15" hidden="false" customHeight="false" outlineLevel="0" collapsed="false">
      <c r="A350" s="9" t="s">
        <v>1671</v>
      </c>
      <c r="B350" s="9" t="s">
        <v>1610</v>
      </c>
      <c r="C350" s="9" t="s">
        <v>1667</v>
      </c>
      <c r="D350" s="9" t="str">
        <f aca="false">C350&amp;" - "&amp;E350</f>
        <v>Strut Boot Kit - Front-Right</v>
      </c>
      <c r="E350" s="9" t="s">
        <v>1356</v>
      </c>
      <c r="F350" s="9" t="s">
        <v>1612</v>
      </c>
      <c r="G350" s="10" t="n">
        <f aca="false">IF($AK350=0,"",INDEX('Part types'!$P:$P,$AK350))</f>
        <v>15</v>
      </c>
      <c r="H350" s="10" t="n">
        <f aca="false">IF($AK350=0,"",INDEX('Part types'!$Q:$Q,$AK350))</f>
        <v>10</v>
      </c>
      <c r="I350" s="10" t="n">
        <f aca="false">IF($AK350=0,"",INDEX('Part types'!$R:$R,$AK350))</f>
        <v>8</v>
      </c>
      <c r="J350" s="10" t="n">
        <f aca="false">IF($AK350=0,"",INDEX('Part types'!$S:$S,$AK350))</f>
        <v>0.3</v>
      </c>
      <c r="K350" s="11" t="s">
        <v>1613</v>
      </c>
      <c r="L350" s="11" t="s">
        <v>1668</v>
      </c>
      <c r="M350" s="11" t="str">
        <f aca="false">L350&amp;" - "&amp;N350</f>
        <v>طقم مطاط وحماية الستروت - أمامي يمين</v>
      </c>
      <c r="N350" s="11" t="s">
        <v>1357</v>
      </c>
      <c r="O350" s="11" t="s">
        <v>1615</v>
      </c>
      <c r="P350" s="10" t="n">
        <f aca="false">G350</f>
        <v>15</v>
      </c>
      <c r="Q350" s="10" t="n">
        <f aca="false">H350</f>
        <v>10</v>
      </c>
      <c r="R350" s="10" t="n">
        <f aca="false">I350</f>
        <v>8</v>
      </c>
      <c r="S350" s="10" t="n">
        <f aca="false">J350</f>
        <v>0.3</v>
      </c>
      <c r="T350" s="12" t="s">
        <v>1616</v>
      </c>
      <c r="U350" s="12" t="s">
        <v>1669</v>
      </c>
      <c r="V350" s="9" t="str">
        <f aca="false">U350&amp;" - "&amp;W350</f>
        <v>减震器防尘套缓冲块套装 - 前右</v>
      </c>
      <c r="W350" s="12" t="s">
        <v>1358</v>
      </c>
      <c r="X350" s="12" t="s">
        <v>1618</v>
      </c>
      <c r="Y350" s="10" t="n">
        <f aca="false">G350</f>
        <v>15</v>
      </c>
      <c r="Z350" s="10" t="n">
        <f aca="false">H350</f>
        <v>10</v>
      </c>
      <c r="AA350" s="10" t="n">
        <f aca="false">I350</f>
        <v>8</v>
      </c>
      <c r="AB350" s="10" t="n">
        <f aca="false">J350</f>
        <v>0.3</v>
      </c>
      <c r="AC350" s="9" t="s">
        <v>1619</v>
      </c>
      <c r="AD350" s="9" t="s">
        <v>1670</v>
      </c>
      <c r="AE350" s="9" t="str">
        <f aca="false">IF($AK350=0,"",INDEX('Part types'!$T:$T,$AK350)&amp;"")</f>
        <v>All vehicles</v>
      </c>
      <c r="AF350" s="9" t="str">
        <f aca="false">IF($AK350=0,"",INDEX('Part types'!$U:$U,$AK350)&amp;"")</f>
        <v/>
      </c>
      <c r="AG350" s="9" t="str">
        <f aca="false">IF($AK350=0,"",INDEX('Part types'!$V:$V,$AK350)&amp;"")</f>
        <v>Estimate: size class S</v>
      </c>
      <c r="AH350" s="9" t="str">
        <f aca="false">IF($AK350=0,"",INDEX('Part types'!$W:$W,$AK350)&amp;"")</f>
        <v>Strut Bump Stop and Boot Kit</v>
      </c>
      <c r="AI350" s="11" t="str">
        <f aca="false">IF($AK350=0,"",INDEX('Part types'!$X:$X,$AK350)&amp;"")</f>
        <v/>
      </c>
      <c r="AJ350" s="9" t="str">
        <f aca="false">IF($AK350=0,"",INDEX('Part types'!$Y:$Y,$AK350)&amp;"")</f>
        <v/>
      </c>
      <c r="AK350" s="9" t="n">
        <f aca="false">IFERROR(MATCH($AD350,'Part types'!$E:$E,0),0)</f>
        <v>272</v>
      </c>
    </row>
    <row r="351" customFormat="false" ht="15" hidden="false" customHeight="false" outlineLevel="0" collapsed="false">
      <c r="A351" s="9" t="s">
        <v>1672</v>
      </c>
      <c r="B351" s="9" t="s">
        <v>1610</v>
      </c>
      <c r="C351" s="9" t="s">
        <v>1667</v>
      </c>
      <c r="D351" s="9" t="str">
        <f aca="false">C351&amp;" - "&amp;E351</f>
        <v>Strut Boot Kit - Rear-Left</v>
      </c>
      <c r="E351" s="9" t="s">
        <v>1360</v>
      </c>
      <c r="F351" s="9" t="s">
        <v>1612</v>
      </c>
      <c r="G351" s="10" t="n">
        <f aca="false">IF($AK351=0,"",INDEX('Part types'!$P:$P,$AK351))</f>
        <v>15</v>
      </c>
      <c r="H351" s="10" t="n">
        <f aca="false">IF($AK351=0,"",INDEX('Part types'!$Q:$Q,$AK351))</f>
        <v>10</v>
      </c>
      <c r="I351" s="10" t="n">
        <f aca="false">IF($AK351=0,"",INDEX('Part types'!$R:$R,$AK351))</f>
        <v>8</v>
      </c>
      <c r="J351" s="10" t="n">
        <f aca="false">IF($AK351=0,"",INDEX('Part types'!$S:$S,$AK351))</f>
        <v>0.3</v>
      </c>
      <c r="K351" s="11" t="s">
        <v>1613</v>
      </c>
      <c r="L351" s="11" t="s">
        <v>1668</v>
      </c>
      <c r="M351" s="11" t="str">
        <f aca="false">L351&amp;" - "&amp;N351</f>
        <v>طقم مطاط وحماية الستروت - خلفي يسار</v>
      </c>
      <c r="N351" s="11" t="s">
        <v>1361</v>
      </c>
      <c r="O351" s="11" t="s">
        <v>1615</v>
      </c>
      <c r="P351" s="10" t="n">
        <f aca="false">G351</f>
        <v>15</v>
      </c>
      <c r="Q351" s="10" t="n">
        <f aca="false">H351</f>
        <v>10</v>
      </c>
      <c r="R351" s="10" t="n">
        <f aca="false">I351</f>
        <v>8</v>
      </c>
      <c r="S351" s="10" t="n">
        <f aca="false">J351</f>
        <v>0.3</v>
      </c>
      <c r="T351" s="12" t="s">
        <v>1616</v>
      </c>
      <c r="U351" s="12" t="s">
        <v>1669</v>
      </c>
      <c r="V351" s="9" t="str">
        <f aca="false">U351&amp;" - "&amp;W351</f>
        <v>减震器防尘套缓冲块套装 - 后左</v>
      </c>
      <c r="W351" s="12" t="s">
        <v>1362</v>
      </c>
      <c r="X351" s="12" t="s">
        <v>1618</v>
      </c>
      <c r="Y351" s="10" t="n">
        <f aca="false">G351</f>
        <v>15</v>
      </c>
      <c r="Z351" s="10" t="n">
        <f aca="false">H351</f>
        <v>10</v>
      </c>
      <c r="AA351" s="10" t="n">
        <f aca="false">I351</f>
        <v>8</v>
      </c>
      <c r="AB351" s="10" t="n">
        <f aca="false">J351</f>
        <v>0.3</v>
      </c>
      <c r="AC351" s="9" t="s">
        <v>1619</v>
      </c>
      <c r="AD351" s="9" t="s">
        <v>1670</v>
      </c>
      <c r="AE351" s="9" t="str">
        <f aca="false">IF($AK351=0,"",INDEX('Part types'!$T:$T,$AK351)&amp;"")</f>
        <v>All vehicles</v>
      </c>
      <c r="AF351" s="9" t="str">
        <f aca="false">IF($AK351=0,"",INDEX('Part types'!$U:$U,$AK351)&amp;"")</f>
        <v/>
      </c>
      <c r="AG351" s="9" t="str">
        <f aca="false">IF($AK351=0,"",INDEX('Part types'!$V:$V,$AK351)&amp;"")</f>
        <v>Estimate: size class S</v>
      </c>
      <c r="AH351" s="9" t="str">
        <f aca="false">IF($AK351=0,"",INDEX('Part types'!$W:$W,$AK351)&amp;"")</f>
        <v>Strut Bump Stop and Boot Kit</v>
      </c>
      <c r="AI351" s="11" t="str">
        <f aca="false">IF($AK351=0,"",INDEX('Part types'!$X:$X,$AK351)&amp;"")</f>
        <v/>
      </c>
      <c r="AJ351" s="9" t="str">
        <f aca="false">IF($AK351=0,"",INDEX('Part types'!$Y:$Y,$AK351)&amp;"")</f>
        <v/>
      </c>
      <c r="AK351" s="9" t="n">
        <f aca="false">IFERROR(MATCH($AD351,'Part types'!$E:$E,0),0)</f>
        <v>272</v>
      </c>
    </row>
    <row r="352" customFormat="false" ht="15" hidden="false" customHeight="false" outlineLevel="0" collapsed="false">
      <c r="A352" s="9" t="s">
        <v>1673</v>
      </c>
      <c r="B352" s="9" t="s">
        <v>1610</v>
      </c>
      <c r="C352" s="9" t="s">
        <v>1667</v>
      </c>
      <c r="D352" s="9" t="str">
        <f aca="false">C352&amp;" - "&amp;E352</f>
        <v>Strut Boot Kit - Rear-Right</v>
      </c>
      <c r="E352" s="9" t="s">
        <v>1364</v>
      </c>
      <c r="F352" s="9" t="s">
        <v>1612</v>
      </c>
      <c r="G352" s="10" t="n">
        <f aca="false">IF($AK352=0,"",INDEX('Part types'!$P:$P,$AK352))</f>
        <v>15</v>
      </c>
      <c r="H352" s="10" t="n">
        <f aca="false">IF($AK352=0,"",INDEX('Part types'!$Q:$Q,$AK352))</f>
        <v>10</v>
      </c>
      <c r="I352" s="10" t="n">
        <f aca="false">IF($AK352=0,"",INDEX('Part types'!$R:$R,$AK352))</f>
        <v>8</v>
      </c>
      <c r="J352" s="10" t="n">
        <f aca="false">IF($AK352=0,"",INDEX('Part types'!$S:$S,$AK352))</f>
        <v>0.3</v>
      </c>
      <c r="K352" s="11" t="s">
        <v>1613</v>
      </c>
      <c r="L352" s="11" t="s">
        <v>1668</v>
      </c>
      <c r="M352" s="11" t="str">
        <f aca="false">L352&amp;" - "&amp;N352</f>
        <v>طقم مطاط وحماية الستروت - خلفي يمين</v>
      </c>
      <c r="N352" s="11" t="s">
        <v>1365</v>
      </c>
      <c r="O352" s="11" t="s">
        <v>1615</v>
      </c>
      <c r="P352" s="10" t="n">
        <f aca="false">G352</f>
        <v>15</v>
      </c>
      <c r="Q352" s="10" t="n">
        <f aca="false">H352</f>
        <v>10</v>
      </c>
      <c r="R352" s="10" t="n">
        <f aca="false">I352</f>
        <v>8</v>
      </c>
      <c r="S352" s="10" t="n">
        <f aca="false">J352</f>
        <v>0.3</v>
      </c>
      <c r="T352" s="12" t="s">
        <v>1616</v>
      </c>
      <c r="U352" s="12" t="s">
        <v>1669</v>
      </c>
      <c r="V352" s="9" t="str">
        <f aca="false">U352&amp;" - "&amp;W352</f>
        <v>减震器防尘套缓冲块套装 - 后右</v>
      </c>
      <c r="W352" s="12" t="s">
        <v>1366</v>
      </c>
      <c r="X352" s="12" t="s">
        <v>1618</v>
      </c>
      <c r="Y352" s="10" t="n">
        <f aca="false">G352</f>
        <v>15</v>
      </c>
      <c r="Z352" s="10" t="n">
        <f aca="false">H352</f>
        <v>10</v>
      </c>
      <c r="AA352" s="10" t="n">
        <f aca="false">I352</f>
        <v>8</v>
      </c>
      <c r="AB352" s="10" t="n">
        <f aca="false">J352</f>
        <v>0.3</v>
      </c>
      <c r="AC352" s="9" t="s">
        <v>1619</v>
      </c>
      <c r="AD352" s="9" t="s">
        <v>1670</v>
      </c>
      <c r="AE352" s="9" t="str">
        <f aca="false">IF($AK352=0,"",INDEX('Part types'!$T:$T,$AK352)&amp;"")</f>
        <v>All vehicles</v>
      </c>
      <c r="AF352" s="9" t="str">
        <f aca="false">IF($AK352=0,"",INDEX('Part types'!$U:$U,$AK352)&amp;"")</f>
        <v/>
      </c>
      <c r="AG352" s="9" t="str">
        <f aca="false">IF($AK352=0,"",INDEX('Part types'!$V:$V,$AK352)&amp;"")</f>
        <v>Estimate: size class S</v>
      </c>
      <c r="AH352" s="9" t="str">
        <f aca="false">IF($AK352=0,"",INDEX('Part types'!$W:$W,$AK352)&amp;"")</f>
        <v>Strut Bump Stop and Boot Kit</v>
      </c>
      <c r="AI352" s="11" t="str">
        <f aca="false">IF($AK352=0,"",INDEX('Part types'!$X:$X,$AK352)&amp;"")</f>
        <v/>
      </c>
      <c r="AJ352" s="9" t="str">
        <f aca="false">IF($AK352=0,"",INDEX('Part types'!$Y:$Y,$AK352)&amp;"")</f>
        <v/>
      </c>
      <c r="AK352" s="9" t="n">
        <f aca="false">IFERROR(MATCH($AD352,'Part types'!$E:$E,0),0)</f>
        <v>272</v>
      </c>
    </row>
    <row r="353" customFormat="false" ht="15" hidden="false" customHeight="false" outlineLevel="0" collapsed="false">
      <c r="A353" s="9" t="s">
        <v>1674</v>
      </c>
      <c r="B353" s="9" t="s">
        <v>1610</v>
      </c>
      <c r="C353" s="9" t="s">
        <v>1675</v>
      </c>
      <c r="D353" s="9" t="str">
        <f aca="false">C353&amp;" - "&amp;E353</f>
        <v>Spring Seat - Front-Left</v>
      </c>
      <c r="E353" s="9" t="s">
        <v>1346</v>
      </c>
      <c r="F353" s="9" t="s">
        <v>1612</v>
      </c>
      <c r="G353" s="10" t="n">
        <f aca="false">IF($AK353=0,"",INDEX('Part types'!$P:$P,$AK353))</f>
        <v>15</v>
      </c>
      <c r="H353" s="10" t="n">
        <f aca="false">IF($AK353=0,"",INDEX('Part types'!$Q:$Q,$AK353))</f>
        <v>10</v>
      </c>
      <c r="I353" s="10" t="n">
        <f aca="false">IF($AK353=0,"",INDEX('Part types'!$R:$R,$AK353))</f>
        <v>8</v>
      </c>
      <c r="J353" s="10" t="n">
        <f aca="false">IF($AK353=0,"",INDEX('Part types'!$S:$S,$AK353))</f>
        <v>0.3</v>
      </c>
      <c r="K353" s="11" t="s">
        <v>1613</v>
      </c>
      <c r="L353" s="11" t="s">
        <v>1676</v>
      </c>
      <c r="M353" s="11" t="str">
        <f aca="false">L353&amp;" - "&amp;N353</f>
        <v>قاعدة الزنبرك - أمامي يسار</v>
      </c>
      <c r="N353" s="11" t="s">
        <v>1349</v>
      </c>
      <c r="O353" s="11" t="s">
        <v>1615</v>
      </c>
      <c r="P353" s="10" t="n">
        <f aca="false">G353</f>
        <v>15</v>
      </c>
      <c r="Q353" s="10" t="n">
        <f aca="false">H353</f>
        <v>10</v>
      </c>
      <c r="R353" s="10" t="n">
        <f aca="false">I353</f>
        <v>8</v>
      </c>
      <c r="S353" s="10" t="n">
        <f aca="false">J353</f>
        <v>0.3</v>
      </c>
      <c r="T353" s="12" t="s">
        <v>1616</v>
      </c>
      <c r="U353" s="12" t="s">
        <v>1677</v>
      </c>
      <c r="V353" s="9" t="str">
        <f aca="false">U353&amp;" - "&amp;W353</f>
        <v>弹簧座 - 前左</v>
      </c>
      <c r="W353" s="12" t="s">
        <v>1352</v>
      </c>
      <c r="X353" s="12" t="s">
        <v>1618</v>
      </c>
      <c r="Y353" s="10" t="n">
        <f aca="false">G353</f>
        <v>15</v>
      </c>
      <c r="Z353" s="10" t="n">
        <f aca="false">H353</f>
        <v>10</v>
      </c>
      <c r="AA353" s="10" t="n">
        <f aca="false">I353</f>
        <v>8</v>
      </c>
      <c r="AB353" s="10" t="n">
        <f aca="false">J353</f>
        <v>0.3</v>
      </c>
      <c r="AC353" s="9" t="s">
        <v>1619</v>
      </c>
      <c r="AD353" s="9" t="s">
        <v>1678</v>
      </c>
      <c r="AE353" s="9" t="str">
        <f aca="false">IF($AK353=0,"",INDEX('Part types'!$T:$T,$AK353)&amp;"")</f>
        <v>All vehicles</v>
      </c>
      <c r="AF353" s="9" t="str">
        <f aca="false">IF($AK353=0,"",INDEX('Part types'!$U:$U,$AK353)&amp;"")</f>
        <v/>
      </c>
      <c r="AG353" s="9" t="str">
        <f aca="false">IF($AK353=0,"",INDEX('Part types'!$V:$V,$AK353)&amp;"")</f>
        <v>Estimate: size class S</v>
      </c>
      <c r="AH353" s="9" t="str">
        <f aca="false">IF($AK353=0,"",INDEX('Part types'!$W:$W,$AK353)&amp;"")</f>
        <v/>
      </c>
      <c r="AI353" s="11" t="str">
        <f aca="false">IF($AK353=0,"",INDEX('Part types'!$X:$X,$AK353)&amp;"")</f>
        <v/>
      </c>
      <c r="AJ353" s="9" t="str">
        <f aca="false">IF($AK353=0,"",INDEX('Part types'!$Y:$Y,$AK353)&amp;"")</f>
        <v/>
      </c>
      <c r="AK353" s="9" t="n">
        <f aca="false">IFERROR(MATCH($AD353,'Part types'!$E:$E,0),0)</f>
        <v>273</v>
      </c>
    </row>
    <row r="354" customFormat="false" ht="15" hidden="false" customHeight="false" outlineLevel="0" collapsed="false">
      <c r="A354" s="9" t="s">
        <v>1679</v>
      </c>
      <c r="B354" s="9" t="s">
        <v>1610</v>
      </c>
      <c r="C354" s="9" t="s">
        <v>1675</v>
      </c>
      <c r="D354" s="9" t="str">
        <f aca="false">C354&amp;" - "&amp;E354</f>
        <v>Spring Seat - Front-Right</v>
      </c>
      <c r="E354" s="9" t="s">
        <v>1356</v>
      </c>
      <c r="F354" s="9" t="s">
        <v>1612</v>
      </c>
      <c r="G354" s="10" t="n">
        <f aca="false">IF($AK354=0,"",INDEX('Part types'!$P:$P,$AK354))</f>
        <v>15</v>
      </c>
      <c r="H354" s="10" t="n">
        <f aca="false">IF($AK354=0,"",INDEX('Part types'!$Q:$Q,$AK354))</f>
        <v>10</v>
      </c>
      <c r="I354" s="10" t="n">
        <f aca="false">IF($AK354=0,"",INDEX('Part types'!$R:$R,$AK354))</f>
        <v>8</v>
      </c>
      <c r="J354" s="10" t="n">
        <f aca="false">IF($AK354=0,"",INDEX('Part types'!$S:$S,$AK354))</f>
        <v>0.3</v>
      </c>
      <c r="K354" s="11" t="s">
        <v>1613</v>
      </c>
      <c r="L354" s="11" t="s">
        <v>1676</v>
      </c>
      <c r="M354" s="11" t="str">
        <f aca="false">L354&amp;" - "&amp;N354</f>
        <v>قاعدة الزنبرك - أمامي يمين</v>
      </c>
      <c r="N354" s="11" t="s">
        <v>1357</v>
      </c>
      <c r="O354" s="11" t="s">
        <v>1615</v>
      </c>
      <c r="P354" s="10" t="n">
        <f aca="false">G354</f>
        <v>15</v>
      </c>
      <c r="Q354" s="10" t="n">
        <f aca="false">H354</f>
        <v>10</v>
      </c>
      <c r="R354" s="10" t="n">
        <f aca="false">I354</f>
        <v>8</v>
      </c>
      <c r="S354" s="10" t="n">
        <f aca="false">J354</f>
        <v>0.3</v>
      </c>
      <c r="T354" s="12" t="s">
        <v>1616</v>
      </c>
      <c r="U354" s="12" t="s">
        <v>1677</v>
      </c>
      <c r="V354" s="9" t="str">
        <f aca="false">U354&amp;" - "&amp;W354</f>
        <v>弹簧座 - 前右</v>
      </c>
      <c r="W354" s="12" t="s">
        <v>1358</v>
      </c>
      <c r="X354" s="12" t="s">
        <v>1618</v>
      </c>
      <c r="Y354" s="10" t="n">
        <f aca="false">G354</f>
        <v>15</v>
      </c>
      <c r="Z354" s="10" t="n">
        <f aca="false">H354</f>
        <v>10</v>
      </c>
      <c r="AA354" s="10" t="n">
        <f aca="false">I354</f>
        <v>8</v>
      </c>
      <c r="AB354" s="10" t="n">
        <f aca="false">J354</f>
        <v>0.3</v>
      </c>
      <c r="AC354" s="9" t="s">
        <v>1619</v>
      </c>
      <c r="AD354" s="9" t="s">
        <v>1678</v>
      </c>
      <c r="AE354" s="9" t="str">
        <f aca="false">IF($AK354=0,"",INDEX('Part types'!$T:$T,$AK354)&amp;"")</f>
        <v>All vehicles</v>
      </c>
      <c r="AF354" s="9" t="str">
        <f aca="false">IF($AK354=0,"",INDEX('Part types'!$U:$U,$AK354)&amp;"")</f>
        <v/>
      </c>
      <c r="AG354" s="9" t="str">
        <f aca="false">IF($AK354=0,"",INDEX('Part types'!$V:$V,$AK354)&amp;"")</f>
        <v>Estimate: size class S</v>
      </c>
      <c r="AH354" s="9" t="str">
        <f aca="false">IF($AK354=0,"",INDEX('Part types'!$W:$W,$AK354)&amp;"")</f>
        <v/>
      </c>
      <c r="AI354" s="11" t="str">
        <f aca="false">IF($AK354=0,"",INDEX('Part types'!$X:$X,$AK354)&amp;"")</f>
        <v/>
      </c>
      <c r="AJ354" s="9" t="str">
        <f aca="false">IF($AK354=0,"",INDEX('Part types'!$Y:$Y,$AK354)&amp;"")</f>
        <v/>
      </c>
      <c r="AK354" s="9" t="n">
        <f aca="false">IFERROR(MATCH($AD354,'Part types'!$E:$E,0),0)</f>
        <v>273</v>
      </c>
    </row>
    <row r="355" customFormat="false" ht="15" hidden="false" customHeight="false" outlineLevel="0" collapsed="false">
      <c r="A355" s="9" t="s">
        <v>1680</v>
      </c>
      <c r="B355" s="9" t="s">
        <v>1610</v>
      </c>
      <c r="C355" s="9" t="s">
        <v>1675</v>
      </c>
      <c r="D355" s="9" t="str">
        <f aca="false">C355&amp;" - "&amp;E355</f>
        <v>Spring Seat - Rear-Left</v>
      </c>
      <c r="E355" s="9" t="s">
        <v>1360</v>
      </c>
      <c r="F355" s="9" t="s">
        <v>1612</v>
      </c>
      <c r="G355" s="10" t="n">
        <f aca="false">IF($AK355=0,"",INDEX('Part types'!$P:$P,$AK355))</f>
        <v>15</v>
      </c>
      <c r="H355" s="10" t="n">
        <f aca="false">IF($AK355=0,"",INDEX('Part types'!$Q:$Q,$AK355))</f>
        <v>10</v>
      </c>
      <c r="I355" s="10" t="n">
        <f aca="false">IF($AK355=0,"",INDEX('Part types'!$R:$R,$AK355))</f>
        <v>8</v>
      </c>
      <c r="J355" s="10" t="n">
        <f aca="false">IF($AK355=0,"",INDEX('Part types'!$S:$S,$AK355))</f>
        <v>0.3</v>
      </c>
      <c r="K355" s="11" t="s">
        <v>1613</v>
      </c>
      <c r="L355" s="11" t="s">
        <v>1676</v>
      </c>
      <c r="M355" s="11" t="str">
        <f aca="false">L355&amp;" - "&amp;N355</f>
        <v>قاعدة الزنبرك - خلفي يسار</v>
      </c>
      <c r="N355" s="11" t="s">
        <v>1361</v>
      </c>
      <c r="O355" s="11" t="s">
        <v>1615</v>
      </c>
      <c r="P355" s="10" t="n">
        <f aca="false">G355</f>
        <v>15</v>
      </c>
      <c r="Q355" s="10" t="n">
        <f aca="false">H355</f>
        <v>10</v>
      </c>
      <c r="R355" s="10" t="n">
        <f aca="false">I355</f>
        <v>8</v>
      </c>
      <c r="S355" s="10" t="n">
        <f aca="false">J355</f>
        <v>0.3</v>
      </c>
      <c r="T355" s="12" t="s">
        <v>1616</v>
      </c>
      <c r="U355" s="12" t="s">
        <v>1677</v>
      </c>
      <c r="V355" s="9" t="str">
        <f aca="false">U355&amp;" - "&amp;W355</f>
        <v>弹簧座 - 后左</v>
      </c>
      <c r="W355" s="12" t="s">
        <v>1362</v>
      </c>
      <c r="X355" s="12" t="s">
        <v>1618</v>
      </c>
      <c r="Y355" s="10" t="n">
        <f aca="false">G355</f>
        <v>15</v>
      </c>
      <c r="Z355" s="10" t="n">
        <f aca="false">H355</f>
        <v>10</v>
      </c>
      <c r="AA355" s="10" t="n">
        <f aca="false">I355</f>
        <v>8</v>
      </c>
      <c r="AB355" s="10" t="n">
        <f aca="false">J355</f>
        <v>0.3</v>
      </c>
      <c r="AC355" s="9" t="s">
        <v>1619</v>
      </c>
      <c r="AD355" s="9" t="s">
        <v>1678</v>
      </c>
      <c r="AE355" s="9" t="str">
        <f aca="false">IF($AK355=0,"",INDEX('Part types'!$T:$T,$AK355)&amp;"")</f>
        <v>All vehicles</v>
      </c>
      <c r="AF355" s="9" t="str">
        <f aca="false">IF($AK355=0,"",INDEX('Part types'!$U:$U,$AK355)&amp;"")</f>
        <v/>
      </c>
      <c r="AG355" s="9" t="str">
        <f aca="false">IF($AK355=0,"",INDEX('Part types'!$V:$V,$AK355)&amp;"")</f>
        <v>Estimate: size class S</v>
      </c>
      <c r="AH355" s="9" t="str">
        <f aca="false">IF($AK355=0,"",INDEX('Part types'!$W:$W,$AK355)&amp;"")</f>
        <v/>
      </c>
      <c r="AI355" s="11" t="str">
        <f aca="false">IF($AK355=0,"",INDEX('Part types'!$X:$X,$AK355)&amp;"")</f>
        <v/>
      </c>
      <c r="AJ355" s="9" t="str">
        <f aca="false">IF($AK355=0,"",INDEX('Part types'!$Y:$Y,$AK355)&amp;"")</f>
        <v/>
      </c>
      <c r="AK355" s="9" t="n">
        <f aca="false">IFERROR(MATCH($AD355,'Part types'!$E:$E,0),0)</f>
        <v>273</v>
      </c>
    </row>
    <row r="356" customFormat="false" ht="15" hidden="false" customHeight="false" outlineLevel="0" collapsed="false">
      <c r="A356" s="9" t="s">
        <v>1681</v>
      </c>
      <c r="B356" s="9" t="s">
        <v>1610</v>
      </c>
      <c r="C356" s="9" t="s">
        <v>1675</v>
      </c>
      <c r="D356" s="9" t="str">
        <f aca="false">C356&amp;" - "&amp;E356</f>
        <v>Spring Seat - Rear-Right</v>
      </c>
      <c r="E356" s="9" t="s">
        <v>1364</v>
      </c>
      <c r="F356" s="9" t="s">
        <v>1612</v>
      </c>
      <c r="G356" s="10" t="n">
        <f aca="false">IF($AK356=0,"",INDEX('Part types'!$P:$P,$AK356))</f>
        <v>15</v>
      </c>
      <c r="H356" s="10" t="n">
        <f aca="false">IF($AK356=0,"",INDEX('Part types'!$Q:$Q,$AK356))</f>
        <v>10</v>
      </c>
      <c r="I356" s="10" t="n">
        <f aca="false">IF($AK356=0,"",INDEX('Part types'!$R:$R,$AK356))</f>
        <v>8</v>
      </c>
      <c r="J356" s="10" t="n">
        <f aca="false">IF($AK356=0,"",INDEX('Part types'!$S:$S,$AK356))</f>
        <v>0.3</v>
      </c>
      <c r="K356" s="11" t="s">
        <v>1613</v>
      </c>
      <c r="L356" s="11" t="s">
        <v>1676</v>
      </c>
      <c r="M356" s="11" t="str">
        <f aca="false">L356&amp;" - "&amp;N356</f>
        <v>قاعدة الزنبرك - خلفي يمين</v>
      </c>
      <c r="N356" s="11" t="s">
        <v>1365</v>
      </c>
      <c r="O356" s="11" t="s">
        <v>1615</v>
      </c>
      <c r="P356" s="10" t="n">
        <f aca="false">G356</f>
        <v>15</v>
      </c>
      <c r="Q356" s="10" t="n">
        <f aca="false">H356</f>
        <v>10</v>
      </c>
      <c r="R356" s="10" t="n">
        <f aca="false">I356</f>
        <v>8</v>
      </c>
      <c r="S356" s="10" t="n">
        <f aca="false">J356</f>
        <v>0.3</v>
      </c>
      <c r="T356" s="12" t="s">
        <v>1616</v>
      </c>
      <c r="U356" s="12" t="s">
        <v>1677</v>
      </c>
      <c r="V356" s="9" t="str">
        <f aca="false">U356&amp;" - "&amp;W356</f>
        <v>弹簧座 - 后右</v>
      </c>
      <c r="W356" s="12" t="s">
        <v>1366</v>
      </c>
      <c r="X356" s="12" t="s">
        <v>1618</v>
      </c>
      <c r="Y356" s="10" t="n">
        <f aca="false">G356</f>
        <v>15</v>
      </c>
      <c r="Z356" s="10" t="n">
        <f aca="false">H356</f>
        <v>10</v>
      </c>
      <c r="AA356" s="10" t="n">
        <f aca="false">I356</f>
        <v>8</v>
      </c>
      <c r="AB356" s="10" t="n">
        <f aca="false">J356</f>
        <v>0.3</v>
      </c>
      <c r="AC356" s="9" t="s">
        <v>1619</v>
      </c>
      <c r="AD356" s="9" t="s">
        <v>1678</v>
      </c>
      <c r="AE356" s="9" t="str">
        <f aca="false">IF($AK356=0,"",INDEX('Part types'!$T:$T,$AK356)&amp;"")</f>
        <v>All vehicles</v>
      </c>
      <c r="AF356" s="9" t="str">
        <f aca="false">IF($AK356=0,"",INDEX('Part types'!$U:$U,$AK356)&amp;"")</f>
        <v/>
      </c>
      <c r="AG356" s="9" t="str">
        <f aca="false">IF($AK356=0,"",INDEX('Part types'!$V:$V,$AK356)&amp;"")</f>
        <v>Estimate: size class S</v>
      </c>
      <c r="AH356" s="9" t="str">
        <f aca="false">IF($AK356=0,"",INDEX('Part types'!$W:$W,$AK356)&amp;"")</f>
        <v/>
      </c>
      <c r="AI356" s="11" t="str">
        <f aca="false">IF($AK356=0,"",INDEX('Part types'!$X:$X,$AK356)&amp;"")</f>
        <v/>
      </c>
      <c r="AJ356" s="9" t="str">
        <f aca="false">IF($AK356=0,"",INDEX('Part types'!$Y:$Y,$AK356)&amp;"")</f>
        <v/>
      </c>
      <c r="AK356" s="9" t="n">
        <f aca="false">IFERROR(MATCH($AD356,'Part types'!$E:$E,0),0)</f>
        <v>273</v>
      </c>
    </row>
    <row r="357" customFormat="false" ht="15" hidden="false" customHeight="false" outlineLevel="0" collapsed="false">
      <c r="A357" s="9" t="s">
        <v>1682</v>
      </c>
      <c r="B357" s="9" t="s">
        <v>1610</v>
      </c>
      <c r="C357" s="9" t="s">
        <v>1683</v>
      </c>
      <c r="D357" s="9" t="str">
        <f aca="false">C357&amp;" - "&amp;E357</f>
        <v>Air Suspension Strut - Front-Left</v>
      </c>
      <c r="E357" s="9" t="s">
        <v>1346</v>
      </c>
      <c r="F357" s="9" t="s">
        <v>1612</v>
      </c>
      <c r="G357" s="10" t="n">
        <f aca="false">IF($AK357=0,"",INDEX('Part types'!$P:$P,$AK357))</f>
        <v>60</v>
      </c>
      <c r="H357" s="10" t="n">
        <f aca="false">IF($AK357=0,"",INDEX('Part types'!$Q:$Q,$AK357))</f>
        <v>20</v>
      </c>
      <c r="I357" s="10" t="n">
        <f aca="false">IF($AK357=0,"",INDEX('Part types'!$R:$R,$AK357))</f>
        <v>20</v>
      </c>
      <c r="J357" s="10" t="n">
        <f aca="false">IF($AK357=0,"",INDEX('Part types'!$S:$S,$AK357))</f>
        <v>6</v>
      </c>
      <c r="K357" s="11" t="s">
        <v>1613</v>
      </c>
      <c r="L357" s="11" t="s">
        <v>1684</v>
      </c>
      <c r="M357" s="11" t="str">
        <f aca="false">L357&amp;" - "&amp;N357</f>
        <v>مساعد هوائي - أمامي يسار</v>
      </c>
      <c r="N357" s="11" t="s">
        <v>1349</v>
      </c>
      <c r="O357" s="11" t="s">
        <v>1615</v>
      </c>
      <c r="P357" s="10" t="n">
        <f aca="false">G357</f>
        <v>60</v>
      </c>
      <c r="Q357" s="10" t="n">
        <f aca="false">H357</f>
        <v>20</v>
      </c>
      <c r="R357" s="10" t="n">
        <f aca="false">I357</f>
        <v>20</v>
      </c>
      <c r="S357" s="10" t="n">
        <f aca="false">J357</f>
        <v>6</v>
      </c>
      <c r="T357" s="12" t="s">
        <v>1616</v>
      </c>
      <c r="U357" s="12" t="s">
        <v>1685</v>
      </c>
      <c r="V357" s="9" t="str">
        <f aca="false">U357&amp;" - "&amp;W357</f>
        <v>空气悬架减震器 - 前左</v>
      </c>
      <c r="W357" s="12" t="s">
        <v>1352</v>
      </c>
      <c r="X357" s="12" t="s">
        <v>1618</v>
      </c>
      <c r="Y357" s="10" t="n">
        <f aca="false">G357</f>
        <v>60</v>
      </c>
      <c r="Z357" s="10" t="n">
        <f aca="false">H357</f>
        <v>20</v>
      </c>
      <c r="AA357" s="10" t="n">
        <f aca="false">I357</f>
        <v>20</v>
      </c>
      <c r="AB357" s="10" t="n">
        <f aca="false">J357</f>
        <v>6</v>
      </c>
      <c r="AC357" s="9" t="s">
        <v>1619</v>
      </c>
      <c r="AD357" s="9" t="s">
        <v>1686</v>
      </c>
      <c r="AE357" s="9" t="str">
        <f aca="false">IF($AK357=0,"",INDEX('Part types'!$T:$T,$AK357)&amp;"")</f>
        <v>All vehicles</v>
      </c>
      <c r="AF357" s="9" t="str">
        <f aca="false">IF($AK357=0,"",INDEX('Part types'!$U:$U,$AK357)&amp;"")</f>
        <v/>
      </c>
      <c r="AG357" s="9" t="str">
        <f aca="false">IF($AK357=0,"",INDEX('Part types'!$V:$V,$AK357)&amp;"")</f>
        <v>Estimate: item-specific</v>
      </c>
      <c r="AH357" s="9" t="str">
        <f aca="false">IF($AK357=0,"",INDEX('Part types'!$W:$W,$AK357)&amp;"")</f>
        <v/>
      </c>
      <c r="AI357" s="11" t="str">
        <f aca="false">IF($AK357=0,"",INDEX('Part types'!$X:$X,$AK357)&amp;"")</f>
        <v>تعليق هوائي</v>
      </c>
      <c r="AJ357" s="9" t="str">
        <f aca="false">IF($AK357=0,"",INDEX('Part types'!$Y:$Y,$AK357)&amp;"")</f>
        <v/>
      </c>
      <c r="AK357" s="9" t="n">
        <f aca="false">IFERROR(MATCH($AD357,'Part types'!$E:$E,0),0)</f>
        <v>274</v>
      </c>
    </row>
    <row r="358" customFormat="false" ht="15" hidden="false" customHeight="false" outlineLevel="0" collapsed="false">
      <c r="A358" s="9" t="s">
        <v>1687</v>
      </c>
      <c r="B358" s="9" t="s">
        <v>1610</v>
      </c>
      <c r="C358" s="9" t="s">
        <v>1683</v>
      </c>
      <c r="D358" s="9" t="str">
        <f aca="false">C358&amp;" - "&amp;E358</f>
        <v>Air Suspension Strut - Front-Right</v>
      </c>
      <c r="E358" s="9" t="s">
        <v>1356</v>
      </c>
      <c r="F358" s="9" t="s">
        <v>1612</v>
      </c>
      <c r="G358" s="10" t="n">
        <f aca="false">IF($AK358=0,"",INDEX('Part types'!$P:$P,$AK358))</f>
        <v>60</v>
      </c>
      <c r="H358" s="10" t="n">
        <f aca="false">IF($AK358=0,"",INDEX('Part types'!$Q:$Q,$AK358))</f>
        <v>20</v>
      </c>
      <c r="I358" s="10" t="n">
        <f aca="false">IF($AK358=0,"",INDEX('Part types'!$R:$R,$AK358))</f>
        <v>20</v>
      </c>
      <c r="J358" s="10" t="n">
        <f aca="false">IF($AK358=0,"",INDEX('Part types'!$S:$S,$AK358))</f>
        <v>6</v>
      </c>
      <c r="K358" s="11" t="s">
        <v>1613</v>
      </c>
      <c r="L358" s="11" t="s">
        <v>1684</v>
      </c>
      <c r="M358" s="11" t="str">
        <f aca="false">L358&amp;" - "&amp;N358</f>
        <v>مساعد هوائي - أمامي يمين</v>
      </c>
      <c r="N358" s="11" t="s">
        <v>1357</v>
      </c>
      <c r="O358" s="11" t="s">
        <v>1615</v>
      </c>
      <c r="P358" s="10" t="n">
        <f aca="false">G358</f>
        <v>60</v>
      </c>
      <c r="Q358" s="10" t="n">
        <f aca="false">H358</f>
        <v>20</v>
      </c>
      <c r="R358" s="10" t="n">
        <f aca="false">I358</f>
        <v>20</v>
      </c>
      <c r="S358" s="10" t="n">
        <f aca="false">J358</f>
        <v>6</v>
      </c>
      <c r="T358" s="12" t="s">
        <v>1616</v>
      </c>
      <c r="U358" s="12" t="s">
        <v>1685</v>
      </c>
      <c r="V358" s="9" t="str">
        <f aca="false">U358&amp;" - "&amp;W358</f>
        <v>空气悬架减震器 - 前右</v>
      </c>
      <c r="W358" s="12" t="s">
        <v>1358</v>
      </c>
      <c r="X358" s="12" t="s">
        <v>1618</v>
      </c>
      <c r="Y358" s="10" t="n">
        <f aca="false">G358</f>
        <v>60</v>
      </c>
      <c r="Z358" s="10" t="n">
        <f aca="false">H358</f>
        <v>20</v>
      </c>
      <c r="AA358" s="10" t="n">
        <f aca="false">I358</f>
        <v>20</v>
      </c>
      <c r="AB358" s="10" t="n">
        <f aca="false">J358</f>
        <v>6</v>
      </c>
      <c r="AC358" s="9" t="s">
        <v>1619</v>
      </c>
      <c r="AD358" s="9" t="s">
        <v>1686</v>
      </c>
      <c r="AE358" s="9" t="str">
        <f aca="false">IF($AK358=0,"",INDEX('Part types'!$T:$T,$AK358)&amp;"")</f>
        <v>All vehicles</v>
      </c>
      <c r="AF358" s="9" t="str">
        <f aca="false">IF($AK358=0,"",INDEX('Part types'!$U:$U,$AK358)&amp;"")</f>
        <v/>
      </c>
      <c r="AG358" s="9" t="str">
        <f aca="false">IF($AK358=0,"",INDEX('Part types'!$V:$V,$AK358)&amp;"")</f>
        <v>Estimate: item-specific</v>
      </c>
      <c r="AH358" s="9" t="str">
        <f aca="false">IF($AK358=0,"",INDEX('Part types'!$W:$W,$AK358)&amp;"")</f>
        <v/>
      </c>
      <c r="AI358" s="11" t="str">
        <f aca="false">IF($AK358=0,"",INDEX('Part types'!$X:$X,$AK358)&amp;"")</f>
        <v>تعليق هوائي</v>
      </c>
      <c r="AJ358" s="9" t="str">
        <f aca="false">IF($AK358=0,"",INDEX('Part types'!$Y:$Y,$AK358)&amp;"")</f>
        <v/>
      </c>
      <c r="AK358" s="9" t="n">
        <f aca="false">IFERROR(MATCH($AD358,'Part types'!$E:$E,0),0)</f>
        <v>274</v>
      </c>
    </row>
    <row r="359" customFormat="false" ht="15" hidden="false" customHeight="false" outlineLevel="0" collapsed="false">
      <c r="A359" s="9" t="s">
        <v>1688</v>
      </c>
      <c r="B359" s="9" t="s">
        <v>1610</v>
      </c>
      <c r="C359" s="9" t="s">
        <v>1683</v>
      </c>
      <c r="D359" s="9" t="str">
        <f aca="false">C359&amp;" - "&amp;E359</f>
        <v>Air Suspension Strut - Rear-Left</v>
      </c>
      <c r="E359" s="9" t="s">
        <v>1360</v>
      </c>
      <c r="F359" s="9" t="s">
        <v>1612</v>
      </c>
      <c r="G359" s="10" t="n">
        <f aca="false">IF($AK359=0,"",INDEX('Part types'!$P:$P,$AK359))</f>
        <v>60</v>
      </c>
      <c r="H359" s="10" t="n">
        <f aca="false">IF($AK359=0,"",INDEX('Part types'!$Q:$Q,$AK359))</f>
        <v>20</v>
      </c>
      <c r="I359" s="10" t="n">
        <f aca="false">IF($AK359=0,"",INDEX('Part types'!$R:$R,$AK359))</f>
        <v>20</v>
      </c>
      <c r="J359" s="10" t="n">
        <f aca="false">IF($AK359=0,"",INDEX('Part types'!$S:$S,$AK359))</f>
        <v>6</v>
      </c>
      <c r="K359" s="11" t="s">
        <v>1613</v>
      </c>
      <c r="L359" s="11" t="s">
        <v>1684</v>
      </c>
      <c r="M359" s="11" t="str">
        <f aca="false">L359&amp;" - "&amp;N359</f>
        <v>مساعد هوائي - خلفي يسار</v>
      </c>
      <c r="N359" s="11" t="s">
        <v>1361</v>
      </c>
      <c r="O359" s="11" t="s">
        <v>1615</v>
      </c>
      <c r="P359" s="10" t="n">
        <f aca="false">G359</f>
        <v>60</v>
      </c>
      <c r="Q359" s="10" t="n">
        <f aca="false">H359</f>
        <v>20</v>
      </c>
      <c r="R359" s="10" t="n">
        <f aca="false">I359</f>
        <v>20</v>
      </c>
      <c r="S359" s="10" t="n">
        <f aca="false">J359</f>
        <v>6</v>
      </c>
      <c r="T359" s="12" t="s">
        <v>1616</v>
      </c>
      <c r="U359" s="12" t="s">
        <v>1685</v>
      </c>
      <c r="V359" s="9" t="str">
        <f aca="false">U359&amp;" - "&amp;W359</f>
        <v>空气悬架减震器 - 后左</v>
      </c>
      <c r="W359" s="12" t="s">
        <v>1362</v>
      </c>
      <c r="X359" s="12" t="s">
        <v>1618</v>
      </c>
      <c r="Y359" s="10" t="n">
        <f aca="false">G359</f>
        <v>60</v>
      </c>
      <c r="Z359" s="10" t="n">
        <f aca="false">H359</f>
        <v>20</v>
      </c>
      <c r="AA359" s="10" t="n">
        <f aca="false">I359</f>
        <v>20</v>
      </c>
      <c r="AB359" s="10" t="n">
        <f aca="false">J359</f>
        <v>6</v>
      </c>
      <c r="AC359" s="9" t="s">
        <v>1619</v>
      </c>
      <c r="AD359" s="9" t="s">
        <v>1686</v>
      </c>
      <c r="AE359" s="9" t="str">
        <f aca="false">IF($AK359=0,"",INDEX('Part types'!$T:$T,$AK359)&amp;"")</f>
        <v>All vehicles</v>
      </c>
      <c r="AF359" s="9" t="str">
        <f aca="false">IF($AK359=0,"",INDEX('Part types'!$U:$U,$AK359)&amp;"")</f>
        <v/>
      </c>
      <c r="AG359" s="9" t="str">
        <f aca="false">IF($AK359=0,"",INDEX('Part types'!$V:$V,$AK359)&amp;"")</f>
        <v>Estimate: item-specific</v>
      </c>
      <c r="AH359" s="9" t="str">
        <f aca="false">IF($AK359=0,"",INDEX('Part types'!$W:$W,$AK359)&amp;"")</f>
        <v/>
      </c>
      <c r="AI359" s="11" t="str">
        <f aca="false">IF($AK359=0,"",INDEX('Part types'!$X:$X,$AK359)&amp;"")</f>
        <v>تعليق هوائي</v>
      </c>
      <c r="AJ359" s="9" t="str">
        <f aca="false">IF($AK359=0,"",INDEX('Part types'!$Y:$Y,$AK359)&amp;"")</f>
        <v/>
      </c>
      <c r="AK359" s="9" t="n">
        <f aca="false">IFERROR(MATCH($AD359,'Part types'!$E:$E,0),0)</f>
        <v>274</v>
      </c>
    </row>
    <row r="360" customFormat="false" ht="15" hidden="false" customHeight="false" outlineLevel="0" collapsed="false">
      <c r="A360" s="9" t="s">
        <v>1689</v>
      </c>
      <c r="B360" s="9" t="s">
        <v>1610</v>
      </c>
      <c r="C360" s="9" t="s">
        <v>1683</v>
      </c>
      <c r="D360" s="9" t="str">
        <f aca="false">C360&amp;" - "&amp;E360</f>
        <v>Air Suspension Strut - Rear-Right</v>
      </c>
      <c r="E360" s="9" t="s">
        <v>1364</v>
      </c>
      <c r="F360" s="9" t="s">
        <v>1612</v>
      </c>
      <c r="G360" s="10" t="n">
        <f aca="false">IF($AK360=0,"",INDEX('Part types'!$P:$P,$AK360))</f>
        <v>60</v>
      </c>
      <c r="H360" s="10" t="n">
        <f aca="false">IF($AK360=0,"",INDEX('Part types'!$Q:$Q,$AK360))</f>
        <v>20</v>
      </c>
      <c r="I360" s="10" t="n">
        <f aca="false">IF($AK360=0,"",INDEX('Part types'!$R:$R,$AK360))</f>
        <v>20</v>
      </c>
      <c r="J360" s="10" t="n">
        <f aca="false">IF($AK360=0,"",INDEX('Part types'!$S:$S,$AK360))</f>
        <v>6</v>
      </c>
      <c r="K360" s="11" t="s">
        <v>1613</v>
      </c>
      <c r="L360" s="11" t="s">
        <v>1684</v>
      </c>
      <c r="M360" s="11" t="str">
        <f aca="false">L360&amp;" - "&amp;N360</f>
        <v>مساعد هوائي - خلفي يمين</v>
      </c>
      <c r="N360" s="11" t="s">
        <v>1365</v>
      </c>
      <c r="O360" s="11" t="s">
        <v>1615</v>
      </c>
      <c r="P360" s="10" t="n">
        <f aca="false">G360</f>
        <v>60</v>
      </c>
      <c r="Q360" s="10" t="n">
        <f aca="false">H360</f>
        <v>20</v>
      </c>
      <c r="R360" s="10" t="n">
        <f aca="false">I360</f>
        <v>20</v>
      </c>
      <c r="S360" s="10" t="n">
        <f aca="false">J360</f>
        <v>6</v>
      </c>
      <c r="T360" s="12" t="s">
        <v>1616</v>
      </c>
      <c r="U360" s="12" t="s">
        <v>1685</v>
      </c>
      <c r="V360" s="9" t="str">
        <f aca="false">U360&amp;" - "&amp;W360</f>
        <v>空气悬架减震器 - 后右</v>
      </c>
      <c r="W360" s="12" t="s">
        <v>1366</v>
      </c>
      <c r="X360" s="12" t="s">
        <v>1618</v>
      </c>
      <c r="Y360" s="10" t="n">
        <f aca="false">G360</f>
        <v>60</v>
      </c>
      <c r="Z360" s="10" t="n">
        <f aca="false">H360</f>
        <v>20</v>
      </c>
      <c r="AA360" s="10" t="n">
        <f aca="false">I360</f>
        <v>20</v>
      </c>
      <c r="AB360" s="10" t="n">
        <f aca="false">J360</f>
        <v>6</v>
      </c>
      <c r="AC360" s="9" t="s">
        <v>1619</v>
      </c>
      <c r="AD360" s="9" t="s">
        <v>1686</v>
      </c>
      <c r="AE360" s="9" t="str">
        <f aca="false">IF($AK360=0,"",INDEX('Part types'!$T:$T,$AK360)&amp;"")</f>
        <v>All vehicles</v>
      </c>
      <c r="AF360" s="9" t="str">
        <f aca="false">IF($AK360=0,"",INDEX('Part types'!$U:$U,$AK360)&amp;"")</f>
        <v/>
      </c>
      <c r="AG360" s="9" t="str">
        <f aca="false">IF($AK360=0,"",INDEX('Part types'!$V:$V,$AK360)&amp;"")</f>
        <v>Estimate: item-specific</v>
      </c>
      <c r="AH360" s="9" t="str">
        <f aca="false">IF($AK360=0,"",INDEX('Part types'!$W:$W,$AK360)&amp;"")</f>
        <v/>
      </c>
      <c r="AI360" s="11" t="str">
        <f aca="false">IF($AK360=0,"",INDEX('Part types'!$X:$X,$AK360)&amp;"")</f>
        <v>تعليق هوائي</v>
      </c>
      <c r="AJ360" s="9" t="str">
        <f aca="false">IF($AK360=0,"",INDEX('Part types'!$Y:$Y,$AK360)&amp;"")</f>
        <v/>
      </c>
      <c r="AK360" s="9" t="n">
        <f aca="false">IFERROR(MATCH($AD360,'Part types'!$E:$E,0),0)</f>
        <v>274</v>
      </c>
    </row>
    <row r="361" customFormat="false" ht="15" hidden="false" customHeight="false" outlineLevel="0" collapsed="false">
      <c r="A361" s="9" t="s">
        <v>1690</v>
      </c>
      <c r="B361" s="9" t="s">
        <v>1610</v>
      </c>
      <c r="C361" s="9" t="s">
        <v>1691</v>
      </c>
      <c r="D361" s="9" t="str">
        <f aca="false">C361&amp;" - "&amp;E361</f>
        <v>Air Suspension Compressor - Universal</v>
      </c>
      <c r="E361" s="9" t="s">
        <v>68</v>
      </c>
      <c r="F361" s="9" t="s">
        <v>1612</v>
      </c>
      <c r="G361" s="10" t="n">
        <f aca="false">IF($AK361=0,"",INDEX('Part types'!$P:$P,$AK361))</f>
        <v>25</v>
      </c>
      <c r="H361" s="10" t="n">
        <f aca="false">IF($AK361=0,"",INDEX('Part types'!$Q:$Q,$AK361))</f>
        <v>15</v>
      </c>
      <c r="I361" s="10" t="n">
        <f aca="false">IF($AK361=0,"",INDEX('Part types'!$R:$R,$AK361))</f>
        <v>15</v>
      </c>
      <c r="J361" s="10" t="n">
        <f aca="false">IF($AK361=0,"",INDEX('Part types'!$S:$S,$AK361))</f>
        <v>4</v>
      </c>
      <c r="K361" s="11" t="s">
        <v>1613</v>
      </c>
      <c r="L361" s="11" t="s">
        <v>1692</v>
      </c>
      <c r="M361" s="11" t="str">
        <f aca="false">L361&amp;" - "&amp;N361</f>
        <v>كمبروسر التعليق الهوائي - عام</v>
      </c>
      <c r="N361" s="11" t="s">
        <v>72</v>
      </c>
      <c r="O361" s="11" t="s">
        <v>1615</v>
      </c>
      <c r="P361" s="10" t="n">
        <f aca="false">G361</f>
        <v>25</v>
      </c>
      <c r="Q361" s="10" t="n">
        <f aca="false">H361</f>
        <v>15</v>
      </c>
      <c r="R361" s="10" t="n">
        <f aca="false">I361</f>
        <v>15</v>
      </c>
      <c r="S361" s="10" t="n">
        <f aca="false">J361</f>
        <v>4</v>
      </c>
      <c r="T361" s="12" t="s">
        <v>1616</v>
      </c>
      <c r="U361" s="12" t="s">
        <v>1693</v>
      </c>
      <c r="V361" s="9" t="str">
        <f aca="false">U361&amp;" - "&amp;W361</f>
        <v>空气悬架压缩机 - 通用</v>
      </c>
      <c r="W361" s="12" t="s">
        <v>76</v>
      </c>
      <c r="X361" s="12" t="s">
        <v>1618</v>
      </c>
      <c r="Y361" s="10" t="n">
        <f aca="false">G361</f>
        <v>25</v>
      </c>
      <c r="Z361" s="10" t="n">
        <f aca="false">H361</f>
        <v>15</v>
      </c>
      <c r="AA361" s="10" t="n">
        <f aca="false">I361</f>
        <v>15</v>
      </c>
      <c r="AB361" s="10" t="n">
        <f aca="false">J361</f>
        <v>4</v>
      </c>
      <c r="AC361" s="9" t="s">
        <v>1619</v>
      </c>
      <c r="AD361" s="9" t="s">
        <v>1694</v>
      </c>
      <c r="AE361" s="9" t="str">
        <f aca="false">IF($AK361=0,"",INDEX('Part types'!$T:$T,$AK361)&amp;"")</f>
        <v>All vehicles</v>
      </c>
      <c r="AF361" s="9" t="str">
        <f aca="false">IF($AK361=0,"",INDEX('Part types'!$U:$U,$AK361)&amp;"")</f>
        <v/>
      </c>
      <c r="AG361" s="9" t="str">
        <f aca="false">IF($AK361=0,"",INDEX('Part types'!$V:$V,$AK361)&amp;"")</f>
        <v>Estimate: item-specific</v>
      </c>
      <c r="AH361" s="9" t="str">
        <f aca="false">IF($AK361=0,"",INDEX('Part types'!$W:$W,$AK361)&amp;"")</f>
        <v/>
      </c>
      <c r="AI361" s="11" t="str">
        <f aca="false">IF($AK361=0,"",INDEX('Part types'!$X:$X,$AK361)&amp;"")</f>
        <v/>
      </c>
      <c r="AJ361" s="9" t="str">
        <f aca="false">IF($AK361=0,"",INDEX('Part types'!$Y:$Y,$AK361)&amp;"")</f>
        <v/>
      </c>
      <c r="AK361" s="9" t="n">
        <f aca="false">IFERROR(MATCH($AD361,'Part types'!$E:$E,0),0)</f>
        <v>275</v>
      </c>
    </row>
    <row r="362" customFormat="false" ht="15" hidden="false" customHeight="false" outlineLevel="0" collapsed="false">
      <c r="A362" s="9" t="s">
        <v>1695</v>
      </c>
      <c r="B362" s="9" t="s">
        <v>1610</v>
      </c>
      <c r="C362" s="9" t="s">
        <v>1696</v>
      </c>
      <c r="D362" s="9" t="str">
        <f aca="false">C362&amp;" - "&amp;E362</f>
        <v>Air Spring Bag - Front-Left</v>
      </c>
      <c r="E362" s="9" t="s">
        <v>1346</v>
      </c>
      <c r="F362" s="9" t="s">
        <v>1612</v>
      </c>
      <c r="G362" s="10" t="n">
        <f aca="false">IF($AK362=0,"",INDEX('Part types'!$P:$P,$AK362))</f>
        <v>30</v>
      </c>
      <c r="H362" s="10" t="n">
        <f aca="false">IF($AK362=0,"",INDEX('Part types'!$Q:$Q,$AK362))</f>
        <v>20</v>
      </c>
      <c r="I362" s="10" t="n">
        <f aca="false">IF($AK362=0,"",INDEX('Part types'!$R:$R,$AK362))</f>
        <v>15</v>
      </c>
      <c r="J362" s="10" t="n">
        <f aca="false">IF($AK362=0,"",INDEX('Part types'!$S:$S,$AK362))</f>
        <v>1.8</v>
      </c>
      <c r="K362" s="11" t="s">
        <v>1613</v>
      </c>
      <c r="L362" s="11" t="s">
        <v>1697</v>
      </c>
      <c r="M362" s="11" t="str">
        <f aca="false">L362&amp;" - "&amp;N362</f>
        <v>كيس هواء التعليق - أمامي يسار</v>
      </c>
      <c r="N362" s="11" t="s">
        <v>1349</v>
      </c>
      <c r="O362" s="11" t="s">
        <v>1615</v>
      </c>
      <c r="P362" s="10" t="n">
        <f aca="false">G362</f>
        <v>30</v>
      </c>
      <c r="Q362" s="10" t="n">
        <f aca="false">H362</f>
        <v>20</v>
      </c>
      <c r="R362" s="10" t="n">
        <f aca="false">I362</f>
        <v>15</v>
      </c>
      <c r="S362" s="10" t="n">
        <f aca="false">J362</f>
        <v>1.8</v>
      </c>
      <c r="T362" s="12" t="s">
        <v>1616</v>
      </c>
      <c r="U362" s="12" t="s">
        <v>1698</v>
      </c>
      <c r="V362" s="9" t="str">
        <f aca="false">U362&amp;" - "&amp;W362</f>
        <v>空气弹簧 - 前左</v>
      </c>
      <c r="W362" s="12" t="s">
        <v>1352</v>
      </c>
      <c r="X362" s="12" t="s">
        <v>1618</v>
      </c>
      <c r="Y362" s="10" t="n">
        <f aca="false">G362</f>
        <v>30</v>
      </c>
      <c r="Z362" s="10" t="n">
        <f aca="false">H362</f>
        <v>20</v>
      </c>
      <c r="AA362" s="10" t="n">
        <f aca="false">I362</f>
        <v>15</v>
      </c>
      <c r="AB362" s="10" t="n">
        <f aca="false">J362</f>
        <v>1.8</v>
      </c>
      <c r="AC362" s="9" t="s">
        <v>1619</v>
      </c>
      <c r="AD362" s="9" t="s">
        <v>1699</v>
      </c>
      <c r="AE362" s="9" t="str">
        <f aca="false">IF($AK362=0,"",INDEX('Part types'!$T:$T,$AK362)&amp;"")</f>
        <v>All vehicles</v>
      </c>
      <c r="AF362" s="9" t="str">
        <f aca="false">IF($AK362=0,"",INDEX('Part types'!$U:$U,$AK362)&amp;"")</f>
        <v/>
      </c>
      <c r="AG362" s="9" t="str">
        <f aca="false">IF($AK362=0,"",INDEX('Part types'!$V:$V,$AK362)&amp;"")</f>
        <v>Estimate: size class M2</v>
      </c>
      <c r="AH362" s="9" t="str">
        <f aca="false">IF($AK362=0,"",INDEX('Part types'!$W:$W,$AK362)&amp;"")</f>
        <v/>
      </c>
      <c r="AI362" s="11" t="str">
        <f aca="false">IF($AK362=0,"",INDEX('Part types'!$X:$X,$AK362)&amp;"")</f>
        <v/>
      </c>
      <c r="AJ362" s="9" t="str">
        <f aca="false">IF($AK362=0,"",INDEX('Part types'!$Y:$Y,$AK362)&amp;"")</f>
        <v>气囊</v>
      </c>
      <c r="AK362" s="9" t="n">
        <f aca="false">IFERROR(MATCH($AD362,'Part types'!$E:$E,0),0)</f>
        <v>276</v>
      </c>
    </row>
    <row r="363" customFormat="false" ht="15" hidden="false" customHeight="false" outlineLevel="0" collapsed="false">
      <c r="A363" s="9" t="s">
        <v>1700</v>
      </c>
      <c r="B363" s="9" t="s">
        <v>1610</v>
      </c>
      <c r="C363" s="9" t="s">
        <v>1696</v>
      </c>
      <c r="D363" s="9" t="str">
        <f aca="false">C363&amp;" - "&amp;E363</f>
        <v>Air Spring Bag - Front-Right</v>
      </c>
      <c r="E363" s="9" t="s">
        <v>1356</v>
      </c>
      <c r="F363" s="9" t="s">
        <v>1612</v>
      </c>
      <c r="G363" s="10" t="n">
        <f aca="false">IF($AK363=0,"",INDEX('Part types'!$P:$P,$AK363))</f>
        <v>30</v>
      </c>
      <c r="H363" s="10" t="n">
        <f aca="false">IF($AK363=0,"",INDEX('Part types'!$Q:$Q,$AK363))</f>
        <v>20</v>
      </c>
      <c r="I363" s="10" t="n">
        <f aca="false">IF($AK363=0,"",INDEX('Part types'!$R:$R,$AK363))</f>
        <v>15</v>
      </c>
      <c r="J363" s="10" t="n">
        <f aca="false">IF($AK363=0,"",INDEX('Part types'!$S:$S,$AK363))</f>
        <v>1.8</v>
      </c>
      <c r="K363" s="11" t="s">
        <v>1613</v>
      </c>
      <c r="L363" s="11" t="s">
        <v>1697</v>
      </c>
      <c r="M363" s="11" t="str">
        <f aca="false">L363&amp;" - "&amp;N363</f>
        <v>كيس هواء التعليق - أمامي يمين</v>
      </c>
      <c r="N363" s="11" t="s">
        <v>1357</v>
      </c>
      <c r="O363" s="11" t="s">
        <v>1615</v>
      </c>
      <c r="P363" s="10" t="n">
        <f aca="false">G363</f>
        <v>30</v>
      </c>
      <c r="Q363" s="10" t="n">
        <f aca="false">H363</f>
        <v>20</v>
      </c>
      <c r="R363" s="10" t="n">
        <f aca="false">I363</f>
        <v>15</v>
      </c>
      <c r="S363" s="10" t="n">
        <f aca="false">J363</f>
        <v>1.8</v>
      </c>
      <c r="T363" s="12" t="s">
        <v>1616</v>
      </c>
      <c r="U363" s="12" t="s">
        <v>1698</v>
      </c>
      <c r="V363" s="9" t="str">
        <f aca="false">U363&amp;" - "&amp;W363</f>
        <v>空气弹簧 - 前右</v>
      </c>
      <c r="W363" s="12" t="s">
        <v>1358</v>
      </c>
      <c r="X363" s="12" t="s">
        <v>1618</v>
      </c>
      <c r="Y363" s="10" t="n">
        <f aca="false">G363</f>
        <v>30</v>
      </c>
      <c r="Z363" s="10" t="n">
        <f aca="false">H363</f>
        <v>20</v>
      </c>
      <c r="AA363" s="10" t="n">
        <f aca="false">I363</f>
        <v>15</v>
      </c>
      <c r="AB363" s="10" t="n">
        <f aca="false">J363</f>
        <v>1.8</v>
      </c>
      <c r="AC363" s="9" t="s">
        <v>1619</v>
      </c>
      <c r="AD363" s="9" t="s">
        <v>1699</v>
      </c>
      <c r="AE363" s="9" t="str">
        <f aca="false">IF($AK363=0,"",INDEX('Part types'!$T:$T,$AK363)&amp;"")</f>
        <v>All vehicles</v>
      </c>
      <c r="AF363" s="9" t="str">
        <f aca="false">IF($AK363=0,"",INDEX('Part types'!$U:$U,$AK363)&amp;"")</f>
        <v/>
      </c>
      <c r="AG363" s="9" t="str">
        <f aca="false">IF($AK363=0,"",INDEX('Part types'!$V:$V,$AK363)&amp;"")</f>
        <v>Estimate: size class M2</v>
      </c>
      <c r="AH363" s="9" t="str">
        <f aca="false">IF($AK363=0,"",INDEX('Part types'!$W:$W,$AK363)&amp;"")</f>
        <v/>
      </c>
      <c r="AI363" s="11" t="str">
        <f aca="false">IF($AK363=0,"",INDEX('Part types'!$X:$X,$AK363)&amp;"")</f>
        <v/>
      </c>
      <c r="AJ363" s="9" t="str">
        <f aca="false">IF($AK363=0,"",INDEX('Part types'!$Y:$Y,$AK363)&amp;"")</f>
        <v>气囊</v>
      </c>
      <c r="AK363" s="9" t="n">
        <f aca="false">IFERROR(MATCH($AD363,'Part types'!$E:$E,0),0)</f>
        <v>276</v>
      </c>
    </row>
    <row r="364" customFormat="false" ht="15" hidden="false" customHeight="false" outlineLevel="0" collapsed="false">
      <c r="A364" s="9" t="s">
        <v>1701</v>
      </c>
      <c r="B364" s="9" t="s">
        <v>1610</v>
      </c>
      <c r="C364" s="9" t="s">
        <v>1696</v>
      </c>
      <c r="D364" s="9" t="str">
        <f aca="false">C364&amp;" - "&amp;E364</f>
        <v>Air Spring Bag - Rear-Left</v>
      </c>
      <c r="E364" s="9" t="s">
        <v>1360</v>
      </c>
      <c r="F364" s="9" t="s">
        <v>1612</v>
      </c>
      <c r="G364" s="10" t="n">
        <f aca="false">IF($AK364=0,"",INDEX('Part types'!$P:$P,$AK364))</f>
        <v>30</v>
      </c>
      <c r="H364" s="10" t="n">
        <f aca="false">IF($AK364=0,"",INDEX('Part types'!$Q:$Q,$AK364))</f>
        <v>20</v>
      </c>
      <c r="I364" s="10" t="n">
        <f aca="false">IF($AK364=0,"",INDEX('Part types'!$R:$R,$AK364))</f>
        <v>15</v>
      </c>
      <c r="J364" s="10" t="n">
        <f aca="false">IF($AK364=0,"",INDEX('Part types'!$S:$S,$AK364))</f>
        <v>1.8</v>
      </c>
      <c r="K364" s="11" t="s">
        <v>1613</v>
      </c>
      <c r="L364" s="11" t="s">
        <v>1697</v>
      </c>
      <c r="M364" s="11" t="str">
        <f aca="false">L364&amp;" - "&amp;N364</f>
        <v>كيس هواء التعليق - خلفي يسار</v>
      </c>
      <c r="N364" s="11" t="s">
        <v>1361</v>
      </c>
      <c r="O364" s="11" t="s">
        <v>1615</v>
      </c>
      <c r="P364" s="10" t="n">
        <f aca="false">G364</f>
        <v>30</v>
      </c>
      <c r="Q364" s="10" t="n">
        <f aca="false">H364</f>
        <v>20</v>
      </c>
      <c r="R364" s="10" t="n">
        <f aca="false">I364</f>
        <v>15</v>
      </c>
      <c r="S364" s="10" t="n">
        <f aca="false">J364</f>
        <v>1.8</v>
      </c>
      <c r="T364" s="12" t="s">
        <v>1616</v>
      </c>
      <c r="U364" s="12" t="s">
        <v>1698</v>
      </c>
      <c r="V364" s="9" t="str">
        <f aca="false">U364&amp;" - "&amp;W364</f>
        <v>空气弹簧 - 后左</v>
      </c>
      <c r="W364" s="12" t="s">
        <v>1362</v>
      </c>
      <c r="X364" s="12" t="s">
        <v>1618</v>
      </c>
      <c r="Y364" s="10" t="n">
        <f aca="false">G364</f>
        <v>30</v>
      </c>
      <c r="Z364" s="10" t="n">
        <f aca="false">H364</f>
        <v>20</v>
      </c>
      <c r="AA364" s="10" t="n">
        <f aca="false">I364</f>
        <v>15</v>
      </c>
      <c r="AB364" s="10" t="n">
        <f aca="false">J364</f>
        <v>1.8</v>
      </c>
      <c r="AC364" s="9" t="s">
        <v>1619</v>
      </c>
      <c r="AD364" s="9" t="s">
        <v>1699</v>
      </c>
      <c r="AE364" s="9" t="str">
        <f aca="false">IF($AK364=0,"",INDEX('Part types'!$T:$T,$AK364)&amp;"")</f>
        <v>All vehicles</v>
      </c>
      <c r="AF364" s="9" t="str">
        <f aca="false">IF($AK364=0,"",INDEX('Part types'!$U:$U,$AK364)&amp;"")</f>
        <v/>
      </c>
      <c r="AG364" s="9" t="str">
        <f aca="false">IF($AK364=0,"",INDEX('Part types'!$V:$V,$AK364)&amp;"")</f>
        <v>Estimate: size class M2</v>
      </c>
      <c r="AH364" s="9" t="str">
        <f aca="false">IF($AK364=0,"",INDEX('Part types'!$W:$W,$AK364)&amp;"")</f>
        <v/>
      </c>
      <c r="AI364" s="11" t="str">
        <f aca="false">IF($AK364=0,"",INDEX('Part types'!$X:$X,$AK364)&amp;"")</f>
        <v/>
      </c>
      <c r="AJ364" s="9" t="str">
        <f aca="false">IF($AK364=0,"",INDEX('Part types'!$Y:$Y,$AK364)&amp;"")</f>
        <v>气囊</v>
      </c>
      <c r="AK364" s="9" t="n">
        <f aca="false">IFERROR(MATCH($AD364,'Part types'!$E:$E,0),0)</f>
        <v>276</v>
      </c>
    </row>
    <row r="365" customFormat="false" ht="15" hidden="false" customHeight="false" outlineLevel="0" collapsed="false">
      <c r="A365" s="9" t="s">
        <v>1702</v>
      </c>
      <c r="B365" s="9" t="s">
        <v>1610</v>
      </c>
      <c r="C365" s="9" t="s">
        <v>1696</v>
      </c>
      <c r="D365" s="9" t="str">
        <f aca="false">C365&amp;" - "&amp;E365</f>
        <v>Air Spring Bag - Rear-Right</v>
      </c>
      <c r="E365" s="9" t="s">
        <v>1364</v>
      </c>
      <c r="F365" s="9" t="s">
        <v>1612</v>
      </c>
      <c r="G365" s="10" t="n">
        <f aca="false">IF($AK365=0,"",INDEX('Part types'!$P:$P,$AK365))</f>
        <v>30</v>
      </c>
      <c r="H365" s="10" t="n">
        <f aca="false">IF($AK365=0,"",INDEX('Part types'!$Q:$Q,$AK365))</f>
        <v>20</v>
      </c>
      <c r="I365" s="10" t="n">
        <f aca="false">IF($AK365=0,"",INDEX('Part types'!$R:$R,$AK365))</f>
        <v>15</v>
      </c>
      <c r="J365" s="10" t="n">
        <f aca="false">IF($AK365=0,"",INDEX('Part types'!$S:$S,$AK365))</f>
        <v>1.8</v>
      </c>
      <c r="K365" s="11" t="s">
        <v>1613</v>
      </c>
      <c r="L365" s="11" t="s">
        <v>1697</v>
      </c>
      <c r="M365" s="11" t="str">
        <f aca="false">L365&amp;" - "&amp;N365</f>
        <v>كيس هواء التعليق - خلفي يمين</v>
      </c>
      <c r="N365" s="11" t="s">
        <v>1365</v>
      </c>
      <c r="O365" s="11" t="s">
        <v>1615</v>
      </c>
      <c r="P365" s="10" t="n">
        <f aca="false">G365</f>
        <v>30</v>
      </c>
      <c r="Q365" s="10" t="n">
        <f aca="false">H365</f>
        <v>20</v>
      </c>
      <c r="R365" s="10" t="n">
        <f aca="false">I365</f>
        <v>15</v>
      </c>
      <c r="S365" s="10" t="n">
        <f aca="false">J365</f>
        <v>1.8</v>
      </c>
      <c r="T365" s="12" t="s">
        <v>1616</v>
      </c>
      <c r="U365" s="12" t="s">
        <v>1698</v>
      </c>
      <c r="V365" s="9" t="str">
        <f aca="false">U365&amp;" - "&amp;W365</f>
        <v>空气弹簧 - 后右</v>
      </c>
      <c r="W365" s="12" t="s">
        <v>1366</v>
      </c>
      <c r="X365" s="12" t="s">
        <v>1618</v>
      </c>
      <c r="Y365" s="10" t="n">
        <f aca="false">G365</f>
        <v>30</v>
      </c>
      <c r="Z365" s="10" t="n">
        <f aca="false">H365</f>
        <v>20</v>
      </c>
      <c r="AA365" s="10" t="n">
        <f aca="false">I365</f>
        <v>15</v>
      </c>
      <c r="AB365" s="10" t="n">
        <f aca="false">J365</f>
        <v>1.8</v>
      </c>
      <c r="AC365" s="9" t="s">
        <v>1619</v>
      </c>
      <c r="AD365" s="9" t="s">
        <v>1699</v>
      </c>
      <c r="AE365" s="9" t="str">
        <f aca="false">IF($AK365=0,"",INDEX('Part types'!$T:$T,$AK365)&amp;"")</f>
        <v>All vehicles</v>
      </c>
      <c r="AF365" s="9" t="str">
        <f aca="false">IF($AK365=0,"",INDEX('Part types'!$U:$U,$AK365)&amp;"")</f>
        <v/>
      </c>
      <c r="AG365" s="9" t="str">
        <f aca="false">IF($AK365=0,"",INDEX('Part types'!$V:$V,$AK365)&amp;"")</f>
        <v>Estimate: size class M2</v>
      </c>
      <c r="AH365" s="9" t="str">
        <f aca="false">IF($AK365=0,"",INDEX('Part types'!$W:$W,$AK365)&amp;"")</f>
        <v/>
      </c>
      <c r="AI365" s="11" t="str">
        <f aca="false">IF($AK365=0,"",INDEX('Part types'!$X:$X,$AK365)&amp;"")</f>
        <v/>
      </c>
      <c r="AJ365" s="9" t="str">
        <f aca="false">IF($AK365=0,"",INDEX('Part types'!$Y:$Y,$AK365)&amp;"")</f>
        <v>气囊</v>
      </c>
      <c r="AK365" s="9" t="n">
        <f aca="false">IFERROR(MATCH($AD365,'Part types'!$E:$E,0),0)</f>
        <v>276</v>
      </c>
    </row>
    <row r="366" customFormat="false" ht="15" hidden="false" customHeight="false" outlineLevel="0" collapsed="false">
      <c r="A366" s="9" t="s">
        <v>1703</v>
      </c>
      <c r="B366" s="9" t="s">
        <v>1610</v>
      </c>
      <c r="C366" s="9" t="s">
        <v>1704</v>
      </c>
      <c r="D366" s="9" t="str">
        <f aca="false">C366&amp;" - "&amp;E366</f>
        <v>Suspension Height Sensor - Front-Left</v>
      </c>
      <c r="E366" s="9" t="s">
        <v>1346</v>
      </c>
      <c r="F366" s="9" t="s">
        <v>1612</v>
      </c>
      <c r="G366" s="10" t="n">
        <f aca="false">IF($AK366=0,"",INDEX('Part types'!$P:$P,$AK366))</f>
        <v>10</v>
      </c>
      <c r="H366" s="10" t="n">
        <f aca="false">IF($AK366=0,"",INDEX('Part types'!$Q:$Q,$AK366))</f>
        <v>8</v>
      </c>
      <c r="I366" s="10" t="n">
        <f aca="false">IF($AK366=0,"",INDEX('Part types'!$R:$R,$AK366))</f>
        <v>6</v>
      </c>
      <c r="J366" s="10" t="n">
        <f aca="false">IF($AK366=0,"",INDEX('Part types'!$S:$S,$AK366))</f>
        <v>0.1</v>
      </c>
      <c r="K366" s="11" t="s">
        <v>1613</v>
      </c>
      <c r="L366" s="11" t="s">
        <v>1705</v>
      </c>
      <c r="M366" s="11" t="str">
        <f aca="false">L366&amp;" - "&amp;N366</f>
        <v>حساس ارتفاع التعليق - أمامي يسار</v>
      </c>
      <c r="N366" s="11" t="s">
        <v>1349</v>
      </c>
      <c r="O366" s="11" t="s">
        <v>1615</v>
      </c>
      <c r="P366" s="10" t="n">
        <f aca="false">G366</f>
        <v>10</v>
      </c>
      <c r="Q366" s="10" t="n">
        <f aca="false">H366</f>
        <v>8</v>
      </c>
      <c r="R366" s="10" t="n">
        <f aca="false">I366</f>
        <v>6</v>
      </c>
      <c r="S366" s="10" t="n">
        <f aca="false">J366</f>
        <v>0.1</v>
      </c>
      <c r="T366" s="12" t="s">
        <v>1616</v>
      </c>
      <c r="U366" s="12" t="s">
        <v>1706</v>
      </c>
      <c r="V366" s="9" t="str">
        <f aca="false">U366&amp;" - "&amp;W366</f>
        <v>悬架高度传感器 - 前左</v>
      </c>
      <c r="W366" s="12" t="s">
        <v>1352</v>
      </c>
      <c r="X366" s="12" t="s">
        <v>1618</v>
      </c>
      <c r="Y366" s="10" t="n">
        <f aca="false">G366</f>
        <v>10</v>
      </c>
      <c r="Z366" s="10" t="n">
        <f aca="false">H366</f>
        <v>8</v>
      </c>
      <c r="AA366" s="10" t="n">
        <f aca="false">I366</f>
        <v>6</v>
      </c>
      <c r="AB366" s="10" t="n">
        <f aca="false">J366</f>
        <v>0.1</v>
      </c>
      <c r="AC366" s="9" t="s">
        <v>1619</v>
      </c>
      <c r="AD366" s="9" t="s">
        <v>1707</v>
      </c>
      <c r="AE366" s="9" t="str">
        <f aca="false">IF($AK366=0,"",INDEX('Part types'!$T:$T,$AK366)&amp;"")</f>
        <v>All vehicles</v>
      </c>
      <c r="AF366" s="9" t="str">
        <f aca="false">IF($AK366=0,"",INDEX('Part types'!$U:$U,$AK366)&amp;"")</f>
        <v/>
      </c>
      <c r="AG366" s="9" t="str">
        <f aca="false">IF($AK366=0,"",INDEX('Part types'!$V:$V,$AK366)&amp;"")</f>
        <v>Estimate: size class XS</v>
      </c>
      <c r="AH366" s="9" t="str">
        <f aca="false">IF($AK366=0,"",INDEX('Part types'!$W:$W,$AK366)&amp;"")</f>
        <v/>
      </c>
      <c r="AI366" s="11" t="str">
        <f aca="false">IF($AK366=0,"",INDEX('Part types'!$X:$X,$AK366)&amp;"")</f>
        <v/>
      </c>
      <c r="AJ366" s="9" t="str">
        <f aca="false">IF($AK366=0,"",INDEX('Part types'!$Y:$Y,$AK366)&amp;"")</f>
        <v/>
      </c>
      <c r="AK366" s="9" t="n">
        <f aca="false">IFERROR(MATCH($AD366,'Part types'!$E:$E,0),0)</f>
        <v>277</v>
      </c>
    </row>
    <row r="367" customFormat="false" ht="15" hidden="false" customHeight="false" outlineLevel="0" collapsed="false">
      <c r="A367" s="9" t="s">
        <v>1708</v>
      </c>
      <c r="B367" s="9" t="s">
        <v>1610</v>
      </c>
      <c r="C367" s="9" t="s">
        <v>1704</v>
      </c>
      <c r="D367" s="9" t="str">
        <f aca="false">C367&amp;" - "&amp;E367</f>
        <v>Suspension Height Sensor - Front-Right</v>
      </c>
      <c r="E367" s="9" t="s">
        <v>1356</v>
      </c>
      <c r="F367" s="9" t="s">
        <v>1612</v>
      </c>
      <c r="G367" s="10" t="n">
        <f aca="false">IF($AK367=0,"",INDEX('Part types'!$P:$P,$AK367))</f>
        <v>10</v>
      </c>
      <c r="H367" s="10" t="n">
        <f aca="false">IF($AK367=0,"",INDEX('Part types'!$Q:$Q,$AK367))</f>
        <v>8</v>
      </c>
      <c r="I367" s="10" t="n">
        <f aca="false">IF($AK367=0,"",INDEX('Part types'!$R:$R,$AK367))</f>
        <v>6</v>
      </c>
      <c r="J367" s="10" t="n">
        <f aca="false">IF($AK367=0,"",INDEX('Part types'!$S:$S,$AK367))</f>
        <v>0.1</v>
      </c>
      <c r="K367" s="11" t="s">
        <v>1613</v>
      </c>
      <c r="L367" s="11" t="s">
        <v>1705</v>
      </c>
      <c r="M367" s="11" t="str">
        <f aca="false">L367&amp;" - "&amp;N367</f>
        <v>حساس ارتفاع التعليق - أمامي يمين</v>
      </c>
      <c r="N367" s="11" t="s">
        <v>1357</v>
      </c>
      <c r="O367" s="11" t="s">
        <v>1615</v>
      </c>
      <c r="P367" s="10" t="n">
        <f aca="false">G367</f>
        <v>10</v>
      </c>
      <c r="Q367" s="10" t="n">
        <f aca="false">H367</f>
        <v>8</v>
      </c>
      <c r="R367" s="10" t="n">
        <f aca="false">I367</f>
        <v>6</v>
      </c>
      <c r="S367" s="10" t="n">
        <f aca="false">J367</f>
        <v>0.1</v>
      </c>
      <c r="T367" s="12" t="s">
        <v>1616</v>
      </c>
      <c r="U367" s="12" t="s">
        <v>1706</v>
      </c>
      <c r="V367" s="9" t="str">
        <f aca="false">U367&amp;" - "&amp;W367</f>
        <v>悬架高度传感器 - 前右</v>
      </c>
      <c r="W367" s="12" t="s">
        <v>1358</v>
      </c>
      <c r="X367" s="12" t="s">
        <v>1618</v>
      </c>
      <c r="Y367" s="10" t="n">
        <f aca="false">G367</f>
        <v>10</v>
      </c>
      <c r="Z367" s="10" t="n">
        <f aca="false">H367</f>
        <v>8</v>
      </c>
      <c r="AA367" s="10" t="n">
        <f aca="false">I367</f>
        <v>6</v>
      </c>
      <c r="AB367" s="10" t="n">
        <f aca="false">J367</f>
        <v>0.1</v>
      </c>
      <c r="AC367" s="9" t="s">
        <v>1619</v>
      </c>
      <c r="AD367" s="9" t="s">
        <v>1707</v>
      </c>
      <c r="AE367" s="9" t="str">
        <f aca="false">IF($AK367=0,"",INDEX('Part types'!$T:$T,$AK367)&amp;"")</f>
        <v>All vehicles</v>
      </c>
      <c r="AF367" s="9" t="str">
        <f aca="false">IF($AK367=0,"",INDEX('Part types'!$U:$U,$AK367)&amp;"")</f>
        <v/>
      </c>
      <c r="AG367" s="9" t="str">
        <f aca="false">IF($AK367=0,"",INDEX('Part types'!$V:$V,$AK367)&amp;"")</f>
        <v>Estimate: size class XS</v>
      </c>
      <c r="AH367" s="9" t="str">
        <f aca="false">IF($AK367=0,"",INDEX('Part types'!$W:$W,$AK367)&amp;"")</f>
        <v/>
      </c>
      <c r="AI367" s="11" t="str">
        <f aca="false">IF($AK367=0,"",INDEX('Part types'!$X:$X,$AK367)&amp;"")</f>
        <v/>
      </c>
      <c r="AJ367" s="9" t="str">
        <f aca="false">IF($AK367=0,"",INDEX('Part types'!$Y:$Y,$AK367)&amp;"")</f>
        <v/>
      </c>
      <c r="AK367" s="9" t="n">
        <f aca="false">IFERROR(MATCH($AD367,'Part types'!$E:$E,0),0)</f>
        <v>277</v>
      </c>
    </row>
    <row r="368" customFormat="false" ht="15" hidden="false" customHeight="false" outlineLevel="0" collapsed="false">
      <c r="A368" s="9" t="s">
        <v>1709</v>
      </c>
      <c r="B368" s="9" t="s">
        <v>1610</v>
      </c>
      <c r="C368" s="9" t="s">
        <v>1704</v>
      </c>
      <c r="D368" s="9" t="str">
        <f aca="false">C368&amp;" - "&amp;E368</f>
        <v>Suspension Height Sensor - Rear-Left</v>
      </c>
      <c r="E368" s="9" t="s">
        <v>1360</v>
      </c>
      <c r="F368" s="9" t="s">
        <v>1612</v>
      </c>
      <c r="G368" s="10" t="n">
        <f aca="false">IF($AK368=0,"",INDEX('Part types'!$P:$P,$AK368))</f>
        <v>10</v>
      </c>
      <c r="H368" s="10" t="n">
        <f aca="false">IF($AK368=0,"",INDEX('Part types'!$Q:$Q,$AK368))</f>
        <v>8</v>
      </c>
      <c r="I368" s="10" t="n">
        <f aca="false">IF($AK368=0,"",INDEX('Part types'!$R:$R,$AK368))</f>
        <v>6</v>
      </c>
      <c r="J368" s="10" t="n">
        <f aca="false">IF($AK368=0,"",INDEX('Part types'!$S:$S,$AK368))</f>
        <v>0.1</v>
      </c>
      <c r="K368" s="11" t="s">
        <v>1613</v>
      </c>
      <c r="L368" s="11" t="s">
        <v>1705</v>
      </c>
      <c r="M368" s="11" t="str">
        <f aca="false">L368&amp;" - "&amp;N368</f>
        <v>حساس ارتفاع التعليق - خلفي يسار</v>
      </c>
      <c r="N368" s="11" t="s">
        <v>1361</v>
      </c>
      <c r="O368" s="11" t="s">
        <v>1615</v>
      </c>
      <c r="P368" s="10" t="n">
        <f aca="false">G368</f>
        <v>10</v>
      </c>
      <c r="Q368" s="10" t="n">
        <f aca="false">H368</f>
        <v>8</v>
      </c>
      <c r="R368" s="10" t="n">
        <f aca="false">I368</f>
        <v>6</v>
      </c>
      <c r="S368" s="10" t="n">
        <f aca="false">J368</f>
        <v>0.1</v>
      </c>
      <c r="T368" s="12" t="s">
        <v>1616</v>
      </c>
      <c r="U368" s="12" t="s">
        <v>1706</v>
      </c>
      <c r="V368" s="9" t="str">
        <f aca="false">U368&amp;" - "&amp;W368</f>
        <v>悬架高度传感器 - 后左</v>
      </c>
      <c r="W368" s="12" t="s">
        <v>1362</v>
      </c>
      <c r="X368" s="12" t="s">
        <v>1618</v>
      </c>
      <c r="Y368" s="10" t="n">
        <f aca="false">G368</f>
        <v>10</v>
      </c>
      <c r="Z368" s="10" t="n">
        <f aca="false">H368</f>
        <v>8</v>
      </c>
      <c r="AA368" s="10" t="n">
        <f aca="false">I368</f>
        <v>6</v>
      </c>
      <c r="AB368" s="10" t="n">
        <f aca="false">J368</f>
        <v>0.1</v>
      </c>
      <c r="AC368" s="9" t="s">
        <v>1619</v>
      </c>
      <c r="AD368" s="9" t="s">
        <v>1707</v>
      </c>
      <c r="AE368" s="9" t="str">
        <f aca="false">IF($AK368=0,"",INDEX('Part types'!$T:$T,$AK368)&amp;"")</f>
        <v>All vehicles</v>
      </c>
      <c r="AF368" s="9" t="str">
        <f aca="false">IF($AK368=0,"",INDEX('Part types'!$U:$U,$AK368)&amp;"")</f>
        <v/>
      </c>
      <c r="AG368" s="9" t="str">
        <f aca="false">IF($AK368=0,"",INDEX('Part types'!$V:$V,$AK368)&amp;"")</f>
        <v>Estimate: size class XS</v>
      </c>
      <c r="AH368" s="9" t="str">
        <f aca="false">IF($AK368=0,"",INDEX('Part types'!$W:$W,$AK368)&amp;"")</f>
        <v/>
      </c>
      <c r="AI368" s="11" t="str">
        <f aca="false">IF($AK368=0,"",INDEX('Part types'!$X:$X,$AK368)&amp;"")</f>
        <v/>
      </c>
      <c r="AJ368" s="9" t="str">
        <f aca="false">IF($AK368=0,"",INDEX('Part types'!$Y:$Y,$AK368)&amp;"")</f>
        <v/>
      </c>
      <c r="AK368" s="9" t="n">
        <f aca="false">IFERROR(MATCH($AD368,'Part types'!$E:$E,0),0)</f>
        <v>277</v>
      </c>
    </row>
    <row r="369" customFormat="false" ht="15" hidden="false" customHeight="false" outlineLevel="0" collapsed="false">
      <c r="A369" s="9" t="s">
        <v>1710</v>
      </c>
      <c r="B369" s="9" t="s">
        <v>1610</v>
      </c>
      <c r="C369" s="9" t="s">
        <v>1704</v>
      </c>
      <c r="D369" s="9" t="str">
        <f aca="false">C369&amp;" - "&amp;E369</f>
        <v>Suspension Height Sensor - Rear-Right</v>
      </c>
      <c r="E369" s="9" t="s">
        <v>1364</v>
      </c>
      <c r="F369" s="9" t="s">
        <v>1612</v>
      </c>
      <c r="G369" s="10" t="n">
        <f aca="false">IF($AK369=0,"",INDEX('Part types'!$P:$P,$AK369))</f>
        <v>10</v>
      </c>
      <c r="H369" s="10" t="n">
        <f aca="false">IF($AK369=0,"",INDEX('Part types'!$Q:$Q,$AK369))</f>
        <v>8</v>
      </c>
      <c r="I369" s="10" t="n">
        <f aca="false">IF($AK369=0,"",INDEX('Part types'!$R:$R,$AK369))</f>
        <v>6</v>
      </c>
      <c r="J369" s="10" t="n">
        <f aca="false">IF($AK369=0,"",INDEX('Part types'!$S:$S,$AK369))</f>
        <v>0.1</v>
      </c>
      <c r="K369" s="11" t="s">
        <v>1613</v>
      </c>
      <c r="L369" s="11" t="s">
        <v>1705</v>
      </c>
      <c r="M369" s="11" t="str">
        <f aca="false">L369&amp;" - "&amp;N369</f>
        <v>حساس ارتفاع التعليق - خلفي يمين</v>
      </c>
      <c r="N369" s="11" t="s">
        <v>1365</v>
      </c>
      <c r="O369" s="11" t="s">
        <v>1615</v>
      </c>
      <c r="P369" s="10" t="n">
        <f aca="false">G369</f>
        <v>10</v>
      </c>
      <c r="Q369" s="10" t="n">
        <f aca="false">H369</f>
        <v>8</v>
      </c>
      <c r="R369" s="10" t="n">
        <f aca="false">I369</f>
        <v>6</v>
      </c>
      <c r="S369" s="10" t="n">
        <f aca="false">J369</f>
        <v>0.1</v>
      </c>
      <c r="T369" s="12" t="s">
        <v>1616</v>
      </c>
      <c r="U369" s="12" t="s">
        <v>1706</v>
      </c>
      <c r="V369" s="9" t="str">
        <f aca="false">U369&amp;" - "&amp;W369</f>
        <v>悬架高度传感器 - 后右</v>
      </c>
      <c r="W369" s="12" t="s">
        <v>1366</v>
      </c>
      <c r="X369" s="12" t="s">
        <v>1618</v>
      </c>
      <c r="Y369" s="10" t="n">
        <f aca="false">G369</f>
        <v>10</v>
      </c>
      <c r="Z369" s="10" t="n">
        <f aca="false">H369</f>
        <v>8</v>
      </c>
      <c r="AA369" s="10" t="n">
        <f aca="false">I369</f>
        <v>6</v>
      </c>
      <c r="AB369" s="10" t="n">
        <f aca="false">J369</f>
        <v>0.1</v>
      </c>
      <c r="AC369" s="9" t="s">
        <v>1619</v>
      </c>
      <c r="AD369" s="9" t="s">
        <v>1707</v>
      </c>
      <c r="AE369" s="9" t="str">
        <f aca="false">IF($AK369=0,"",INDEX('Part types'!$T:$T,$AK369)&amp;"")</f>
        <v>All vehicles</v>
      </c>
      <c r="AF369" s="9" t="str">
        <f aca="false">IF($AK369=0,"",INDEX('Part types'!$U:$U,$AK369)&amp;"")</f>
        <v/>
      </c>
      <c r="AG369" s="9" t="str">
        <f aca="false">IF($AK369=0,"",INDEX('Part types'!$V:$V,$AK369)&amp;"")</f>
        <v>Estimate: size class XS</v>
      </c>
      <c r="AH369" s="9" t="str">
        <f aca="false">IF($AK369=0,"",INDEX('Part types'!$W:$W,$AK369)&amp;"")</f>
        <v/>
      </c>
      <c r="AI369" s="11" t="str">
        <f aca="false">IF($AK369=0,"",INDEX('Part types'!$X:$X,$AK369)&amp;"")</f>
        <v/>
      </c>
      <c r="AJ369" s="9" t="str">
        <f aca="false">IF($AK369=0,"",INDEX('Part types'!$Y:$Y,$AK369)&amp;"")</f>
        <v/>
      </c>
      <c r="AK369" s="9" t="n">
        <f aca="false">IFERROR(MATCH($AD369,'Part types'!$E:$E,0),0)</f>
        <v>277</v>
      </c>
    </row>
    <row r="370" customFormat="false" ht="15" hidden="false" customHeight="false" outlineLevel="0" collapsed="false">
      <c r="A370" s="9" t="s">
        <v>1711</v>
      </c>
      <c r="B370" s="9" t="s">
        <v>1610</v>
      </c>
      <c r="C370" s="9" t="s">
        <v>1712</v>
      </c>
      <c r="D370" s="9" t="str">
        <f aca="false">C370&amp;" - "&amp;E370</f>
        <v>Bump Stop - Front-Left</v>
      </c>
      <c r="E370" s="9" t="s">
        <v>1346</v>
      </c>
      <c r="F370" s="9" t="s">
        <v>1612</v>
      </c>
      <c r="G370" s="10" t="n">
        <f aca="false">IF($AK370=0,"",INDEX('Part types'!$P:$P,$AK370))</f>
        <v>10</v>
      </c>
      <c r="H370" s="10" t="n">
        <f aca="false">IF($AK370=0,"",INDEX('Part types'!$Q:$Q,$AK370))</f>
        <v>8</v>
      </c>
      <c r="I370" s="10" t="n">
        <f aca="false">IF($AK370=0,"",INDEX('Part types'!$R:$R,$AK370))</f>
        <v>6</v>
      </c>
      <c r="J370" s="10" t="n">
        <f aca="false">IF($AK370=0,"",INDEX('Part types'!$S:$S,$AK370))</f>
        <v>0.1</v>
      </c>
      <c r="K370" s="11" t="s">
        <v>1613</v>
      </c>
      <c r="L370" s="11" t="s">
        <v>1713</v>
      </c>
      <c r="M370" s="11" t="str">
        <f aca="false">L370&amp;" - "&amp;N370</f>
        <v>مطاط صدمات التعليق - أمامي يسار</v>
      </c>
      <c r="N370" s="11" t="s">
        <v>1349</v>
      </c>
      <c r="O370" s="11" t="s">
        <v>1615</v>
      </c>
      <c r="P370" s="10" t="n">
        <f aca="false">G370</f>
        <v>10</v>
      </c>
      <c r="Q370" s="10" t="n">
        <f aca="false">H370</f>
        <v>8</v>
      </c>
      <c r="R370" s="10" t="n">
        <f aca="false">I370</f>
        <v>6</v>
      </c>
      <c r="S370" s="10" t="n">
        <f aca="false">J370</f>
        <v>0.1</v>
      </c>
      <c r="T370" s="12" t="s">
        <v>1616</v>
      </c>
      <c r="U370" s="12" t="s">
        <v>1714</v>
      </c>
      <c r="V370" s="9" t="str">
        <f aca="false">U370&amp;" - "&amp;W370</f>
        <v>缓冲块 - 前左</v>
      </c>
      <c r="W370" s="12" t="s">
        <v>1352</v>
      </c>
      <c r="X370" s="12" t="s">
        <v>1618</v>
      </c>
      <c r="Y370" s="10" t="n">
        <f aca="false">G370</f>
        <v>10</v>
      </c>
      <c r="Z370" s="10" t="n">
        <f aca="false">H370</f>
        <v>8</v>
      </c>
      <c r="AA370" s="10" t="n">
        <f aca="false">I370</f>
        <v>6</v>
      </c>
      <c r="AB370" s="10" t="n">
        <f aca="false">J370</f>
        <v>0.1</v>
      </c>
      <c r="AC370" s="9" t="s">
        <v>1619</v>
      </c>
      <c r="AD370" s="9" t="s">
        <v>1715</v>
      </c>
      <c r="AE370" s="9" t="str">
        <f aca="false">IF($AK370=0,"",INDEX('Part types'!$T:$T,$AK370)&amp;"")</f>
        <v>All vehicles</v>
      </c>
      <c r="AF370" s="9" t="str">
        <f aca="false">IF($AK370=0,"",INDEX('Part types'!$U:$U,$AK370)&amp;"")</f>
        <v/>
      </c>
      <c r="AG370" s="9" t="str">
        <f aca="false">IF($AK370=0,"",INDEX('Part types'!$V:$V,$AK370)&amp;"")</f>
        <v>Estimate: size class XS</v>
      </c>
      <c r="AH370" s="9" t="str">
        <f aca="false">IF($AK370=0,"",INDEX('Part types'!$W:$W,$AK370)&amp;"")</f>
        <v/>
      </c>
      <c r="AI370" s="11" t="str">
        <f aca="false">IF($AK370=0,"",INDEX('Part types'!$X:$X,$AK370)&amp;"")</f>
        <v/>
      </c>
      <c r="AJ370" s="9" t="str">
        <f aca="false">IF($AK370=0,"",INDEX('Part types'!$Y:$Y,$AK370)&amp;"")</f>
        <v/>
      </c>
      <c r="AK370" s="9" t="n">
        <f aca="false">IFERROR(MATCH($AD370,'Part types'!$E:$E,0),0)</f>
        <v>278</v>
      </c>
    </row>
    <row r="371" customFormat="false" ht="15" hidden="false" customHeight="false" outlineLevel="0" collapsed="false">
      <c r="A371" s="9" t="s">
        <v>1716</v>
      </c>
      <c r="B371" s="9" t="s">
        <v>1610</v>
      </c>
      <c r="C371" s="9" t="s">
        <v>1712</v>
      </c>
      <c r="D371" s="9" t="str">
        <f aca="false">C371&amp;" - "&amp;E371</f>
        <v>Bump Stop - Front-Right</v>
      </c>
      <c r="E371" s="9" t="s">
        <v>1356</v>
      </c>
      <c r="F371" s="9" t="s">
        <v>1612</v>
      </c>
      <c r="G371" s="10" t="n">
        <f aca="false">IF($AK371=0,"",INDEX('Part types'!$P:$P,$AK371))</f>
        <v>10</v>
      </c>
      <c r="H371" s="10" t="n">
        <f aca="false">IF($AK371=0,"",INDEX('Part types'!$Q:$Q,$AK371))</f>
        <v>8</v>
      </c>
      <c r="I371" s="10" t="n">
        <f aca="false">IF($AK371=0,"",INDEX('Part types'!$R:$R,$AK371))</f>
        <v>6</v>
      </c>
      <c r="J371" s="10" t="n">
        <f aca="false">IF($AK371=0,"",INDEX('Part types'!$S:$S,$AK371))</f>
        <v>0.1</v>
      </c>
      <c r="K371" s="11" t="s">
        <v>1613</v>
      </c>
      <c r="L371" s="11" t="s">
        <v>1713</v>
      </c>
      <c r="M371" s="11" t="str">
        <f aca="false">L371&amp;" - "&amp;N371</f>
        <v>مطاط صدمات التعليق - أمامي يمين</v>
      </c>
      <c r="N371" s="11" t="s">
        <v>1357</v>
      </c>
      <c r="O371" s="11" t="s">
        <v>1615</v>
      </c>
      <c r="P371" s="10" t="n">
        <f aca="false">G371</f>
        <v>10</v>
      </c>
      <c r="Q371" s="10" t="n">
        <f aca="false">H371</f>
        <v>8</v>
      </c>
      <c r="R371" s="10" t="n">
        <f aca="false">I371</f>
        <v>6</v>
      </c>
      <c r="S371" s="10" t="n">
        <f aca="false">J371</f>
        <v>0.1</v>
      </c>
      <c r="T371" s="12" t="s">
        <v>1616</v>
      </c>
      <c r="U371" s="12" t="s">
        <v>1714</v>
      </c>
      <c r="V371" s="9" t="str">
        <f aca="false">U371&amp;" - "&amp;W371</f>
        <v>缓冲块 - 前右</v>
      </c>
      <c r="W371" s="12" t="s">
        <v>1358</v>
      </c>
      <c r="X371" s="12" t="s">
        <v>1618</v>
      </c>
      <c r="Y371" s="10" t="n">
        <f aca="false">G371</f>
        <v>10</v>
      </c>
      <c r="Z371" s="10" t="n">
        <f aca="false">H371</f>
        <v>8</v>
      </c>
      <c r="AA371" s="10" t="n">
        <f aca="false">I371</f>
        <v>6</v>
      </c>
      <c r="AB371" s="10" t="n">
        <f aca="false">J371</f>
        <v>0.1</v>
      </c>
      <c r="AC371" s="9" t="s">
        <v>1619</v>
      </c>
      <c r="AD371" s="9" t="s">
        <v>1715</v>
      </c>
      <c r="AE371" s="9" t="str">
        <f aca="false">IF($AK371=0,"",INDEX('Part types'!$T:$T,$AK371)&amp;"")</f>
        <v>All vehicles</v>
      </c>
      <c r="AF371" s="9" t="str">
        <f aca="false">IF($AK371=0,"",INDEX('Part types'!$U:$U,$AK371)&amp;"")</f>
        <v/>
      </c>
      <c r="AG371" s="9" t="str">
        <f aca="false">IF($AK371=0,"",INDEX('Part types'!$V:$V,$AK371)&amp;"")</f>
        <v>Estimate: size class XS</v>
      </c>
      <c r="AH371" s="9" t="str">
        <f aca="false">IF($AK371=0,"",INDEX('Part types'!$W:$W,$AK371)&amp;"")</f>
        <v/>
      </c>
      <c r="AI371" s="11" t="str">
        <f aca="false">IF($AK371=0,"",INDEX('Part types'!$X:$X,$AK371)&amp;"")</f>
        <v/>
      </c>
      <c r="AJ371" s="9" t="str">
        <f aca="false">IF($AK371=0,"",INDEX('Part types'!$Y:$Y,$AK371)&amp;"")</f>
        <v/>
      </c>
      <c r="AK371" s="9" t="n">
        <f aca="false">IFERROR(MATCH($AD371,'Part types'!$E:$E,0),0)</f>
        <v>278</v>
      </c>
    </row>
    <row r="372" customFormat="false" ht="15" hidden="false" customHeight="false" outlineLevel="0" collapsed="false">
      <c r="A372" s="9" t="s">
        <v>1717</v>
      </c>
      <c r="B372" s="9" t="s">
        <v>1610</v>
      </c>
      <c r="C372" s="9" t="s">
        <v>1712</v>
      </c>
      <c r="D372" s="9" t="str">
        <f aca="false">C372&amp;" - "&amp;E372</f>
        <v>Bump Stop - Rear-Left</v>
      </c>
      <c r="E372" s="9" t="s">
        <v>1360</v>
      </c>
      <c r="F372" s="9" t="s">
        <v>1612</v>
      </c>
      <c r="G372" s="10" t="n">
        <f aca="false">IF($AK372=0,"",INDEX('Part types'!$P:$P,$AK372))</f>
        <v>10</v>
      </c>
      <c r="H372" s="10" t="n">
        <f aca="false">IF($AK372=0,"",INDEX('Part types'!$Q:$Q,$AK372))</f>
        <v>8</v>
      </c>
      <c r="I372" s="10" t="n">
        <f aca="false">IF($AK372=0,"",INDEX('Part types'!$R:$R,$AK372))</f>
        <v>6</v>
      </c>
      <c r="J372" s="10" t="n">
        <f aca="false">IF($AK372=0,"",INDEX('Part types'!$S:$S,$AK372))</f>
        <v>0.1</v>
      </c>
      <c r="K372" s="11" t="s">
        <v>1613</v>
      </c>
      <c r="L372" s="11" t="s">
        <v>1713</v>
      </c>
      <c r="M372" s="11" t="str">
        <f aca="false">L372&amp;" - "&amp;N372</f>
        <v>مطاط صدمات التعليق - خلفي يسار</v>
      </c>
      <c r="N372" s="11" t="s">
        <v>1361</v>
      </c>
      <c r="O372" s="11" t="s">
        <v>1615</v>
      </c>
      <c r="P372" s="10" t="n">
        <f aca="false">G372</f>
        <v>10</v>
      </c>
      <c r="Q372" s="10" t="n">
        <f aca="false">H372</f>
        <v>8</v>
      </c>
      <c r="R372" s="10" t="n">
        <f aca="false">I372</f>
        <v>6</v>
      </c>
      <c r="S372" s="10" t="n">
        <f aca="false">J372</f>
        <v>0.1</v>
      </c>
      <c r="T372" s="12" t="s">
        <v>1616</v>
      </c>
      <c r="U372" s="12" t="s">
        <v>1714</v>
      </c>
      <c r="V372" s="9" t="str">
        <f aca="false">U372&amp;" - "&amp;W372</f>
        <v>缓冲块 - 后左</v>
      </c>
      <c r="W372" s="12" t="s">
        <v>1362</v>
      </c>
      <c r="X372" s="12" t="s">
        <v>1618</v>
      </c>
      <c r="Y372" s="10" t="n">
        <f aca="false">G372</f>
        <v>10</v>
      </c>
      <c r="Z372" s="10" t="n">
        <f aca="false">H372</f>
        <v>8</v>
      </c>
      <c r="AA372" s="10" t="n">
        <f aca="false">I372</f>
        <v>6</v>
      </c>
      <c r="AB372" s="10" t="n">
        <f aca="false">J372</f>
        <v>0.1</v>
      </c>
      <c r="AC372" s="9" t="s">
        <v>1619</v>
      </c>
      <c r="AD372" s="9" t="s">
        <v>1715</v>
      </c>
      <c r="AE372" s="9" t="str">
        <f aca="false">IF($AK372=0,"",INDEX('Part types'!$T:$T,$AK372)&amp;"")</f>
        <v>All vehicles</v>
      </c>
      <c r="AF372" s="9" t="str">
        <f aca="false">IF($AK372=0,"",INDEX('Part types'!$U:$U,$AK372)&amp;"")</f>
        <v/>
      </c>
      <c r="AG372" s="9" t="str">
        <f aca="false">IF($AK372=0,"",INDEX('Part types'!$V:$V,$AK372)&amp;"")</f>
        <v>Estimate: size class XS</v>
      </c>
      <c r="AH372" s="9" t="str">
        <f aca="false">IF($AK372=0,"",INDEX('Part types'!$W:$W,$AK372)&amp;"")</f>
        <v/>
      </c>
      <c r="AI372" s="11" t="str">
        <f aca="false">IF($AK372=0,"",INDEX('Part types'!$X:$X,$AK372)&amp;"")</f>
        <v/>
      </c>
      <c r="AJ372" s="9" t="str">
        <f aca="false">IF($AK372=0,"",INDEX('Part types'!$Y:$Y,$AK372)&amp;"")</f>
        <v/>
      </c>
      <c r="AK372" s="9" t="n">
        <f aca="false">IFERROR(MATCH($AD372,'Part types'!$E:$E,0),0)</f>
        <v>278</v>
      </c>
    </row>
    <row r="373" customFormat="false" ht="15" hidden="false" customHeight="false" outlineLevel="0" collapsed="false">
      <c r="A373" s="9" t="s">
        <v>1718</v>
      </c>
      <c r="B373" s="9" t="s">
        <v>1610</v>
      </c>
      <c r="C373" s="9" t="s">
        <v>1712</v>
      </c>
      <c r="D373" s="9" t="str">
        <f aca="false">C373&amp;" - "&amp;E373</f>
        <v>Bump Stop - Rear-Right</v>
      </c>
      <c r="E373" s="9" t="s">
        <v>1364</v>
      </c>
      <c r="F373" s="9" t="s">
        <v>1612</v>
      </c>
      <c r="G373" s="10" t="n">
        <f aca="false">IF($AK373=0,"",INDEX('Part types'!$P:$P,$AK373))</f>
        <v>10</v>
      </c>
      <c r="H373" s="10" t="n">
        <f aca="false">IF($AK373=0,"",INDEX('Part types'!$Q:$Q,$AK373))</f>
        <v>8</v>
      </c>
      <c r="I373" s="10" t="n">
        <f aca="false">IF($AK373=0,"",INDEX('Part types'!$R:$R,$AK373))</f>
        <v>6</v>
      </c>
      <c r="J373" s="10" t="n">
        <f aca="false">IF($AK373=0,"",INDEX('Part types'!$S:$S,$AK373))</f>
        <v>0.1</v>
      </c>
      <c r="K373" s="11" t="s">
        <v>1613</v>
      </c>
      <c r="L373" s="11" t="s">
        <v>1713</v>
      </c>
      <c r="M373" s="11" t="str">
        <f aca="false">L373&amp;" - "&amp;N373</f>
        <v>مطاط صدمات التعليق - خلفي يمين</v>
      </c>
      <c r="N373" s="11" t="s">
        <v>1365</v>
      </c>
      <c r="O373" s="11" t="s">
        <v>1615</v>
      </c>
      <c r="P373" s="10" t="n">
        <f aca="false">G373</f>
        <v>10</v>
      </c>
      <c r="Q373" s="10" t="n">
        <f aca="false">H373</f>
        <v>8</v>
      </c>
      <c r="R373" s="10" t="n">
        <f aca="false">I373</f>
        <v>6</v>
      </c>
      <c r="S373" s="10" t="n">
        <f aca="false">J373</f>
        <v>0.1</v>
      </c>
      <c r="T373" s="12" t="s">
        <v>1616</v>
      </c>
      <c r="U373" s="12" t="s">
        <v>1714</v>
      </c>
      <c r="V373" s="9" t="str">
        <f aca="false">U373&amp;" - "&amp;W373</f>
        <v>缓冲块 - 后右</v>
      </c>
      <c r="W373" s="12" t="s">
        <v>1366</v>
      </c>
      <c r="X373" s="12" t="s">
        <v>1618</v>
      </c>
      <c r="Y373" s="10" t="n">
        <f aca="false">G373</f>
        <v>10</v>
      </c>
      <c r="Z373" s="10" t="n">
        <f aca="false">H373</f>
        <v>8</v>
      </c>
      <c r="AA373" s="10" t="n">
        <f aca="false">I373</f>
        <v>6</v>
      </c>
      <c r="AB373" s="10" t="n">
        <f aca="false">J373</f>
        <v>0.1</v>
      </c>
      <c r="AC373" s="9" t="s">
        <v>1619</v>
      </c>
      <c r="AD373" s="9" t="s">
        <v>1715</v>
      </c>
      <c r="AE373" s="9" t="str">
        <f aca="false">IF($AK373=0,"",INDEX('Part types'!$T:$T,$AK373)&amp;"")</f>
        <v>All vehicles</v>
      </c>
      <c r="AF373" s="9" t="str">
        <f aca="false">IF($AK373=0,"",INDEX('Part types'!$U:$U,$AK373)&amp;"")</f>
        <v/>
      </c>
      <c r="AG373" s="9" t="str">
        <f aca="false">IF($AK373=0,"",INDEX('Part types'!$V:$V,$AK373)&amp;"")</f>
        <v>Estimate: size class XS</v>
      </c>
      <c r="AH373" s="9" t="str">
        <f aca="false">IF($AK373=0,"",INDEX('Part types'!$W:$W,$AK373)&amp;"")</f>
        <v/>
      </c>
      <c r="AI373" s="11" t="str">
        <f aca="false">IF($AK373=0,"",INDEX('Part types'!$X:$X,$AK373)&amp;"")</f>
        <v/>
      </c>
      <c r="AJ373" s="9" t="str">
        <f aca="false">IF($AK373=0,"",INDEX('Part types'!$Y:$Y,$AK373)&amp;"")</f>
        <v/>
      </c>
      <c r="AK373" s="9" t="n">
        <f aca="false">IFERROR(MATCH($AD373,'Part types'!$E:$E,0),0)</f>
        <v>278</v>
      </c>
    </row>
    <row r="374" customFormat="false" ht="15" hidden="false" customHeight="false" outlineLevel="0" collapsed="false">
      <c r="A374" s="9" t="s">
        <v>1719</v>
      </c>
      <c r="B374" s="9" t="s">
        <v>1720</v>
      </c>
      <c r="C374" s="9" t="s">
        <v>1721</v>
      </c>
      <c r="D374" s="9" t="str">
        <f aca="false">C374&amp;" - "&amp;E374</f>
        <v>Lower Control Arm - Front-Left</v>
      </c>
      <c r="E374" s="9" t="s">
        <v>1346</v>
      </c>
      <c r="F374" s="9" t="s">
        <v>1612</v>
      </c>
      <c r="G374" s="10" t="n">
        <f aca="false">IF($AK374=0,"",INDEX('Part types'!$P:$P,$AK374))</f>
        <v>50</v>
      </c>
      <c r="H374" s="10" t="n">
        <f aca="false">IF($AK374=0,"",INDEX('Part types'!$Q:$Q,$AK374))</f>
        <v>25</v>
      </c>
      <c r="I374" s="10" t="n">
        <f aca="false">IF($AK374=0,"",INDEX('Part types'!$R:$R,$AK374))</f>
        <v>10</v>
      </c>
      <c r="J374" s="10" t="n">
        <f aca="false">IF($AK374=0,"",INDEX('Part types'!$S:$S,$AK374))</f>
        <v>4.5</v>
      </c>
      <c r="K374" s="11" t="s">
        <v>1722</v>
      </c>
      <c r="L374" s="11" t="s">
        <v>1723</v>
      </c>
      <c r="M374" s="11" t="str">
        <f aca="false">L374&amp;" - "&amp;N374</f>
        <v>ذراع التحكم السفلي - أمامي يسار</v>
      </c>
      <c r="N374" s="11" t="s">
        <v>1349</v>
      </c>
      <c r="O374" s="11" t="s">
        <v>1615</v>
      </c>
      <c r="P374" s="10" t="n">
        <f aca="false">G374</f>
        <v>50</v>
      </c>
      <c r="Q374" s="10" t="n">
        <f aca="false">H374</f>
        <v>25</v>
      </c>
      <c r="R374" s="10" t="n">
        <f aca="false">I374</f>
        <v>10</v>
      </c>
      <c r="S374" s="10" t="n">
        <f aca="false">J374</f>
        <v>4.5</v>
      </c>
      <c r="T374" s="12" t="s">
        <v>1724</v>
      </c>
      <c r="U374" s="12" t="s">
        <v>1725</v>
      </c>
      <c r="V374" s="9" t="str">
        <f aca="false">U374&amp;" - "&amp;W374</f>
        <v>下控制臂 - 前左</v>
      </c>
      <c r="W374" s="12" t="s">
        <v>1352</v>
      </c>
      <c r="X374" s="12" t="s">
        <v>1618</v>
      </c>
      <c r="Y374" s="10" t="n">
        <f aca="false">G374</f>
        <v>50</v>
      </c>
      <c r="Z374" s="10" t="n">
        <f aca="false">H374</f>
        <v>25</v>
      </c>
      <c r="AA374" s="10" t="n">
        <f aca="false">I374</f>
        <v>10</v>
      </c>
      <c r="AB374" s="10" t="n">
        <f aca="false">J374</f>
        <v>4.5</v>
      </c>
      <c r="AC374" s="9" t="s">
        <v>1726</v>
      </c>
      <c r="AD374" s="9" t="s">
        <v>1727</v>
      </c>
      <c r="AE374" s="9" t="str">
        <f aca="false">IF($AK374=0,"",INDEX('Part types'!$T:$T,$AK374)&amp;"")</f>
        <v>All vehicles</v>
      </c>
      <c r="AF374" s="9" t="str">
        <f aca="false">IF($AK374=0,"",INDEX('Part types'!$U:$U,$AK374)&amp;"")</f>
        <v/>
      </c>
      <c r="AG374" s="9" t="str">
        <f aca="false">IF($AK374=0,"",INDEX('Part types'!$V:$V,$AK374)&amp;"")</f>
        <v>Estimate: item-specific</v>
      </c>
      <c r="AH374" s="9" t="str">
        <f aca="false">IF($AK374=0,"",INDEX('Part types'!$W:$W,$AK374)&amp;"")</f>
        <v/>
      </c>
      <c r="AI374" s="11" t="str">
        <f aca="false">IF($AK374=0,"",INDEX('Part types'!$X:$X,$AK374)&amp;"")</f>
        <v/>
      </c>
      <c r="AJ374" s="9" t="str">
        <f aca="false">IF($AK374=0,"",INDEX('Part types'!$Y:$Y,$AK374)&amp;"")</f>
        <v/>
      </c>
      <c r="AK374" s="9" t="n">
        <f aca="false">IFERROR(MATCH($AD374,'Part types'!$E:$E,0),0)</f>
        <v>279</v>
      </c>
    </row>
    <row r="375" customFormat="false" ht="15" hidden="false" customHeight="false" outlineLevel="0" collapsed="false">
      <c r="A375" s="9" t="s">
        <v>1728</v>
      </c>
      <c r="B375" s="9" t="s">
        <v>1720</v>
      </c>
      <c r="C375" s="9" t="s">
        <v>1721</v>
      </c>
      <c r="D375" s="9" t="str">
        <f aca="false">C375&amp;" - "&amp;E375</f>
        <v>Lower Control Arm - Front-Right</v>
      </c>
      <c r="E375" s="9" t="s">
        <v>1356</v>
      </c>
      <c r="F375" s="9" t="s">
        <v>1612</v>
      </c>
      <c r="G375" s="10" t="n">
        <f aca="false">IF($AK375=0,"",INDEX('Part types'!$P:$P,$AK375))</f>
        <v>50</v>
      </c>
      <c r="H375" s="10" t="n">
        <f aca="false">IF($AK375=0,"",INDEX('Part types'!$Q:$Q,$AK375))</f>
        <v>25</v>
      </c>
      <c r="I375" s="10" t="n">
        <f aca="false">IF($AK375=0,"",INDEX('Part types'!$R:$R,$AK375))</f>
        <v>10</v>
      </c>
      <c r="J375" s="10" t="n">
        <f aca="false">IF($AK375=0,"",INDEX('Part types'!$S:$S,$AK375))</f>
        <v>4.5</v>
      </c>
      <c r="K375" s="11" t="s">
        <v>1722</v>
      </c>
      <c r="L375" s="11" t="s">
        <v>1723</v>
      </c>
      <c r="M375" s="11" t="str">
        <f aca="false">L375&amp;" - "&amp;N375</f>
        <v>ذراع التحكم السفلي - أمامي يمين</v>
      </c>
      <c r="N375" s="11" t="s">
        <v>1357</v>
      </c>
      <c r="O375" s="11" t="s">
        <v>1615</v>
      </c>
      <c r="P375" s="10" t="n">
        <f aca="false">G375</f>
        <v>50</v>
      </c>
      <c r="Q375" s="10" t="n">
        <f aca="false">H375</f>
        <v>25</v>
      </c>
      <c r="R375" s="10" t="n">
        <f aca="false">I375</f>
        <v>10</v>
      </c>
      <c r="S375" s="10" t="n">
        <f aca="false">J375</f>
        <v>4.5</v>
      </c>
      <c r="T375" s="12" t="s">
        <v>1724</v>
      </c>
      <c r="U375" s="12" t="s">
        <v>1725</v>
      </c>
      <c r="V375" s="9" t="str">
        <f aca="false">U375&amp;" - "&amp;W375</f>
        <v>下控制臂 - 前右</v>
      </c>
      <c r="W375" s="12" t="s">
        <v>1358</v>
      </c>
      <c r="X375" s="12" t="s">
        <v>1618</v>
      </c>
      <c r="Y375" s="10" t="n">
        <f aca="false">G375</f>
        <v>50</v>
      </c>
      <c r="Z375" s="10" t="n">
        <f aca="false">H375</f>
        <v>25</v>
      </c>
      <c r="AA375" s="10" t="n">
        <f aca="false">I375</f>
        <v>10</v>
      </c>
      <c r="AB375" s="10" t="n">
        <f aca="false">J375</f>
        <v>4.5</v>
      </c>
      <c r="AC375" s="9" t="s">
        <v>1726</v>
      </c>
      <c r="AD375" s="9" t="s">
        <v>1727</v>
      </c>
      <c r="AE375" s="9" t="str">
        <f aca="false">IF($AK375=0,"",INDEX('Part types'!$T:$T,$AK375)&amp;"")</f>
        <v>All vehicles</v>
      </c>
      <c r="AF375" s="9" t="str">
        <f aca="false">IF($AK375=0,"",INDEX('Part types'!$U:$U,$AK375)&amp;"")</f>
        <v/>
      </c>
      <c r="AG375" s="9" t="str">
        <f aca="false">IF($AK375=0,"",INDEX('Part types'!$V:$V,$AK375)&amp;"")</f>
        <v>Estimate: item-specific</v>
      </c>
      <c r="AH375" s="9" t="str">
        <f aca="false">IF($AK375=0,"",INDEX('Part types'!$W:$W,$AK375)&amp;"")</f>
        <v/>
      </c>
      <c r="AI375" s="11" t="str">
        <f aca="false">IF($AK375=0,"",INDEX('Part types'!$X:$X,$AK375)&amp;"")</f>
        <v/>
      </c>
      <c r="AJ375" s="9" t="str">
        <f aca="false">IF($AK375=0,"",INDEX('Part types'!$Y:$Y,$AK375)&amp;"")</f>
        <v/>
      </c>
      <c r="AK375" s="9" t="n">
        <f aca="false">IFERROR(MATCH($AD375,'Part types'!$E:$E,0),0)</f>
        <v>279</v>
      </c>
    </row>
    <row r="376" customFormat="false" ht="15" hidden="false" customHeight="false" outlineLevel="0" collapsed="false">
      <c r="A376" s="9" t="s">
        <v>1729</v>
      </c>
      <c r="B376" s="9" t="s">
        <v>1720</v>
      </c>
      <c r="C376" s="9" t="s">
        <v>1721</v>
      </c>
      <c r="D376" s="9" t="str">
        <f aca="false">C376&amp;" - "&amp;E376</f>
        <v>Lower Control Arm - Rear-Left</v>
      </c>
      <c r="E376" s="9" t="s">
        <v>1360</v>
      </c>
      <c r="F376" s="9" t="s">
        <v>1612</v>
      </c>
      <c r="G376" s="10" t="n">
        <f aca="false">IF($AK376=0,"",INDEX('Part types'!$P:$P,$AK376))</f>
        <v>50</v>
      </c>
      <c r="H376" s="10" t="n">
        <f aca="false">IF($AK376=0,"",INDEX('Part types'!$Q:$Q,$AK376))</f>
        <v>25</v>
      </c>
      <c r="I376" s="10" t="n">
        <f aca="false">IF($AK376=0,"",INDEX('Part types'!$R:$R,$AK376))</f>
        <v>10</v>
      </c>
      <c r="J376" s="10" t="n">
        <f aca="false">IF($AK376=0,"",INDEX('Part types'!$S:$S,$AK376))</f>
        <v>4.5</v>
      </c>
      <c r="K376" s="11" t="s">
        <v>1722</v>
      </c>
      <c r="L376" s="11" t="s">
        <v>1723</v>
      </c>
      <c r="M376" s="11" t="str">
        <f aca="false">L376&amp;" - "&amp;N376</f>
        <v>ذراع التحكم السفلي - خلفي يسار</v>
      </c>
      <c r="N376" s="11" t="s">
        <v>1361</v>
      </c>
      <c r="O376" s="11" t="s">
        <v>1615</v>
      </c>
      <c r="P376" s="10" t="n">
        <f aca="false">G376</f>
        <v>50</v>
      </c>
      <c r="Q376" s="10" t="n">
        <f aca="false">H376</f>
        <v>25</v>
      </c>
      <c r="R376" s="10" t="n">
        <f aca="false">I376</f>
        <v>10</v>
      </c>
      <c r="S376" s="10" t="n">
        <f aca="false">J376</f>
        <v>4.5</v>
      </c>
      <c r="T376" s="12" t="s">
        <v>1724</v>
      </c>
      <c r="U376" s="12" t="s">
        <v>1725</v>
      </c>
      <c r="V376" s="9" t="str">
        <f aca="false">U376&amp;" - "&amp;W376</f>
        <v>下控制臂 - 后左</v>
      </c>
      <c r="W376" s="12" t="s">
        <v>1362</v>
      </c>
      <c r="X376" s="12" t="s">
        <v>1618</v>
      </c>
      <c r="Y376" s="10" t="n">
        <f aca="false">G376</f>
        <v>50</v>
      </c>
      <c r="Z376" s="10" t="n">
        <f aca="false">H376</f>
        <v>25</v>
      </c>
      <c r="AA376" s="10" t="n">
        <f aca="false">I376</f>
        <v>10</v>
      </c>
      <c r="AB376" s="10" t="n">
        <f aca="false">J376</f>
        <v>4.5</v>
      </c>
      <c r="AC376" s="9" t="s">
        <v>1726</v>
      </c>
      <c r="AD376" s="9" t="s">
        <v>1727</v>
      </c>
      <c r="AE376" s="9" t="str">
        <f aca="false">IF($AK376=0,"",INDEX('Part types'!$T:$T,$AK376)&amp;"")</f>
        <v>All vehicles</v>
      </c>
      <c r="AF376" s="9" t="str">
        <f aca="false">IF($AK376=0,"",INDEX('Part types'!$U:$U,$AK376)&amp;"")</f>
        <v/>
      </c>
      <c r="AG376" s="9" t="str">
        <f aca="false">IF($AK376=0,"",INDEX('Part types'!$V:$V,$AK376)&amp;"")</f>
        <v>Estimate: item-specific</v>
      </c>
      <c r="AH376" s="9" t="str">
        <f aca="false">IF($AK376=0,"",INDEX('Part types'!$W:$W,$AK376)&amp;"")</f>
        <v/>
      </c>
      <c r="AI376" s="11" t="str">
        <f aca="false">IF($AK376=0,"",INDEX('Part types'!$X:$X,$AK376)&amp;"")</f>
        <v/>
      </c>
      <c r="AJ376" s="9" t="str">
        <f aca="false">IF($AK376=0,"",INDEX('Part types'!$Y:$Y,$AK376)&amp;"")</f>
        <v/>
      </c>
      <c r="AK376" s="9" t="n">
        <f aca="false">IFERROR(MATCH($AD376,'Part types'!$E:$E,0),0)</f>
        <v>279</v>
      </c>
    </row>
    <row r="377" customFormat="false" ht="15" hidden="false" customHeight="false" outlineLevel="0" collapsed="false">
      <c r="A377" s="9" t="s">
        <v>1730</v>
      </c>
      <c r="B377" s="9" t="s">
        <v>1720</v>
      </c>
      <c r="C377" s="9" t="s">
        <v>1721</v>
      </c>
      <c r="D377" s="9" t="str">
        <f aca="false">C377&amp;" - "&amp;E377</f>
        <v>Lower Control Arm - Rear-Right</v>
      </c>
      <c r="E377" s="9" t="s">
        <v>1364</v>
      </c>
      <c r="F377" s="9" t="s">
        <v>1612</v>
      </c>
      <c r="G377" s="10" t="n">
        <f aca="false">IF($AK377=0,"",INDEX('Part types'!$P:$P,$AK377))</f>
        <v>50</v>
      </c>
      <c r="H377" s="10" t="n">
        <f aca="false">IF($AK377=0,"",INDEX('Part types'!$Q:$Q,$AK377))</f>
        <v>25</v>
      </c>
      <c r="I377" s="10" t="n">
        <f aca="false">IF($AK377=0,"",INDEX('Part types'!$R:$R,$AK377))</f>
        <v>10</v>
      </c>
      <c r="J377" s="10" t="n">
        <f aca="false">IF($AK377=0,"",INDEX('Part types'!$S:$S,$AK377))</f>
        <v>4.5</v>
      </c>
      <c r="K377" s="11" t="s">
        <v>1722</v>
      </c>
      <c r="L377" s="11" t="s">
        <v>1723</v>
      </c>
      <c r="M377" s="11" t="str">
        <f aca="false">L377&amp;" - "&amp;N377</f>
        <v>ذراع التحكم السفلي - خلفي يمين</v>
      </c>
      <c r="N377" s="11" t="s">
        <v>1365</v>
      </c>
      <c r="O377" s="11" t="s">
        <v>1615</v>
      </c>
      <c r="P377" s="10" t="n">
        <f aca="false">G377</f>
        <v>50</v>
      </c>
      <c r="Q377" s="10" t="n">
        <f aca="false">H377</f>
        <v>25</v>
      </c>
      <c r="R377" s="10" t="n">
        <f aca="false">I377</f>
        <v>10</v>
      </c>
      <c r="S377" s="10" t="n">
        <f aca="false">J377</f>
        <v>4.5</v>
      </c>
      <c r="T377" s="12" t="s">
        <v>1724</v>
      </c>
      <c r="U377" s="12" t="s">
        <v>1725</v>
      </c>
      <c r="V377" s="9" t="str">
        <f aca="false">U377&amp;" - "&amp;W377</f>
        <v>下控制臂 - 后右</v>
      </c>
      <c r="W377" s="12" t="s">
        <v>1366</v>
      </c>
      <c r="X377" s="12" t="s">
        <v>1618</v>
      </c>
      <c r="Y377" s="10" t="n">
        <f aca="false">G377</f>
        <v>50</v>
      </c>
      <c r="Z377" s="10" t="n">
        <f aca="false">H377</f>
        <v>25</v>
      </c>
      <c r="AA377" s="10" t="n">
        <f aca="false">I377</f>
        <v>10</v>
      </c>
      <c r="AB377" s="10" t="n">
        <f aca="false">J377</f>
        <v>4.5</v>
      </c>
      <c r="AC377" s="9" t="s">
        <v>1726</v>
      </c>
      <c r="AD377" s="9" t="s">
        <v>1727</v>
      </c>
      <c r="AE377" s="9" t="str">
        <f aca="false">IF($AK377=0,"",INDEX('Part types'!$T:$T,$AK377)&amp;"")</f>
        <v>All vehicles</v>
      </c>
      <c r="AF377" s="9" t="str">
        <f aca="false">IF($AK377=0,"",INDEX('Part types'!$U:$U,$AK377)&amp;"")</f>
        <v/>
      </c>
      <c r="AG377" s="9" t="str">
        <f aca="false">IF($AK377=0,"",INDEX('Part types'!$V:$V,$AK377)&amp;"")</f>
        <v>Estimate: item-specific</v>
      </c>
      <c r="AH377" s="9" t="str">
        <f aca="false">IF($AK377=0,"",INDEX('Part types'!$W:$W,$AK377)&amp;"")</f>
        <v/>
      </c>
      <c r="AI377" s="11" t="str">
        <f aca="false">IF($AK377=0,"",INDEX('Part types'!$X:$X,$AK377)&amp;"")</f>
        <v/>
      </c>
      <c r="AJ377" s="9" t="str">
        <f aca="false">IF($AK377=0,"",INDEX('Part types'!$Y:$Y,$AK377)&amp;"")</f>
        <v/>
      </c>
      <c r="AK377" s="9" t="n">
        <f aca="false">IFERROR(MATCH($AD377,'Part types'!$E:$E,0),0)</f>
        <v>279</v>
      </c>
    </row>
    <row r="378" customFormat="false" ht="15" hidden="false" customHeight="false" outlineLevel="0" collapsed="false">
      <c r="A378" s="9" t="s">
        <v>1731</v>
      </c>
      <c r="B378" s="9" t="s">
        <v>1720</v>
      </c>
      <c r="C378" s="9" t="s">
        <v>1732</v>
      </c>
      <c r="D378" s="9" t="str">
        <f aca="false">C378&amp;" - "&amp;E378</f>
        <v>Upper Control Arm - Front-Left</v>
      </c>
      <c r="E378" s="9" t="s">
        <v>1346</v>
      </c>
      <c r="F378" s="9" t="s">
        <v>1612</v>
      </c>
      <c r="G378" s="10" t="n">
        <f aca="false">IF($AK378=0,"",INDEX('Part types'!$P:$P,$AK378))</f>
        <v>40</v>
      </c>
      <c r="H378" s="10" t="n">
        <f aca="false">IF($AK378=0,"",INDEX('Part types'!$Q:$Q,$AK378))</f>
        <v>20</v>
      </c>
      <c r="I378" s="10" t="n">
        <f aca="false">IF($AK378=0,"",INDEX('Part types'!$R:$R,$AK378))</f>
        <v>8</v>
      </c>
      <c r="J378" s="10" t="n">
        <f aca="false">IF($AK378=0,"",INDEX('Part types'!$S:$S,$AK378))</f>
        <v>3</v>
      </c>
      <c r="K378" s="11" t="s">
        <v>1722</v>
      </c>
      <c r="L378" s="11" t="s">
        <v>1733</v>
      </c>
      <c r="M378" s="11" t="str">
        <f aca="false">L378&amp;" - "&amp;N378</f>
        <v>ذراع التحكم العلوي - أمامي يسار</v>
      </c>
      <c r="N378" s="11" t="s">
        <v>1349</v>
      </c>
      <c r="O378" s="11" t="s">
        <v>1615</v>
      </c>
      <c r="P378" s="10" t="n">
        <f aca="false">G378</f>
        <v>40</v>
      </c>
      <c r="Q378" s="10" t="n">
        <f aca="false">H378</f>
        <v>20</v>
      </c>
      <c r="R378" s="10" t="n">
        <f aca="false">I378</f>
        <v>8</v>
      </c>
      <c r="S378" s="10" t="n">
        <f aca="false">J378</f>
        <v>3</v>
      </c>
      <c r="T378" s="12" t="s">
        <v>1724</v>
      </c>
      <c r="U378" s="12" t="s">
        <v>1734</v>
      </c>
      <c r="V378" s="9" t="str">
        <f aca="false">U378&amp;" - "&amp;W378</f>
        <v>上控制臂 - 前左</v>
      </c>
      <c r="W378" s="12" t="s">
        <v>1352</v>
      </c>
      <c r="X378" s="12" t="s">
        <v>1618</v>
      </c>
      <c r="Y378" s="10" t="n">
        <f aca="false">G378</f>
        <v>40</v>
      </c>
      <c r="Z378" s="10" t="n">
        <f aca="false">H378</f>
        <v>20</v>
      </c>
      <c r="AA378" s="10" t="n">
        <f aca="false">I378</f>
        <v>8</v>
      </c>
      <c r="AB378" s="10" t="n">
        <f aca="false">J378</f>
        <v>3</v>
      </c>
      <c r="AC378" s="9" t="s">
        <v>1726</v>
      </c>
      <c r="AD378" s="9" t="s">
        <v>1735</v>
      </c>
      <c r="AE378" s="9" t="str">
        <f aca="false">IF($AK378=0,"",INDEX('Part types'!$T:$T,$AK378)&amp;"")</f>
        <v>All vehicles</v>
      </c>
      <c r="AF378" s="9" t="str">
        <f aca="false">IF($AK378=0,"",INDEX('Part types'!$U:$U,$AK378)&amp;"")</f>
        <v/>
      </c>
      <c r="AG378" s="9" t="str">
        <f aca="false">IF($AK378=0,"",INDEX('Part types'!$V:$V,$AK378)&amp;"")</f>
        <v>Estimate: item-specific</v>
      </c>
      <c r="AH378" s="9" t="str">
        <f aca="false">IF($AK378=0,"",INDEX('Part types'!$W:$W,$AK378)&amp;"")</f>
        <v/>
      </c>
      <c r="AI378" s="11" t="str">
        <f aca="false">IF($AK378=0,"",INDEX('Part types'!$X:$X,$AK378)&amp;"")</f>
        <v/>
      </c>
      <c r="AJ378" s="9" t="str">
        <f aca="false">IF($AK378=0,"",INDEX('Part types'!$Y:$Y,$AK378)&amp;"")</f>
        <v/>
      </c>
      <c r="AK378" s="9" t="n">
        <f aca="false">IFERROR(MATCH($AD378,'Part types'!$E:$E,0),0)</f>
        <v>280</v>
      </c>
    </row>
    <row r="379" customFormat="false" ht="15" hidden="false" customHeight="false" outlineLevel="0" collapsed="false">
      <c r="A379" s="9" t="s">
        <v>1736</v>
      </c>
      <c r="B379" s="9" t="s">
        <v>1720</v>
      </c>
      <c r="C379" s="9" t="s">
        <v>1732</v>
      </c>
      <c r="D379" s="9" t="str">
        <f aca="false">C379&amp;" - "&amp;E379</f>
        <v>Upper Control Arm - Front-Right</v>
      </c>
      <c r="E379" s="9" t="s">
        <v>1356</v>
      </c>
      <c r="F379" s="9" t="s">
        <v>1612</v>
      </c>
      <c r="G379" s="10" t="n">
        <f aca="false">IF($AK379=0,"",INDEX('Part types'!$P:$P,$AK379))</f>
        <v>40</v>
      </c>
      <c r="H379" s="10" t="n">
        <f aca="false">IF($AK379=0,"",INDEX('Part types'!$Q:$Q,$AK379))</f>
        <v>20</v>
      </c>
      <c r="I379" s="10" t="n">
        <f aca="false">IF($AK379=0,"",INDEX('Part types'!$R:$R,$AK379))</f>
        <v>8</v>
      </c>
      <c r="J379" s="10" t="n">
        <f aca="false">IF($AK379=0,"",INDEX('Part types'!$S:$S,$AK379))</f>
        <v>3</v>
      </c>
      <c r="K379" s="11" t="s">
        <v>1722</v>
      </c>
      <c r="L379" s="11" t="s">
        <v>1733</v>
      </c>
      <c r="M379" s="11" t="str">
        <f aca="false">L379&amp;" - "&amp;N379</f>
        <v>ذراع التحكم العلوي - أمامي يمين</v>
      </c>
      <c r="N379" s="11" t="s">
        <v>1357</v>
      </c>
      <c r="O379" s="11" t="s">
        <v>1615</v>
      </c>
      <c r="P379" s="10" t="n">
        <f aca="false">G379</f>
        <v>40</v>
      </c>
      <c r="Q379" s="10" t="n">
        <f aca="false">H379</f>
        <v>20</v>
      </c>
      <c r="R379" s="10" t="n">
        <f aca="false">I379</f>
        <v>8</v>
      </c>
      <c r="S379" s="10" t="n">
        <f aca="false">J379</f>
        <v>3</v>
      </c>
      <c r="T379" s="12" t="s">
        <v>1724</v>
      </c>
      <c r="U379" s="12" t="s">
        <v>1734</v>
      </c>
      <c r="V379" s="9" t="str">
        <f aca="false">U379&amp;" - "&amp;W379</f>
        <v>上控制臂 - 前右</v>
      </c>
      <c r="W379" s="12" t="s">
        <v>1358</v>
      </c>
      <c r="X379" s="12" t="s">
        <v>1618</v>
      </c>
      <c r="Y379" s="10" t="n">
        <f aca="false">G379</f>
        <v>40</v>
      </c>
      <c r="Z379" s="10" t="n">
        <f aca="false">H379</f>
        <v>20</v>
      </c>
      <c r="AA379" s="10" t="n">
        <f aca="false">I379</f>
        <v>8</v>
      </c>
      <c r="AB379" s="10" t="n">
        <f aca="false">J379</f>
        <v>3</v>
      </c>
      <c r="AC379" s="9" t="s">
        <v>1726</v>
      </c>
      <c r="AD379" s="9" t="s">
        <v>1735</v>
      </c>
      <c r="AE379" s="9" t="str">
        <f aca="false">IF($AK379=0,"",INDEX('Part types'!$T:$T,$AK379)&amp;"")</f>
        <v>All vehicles</v>
      </c>
      <c r="AF379" s="9" t="str">
        <f aca="false">IF($AK379=0,"",INDEX('Part types'!$U:$U,$AK379)&amp;"")</f>
        <v/>
      </c>
      <c r="AG379" s="9" t="str">
        <f aca="false">IF($AK379=0,"",INDEX('Part types'!$V:$V,$AK379)&amp;"")</f>
        <v>Estimate: item-specific</v>
      </c>
      <c r="AH379" s="9" t="str">
        <f aca="false">IF($AK379=0,"",INDEX('Part types'!$W:$W,$AK379)&amp;"")</f>
        <v/>
      </c>
      <c r="AI379" s="11" t="str">
        <f aca="false">IF($AK379=0,"",INDEX('Part types'!$X:$X,$AK379)&amp;"")</f>
        <v/>
      </c>
      <c r="AJ379" s="9" t="str">
        <f aca="false">IF($AK379=0,"",INDEX('Part types'!$Y:$Y,$AK379)&amp;"")</f>
        <v/>
      </c>
      <c r="AK379" s="9" t="n">
        <f aca="false">IFERROR(MATCH($AD379,'Part types'!$E:$E,0),0)</f>
        <v>280</v>
      </c>
    </row>
    <row r="380" customFormat="false" ht="15" hidden="false" customHeight="false" outlineLevel="0" collapsed="false">
      <c r="A380" s="9" t="s">
        <v>1737</v>
      </c>
      <c r="B380" s="9" t="s">
        <v>1720</v>
      </c>
      <c r="C380" s="9" t="s">
        <v>1732</v>
      </c>
      <c r="D380" s="9" t="str">
        <f aca="false">C380&amp;" - "&amp;E380</f>
        <v>Upper Control Arm - Rear-Left</v>
      </c>
      <c r="E380" s="9" t="s">
        <v>1360</v>
      </c>
      <c r="F380" s="9" t="s">
        <v>1612</v>
      </c>
      <c r="G380" s="10" t="n">
        <f aca="false">IF($AK380=0,"",INDEX('Part types'!$P:$P,$AK380))</f>
        <v>40</v>
      </c>
      <c r="H380" s="10" t="n">
        <f aca="false">IF($AK380=0,"",INDEX('Part types'!$Q:$Q,$AK380))</f>
        <v>20</v>
      </c>
      <c r="I380" s="10" t="n">
        <f aca="false">IF($AK380=0,"",INDEX('Part types'!$R:$R,$AK380))</f>
        <v>8</v>
      </c>
      <c r="J380" s="10" t="n">
        <f aca="false">IF($AK380=0,"",INDEX('Part types'!$S:$S,$AK380))</f>
        <v>3</v>
      </c>
      <c r="K380" s="11" t="s">
        <v>1722</v>
      </c>
      <c r="L380" s="11" t="s">
        <v>1733</v>
      </c>
      <c r="M380" s="11" t="str">
        <f aca="false">L380&amp;" - "&amp;N380</f>
        <v>ذراع التحكم العلوي - خلفي يسار</v>
      </c>
      <c r="N380" s="11" t="s">
        <v>1361</v>
      </c>
      <c r="O380" s="11" t="s">
        <v>1615</v>
      </c>
      <c r="P380" s="10" t="n">
        <f aca="false">G380</f>
        <v>40</v>
      </c>
      <c r="Q380" s="10" t="n">
        <f aca="false">H380</f>
        <v>20</v>
      </c>
      <c r="R380" s="10" t="n">
        <f aca="false">I380</f>
        <v>8</v>
      </c>
      <c r="S380" s="10" t="n">
        <f aca="false">J380</f>
        <v>3</v>
      </c>
      <c r="T380" s="12" t="s">
        <v>1724</v>
      </c>
      <c r="U380" s="12" t="s">
        <v>1734</v>
      </c>
      <c r="V380" s="9" t="str">
        <f aca="false">U380&amp;" - "&amp;W380</f>
        <v>上控制臂 - 后左</v>
      </c>
      <c r="W380" s="12" t="s">
        <v>1362</v>
      </c>
      <c r="X380" s="12" t="s">
        <v>1618</v>
      </c>
      <c r="Y380" s="10" t="n">
        <f aca="false">G380</f>
        <v>40</v>
      </c>
      <c r="Z380" s="10" t="n">
        <f aca="false">H380</f>
        <v>20</v>
      </c>
      <c r="AA380" s="10" t="n">
        <f aca="false">I380</f>
        <v>8</v>
      </c>
      <c r="AB380" s="10" t="n">
        <f aca="false">J380</f>
        <v>3</v>
      </c>
      <c r="AC380" s="9" t="s">
        <v>1726</v>
      </c>
      <c r="AD380" s="9" t="s">
        <v>1735</v>
      </c>
      <c r="AE380" s="9" t="str">
        <f aca="false">IF($AK380=0,"",INDEX('Part types'!$T:$T,$AK380)&amp;"")</f>
        <v>All vehicles</v>
      </c>
      <c r="AF380" s="9" t="str">
        <f aca="false">IF($AK380=0,"",INDEX('Part types'!$U:$U,$AK380)&amp;"")</f>
        <v/>
      </c>
      <c r="AG380" s="9" t="str">
        <f aca="false">IF($AK380=0,"",INDEX('Part types'!$V:$V,$AK380)&amp;"")</f>
        <v>Estimate: item-specific</v>
      </c>
      <c r="AH380" s="9" t="str">
        <f aca="false">IF($AK380=0,"",INDEX('Part types'!$W:$W,$AK380)&amp;"")</f>
        <v/>
      </c>
      <c r="AI380" s="11" t="str">
        <f aca="false">IF($AK380=0,"",INDEX('Part types'!$X:$X,$AK380)&amp;"")</f>
        <v/>
      </c>
      <c r="AJ380" s="9" t="str">
        <f aca="false">IF($AK380=0,"",INDEX('Part types'!$Y:$Y,$AK380)&amp;"")</f>
        <v/>
      </c>
      <c r="AK380" s="9" t="n">
        <f aca="false">IFERROR(MATCH($AD380,'Part types'!$E:$E,0),0)</f>
        <v>280</v>
      </c>
    </row>
    <row r="381" customFormat="false" ht="15" hidden="false" customHeight="false" outlineLevel="0" collapsed="false">
      <c r="A381" s="9" t="s">
        <v>1738</v>
      </c>
      <c r="B381" s="9" t="s">
        <v>1720</v>
      </c>
      <c r="C381" s="9" t="s">
        <v>1732</v>
      </c>
      <c r="D381" s="9" t="str">
        <f aca="false">C381&amp;" - "&amp;E381</f>
        <v>Upper Control Arm - Rear-Right</v>
      </c>
      <c r="E381" s="9" t="s">
        <v>1364</v>
      </c>
      <c r="F381" s="9" t="s">
        <v>1612</v>
      </c>
      <c r="G381" s="10" t="n">
        <f aca="false">IF($AK381=0,"",INDEX('Part types'!$P:$P,$AK381))</f>
        <v>40</v>
      </c>
      <c r="H381" s="10" t="n">
        <f aca="false">IF($AK381=0,"",INDEX('Part types'!$Q:$Q,$AK381))</f>
        <v>20</v>
      </c>
      <c r="I381" s="10" t="n">
        <f aca="false">IF($AK381=0,"",INDEX('Part types'!$R:$R,$AK381))</f>
        <v>8</v>
      </c>
      <c r="J381" s="10" t="n">
        <f aca="false">IF($AK381=0,"",INDEX('Part types'!$S:$S,$AK381))</f>
        <v>3</v>
      </c>
      <c r="K381" s="11" t="s">
        <v>1722</v>
      </c>
      <c r="L381" s="11" t="s">
        <v>1733</v>
      </c>
      <c r="M381" s="11" t="str">
        <f aca="false">L381&amp;" - "&amp;N381</f>
        <v>ذراع التحكم العلوي - خلفي يمين</v>
      </c>
      <c r="N381" s="11" t="s">
        <v>1365</v>
      </c>
      <c r="O381" s="11" t="s">
        <v>1615</v>
      </c>
      <c r="P381" s="10" t="n">
        <f aca="false">G381</f>
        <v>40</v>
      </c>
      <c r="Q381" s="10" t="n">
        <f aca="false">H381</f>
        <v>20</v>
      </c>
      <c r="R381" s="10" t="n">
        <f aca="false">I381</f>
        <v>8</v>
      </c>
      <c r="S381" s="10" t="n">
        <f aca="false">J381</f>
        <v>3</v>
      </c>
      <c r="T381" s="12" t="s">
        <v>1724</v>
      </c>
      <c r="U381" s="12" t="s">
        <v>1734</v>
      </c>
      <c r="V381" s="9" t="str">
        <f aca="false">U381&amp;" - "&amp;W381</f>
        <v>上控制臂 - 后右</v>
      </c>
      <c r="W381" s="12" t="s">
        <v>1366</v>
      </c>
      <c r="X381" s="12" t="s">
        <v>1618</v>
      </c>
      <c r="Y381" s="10" t="n">
        <f aca="false">G381</f>
        <v>40</v>
      </c>
      <c r="Z381" s="10" t="n">
        <f aca="false">H381</f>
        <v>20</v>
      </c>
      <c r="AA381" s="10" t="n">
        <f aca="false">I381</f>
        <v>8</v>
      </c>
      <c r="AB381" s="10" t="n">
        <f aca="false">J381</f>
        <v>3</v>
      </c>
      <c r="AC381" s="9" t="s">
        <v>1726</v>
      </c>
      <c r="AD381" s="9" t="s">
        <v>1735</v>
      </c>
      <c r="AE381" s="9" t="str">
        <f aca="false">IF($AK381=0,"",INDEX('Part types'!$T:$T,$AK381)&amp;"")</f>
        <v>All vehicles</v>
      </c>
      <c r="AF381" s="9" t="str">
        <f aca="false">IF($AK381=0,"",INDEX('Part types'!$U:$U,$AK381)&amp;"")</f>
        <v/>
      </c>
      <c r="AG381" s="9" t="str">
        <f aca="false">IF($AK381=0,"",INDEX('Part types'!$V:$V,$AK381)&amp;"")</f>
        <v>Estimate: item-specific</v>
      </c>
      <c r="AH381" s="9" t="str">
        <f aca="false">IF($AK381=0,"",INDEX('Part types'!$W:$W,$AK381)&amp;"")</f>
        <v/>
      </c>
      <c r="AI381" s="11" t="str">
        <f aca="false">IF($AK381=0,"",INDEX('Part types'!$X:$X,$AK381)&amp;"")</f>
        <v/>
      </c>
      <c r="AJ381" s="9" t="str">
        <f aca="false">IF($AK381=0,"",INDEX('Part types'!$Y:$Y,$AK381)&amp;"")</f>
        <v/>
      </c>
      <c r="AK381" s="9" t="n">
        <f aca="false">IFERROR(MATCH($AD381,'Part types'!$E:$E,0),0)</f>
        <v>280</v>
      </c>
    </row>
    <row r="382" customFormat="false" ht="15" hidden="false" customHeight="false" outlineLevel="0" collapsed="false">
      <c r="A382" s="9" t="s">
        <v>1739</v>
      </c>
      <c r="B382" s="9" t="s">
        <v>1720</v>
      </c>
      <c r="C382" s="9" t="s">
        <v>1740</v>
      </c>
      <c r="D382" s="9" t="str">
        <f aca="false">C382&amp;" - "&amp;E382</f>
        <v>Trailing Arm - Rear-Left</v>
      </c>
      <c r="E382" s="9" t="s">
        <v>1360</v>
      </c>
      <c r="F382" s="9" t="s">
        <v>1642</v>
      </c>
      <c r="G382" s="10" t="n">
        <f aca="false">IF($AK382=0,"",INDEX('Part types'!$P:$P,$AK382))</f>
        <v>60</v>
      </c>
      <c r="H382" s="10" t="n">
        <f aca="false">IF($AK382=0,"",INDEX('Part types'!$Q:$Q,$AK382))</f>
        <v>15</v>
      </c>
      <c r="I382" s="10" t="n">
        <f aca="false">IF($AK382=0,"",INDEX('Part types'!$R:$R,$AK382))</f>
        <v>12</v>
      </c>
      <c r="J382" s="10" t="n">
        <f aca="false">IF($AK382=0,"",INDEX('Part types'!$S:$S,$AK382))</f>
        <v>5</v>
      </c>
      <c r="K382" s="11" t="s">
        <v>1722</v>
      </c>
      <c r="L382" s="11" t="s">
        <v>1741</v>
      </c>
      <c r="M382" s="11" t="str">
        <f aca="false">L382&amp;" - "&amp;N382</f>
        <v>ذراع خلفي طولي - خلفي يسار</v>
      </c>
      <c r="N382" s="11" t="s">
        <v>1361</v>
      </c>
      <c r="O382" s="11" t="s">
        <v>1644</v>
      </c>
      <c r="P382" s="10" t="n">
        <f aca="false">G382</f>
        <v>60</v>
      </c>
      <c r="Q382" s="10" t="n">
        <f aca="false">H382</f>
        <v>15</v>
      </c>
      <c r="R382" s="10" t="n">
        <f aca="false">I382</f>
        <v>12</v>
      </c>
      <c r="S382" s="10" t="n">
        <f aca="false">J382</f>
        <v>5</v>
      </c>
      <c r="T382" s="12" t="s">
        <v>1724</v>
      </c>
      <c r="U382" s="12" t="s">
        <v>1742</v>
      </c>
      <c r="V382" s="9" t="str">
        <f aca="false">U382&amp;" - "&amp;W382</f>
        <v>纵臂 - 后左</v>
      </c>
      <c r="W382" s="12" t="s">
        <v>1362</v>
      </c>
      <c r="X382" s="12" t="s">
        <v>1646</v>
      </c>
      <c r="Y382" s="10" t="n">
        <f aca="false">G382</f>
        <v>60</v>
      </c>
      <c r="Z382" s="10" t="n">
        <f aca="false">H382</f>
        <v>15</v>
      </c>
      <c r="AA382" s="10" t="n">
        <f aca="false">I382</f>
        <v>12</v>
      </c>
      <c r="AB382" s="10" t="n">
        <f aca="false">J382</f>
        <v>5</v>
      </c>
      <c r="AC382" s="9" t="s">
        <v>1726</v>
      </c>
      <c r="AD382" s="9" t="s">
        <v>1743</v>
      </c>
      <c r="AE382" s="9" t="str">
        <f aca="false">IF($AK382=0,"",INDEX('Part types'!$T:$T,$AK382)&amp;"")</f>
        <v>All vehicles</v>
      </c>
      <c r="AF382" s="9" t="str">
        <f aca="false">IF($AK382=0,"",INDEX('Part types'!$U:$U,$AK382)&amp;"")</f>
        <v/>
      </c>
      <c r="AG382" s="9" t="str">
        <f aca="false">IF($AK382=0,"",INDEX('Part types'!$V:$V,$AK382)&amp;"")</f>
        <v>Estimate: item-specific</v>
      </c>
      <c r="AH382" s="9" t="str">
        <f aca="false">IF($AK382=0,"",INDEX('Part types'!$W:$W,$AK382)&amp;"")</f>
        <v/>
      </c>
      <c r="AI382" s="11" t="str">
        <f aca="false">IF($AK382=0,"",INDEX('Part types'!$X:$X,$AK382)&amp;"")</f>
        <v/>
      </c>
      <c r="AJ382" s="9" t="str">
        <f aca="false">IF($AK382=0,"",INDEX('Part types'!$Y:$Y,$AK382)&amp;"")</f>
        <v/>
      </c>
      <c r="AK382" s="9" t="n">
        <f aca="false">IFERROR(MATCH($AD382,'Part types'!$E:$E,0),0)</f>
        <v>281</v>
      </c>
    </row>
    <row r="383" customFormat="false" ht="15" hidden="false" customHeight="false" outlineLevel="0" collapsed="false">
      <c r="A383" s="9" t="s">
        <v>1744</v>
      </c>
      <c r="B383" s="9" t="s">
        <v>1720</v>
      </c>
      <c r="C383" s="9" t="s">
        <v>1740</v>
      </c>
      <c r="D383" s="9" t="str">
        <f aca="false">C383&amp;" - "&amp;E383</f>
        <v>Trailing Arm - Rear-Right</v>
      </c>
      <c r="E383" s="9" t="s">
        <v>1364</v>
      </c>
      <c r="F383" s="9" t="s">
        <v>1642</v>
      </c>
      <c r="G383" s="10" t="n">
        <f aca="false">IF($AK383=0,"",INDEX('Part types'!$P:$P,$AK383))</f>
        <v>60</v>
      </c>
      <c r="H383" s="10" t="n">
        <f aca="false">IF($AK383=0,"",INDEX('Part types'!$Q:$Q,$AK383))</f>
        <v>15</v>
      </c>
      <c r="I383" s="10" t="n">
        <f aca="false">IF($AK383=0,"",INDEX('Part types'!$R:$R,$AK383))</f>
        <v>12</v>
      </c>
      <c r="J383" s="10" t="n">
        <f aca="false">IF($AK383=0,"",INDEX('Part types'!$S:$S,$AK383))</f>
        <v>5</v>
      </c>
      <c r="K383" s="11" t="s">
        <v>1722</v>
      </c>
      <c r="L383" s="11" t="s">
        <v>1741</v>
      </c>
      <c r="M383" s="11" t="str">
        <f aca="false">L383&amp;" - "&amp;N383</f>
        <v>ذراع خلفي طولي - خلفي يمين</v>
      </c>
      <c r="N383" s="11" t="s">
        <v>1365</v>
      </c>
      <c r="O383" s="11" t="s">
        <v>1644</v>
      </c>
      <c r="P383" s="10" t="n">
        <f aca="false">G383</f>
        <v>60</v>
      </c>
      <c r="Q383" s="10" t="n">
        <f aca="false">H383</f>
        <v>15</v>
      </c>
      <c r="R383" s="10" t="n">
        <f aca="false">I383</f>
        <v>12</v>
      </c>
      <c r="S383" s="10" t="n">
        <f aca="false">J383</f>
        <v>5</v>
      </c>
      <c r="T383" s="12" t="s">
        <v>1724</v>
      </c>
      <c r="U383" s="12" t="s">
        <v>1742</v>
      </c>
      <c r="V383" s="9" t="str">
        <f aca="false">U383&amp;" - "&amp;W383</f>
        <v>纵臂 - 后右</v>
      </c>
      <c r="W383" s="12" t="s">
        <v>1366</v>
      </c>
      <c r="X383" s="12" t="s">
        <v>1646</v>
      </c>
      <c r="Y383" s="10" t="n">
        <f aca="false">G383</f>
        <v>60</v>
      </c>
      <c r="Z383" s="10" t="n">
        <f aca="false">H383</f>
        <v>15</v>
      </c>
      <c r="AA383" s="10" t="n">
        <f aca="false">I383</f>
        <v>12</v>
      </c>
      <c r="AB383" s="10" t="n">
        <f aca="false">J383</f>
        <v>5</v>
      </c>
      <c r="AC383" s="9" t="s">
        <v>1726</v>
      </c>
      <c r="AD383" s="9" t="s">
        <v>1743</v>
      </c>
      <c r="AE383" s="9" t="str">
        <f aca="false">IF($AK383=0,"",INDEX('Part types'!$T:$T,$AK383)&amp;"")</f>
        <v>All vehicles</v>
      </c>
      <c r="AF383" s="9" t="str">
        <f aca="false">IF($AK383=0,"",INDEX('Part types'!$U:$U,$AK383)&amp;"")</f>
        <v/>
      </c>
      <c r="AG383" s="9" t="str">
        <f aca="false">IF($AK383=0,"",INDEX('Part types'!$V:$V,$AK383)&amp;"")</f>
        <v>Estimate: item-specific</v>
      </c>
      <c r="AH383" s="9" t="str">
        <f aca="false">IF($AK383=0,"",INDEX('Part types'!$W:$W,$AK383)&amp;"")</f>
        <v/>
      </c>
      <c r="AI383" s="11" t="str">
        <f aca="false">IF($AK383=0,"",INDEX('Part types'!$X:$X,$AK383)&amp;"")</f>
        <v/>
      </c>
      <c r="AJ383" s="9" t="str">
        <f aca="false">IF($AK383=0,"",INDEX('Part types'!$Y:$Y,$AK383)&amp;"")</f>
        <v/>
      </c>
      <c r="AK383" s="9" t="n">
        <f aca="false">IFERROR(MATCH($AD383,'Part types'!$E:$E,0),0)</f>
        <v>281</v>
      </c>
    </row>
    <row r="384" customFormat="false" ht="15" hidden="false" customHeight="false" outlineLevel="0" collapsed="false">
      <c r="A384" s="9" t="s">
        <v>1745</v>
      </c>
      <c r="B384" s="9" t="s">
        <v>1720</v>
      </c>
      <c r="C384" s="9" t="s">
        <v>1746</v>
      </c>
      <c r="D384" s="9" t="str">
        <f aca="false">C384&amp;" - "&amp;E384</f>
        <v>Lateral Arm - Rear-Left</v>
      </c>
      <c r="E384" s="9" t="s">
        <v>1360</v>
      </c>
      <c r="F384" s="9" t="s">
        <v>1642</v>
      </c>
      <c r="G384" s="10" t="n">
        <f aca="false">IF($AK384=0,"",INDEX('Part types'!$P:$P,$AK384))</f>
        <v>45</v>
      </c>
      <c r="H384" s="10" t="n">
        <f aca="false">IF($AK384=0,"",INDEX('Part types'!$Q:$Q,$AK384))</f>
        <v>10</v>
      </c>
      <c r="I384" s="10" t="n">
        <f aca="false">IF($AK384=0,"",INDEX('Part types'!$R:$R,$AK384))</f>
        <v>8</v>
      </c>
      <c r="J384" s="10" t="n">
        <f aca="false">IF($AK384=0,"",INDEX('Part types'!$S:$S,$AK384))</f>
        <v>2.5</v>
      </c>
      <c r="K384" s="11" t="s">
        <v>1722</v>
      </c>
      <c r="L384" s="11" t="s">
        <v>1747</v>
      </c>
      <c r="M384" s="11" t="str">
        <f aca="false">L384&amp;" - "&amp;N384</f>
        <v>ذراع الانحراف الجانبي - خلفي يسار</v>
      </c>
      <c r="N384" s="11" t="s">
        <v>1361</v>
      </c>
      <c r="O384" s="11" t="s">
        <v>1644</v>
      </c>
      <c r="P384" s="10" t="n">
        <f aca="false">G384</f>
        <v>45</v>
      </c>
      <c r="Q384" s="10" t="n">
        <f aca="false">H384</f>
        <v>10</v>
      </c>
      <c r="R384" s="10" t="n">
        <f aca="false">I384</f>
        <v>8</v>
      </c>
      <c r="S384" s="10" t="n">
        <f aca="false">J384</f>
        <v>2.5</v>
      </c>
      <c r="T384" s="12" t="s">
        <v>1724</v>
      </c>
      <c r="U384" s="12" t="s">
        <v>1748</v>
      </c>
      <c r="V384" s="9" t="str">
        <f aca="false">U384&amp;" - "&amp;W384</f>
        <v>横拉臂 - 后左</v>
      </c>
      <c r="W384" s="12" t="s">
        <v>1362</v>
      </c>
      <c r="X384" s="12" t="s">
        <v>1646</v>
      </c>
      <c r="Y384" s="10" t="n">
        <f aca="false">G384</f>
        <v>45</v>
      </c>
      <c r="Z384" s="10" t="n">
        <f aca="false">H384</f>
        <v>10</v>
      </c>
      <c r="AA384" s="10" t="n">
        <f aca="false">I384</f>
        <v>8</v>
      </c>
      <c r="AB384" s="10" t="n">
        <f aca="false">J384</f>
        <v>2.5</v>
      </c>
      <c r="AC384" s="9" t="s">
        <v>1726</v>
      </c>
      <c r="AD384" s="9" t="s">
        <v>1749</v>
      </c>
      <c r="AE384" s="9" t="str">
        <f aca="false">IF($AK384=0,"",INDEX('Part types'!$T:$T,$AK384)&amp;"")</f>
        <v>All vehicles</v>
      </c>
      <c r="AF384" s="9" t="str">
        <f aca="false">IF($AK384=0,"",INDEX('Part types'!$U:$U,$AK384)&amp;"")</f>
        <v/>
      </c>
      <c r="AG384" s="9" t="str">
        <f aca="false">IF($AK384=0,"",INDEX('Part types'!$V:$V,$AK384)&amp;"")</f>
        <v>Estimate: item-specific</v>
      </c>
      <c r="AH384" s="9" t="str">
        <f aca="false">IF($AK384=0,"",INDEX('Part types'!$W:$W,$AK384)&amp;"")</f>
        <v>Toe</v>
      </c>
      <c r="AI384" s="11" t="str">
        <f aca="false">IF($AK384=0,"",INDEX('Part types'!$X:$X,$AK384)&amp;"")</f>
        <v/>
      </c>
      <c r="AJ384" s="9" t="str">
        <f aca="false">IF($AK384=0,"",INDEX('Part types'!$Y:$Y,$AK384)&amp;"")</f>
        <v>束臂</v>
      </c>
      <c r="AK384" s="9" t="n">
        <f aca="false">IFERROR(MATCH($AD384,'Part types'!$E:$E,0),0)</f>
        <v>282</v>
      </c>
    </row>
    <row r="385" customFormat="false" ht="15" hidden="false" customHeight="false" outlineLevel="0" collapsed="false">
      <c r="A385" s="9" t="s">
        <v>1750</v>
      </c>
      <c r="B385" s="9" t="s">
        <v>1720</v>
      </c>
      <c r="C385" s="9" t="s">
        <v>1746</v>
      </c>
      <c r="D385" s="9" t="str">
        <f aca="false">C385&amp;" - "&amp;E385</f>
        <v>Lateral Arm - Rear-Right</v>
      </c>
      <c r="E385" s="9" t="s">
        <v>1364</v>
      </c>
      <c r="F385" s="9" t="s">
        <v>1642</v>
      </c>
      <c r="G385" s="10" t="n">
        <f aca="false">IF($AK385=0,"",INDEX('Part types'!$P:$P,$AK385))</f>
        <v>45</v>
      </c>
      <c r="H385" s="10" t="n">
        <f aca="false">IF($AK385=0,"",INDEX('Part types'!$Q:$Q,$AK385))</f>
        <v>10</v>
      </c>
      <c r="I385" s="10" t="n">
        <f aca="false">IF($AK385=0,"",INDEX('Part types'!$R:$R,$AK385))</f>
        <v>8</v>
      </c>
      <c r="J385" s="10" t="n">
        <f aca="false">IF($AK385=0,"",INDEX('Part types'!$S:$S,$AK385))</f>
        <v>2.5</v>
      </c>
      <c r="K385" s="11" t="s">
        <v>1722</v>
      </c>
      <c r="L385" s="11" t="s">
        <v>1747</v>
      </c>
      <c r="M385" s="11" t="str">
        <f aca="false">L385&amp;" - "&amp;N385</f>
        <v>ذراع الانحراف الجانبي - خلفي يمين</v>
      </c>
      <c r="N385" s="11" t="s">
        <v>1365</v>
      </c>
      <c r="O385" s="11" t="s">
        <v>1644</v>
      </c>
      <c r="P385" s="10" t="n">
        <f aca="false">G385</f>
        <v>45</v>
      </c>
      <c r="Q385" s="10" t="n">
        <f aca="false">H385</f>
        <v>10</v>
      </c>
      <c r="R385" s="10" t="n">
        <f aca="false">I385</f>
        <v>8</v>
      </c>
      <c r="S385" s="10" t="n">
        <f aca="false">J385</f>
        <v>2.5</v>
      </c>
      <c r="T385" s="12" t="s">
        <v>1724</v>
      </c>
      <c r="U385" s="12" t="s">
        <v>1748</v>
      </c>
      <c r="V385" s="9" t="str">
        <f aca="false">U385&amp;" - "&amp;W385</f>
        <v>横拉臂 - 后右</v>
      </c>
      <c r="W385" s="12" t="s">
        <v>1366</v>
      </c>
      <c r="X385" s="12" t="s">
        <v>1646</v>
      </c>
      <c r="Y385" s="10" t="n">
        <f aca="false">G385</f>
        <v>45</v>
      </c>
      <c r="Z385" s="10" t="n">
        <f aca="false">H385</f>
        <v>10</v>
      </c>
      <c r="AA385" s="10" t="n">
        <f aca="false">I385</f>
        <v>8</v>
      </c>
      <c r="AB385" s="10" t="n">
        <f aca="false">J385</f>
        <v>2.5</v>
      </c>
      <c r="AC385" s="9" t="s">
        <v>1726</v>
      </c>
      <c r="AD385" s="9" t="s">
        <v>1749</v>
      </c>
      <c r="AE385" s="9" t="str">
        <f aca="false">IF($AK385=0,"",INDEX('Part types'!$T:$T,$AK385)&amp;"")</f>
        <v>All vehicles</v>
      </c>
      <c r="AF385" s="9" t="str">
        <f aca="false">IF($AK385=0,"",INDEX('Part types'!$U:$U,$AK385)&amp;"")</f>
        <v/>
      </c>
      <c r="AG385" s="9" t="str">
        <f aca="false">IF($AK385=0,"",INDEX('Part types'!$V:$V,$AK385)&amp;"")</f>
        <v>Estimate: item-specific</v>
      </c>
      <c r="AH385" s="9" t="str">
        <f aca="false">IF($AK385=0,"",INDEX('Part types'!$W:$W,$AK385)&amp;"")</f>
        <v>Toe</v>
      </c>
      <c r="AI385" s="11" t="str">
        <f aca="false">IF($AK385=0,"",INDEX('Part types'!$X:$X,$AK385)&amp;"")</f>
        <v/>
      </c>
      <c r="AJ385" s="9" t="str">
        <f aca="false">IF($AK385=0,"",INDEX('Part types'!$Y:$Y,$AK385)&amp;"")</f>
        <v>束臂</v>
      </c>
      <c r="AK385" s="9" t="n">
        <f aca="false">IFERROR(MATCH($AD385,'Part types'!$E:$E,0),0)</f>
        <v>282</v>
      </c>
    </row>
    <row r="386" customFormat="false" ht="15" hidden="false" customHeight="false" outlineLevel="0" collapsed="false">
      <c r="A386" s="9" t="s">
        <v>1751</v>
      </c>
      <c r="B386" s="9" t="s">
        <v>1720</v>
      </c>
      <c r="C386" s="9" t="s">
        <v>1752</v>
      </c>
      <c r="D386" s="9" t="str">
        <f aca="false">C386&amp;" - "&amp;E386</f>
        <v>Control Arm Bushing - Front-Left</v>
      </c>
      <c r="E386" s="9" t="s">
        <v>1346</v>
      </c>
      <c r="F386" s="9" t="s">
        <v>1612</v>
      </c>
      <c r="G386" s="10" t="n">
        <f aca="false">IF($AK386=0,"",INDEX('Part types'!$P:$P,$AK386))</f>
        <v>15</v>
      </c>
      <c r="H386" s="10" t="n">
        <f aca="false">IF($AK386=0,"",INDEX('Part types'!$Q:$Q,$AK386))</f>
        <v>10</v>
      </c>
      <c r="I386" s="10" t="n">
        <f aca="false">IF($AK386=0,"",INDEX('Part types'!$R:$R,$AK386))</f>
        <v>8</v>
      </c>
      <c r="J386" s="10" t="n">
        <f aca="false">IF($AK386=0,"",INDEX('Part types'!$S:$S,$AK386))</f>
        <v>0.3</v>
      </c>
      <c r="K386" s="11" t="s">
        <v>1722</v>
      </c>
      <c r="L386" s="11" t="s">
        <v>1753</v>
      </c>
      <c r="M386" s="11" t="str">
        <f aca="false">L386&amp;" - "&amp;N386</f>
        <v>جلدة ذراع التحكم - أمامي يسار</v>
      </c>
      <c r="N386" s="11" t="s">
        <v>1349</v>
      </c>
      <c r="O386" s="11" t="s">
        <v>1615</v>
      </c>
      <c r="P386" s="10" t="n">
        <f aca="false">G386</f>
        <v>15</v>
      </c>
      <c r="Q386" s="10" t="n">
        <f aca="false">H386</f>
        <v>10</v>
      </c>
      <c r="R386" s="10" t="n">
        <f aca="false">I386</f>
        <v>8</v>
      </c>
      <c r="S386" s="10" t="n">
        <f aca="false">J386</f>
        <v>0.3</v>
      </c>
      <c r="T386" s="12" t="s">
        <v>1724</v>
      </c>
      <c r="U386" s="12" t="s">
        <v>1754</v>
      </c>
      <c r="V386" s="9" t="str">
        <f aca="false">U386&amp;" - "&amp;W386</f>
        <v>控制臂衬套 - 前左</v>
      </c>
      <c r="W386" s="12" t="s">
        <v>1352</v>
      </c>
      <c r="X386" s="12" t="s">
        <v>1618</v>
      </c>
      <c r="Y386" s="10" t="n">
        <f aca="false">G386</f>
        <v>15</v>
      </c>
      <c r="Z386" s="10" t="n">
        <f aca="false">H386</f>
        <v>10</v>
      </c>
      <c r="AA386" s="10" t="n">
        <f aca="false">I386</f>
        <v>8</v>
      </c>
      <c r="AB386" s="10" t="n">
        <f aca="false">J386</f>
        <v>0.3</v>
      </c>
      <c r="AC386" s="9" t="s">
        <v>1726</v>
      </c>
      <c r="AD386" s="9" t="s">
        <v>1755</v>
      </c>
      <c r="AE386" s="9" t="str">
        <f aca="false">IF($AK386=0,"",INDEX('Part types'!$T:$T,$AK386)&amp;"")</f>
        <v>All vehicles</v>
      </c>
      <c r="AF386" s="9" t="str">
        <f aca="false">IF($AK386=0,"",INDEX('Part types'!$U:$U,$AK386)&amp;"")</f>
        <v/>
      </c>
      <c r="AG386" s="9" t="str">
        <f aca="false">IF($AK386=0,"",INDEX('Part types'!$V:$V,$AK386)&amp;"")</f>
        <v>Estimate: size class S</v>
      </c>
      <c r="AH386" s="9" t="str">
        <f aca="false">IF($AK386=0,"",INDEX('Part types'!$W:$W,$AK386)&amp;"")</f>
        <v/>
      </c>
      <c r="AI386" s="11" t="str">
        <f aca="false">IF($AK386=0,"",INDEX('Part types'!$X:$X,$AK386)&amp;"")</f>
        <v>بوشة</v>
      </c>
      <c r="AJ386" s="9" t="str">
        <f aca="false">IF($AK386=0,"",INDEX('Part types'!$Y:$Y,$AK386)&amp;"")</f>
        <v/>
      </c>
      <c r="AK386" s="9" t="n">
        <f aca="false">IFERROR(MATCH($AD386,'Part types'!$E:$E,0),0)</f>
        <v>283</v>
      </c>
    </row>
    <row r="387" customFormat="false" ht="15" hidden="false" customHeight="false" outlineLevel="0" collapsed="false">
      <c r="A387" s="9" t="s">
        <v>1756</v>
      </c>
      <c r="B387" s="9" t="s">
        <v>1720</v>
      </c>
      <c r="C387" s="9" t="s">
        <v>1752</v>
      </c>
      <c r="D387" s="9" t="str">
        <f aca="false">C387&amp;" - "&amp;E387</f>
        <v>Control Arm Bushing - Front-Right</v>
      </c>
      <c r="E387" s="9" t="s">
        <v>1356</v>
      </c>
      <c r="F387" s="9" t="s">
        <v>1612</v>
      </c>
      <c r="G387" s="10" t="n">
        <f aca="false">IF($AK387=0,"",INDEX('Part types'!$P:$P,$AK387))</f>
        <v>15</v>
      </c>
      <c r="H387" s="10" t="n">
        <f aca="false">IF($AK387=0,"",INDEX('Part types'!$Q:$Q,$AK387))</f>
        <v>10</v>
      </c>
      <c r="I387" s="10" t="n">
        <f aca="false">IF($AK387=0,"",INDEX('Part types'!$R:$R,$AK387))</f>
        <v>8</v>
      </c>
      <c r="J387" s="10" t="n">
        <f aca="false">IF($AK387=0,"",INDEX('Part types'!$S:$S,$AK387))</f>
        <v>0.3</v>
      </c>
      <c r="K387" s="11" t="s">
        <v>1722</v>
      </c>
      <c r="L387" s="11" t="s">
        <v>1753</v>
      </c>
      <c r="M387" s="11" t="str">
        <f aca="false">L387&amp;" - "&amp;N387</f>
        <v>جلدة ذراع التحكم - أمامي يمين</v>
      </c>
      <c r="N387" s="11" t="s">
        <v>1357</v>
      </c>
      <c r="O387" s="11" t="s">
        <v>1615</v>
      </c>
      <c r="P387" s="10" t="n">
        <f aca="false">G387</f>
        <v>15</v>
      </c>
      <c r="Q387" s="10" t="n">
        <f aca="false">H387</f>
        <v>10</v>
      </c>
      <c r="R387" s="10" t="n">
        <f aca="false">I387</f>
        <v>8</v>
      </c>
      <c r="S387" s="10" t="n">
        <f aca="false">J387</f>
        <v>0.3</v>
      </c>
      <c r="T387" s="12" t="s">
        <v>1724</v>
      </c>
      <c r="U387" s="12" t="s">
        <v>1754</v>
      </c>
      <c r="V387" s="9" t="str">
        <f aca="false">U387&amp;" - "&amp;W387</f>
        <v>控制臂衬套 - 前右</v>
      </c>
      <c r="W387" s="12" t="s">
        <v>1358</v>
      </c>
      <c r="X387" s="12" t="s">
        <v>1618</v>
      </c>
      <c r="Y387" s="10" t="n">
        <f aca="false">G387</f>
        <v>15</v>
      </c>
      <c r="Z387" s="10" t="n">
        <f aca="false">H387</f>
        <v>10</v>
      </c>
      <c r="AA387" s="10" t="n">
        <f aca="false">I387</f>
        <v>8</v>
      </c>
      <c r="AB387" s="10" t="n">
        <f aca="false">J387</f>
        <v>0.3</v>
      </c>
      <c r="AC387" s="9" t="s">
        <v>1726</v>
      </c>
      <c r="AD387" s="9" t="s">
        <v>1755</v>
      </c>
      <c r="AE387" s="9" t="str">
        <f aca="false">IF($AK387=0,"",INDEX('Part types'!$T:$T,$AK387)&amp;"")</f>
        <v>All vehicles</v>
      </c>
      <c r="AF387" s="9" t="str">
        <f aca="false">IF($AK387=0,"",INDEX('Part types'!$U:$U,$AK387)&amp;"")</f>
        <v/>
      </c>
      <c r="AG387" s="9" t="str">
        <f aca="false">IF($AK387=0,"",INDEX('Part types'!$V:$V,$AK387)&amp;"")</f>
        <v>Estimate: size class S</v>
      </c>
      <c r="AH387" s="9" t="str">
        <f aca="false">IF($AK387=0,"",INDEX('Part types'!$W:$W,$AK387)&amp;"")</f>
        <v/>
      </c>
      <c r="AI387" s="11" t="str">
        <f aca="false">IF($AK387=0,"",INDEX('Part types'!$X:$X,$AK387)&amp;"")</f>
        <v>بوشة</v>
      </c>
      <c r="AJ387" s="9" t="str">
        <f aca="false">IF($AK387=0,"",INDEX('Part types'!$Y:$Y,$AK387)&amp;"")</f>
        <v/>
      </c>
      <c r="AK387" s="9" t="n">
        <f aca="false">IFERROR(MATCH($AD387,'Part types'!$E:$E,0),0)</f>
        <v>283</v>
      </c>
    </row>
    <row r="388" customFormat="false" ht="15" hidden="false" customHeight="false" outlineLevel="0" collapsed="false">
      <c r="A388" s="9" t="s">
        <v>1757</v>
      </c>
      <c r="B388" s="9" t="s">
        <v>1720</v>
      </c>
      <c r="C388" s="9" t="s">
        <v>1752</v>
      </c>
      <c r="D388" s="9" t="str">
        <f aca="false">C388&amp;" - "&amp;E388</f>
        <v>Control Arm Bushing - Rear-Left</v>
      </c>
      <c r="E388" s="9" t="s">
        <v>1360</v>
      </c>
      <c r="F388" s="9" t="s">
        <v>1612</v>
      </c>
      <c r="G388" s="10" t="n">
        <f aca="false">IF($AK388=0,"",INDEX('Part types'!$P:$P,$AK388))</f>
        <v>15</v>
      </c>
      <c r="H388" s="10" t="n">
        <f aca="false">IF($AK388=0,"",INDEX('Part types'!$Q:$Q,$AK388))</f>
        <v>10</v>
      </c>
      <c r="I388" s="10" t="n">
        <f aca="false">IF($AK388=0,"",INDEX('Part types'!$R:$R,$AK388))</f>
        <v>8</v>
      </c>
      <c r="J388" s="10" t="n">
        <f aca="false">IF($AK388=0,"",INDEX('Part types'!$S:$S,$AK388))</f>
        <v>0.3</v>
      </c>
      <c r="K388" s="11" t="s">
        <v>1722</v>
      </c>
      <c r="L388" s="11" t="s">
        <v>1753</v>
      </c>
      <c r="M388" s="11" t="str">
        <f aca="false">L388&amp;" - "&amp;N388</f>
        <v>جلدة ذراع التحكم - خلفي يسار</v>
      </c>
      <c r="N388" s="11" t="s">
        <v>1361</v>
      </c>
      <c r="O388" s="11" t="s">
        <v>1615</v>
      </c>
      <c r="P388" s="10" t="n">
        <f aca="false">G388</f>
        <v>15</v>
      </c>
      <c r="Q388" s="10" t="n">
        <f aca="false">H388</f>
        <v>10</v>
      </c>
      <c r="R388" s="10" t="n">
        <f aca="false">I388</f>
        <v>8</v>
      </c>
      <c r="S388" s="10" t="n">
        <f aca="false">J388</f>
        <v>0.3</v>
      </c>
      <c r="T388" s="12" t="s">
        <v>1724</v>
      </c>
      <c r="U388" s="12" t="s">
        <v>1754</v>
      </c>
      <c r="V388" s="9" t="str">
        <f aca="false">U388&amp;" - "&amp;W388</f>
        <v>控制臂衬套 - 后左</v>
      </c>
      <c r="W388" s="12" t="s">
        <v>1362</v>
      </c>
      <c r="X388" s="12" t="s">
        <v>1618</v>
      </c>
      <c r="Y388" s="10" t="n">
        <f aca="false">G388</f>
        <v>15</v>
      </c>
      <c r="Z388" s="10" t="n">
        <f aca="false">H388</f>
        <v>10</v>
      </c>
      <c r="AA388" s="10" t="n">
        <f aca="false">I388</f>
        <v>8</v>
      </c>
      <c r="AB388" s="10" t="n">
        <f aca="false">J388</f>
        <v>0.3</v>
      </c>
      <c r="AC388" s="9" t="s">
        <v>1726</v>
      </c>
      <c r="AD388" s="9" t="s">
        <v>1755</v>
      </c>
      <c r="AE388" s="9" t="str">
        <f aca="false">IF($AK388=0,"",INDEX('Part types'!$T:$T,$AK388)&amp;"")</f>
        <v>All vehicles</v>
      </c>
      <c r="AF388" s="9" t="str">
        <f aca="false">IF($AK388=0,"",INDEX('Part types'!$U:$U,$AK388)&amp;"")</f>
        <v/>
      </c>
      <c r="AG388" s="9" t="str">
        <f aca="false">IF($AK388=0,"",INDEX('Part types'!$V:$V,$AK388)&amp;"")</f>
        <v>Estimate: size class S</v>
      </c>
      <c r="AH388" s="9" t="str">
        <f aca="false">IF($AK388=0,"",INDEX('Part types'!$W:$W,$AK388)&amp;"")</f>
        <v/>
      </c>
      <c r="AI388" s="11" t="str">
        <f aca="false">IF($AK388=0,"",INDEX('Part types'!$X:$X,$AK388)&amp;"")</f>
        <v>بوشة</v>
      </c>
      <c r="AJ388" s="9" t="str">
        <f aca="false">IF($AK388=0,"",INDEX('Part types'!$Y:$Y,$AK388)&amp;"")</f>
        <v/>
      </c>
      <c r="AK388" s="9" t="n">
        <f aca="false">IFERROR(MATCH($AD388,'Part types'!$E:$E,0),0)</f>
        <v>283</v>
      </c>
    </row>
    <row r="389" customFormat="false" ht="15" hidden="false" customHeight="false" outlineLevel="0" collapsed="false">
      <c r="A389" s="9" t="s">
        <v>1758</v>
      </c>
      <c r="B389" s="9" t="s">
        <v>1720</v>
      </c>
      <c r="C389" s="9" t="s">
        <v>1752</v>
      </c>
      <c r="D389" s="9" t="str">
        <f aca="false">C389&amp;" - "&amp;E389</f>
        <v>Control Arm Bushing - Rear-Right</v>
      </c>
      <c r="E389" s="9" t="s">
        <v>1364</v>
      </c>
      <c r="F389" s="9" t="s">
        <v>1612</v>
      </c>
      <c r="G389" s="10" t="n">
        <f aca="false">IF($AK389=0,"",INDEX('Part types'!$P:$P,$AK389))</f>
        <v>15</v>
      </c>
      <c r="H389" s="10" t="n">
        <f aca="false">IF($AK389=0,"",INDEX('Part types'!$Q:$Q,$AK389))</f>
        <v>10</v>
      </c>
      <c r="I389" s="10" t="n">
        <f aca="false">IF($AK389=0,"",INDEX('Part types'!$R:$R,$AK389))</f>
        <v>8</v>
      </c>
      <c r="J389" s="10" t="n">
        <f aca="false">IF($AK389=0,"",INDEX('Part types'!$S:$S,$AK389))</f>
        <v>0.3</v>
      </c>
      <c r="K389" s="11" t="s">
        <v>1722</v>
      </c>
      <c r="L389" s="11" t="s">
        <v>1753</v>
      </c>
      <c r="M389" s="11" t="str">
        <f aca="false">L389&amp;" - "&amp;N389</f>
        <v>جلدة ذراع التحكم - خلفي يمين</v>
      </c>
      <c r="N389" s="11" t="s">
        <v>1365</v>
      </c>
      <c r="O389" s="11" t="s">
        <v>1615</v>
      </c>
      <c r="P389" s="10" t="n">
        <f aca="false">G389</f>
        <v>15</v>
      </c>
      <c r="Q389" s="10" t="n">
        <f aca="false">H389</f>
        <v>10</v>
      </c>
      <c r="R389" s="10" t="n">
        <f aca="false">I389</f>
        <v>8</v>
      </c>
      <c r="S389" s="10" t="n">
        <f aca="false">J389</f>
        <v>0.3</v>
      </c>
      <c r="T389" s="12" t="s">
        <v>1724</v>
      </c>
      <c r="U389" s="12" t="s">
        <v>1754</v>
      </c>
      <c r="V389" s="9" t="str">
        <f aca="false">U389&amp;" - "&amp;W389</f>
        <v>控制臂衬套 - 后右</v>
      </c>
      <c r="W389" s="12" t="s">
        <v>1366</v>
      </c>
      <c r="X389" s="12" t="s">
        <v>1618</v>
      </c>
      <c r="Y389" s="10" t="n">
        <f aca="false">G389</f>
        <v>15</v>
      </c>
      <c r="Z389" s="10" t="n">
        <f aca="false">H389</f>
        <v>10</v>
      </c>
      <c r="AA389" s="10" t="n">
        <f aca="false">I389</f>
        <v>8</v>
      </c>
      <c r="AB389" s="10" t="n">
        <f aca="false">J389</f>
        <v>0.3</v>
      </c>
      <c r="AC389" s="9" t="s">
        <v>1726</v>
      </c>
      <c r="AD389" s="9" t="s">
        <v>1755</v>
      </c>
      <c r="AE389" s="9" t="str">
        <f aca="false">IF($AK389=0,"",INDEX('Part types'!$T:$T,$AK389)&amp;"")</f>
        <v>All vehicles</v>
      </c>
      <c r="AF389" s="9" t="str">
        <f aca="false">IF($AK389=0,"",INDEX('Part types'!$U:$U,$AK389)&amp;"")</f>
        <v/>
      </c>
      <c r="AG389" s="9" t="str">
        <f aca="false">IF($AK389=0,"",INDEX('Part types'!$V:$V,$AK389)&amp;"")</f>
        <v>Estimate: size class S</v>
      </c>
      <c r="AH389" s="9" t="str">
        <f aca="false">IF($AK389=0,"",INDEX('Part types'!$W:$W,$AK389)&amp;"")</f>
        <v/>
      </c>
      <c r="AI389" s="11" t="str">
        <f aca="false">IF($AK389=0,"",INDEX('Part types'!$X:$X,$AK389)&amp;"")</f>
        <v>بوشة</v>
      </c>
      <c r="AJ389" s="9" t="str">
        <f aca="false">IF($AK389=0,"",INDEX('Part types'!$Y:$Y,$AK389)&amp;"")</f>
        <v/>
      </c>
      <c r="AK389" s="9" t="n">
        <f aca="false">IFERROR(MATCH($AD389,'Part types'!$E:$E,0),0)</f>
        <v>283</v>
      </c>
    </row>
    <row r="390" customFormat="false" ht="15" hidden="false" customHeight="false" outlineLevel="0" collapsed="false">
      <c r="A390" s="9" t="s">
        <v>1759</v>
      </c>
      <c r="B390" s="9" t="s">
        <v>1720</v>
      </c>
      <c r="C390" s="9" t="s">
        <v>1760</v>
      </c>
      <c r="D390" s="9" t="str">
        <f aca="false">C390&amp;" - "&amp;E390</f>
        <v>Ball Joint - Front-Left</v>
      </c>
      <c r="E390" s="9" t="s">
        <v>1346</v>
      </c>
      <c r="F390" s="9" t="s">
        <v>1612</v>
      </c>
      <c r="G390" s="10" t="n">
        <f aca="false">IF($AK390=0,"",INDEX('Part types'!$P:$P,$AK390))</f>
        <v>15</v>
      </c>
      <c r="H390" s="10" t="n">
        <f aca="false">IF($AK390=0,"",INDEX('Part types'!$Q:$Q,$AK390))</f>
        <v>10</v>
      </c>
      <c r="I390" s="10" t="n">
        <f aca="false">IF($AK390=0,"",INDEX('Part types'!$R:$R,$AK390))</f>
        <v>8</v>
      </c>
      <c r="J390" s="10" t="n">
        <f aca="false">IF($AK390=0,"",INDEX('Part types'!$S:$S,$AK390))</f>
        <v>0.3</v>
      </c>
      <c r="K390" s="11" t="s">
        <v>1722</v>
      </c>
      <c r="L390" s="11" t="s">
        <v>1761</v>
      </c>
      <c r="M390" s="11" t="str">
        <f aca="false">L390&amp;" - "&amp;N390</f>
        <v>رأس ذراع - أمامي يسار</v>
      </c>
      <c r="N390" s="11" t="s">
        <v>1349</v>
      </c>
      <c r="O390" s="11" t="s">
        <v>1615</v>
      </c>
      <c r="P390" s="10" t="n">
        <f aca="false">G390</f>
        <v>15</v>
      </c>
      <c r="Q390" s="10" t="n">
        <f aca="false">H390</f>
        <v>10</v>
      </c>
      <c r="R390" s="10" t="n">
        <f aca="false">I390</f>
        <v>8</v>
      </c>
      <c r="S390" s="10" t="n">
        <f aca="false">J390</f>
        <v>0.3</v>
      </c>
      <c r="T390" s="12" t="s">
        <v>1724</v>
      </c>
      <c r="U390" s="12" t="s">
        <v>1762</v>
      </c>
      <c r="V390" s="9" t="str">
        <f aca="false">U390&amp;" - "&amp;W390</f>
        <v>球头 - 前左</v>
      </c>
      <c r="W390" s="12" t="s">
        <v>1352</v>
      </c>
      <c r="X390" s="12" t="s">
        <v>1618</v>
      </c>
      <c r="Y390" s="10" t="n">
        <f aca="false">G390</f>
        <v>15</v>
      </c>
      <c r="Z390" s="10" t="n">
        <f aca="false">H390</f>
        <v>10</v>
      </c>
      <c r="AA390" s="10" t="n">
        <f aca="false">I390</f>
        <v>8</v>
      </c>
      <c r="AB390" s="10" t="n">
        <f aca="false">J390</f>
        <v>0.3</v>
      </c>
      <c r="AC390" s="9" t="s">
        <v>1726</v>
      </c>
      <c r="AD390" s="9" t="s">
        <v>1763</v>
      </c>
      <c r="AE390" s="9" t="str">
        <f aca="false">IF($AK390=0,"",INDEX('Part types'!$T:$T,$AK390)&amp;"")</f>
        <v>All vehicles</v>
      </c>
      <c r="AF390" s="9" t="str">
        <f aca="false">IF($AK390=0,"",INDEX('Part types'!$U:$U,$AK390)&amp;"")</f>
        <v/>
      </c>
      <c r="AG390" s="9" t="str">
        <f aca="false">IF($AK390=0,"",INDEX('Part types'!$V:$V,$AK390)&amp;"")</f>
        <v>Estimate: size class S</v>
      </c>
      <c r="AH390" s="9" t="str">
        <f aca="false">IF($AK390=0,"",INDEX('Part types'!$W:$W,$AK390)&amp;"")</f>
        <v/>
      </c>
      <c r="AI390" s="11" t="str">
        <f aca="false">IF($AK390=0,"",INDEX('Part types'!$X:$X,$AK390)&amp;"")</f>
        <v>بول جوينت</v>
      </c>
      <c r="AJ390" s="9" t="str">
        <f aca="false">IF($AK390=0,"",INDEX('Part types'!$Y:$Y,$AK390)&amp;"")</f>
        <v/>
      </c>
      <c r="AK390" s="9" t="n">
        <f aca="false">IFERROR(MATCH($AD390,'Part types'!$E:$E,0),0)</f>
        <v>284</v>
      </c>
    </row>
    <row r="391" customFormat="false" ht="15" hidden="false" customHeight="false" outlineLevel="0" collapsed="false">
      <c r="A391" s="9" t="s">
        <v>1764</v>
      </c>
      <c r="B391" s="9" t="s">
        <v>1720</v>
      </c>
      <c r="C391" s="9" t="s">
        <v>1760</v>
      </c>
      <c r="D391" s="9" t="str">
        <f aca="false">C391&amp;" - "&amp;E391</f>
        <v>Ball Joint - Front-Right</v>
      </c>
      <c r="E391" s="9" t="s">
        <v>1356</v>
      </c>
      <c r="F391" s="9" t="s">
        <v>1612</v>
      </c>
      <c r="G391" s="10" t="n">
        <f aca="false">IF($AK391=0,"",INDEX('Part types'!$P:$P,$AK391))</f>
        <v>15</v>
      </c>
      <c r="H391" s="10" t="n">
        <f aca="false">IF($AK391=0,"",INDEX('Part types'!$Q:$Q,$AK391))</f>
        <v>10</v>
      </c>
      <c r="I391" s="10" t="n">
        <f aca="false">IF($AK391=0,"",INDEX('Part types'!$R:$R,$AK391))</f>
        <v>8</v>
      </c>
      <c r="J391" s="10" t="n">
        <f aca="false">IF($AK391=0,"",INDEX('Part types'!$S:$S,$AK391))</f>
        <v>0.3</v>
      </c>
      <c r="K391" s="11" t="s">
        <v>1722</v>
      </c>
      <c r="L391" s="11" t="s">
        <v>1761</v>
      </c>
      <c r="M391" s="11" t="str">
        <f aca="false">L391&amp;" - "&amp;N391</f>
        <v>رأس ذراع - أمامي يمين</v>
      </c>
      <c r="N391" s="11" t="s">
        <v>1357</v>
      </c>
      <c r="O391" s="11" t="s">
        <v>1615</v>
      </c>
      <c r="P391" s="10" t="n">
        <f aca="false">G391</f>
        <v>15</v>
      </c>
      <c r="Q391" s="10" t="n">
        <f aca="false">H391</f>
        <v>10</v>
      </c>
      <c r="R391" s="10" t="n">
        <f aca="false">I391</f>
        <v>8</v>
      </c>
      <c r="S391" s="10" t="n">
        <f aca="false">J391</f>
        <v>0.3</v>
      </c>
      <c r="T391" s="12" t="s">
        <v>1724</v>
      </c>
      <c r="U391" s="12" t="s">
        <v>1762</v>
      </c>
      <c r="V391" s="9" t="str">
        <f aca="false">U391&amp;" - "&amp;W391</f>
        <v>球头 - 前右</v>
      </c>
      <c r="W391" s="12" t="s">
        <v>1358</v>
      </c>
      <c r="X391" s="12" t="s">
        <v>1618</v>
      </c>
      <c r="Y391" s="10" t="n">
        <f aca="false">G391</f>
        <v>15</v>
      </c>
      <c r="Z391" s="10" t="n">
        <f aca="false">H391</f>
        <v>10</v>
      </c>
      <c r="AA391" s="10" t="n">
        <f aca="false">I391</f>
        <v>8</v>
      </c>
      <c r="AB391" s="10" t="n">
        <f aca="false">J391</f>
        <v>0.3</v>
      </c>
      <c r="AC391" s="9" t="s">
        <v>1726</v>
      </c>
      <c r="AD391" s="9" t="s">
        <v>1763</v>
      </c>
      <c r="AE391" s="9" t="str">
        <f aca="false">IF($AK391=0,"",INDEX('Part types'!$T:$T,$AK391)&amp;"")</f>
        <v>All vehicles</v>
      </c>
      <c r="AF391" s="9" t="str">
        <f aca="false">IF($AK391=0,"",INDEX('Part types'!$U:$U,$AK391)&amp;"")</f>
        <v/>
      </c>
      <c r="AG391" s="9" t="str">
        <f aca="false">IF($AK391=0,"",INDEX('Part types'!$V:$V,$AK391)&amp;"")</f>
        <v>Estimate: size class S</v>
      </c>
      <c r="AH391" s="9" t="str">
        <f aca="false">IF($AK391=0,"",INDEX('Part types'!$W:$W,$AK391)&amp;"")</f>
        <v/>
      </c>
      <c r="AI391" s="11" t="str">
        <f aca="false">IF($AK391=0,"",INDEX('Part types'!$X:$X,$AK391)&amp;"")</f>
        <v>بول جوينت</v>
      </c>
      <c r="AJ391" s="9" t="str">
        <f aca="false">IF($AK391=0,"",INDEX('Part types'!$Y:$Y,$AK391)&amp;"")</f>
        <v/>
      </c>
      <c r="AK391" s="9" t="n">
        <f aca="false">IFERROR(MATCH($AD391,'Part types'!$E:$E,0),0)</f>
        <v>284</v>
      </c>
    </row>
    <row r="392" customFormat="false" ht="15" hidden="false" customHeight="false" outlineLevel="0" collapsed="false">
      <c r="A392" s="9" t="s">
        <v>1765</v>
      </c>
      <c r="B392" s="9" t="s">
        <v>1720</v>
      </c>
      <c r="C392" s="9" t="s">
        <v>1760</v>
      </c>
      <c r="D392" s="9" t="str">
        <f aca="false">C392&amp;" - "&amp;E392</f>
        <v>Ball Joint - Rear-Left</v>
      </c>
      <c r="E392" s="9" t="s">
        <v>1360</v>
      </c>
      <c r="F392" s="9" t="s">
        <v>1612</v>
      </c>
      <c r="G392" s="10" t="n">
        <f aca="false">IF($AK392=0,"",INDEX('Part types'!$P:$P,$AK392))</f>
        <v>15</v>
      </c>
      <c r="H392" s="10" t="n">
        <f aca="false">IF($AK392=0,"",INDEX('Part types'!$Q:$Q,$AK392))</f>
        <v>10</v>
      </c>
      <c r="I392" s="10" t="n">
        <f aca="false">IF($AK392=0,"",INDEX('Part types'!$R:$R,$AK392))</f>
        <v>8</v>
      </c>
      <c r="J392" s="10" t="n">
        <f aca="false">IF($AK392=0,"",INDEX('Part types'!$S:$S,$AK392))</f>
        <v>0.3</v>
      </c>
      <c r="K392" s="11" t="s">
        <v>1722</v>
      </c>
      <c r="L392" s="11" t="s">
        <v>1761</v>
      </c>
      <c r="M392" s="11" t="str">
        <f aca="false">L392&amp;" - "&amp;N392</f>
        <v>رأس ذراع - خلفي يسار</v>
      </c>
      <c r="N392" s="11" t="s">
        <v>1361</v>
      </c>
      <c r="O392" s="11" t="s">
        <v>1615</v>
      </c>
      <c r="P392" s="10" t="n">
        <f aca="false">G392</f>
        <v>15</v>
      </c>
      <c r="Q392" s="10" t="n">
        <f aca="false">H392</f>
        <v>10</v>
      </c>
      <c r="R392" s="10" t="n">
        <f aca="false">I392</f>
        <v>8</v>
      </c>
      <c r="S392" s="10" t="n">
        <f aca="false">J392</f>
        <v>0.3</v>
      </c>
      <c r="T392" s="12" t="s">
        <v>1724</v>
      </c>
      <c r="U392" s="12" t="s">
        <v>1762</v>
      </c>
      <c r="V392" s="9" t="str">
        <f aca="false">U392&amp;" - "&amp;W392</f>
        <v>球头 - 后左</v>
      </c>
      <c r="W392" s="12" t="s">
        <v>1362</v>
      </c>
      <c r="X392" s="12" t="s">
        <v>1618</v>
      </c>
      <c r="Y392" s="10" t="n">
        <f aca="false">G392</f>
        <v>15</v>
      </c>
      <c r="Z392" s="10" t="n">
        <f aca="false">H392</f>
        <v>10</v>
      </c>
      <c r="AA392" s="10" t="n">
        <f aca="false">I392</f>
        <v>8</v>
      </c>
      <c r="AB392" s="10" t="n">
        <f aca="false">J392</f>
        <v>0.3</v>
      </c>
      <c r="AC392" s="9" t="s">
        <v>1726</v>
      </c>
      <c r="AD392" s="9" t="s">
        <v>1763</v>
      </c>
      <c r="AE392" s="9" t="str">
        <f aca="false">IF($AK392=0,"",INDEX('Part types'!$T:$T,$AK392)&amp;"")</f>
        <v>All vehicles</v>
      </c>
      <c r="AF392" s="9" t="str">
        <f aca="false">IF($AK392=0,"",INDEX('Part types'!$U:$U,$AK392)&amp;"")</f>
        <v/>
      </c>
      <c r="AG392" s="9" t="str">
        <f aca="false">IF($AK392=0,"",INDEX('Part types'!$V:$V,$AK392)&amp;"")</f>
        <v>Estimate: size class S</v>
      </c>
      <c r="AH392" s="9" t="str">
        <f aca="false">IF($AK392=0,"",INDEX('Part types'!$W:$W,$AK392)&amp;"")</f>
        <v/>
      </c>
      <c r="AI392" s="11" t="str">
        <f aca="false">IF($AK392=0,"",INDEX('Part types'!$X:$X,$AK392)&amp;"")</f>
        <v>بول جوينت</v>
      </c>
      <c r="AJ392" s="9" t="str">
        <f aca="false">IF($AK392=0,"",INDEX('Part types'!$Y:$Y,$AK392)&amp;"")</f>
        <v/>
      </c>
      <c r="AK392" s="9" t="n">
        <f aca="false">IFERROR(MATCH($AD392,'Part types'!$E:$E,0),0)</f>
        <v>284</v>
      </c>
    </row>
    <row r="393" customFormat="false" ht="15" hidden="false" customHeight="false" outlineLevel="0" collapsed="false">
      <c r="A393" s="9" t="s">
        <v>1766</v>
      </c>
      <c r="B393" s="9" t="s">
        <v>1720</v>
      </c>
      <c r="C393" s="9" t="s">
        <v>1760</v>
      </c>
      <c r="D393" s="9" t="str">
        <f aca="false">C393&amp;" - "&amp;E393</f>
        <v>Ball Joint - Rear-Right</v>
      </c>
      <c r="E393" s="9" t="s">
        <v>1364</v>
      </c>
      <c r="F393" s="9" t="s">
        <v>1612</v>
      </c>
      <c r="G393" s="10" t="n">
        <f aca="false">IF($AK393=0,"",INDEX('Part types'!$P:$P,$AK393))</f>
        <v>15</v>
      </c>
      <c r="H393" s="10" t="n">
        <f aca="false">IF($AK393=0,"",INDEX('Part types'!$Q:$Q,$AK393))</f>
        <v>10</v>
      </c>
      <c r="I393" s="10" t="n">
        <f aca="false">IF($AK393=0,"",INDEX('Part types'!$R:$R,$AK393))</f>
        <v>8</v>
      </c>
      <c r="J393" s="10" t="n">
        <f aca="false">IF($AK393=0,"",INDEX('Part types'!$S:$S,$AK393))</f>
        <v>0.3</v>
      </c>
      <c r="K393" s="11" t="s">
        <v>1722</v>
      </c>
      <c r="L393" s="11" t="s">
        <v>1761</v>
      </c>
      <c r="M393" s="11" t="str">
        <f aca="false">L393&amp;" - "&amp;N393</f>
        <v>رأس ذراع - خلفي يمين</v>
      </c>
      <c r="N393" s="11" t="s">
        <v>1365</v>
      </c>
      <c r="O393" s="11" t="s">
        <v>1615</v>
      </c>
      <c r="P393" s="10" t="n">
        <f aca="false">G393</f>
        <v>15</v>
      </c>
      <c r="Q393" s="10" t="n">
        <f aca="false">H393</f>
        <v>10</v>
      </c>
      <c r="R393" s="10" t="n">
        <f aca="false">I393</f>
        <v>8</v>
      </c>
      <c r="S393" s="10" t="n">
        <f aca="false">J393</f>
        <v>0.3</v>
      </c>
      <c r="T393" s="12" t="s">
        <v>1724</v>
      </c>
      <c r="U393" s="12" t="s">
        <v>1762</v>
      </c>
      <c r="V393" s="9" t="str">
        <f aca="false">U393&amp;" - "&amp;W393</f>
        <v>球头 - 后右</v>
      </c>
      <c r="W393" s="12" t="s">
        <v>1366</v>
      </c>
      <c r="X393" s="12" t="s">
        <v>1618</v>
      </c>
      <c r="Y393" s="10" t="n">
        <f aca="false">G393</f>
        <v>15</v>
      </c>
      <c r="Z393" s="10" t="n">
        <f aca="false">H393</f>
        <v>10</v>
      </c>
      <c r="AA393" s="10" t="n">
        <f aca="false">I393</f>
        <v>8</v>
      </c>
      <c r="AB393" s="10" t="n">
        <f aca="false">J393</f>
        <v>0.3</v>
      </c>
      <c r="AC393" s="9" t="s">
        <v>1726</v>
      </c>
      <c r="AD393" s="9" t="s">
        <v>1763</v>
      </c>
      <c r="AE393" s="9" t="str">
        <f aca="false">IF($AK393=0,"",INDEX('Part types'!$T:$T,$AK393)&amp;"")</f>
        <v>All vehicles</v>
      </c>
      <c r="AF393" s="9" t="str">
        <f aca="false">IF($AK393=0,"",INDEX('Part types'!$U:$U,$AK393)&amp;"")</f>
        <v/>
      </c>
      <c r="AG393" s="9" t="str">
        <f aca="false">IF($AK393=0,"",INDEX('Part types'!$V:$V,$AK393)&amp;"")</f>
        <v>Estimate: size class S</v>
      </c>
      <c r="AH393" s="9" t="str">
        <f aca="false">IF($AK393=0,"",INDEX('Part types'!$W:$W,$AK393)&amp;"")</f>
        <v/>
      </c>
      <c r="AI393" s="11" t="str">
        <f aca="false">IF($AK393=0,"",INDEX('Part types'!$X:$X,$AK393)&amp;"")</f>
        <v>بول جوينت</v>
      </c>
      <c r="AJ393" s="9" t="str">
        <f aca="false">IF($AK393=0,"",INDEX('Part types'!$Y:$Y,$AK393)&amp;"")</f>
        <v/>
      </c>
      <c r="AK393" s="9" t="n">
        <f aca="false">IFERROR(MATCH($AD393,'Part types'!$E:$E,0),0)</f>
        <v>284</v>
      </c>
    </row>
    <row r="394" customFormat="false" ht="15" hidden="false" customHeight="false" outlineLevel="0" collapsed="false">
      <c r="A394" s="9" t="s">
        <v>1767</v>
      </c>
      <c r="B394" s="9" t="s">
        <v>1720</v>
      </c>
      <c r="C394" s="9" t="s">
        <v>1768</v>
      </c>
      <c r="D394" s="9" t="str">
        <f aca="false">C394&amp;" - "&amp;E394</f>
        <v>Stabilizer Bar - Front</v>
      </c>
      <c r="E394" s="9" t="s">
        <v>161</v>
      </c>
      <c r="F394" s="9" t="s">
        <v>1612</v>
      </c>
      <c r="G394" s="10" t="n">
        <f aca="false">IF($AK394=0,"",INDEX('Part types'!$P:$P,$AK394))</f>
        <v>90</v>
      </c>
      <c r="H394" s="10" t="n">
        <f aca="false">IF($AK394=0,"",INDEX('Part types'!$Q:$Q,$AK394))</f>
        <v>15</v>
      </c>
      <c r="I394" s="10" t="n">
        <f aca="false">IF($AK394=0,"",INDEX('Part types'!$R:$R,$AK394))</f>
        <v>10</v>
      </c>
      <c r="J394" s="10" t="n">
        <f aca="false">IF($AK394=0,"",INDEX('Part types'!$S:$S,$AK394))</f>
        <v>4</v>
      </c>
      <c r="K394" s="11" t="s">
        <v>1722</v>
      </c>
      <c r="L394" s="11" t="s">
        <v>1769</v>
      </c>
      <c r="M394" s="11" t="str">
        <f aca="false">L394&amp;" - "&amp;N394</f>
        <v>بار التوازن - أمامي</v>
      </c>
      <c r="N394" s="11" t="s">
        <v>163</v>
      </c>
      <c r="O394" s="11" t="s">
        <v>1615</v>
      </c>
      <c r="P394" s="10" t="n">
        <f aca="false">G394</f>
        <v>90</v>
      </c>
      <c r="Q394" s="10" t="n">
        <f aca="false">H394</f>
        <v>15</v>
      </c>
      <c r="R394" s="10" t="n">
        <f aca="false">I394</f>
        <v>10</v>
      </c>
      <c r="S394" s="10" t="n">
        <f aca="false">J394</f>
        <v>4</v>
      </c>
      <c r="T394" s="12" t="s">
        <v>1724</v>
      </c>
      <c r="U394" s="12" t="s">
        <v>1770</v>
      </c>
      <c r="V394" s="9" t="str">
        <f aca="false">U394&amp;" - "&amp;W394</f>
        <v>稳定杆 - 前部</v>
      </c>
      <c r="W394" s="12" t="s">
        <v>165</v>
      </c>
      <c r="X394" s="12" t="s">
        <v>1618</v>
      </c>
      <c r="Y394" s="10" t="n">
        <f aca="false">G394</f>
        <v>90</v>
      </c>
      <c r="Z394" s="10" t="n">
        <f aca="false">H394</f>
        <v>15</v>
      </c>
      <c r="AA394" s="10" t="n">
        <f aca="false">I394</f>
        <v>10</v>
      </c>
      <c r="AB394" s="10" t="n">
        <f aca="false">J394</f>
        <v>4</v>
      </c>
      <c r="AC394" s="9" t="s">
        <v>1726</v>
      </c>
      <c r="AD394" s="9" t="s">
        <v>1771</v>
      </c>
      <c r="AE394" s="9" t="str">
        <f aca="false">IF($AK394=0,"",INDEX('Part types'!$T:$T,$AK394)&amp;"")</f>
        <v>All vehicles</v>
      </c>
      <c r="AF394" s="9" t="str">
        <f aca="false">IF($AK394=0,"",INDEX('Part types'!$U:$U,$AK394)&amp;"")</f>
        <v/>
      </c>
      <c r="AG394" s="9" t="str">
        <f aca="false">IF($AK394=0,"",INDEX('Part types'!$V:$V,$AK394)&amp;"")</f>
        <v>Estimate: item-specific</v>
      </c>
      <c r="AH394" s="9" t="str">
        <f aca="false">IF($AK394=0,"",INDEX('Part types'!$W:$W,$AK394)&amp;"")</f>
        <v>Sway Bar</v>
      </c>
      <c r="AI394" s="11" t="str">
        <f aca="false">IF($AK394=0,"",INDEX('Part types'!$X:$X,$AK394)&amp;"")</f>
        <v>ستابلايزر</v>
      </c>
      <c r="AJ394" s="9" t="str">
        <f aca="false">IF($AK394=0,"",INDEX('Part types'!$Y:$Y,$AK394)&amp;"")</f>
        <v/>
      </c>
      <c r="AK394" s="9" t="n">
        <f aca="false">IFERROR(MATCH($AD394,'Part types'!$E:$E,0),0)</f>
        <v>285</v>
      </c>
    </row>
    <row r="395" customFormat="false" ht="15" hidden="false" customHeight="false" outlineLevel="0" collapsed="false">
      <c r="A395" s="9" t="s">
        <v>1772</v>
      </c>
      <c r="B395" s="9" t="s">
        <v>1720</v>
      </c>
      <c r="C395" s="9" t="s">
        <v>1768</v>
      </c>
      <c r="D395" s="9" t="str">
        <f aca="false">C395&amp;" - "&amp;E395</f>
        <v>Stabilizer Bar - Rear</v>
      </c>
      <c r="E395" s="9" t="s">
        <v>168</v>
      </c>
      <c r="F395" s="9" t="s">
        <v>1612</v>
      </c>
      <c r="G395" s="10" t="n">
        <f aca="false">IF($AK395=0,"",INDEX('Part types'!$P:$P,$AK395))</f>
        <v>90</v>
      </c>
      <c r="H395" s="10" t="n">
        <f aca="false">IF($AK395=0,"",INDEX('Part types'!$Q:$Q,$AK395))</f>
        <v>15</v>
      </c>
      <c r="I395" s="10" t="n">
        <f aca="false">IF($AK395=0,"",INDEX('Part types'!$R:$R,$AK395))</f>
        <v>10</v>
      </c>
      <c r="J395" s="10" t="n">
        <f aca="false">IF($AK395=0,"",INDEX('Part types'!$S:$S,$AK395))</f>
        <v>4</v>
      </c>
      <c r="K395" s="11" t="s">
        <v>1722</v>
      </c>
      <c r="L395" s="11" t="s">
        <v>1769</v>
      </c>
      <c r="M395" s="11" t="str">
        <f aca="false">L395&amp;" - "&amp;N395</f>
        <v>بار التوازن - خلفي</v>
      </c>
      <c r="N395" s="11" t="s">
        <v>169</v>
      </c>
      <c r="O395" s="11" t="s">
        <v>1615</v>
      </c>
      <c r="P395" s="10" t="n">
        <f aca="false">G395</f>
        <v>90</v>
      </c>
      <c r="Q395" s="10" t="n">
        <f aca="false">H395</f>
        <v>15</v>
      </c>
      <c r="R395" s="10" t="n">
        <f aca="false">I395</f>
        <v>10</v>
      </c>
      <c r="S395" s="10" t="n">
        <f aca="false">J395</f>
        <v>4</v>
      </c>
      <c r="T395" s="12" t="s">
        <v>1724</v>
      </c>
      <c r="U395" s="12" t="s">
        <v>1770</v>
      </c>
      <c r="V395" s="9" t="str">
        <f aca="false">U395&amp;" - "&amp;W395</f>
        <v>稳定杆 - 后部</v>
      </c>
      <c r="W395" s="12" t="s">
        <v>170</v>
      </c>
      <c r="X395" s="12" t="s">
        <v>1618</v>
      </c>
      <c r="Y395" s="10" t="n">
        <f aca="false">G395</f>
        <v>90</v>
      </c>
      <c r="Z395" s="10" t="n">
        <f aca="false">H395</f>
        <v>15</v>
      </c>
      <c r="AA395" s="10" t="n">
        <f aca="false">I395</f>
        <v>10</v>
      </c>
      <c r="AB395" s="10" t="n">
        <f aca="false">J395</f>
        <v>4</v>
      </c>
      <c r="AC395" s="9" t="s">
        <v>1726</v>
      </c>
      <c r="AD395" s="9" t="s">
        <v>1771</v>
      </c>
      <c r="AE395" s="9" t="str">
        <f aca="false">IF($AK395=0,"",INDEX('Part types'!$T:$T,$AK395)&amp;"")</f>
        <v>All vehicles</v>
      </c>
      <c r="AF395" s="9" t="str">
        <f aca="false">IF($AK395=0,"",INDEX('Part types'!$U:$U,$AK395)&amp;"")</f>
        <v/>
      </c>
      <c r="AG395" s="9" t="str">
        <f aca="false">IF($AK395=0,"",INDEX('Part types'!$V:$V,$AK395)&amp;"")</f>
        <v>Estimate: item-specific</v>
      </c>
      <c r="AH395" s="9" t="str">
        <f aca="false">IF($AK395=0,"",INDEX('Part types'!$W:$W,$AK395)&amp;"")</f>
        <v>Sway Bar</v>
      </c>
      <c r="AI395" s="11" t="str">
        <f aca="false">IF($AK395=0,"",INDEX('Part types'!$X:$X,$AK395)&amp;"")</f>
        <v>ستابلايزر</v>
      </c>
      <c r="AJ395" s="9" t="str">
        <f aca="false">IF($AK395=0,"",INDEX('Part types'!$Y:$Y,$AK395)&amp;"")</f>
        <v/>
      </c>
      <c r="AK395" s="9" t="n">
        <f aca="false">IFERROR(MATCH($AD395,'Part types'!$E:$E,0),0)</f>
        <v>285</v>
      </c>
    </row>
    <row r="396" customFormat="false" ht="15" hidden="false" customHeight="false" outlineLevel="0" collapsed="false">
      <c r="A396" s="9" t="s">
        <v>1773</v>
      </c>
      <c r="B396" s="9" t="s">
        <v>1720</v>
      </c>
      <c r="C396" s="9" t="s">
        <v>1774</v>
      </c>
      <c r="D396" s="9" t="str">
        <f aca="false">C396&amp;" - "&amp;E396</f>
        <v>Stabilizer Bar Link - Front-Left</v>
      </c>
      <c r="E396" s="9" t="s">
        <v>1346</v>
      </c>
      <c r="F396" s="9" t="s">
        <v>1612</v>
      </c>
      <c r="G396" s="10" t="n">
        <f aca="false">IF($AK396=0,"",INDEX('Part types'!$P:$P,$AK396))</f>
        <v>15</v>
      </c>
      <c r="H396" s="10" t="n">
        <f aca="false">IF($AK396=0,"",INDEX('Part types'!$Q:$Q,$AK396))</f>
        <v>10</v>
      </c>
      <c r="I396" s="10" t="n">
        <f aca="false">IF($AK396=0,"",INDEX('Part types'!$R:$R,$AK396))</f>
        <v>8</v>
      </c>
      <c r="J396" s="10" t="n">
        <f aca="false">IF($AK396=0,"",INDEX('Part types'!$S:$S,$AK396))</f>
        <v>0.3</v>
      </c>
      <c r="K396" s="11" t="s">
        <v>1722</v>
      </c>
      <c r="L396" s="11" t="s">
        <v>1775</v>
      </c>
      <c r="M396" s="11" t="str">
        <f aca="false">L396&amp;" - "&amp;N396</f>
        <v>وصلة بار التوازن - أمامي يسار</v>
      </c>
      <c r="N396" s="11" t="s">
        <v>1349</v>
      </c>
      <c r="O396" s="11" t="s">
        <v>1615</v>
      </c>
      <c r="P396" s="10" t="n">
        <f aca="false">G396</f>
        <v>15</v>
      </c>
      <c r="Q396" s="10" t="n">
        <f aca="false">H396</f>
        <v>10</v>
      </c>
      <c r="R396" s="10" t="n">
        <f aca="false">I396</f>
        <v>8</v>
      </c>
      <c r="S396" s="10" t="n">
        <f aca="false">J396</f>
        <v>0.3</v>
      </c>
      <c r="T396" s="12" t="s">
        <v>1724</v>
      </c>
      <c r="U396" s="12" t="s">
        <v>1776</v>
      </c>
      <c r="V396" s="9" t="str">
        <f aca="false">U396&amp;" - "&amp;W396</f>
        <v>稳定杆连杆 - 前左</v>
      </c>
      <c r="W396" s="12" t="s">
        <v>1352</v>
      </c>
      <c r="X396" s="12" t="s">
        <v>1618</v>
      </c>
      <c r="Y396" s="10" t="n">
        <f aca="false">G396</f>
        <v>15</v>
      </c>
      <c r="Z396" s="10" t="n">
        <f aca="false">H396</f>
        <v>10</v>
      </c>
      <c r="AA396" s="10" t="n">
        <f aca="false">I396</f>
        <v>8</v>
      </c>
      <c r="AB396" s="10" t="n">
        <f aca="false">J396</f>
        <v>0.3</v>
      </c>
      <c r="AC396" s="9" t="s">
        <v>1726</v>
      </c>
      <c r="AD396" s="9" t="s">
        <v>1777</v>
      </c>
      <c r="AE396" s="9" t="str">
        <f aca="false">IF($AK396=0,"",INDEX('Part types'!$T:$T,$AK396)&amp;"")</f>
        <v>All vehicles</v>
      </c>
      <c r="AF396" s="9" t="str">
        <f aca="false">IF($AK396=0,"",INDEX('Part types'!$U:$U,$AK396)&amp;"")</f>
        <v/>
      </c>
      <c r="AG396" s="9" t="str">
        <f aca="false">IF($AK396=0,"",INDEX('Part types'!$V:$V,$AK396)&amp;"")</f>
        <v>Estimate: size class S</v>
      </c>
      <c r="AH396" s="9" t="str">
        <f aca="false">IF($AK396=0,"",INDEX('Part types'!$W:$W,$AK396)&amp;"")</f>
        <v/>
      </c>
      <c r="AI396" s="11" t="str">
        <f aca="false">IF($AK396=0,"",INDEX('Part types'!$X:$X,$AK396)&amp;"")</f>
        <v>سيخ</v>
      </c>
      <c r="AJ396" s="9" t="str">
        <f aca="false">IF($AK396=0,"",INDEX('Part types'!$Y:$Y,$AK396)&amp;"")</f>
        <v/>
      </c>
      <c r="AK396" s="9" t="n">
        <f aca="false">IFERROR(MATCH($AD396,'Part types'!$E:$E,0),0)</f>
        <v>286</v>
      </c>
    </row>
    <row r="397" customFormat="false" ht="15" hidden="false" customHeight="false" outlineLevel="0" collapsed="false">
      <c r="A397" s="9" t="s">
        <v>1778</v>
      </c>
      <c r="B397" s="9" t="s">
        <v>1720</v>
      </c>
      <c r="C397" s="9" t="s">
        <v>1774</v>
      </c>
      <c r="D397" s="9" t="str">
        <f aca="false">C397&amp;" - "&amp;E397</f>
        <v>Stabilizer Bar Link - Front-Right</v>
      </c>
      <c r="E397" s="9" t="s">
        <v>1356</v>
      </c>
      <c r="F397" s="9" t="s">
        <v>1612</v>
      </c>
      <c r="G397" s="10" t="n">
        <f aca="false">IF($AK397=0,"",INDEX('Part types'!$P:$P,$AK397))</f>
        <v>15</v>
      </c>
      <c r="H397" s="10" t="n">
        <f aca="false">IF($AK397=0,"",INDEX('Part types'!$Q:$Q,$AK397))</f>
        <v>10</v>
      </c>
      <c r="I397" s="10" t="n">
        <f aca="false">IF($AK397=0,"",INDEX('Part types'!$R:$R,$AK397))</f>
        <v>8</v>
      </c>
      <c r="J397" s="10" t="n">
        <f aca="false">IF($AK397=0,"",INDEX('Part types'!$S:$S,$AK397))</f>
        <v>0.3</v>
      </c>
      <c r="K397" s="11" t="s">
        <v>1722</v>
      </c>
      <c r="L397" s="11" t="s">
        <v>1775</v>
      </c>
      <c r="M397" s="11" t="str">
        <f aca="false">L397&amp;" - "&amp;N397</f>
        <v>وصلة بار التوازن - أمامي يمين</v>
      </c>
      <c r="N397" s="11" t="s">
        <v>1357</v>
      </c>
      <c r="O397" s="11" t="s">
        <v>1615</v>
      </c>
      <c r="P397" s="10" t="n">
        <f aca="false">G397</f>
        <v>15</v>
      </c>
      <c r="Q397" s="10" t="n">
        <f aca="false">H397</f>
        <v>10</v>
      </c>
      <c r="R397" s="10" t="n">
        <f aca="false">I397</f>
        <v>8</v>
      </c>
      <c r="S397" s="10" t="n">
        <f aca="false">J397</f>
        <v>0.3</v>
      </c>
      <c r="T397" s="12" t="s">
        <v>1724</v>
      </c>
      <c r="U397" s="12" t="s">
        <v>1776</v>
      </c>
      <c r="V397" s="9" t="str">
        <f aca="false">U397&amp;" - "&amp;W397</f>
        <v>稳定杆连杆 - 前右</v>
      </c>
      <c r="W397" s="12" t="s">
        <v>1358</v>
      </c>
      <c r="X397" s="12" t="s">
        <v>1618</v>
      </c>
      <c r="Y397" s="10" t="n">
        <f aca="false">G397</f>
        <v>15</v>
      </c>
      <c r="Z397" s="10" t="n">
        <f aca="false">H397</f>
        <v>10</v>
      </c>
      <c r="AA397" s="10" t="n">
        <f aca="false">I397</f>
        <v>8</v>
      </c>
      <c r="AB397" s="10" t="n">
        <f aca="false">J397</f>
        <v>0.3</v>
      </c>
      <c r="AC397" s="9" t="s">
        <v>1726</v>
      </c>
      <c r="AD397" s="9" t="s">
        <v>1777</v>
      </c>
      <c r="AE397" s="9" t="str">
        <f aca="false">IF($AK397=0,"",INDEX('Part types'!$T:$T,$AK397)&amp;"")</f>
        <v>All vehicles</v>
      </c>
      <c r="AF397" s="9" t="str">
        <f aca="false">IF($AK397=0,"",INDEX('Part types'!$U:$U,$AK397)&amp;"")</f>
        <v/>
      </c>
      <c r="AG397" s="9" t="str">
        <f aca="false">IF($AK397=0,"",INDEX('Part types'!$V:$V,$AK397)&amp;"")</f>
        <v>Estimate: size class S</v>
      </c>
      <c r="AH397" s="9" t="str">
        <f aca="false">IF($AK397=0,"",INDEX('Part types'!$W:$W,$AK397)&amp;"")</f>
        <v/>
      </c>
      <c r="AI397" s="11" t="str">
        <f aca="false">IF($AK397=0,"",INDEX('Part types'!$X:$X,$AK397)&amp;"")</f>
        <v>سيخ</v>
      </c>
      <c r="AJ397" s="9" t="str">
        <f aca="false">IF($AK397=0,"",INDEX('Part types'!$Y:$Y,$AK397)&amp;"")</f>
        <v/>
      </c>
      <c r="AK397" s="9" t="n">
        <f aca="false">IFERROR(MATCH($AD397,'Part types'!$E:$E,0),0)</f>
        <v>286</v>
      </c>
    </row>
    <row r="398" customFormat="false" ht="15" hidden="false" customHeight="false" outlineLevel="0" collapsed="false">
      <c r="A398" s="9" t="s">
        <v>1779</v>
      </c>
      <c r="B398" s="9" t="s">
        <v>1720</v>
      </c>
      <c r="C398" s="9" t="s">
        <v>1774</v>
      </c>
      <c r="D398" s="9" t="str">
        <f aca="false">C398&amp;" - "&amp;E398</f>
        <v>Stabilizer Bar Link - Rear-Left</v>
      </c>
      <c r="E398" s="9" t="s">
        <v>1360</v>
      </c>
      <c r="F398" s="9" t="s">
        <v>1612</v>
      </c>
      <c r="G398" s="10" t="n">
        <f aca="false">IF($AK398=0,"",INDEX('Part types'!$P:$P,$AK398))</f>
        <v>15</v>
      </c>
      <c r="H398" s="10" t="n">
        <f aca="false">IF($AK398=0,"",INDEX('Part types'!$Q:$Q,$AK398))</f>
        <v>10</v>
      </c>
      <c r="I398" s="10" t="n">
        <f aca="false">IF($AK398=0,"",INDEX('Part types'!$R:$R,$AK398))</f>
        <v>8</v>
      </c>
      <c r="J398" s="10" t="n">
        <f aca="false">IF($AK398=0,"",INDEX('Part types'!$S:$S,$AK398))</f>
        <v>0.3</v>
      </c>
      <c r="K398" s="11" t="s">
        <v>1722</v>
      </c>
      <c r="L398" s="11" t="s">
        <v>1775</v>
      </c>
      <c r="M398" s="11" t="str">
        <f aca="false">L398&amp;" - "&amp;N398</f>
        <v>وصلة بار التوازن - خلفي يسار</v>
      </c>
      <c r="N398" s="11" t="s">
        <v>1361</v>
      </c>
      <c r="O398" s="11" t="s">
        <v>1615</v>
      </c>
      <c r="P398" s="10" t="n">
        <f aca="false">G398</f>
        <v>15</v>
      </c>
      <c r="Q398" s="10" t="n">
        <f aca="false">H398</f>
        <v>10</v>
      </c>
      <c r="R398" s="10" t="n">
        <f aca="false">I398</f>
        <v>8</v>
      </c>
      <c r="S398" s="10" t="n">
        <f aca="false">J398</f>
        <v>0.3</v>
      </c>
      <c r="T398" s="12" t="s">
        <v>1724</v>
      </c>
      <c r="U398" s="12" t="s">
        <v>1776</v>
      </c>
      <c r="V398" s="9" t="str">
        <f aca="false">U398&amp;" - "&amp;W398</f>
        <v>稳定杆连杆 - 后左</v>
      </c>
      <c r="W398" s="12" t="s">
        <v>1362</v>
      </c>
      <c r="X398" s="12" t="s">
        <v>1618</v>
      </c>
      <c r="Y398" s="10" t="n">
        <f aca="false">G398</f>
        <v>15</v>
      </c>
      <c r="Z398" s="10" t="n">
        <f aca="false">H398</f>
        <v>10</v>
      </c>
      <c r="AA398" s="10" t="n">
        <f aca="false">I398</f>
        <v>8</v>
      </c>
      <c r="AB398" s="10" t="n">
        <f aca="false">J398</f>
        <v>0.3</v>
      </c>
      <c r="AC398" s="9" t="s">
        <v>1726</v>
      </c>
      <c r="AD398" s="9" t="s">
        <v>1777</v>
      </c>
      <c r="AE398" s="9" t="str">
        <f aca="false">IF($AK398=0,"",INDEX('Part types'!$T:$T,$AK398)&amp;"")</f>
        <v>All vehicles</v>
      </c>
      <c r="AF398" s="9" t="str">
        <f aca="false">IF($AK398=0,"",INDEX('Part types'!$U:$U,$AK398)&amp;"")</f>
        <v/>
      </c>
      <c r="AG398" s="9" t="str">
        <f aca="false">IF($AK398=0,"",INDEX('Part types'!$V:$V,$AK398)&amp;"")</f>
        <v>Estimate: size class S</v>
      </c>
      <c r="AH398" s="9" t="str">
        <f aca="false">IF($AK398=0,"",INDEX('Part types'!$W:$W,$AK398)&amp;"")</f>
        <v/>
      </c>
      <c r="AI398" s="11" t="str">
        <f aca="false">IF($AK398=0,"",INDEX('Part types'!$X:$X,$AK398)&amp;"")</f>
        <v>سيخ</v>
      </c>
      <c r="AJ398" s="9" t="str">
        <f aca="false">IF($AK398=0,"",INDEX('Part types'!$Y:$Y,$AK398)&amp;"")</f>
        <v/>
      </c>
      <c r="AK398" s="9" t="n">
        <f aca="false">IFERROR(MATCH($AD398,'Part types'!$E:$E,0),0)</f>
        <v>286</v>
      </c>
    </row>
    <row r="399" customFormat="false" ht="15" hidden="false" customHeight="false" outlineLevel="0" collapsed="false">
      <c r="A399" s="9" t="s">
        <v>1780</v>
      </c>
      <c r="B399" s="9" t="s">
        <v>1720</v>
      </c>
      <c r="C399" s="9" t="s">
        <v>1774</v>
      </c>
      <c r="D399" s="9" t="str">
        <f aca="false">C399&amp;" - "&amp;E399</f>
        <v>Stabilizer Bar Link - Rear-Right</v>
      </c>
      <c r="E399" s="9" t="s">
        <v>1364</v>
      </c>
      <c r="F399" s="9" t="s">
        <v>1612</v>
      </c>
      <c r="G399" s="10" t="n">
        <f aca="false">IF($AK399=0,"",INDEX('Part types'!$P:$P,$AK399))</f>
        <v>15</v>
      </c>
      <c r="H399" s="10" t="n">
        <f aca="false">IF($AK399=0,"",INDEX('Part types'!$Q:$Q,$AK399))</f>
        <v>10</v>
      </c>
      <c r="I399" s="10" t="n">
        <f aca="false">IF($AK399=0,"",INDEX('Part types'!$R:$R,$AK399))</f>
        <v>8</v>
      </c>
      <c r="J399" s="10" t="n">
        <f aca="false">IF($AK399=0,"",INDEX('Part types'!$S:$S,$AK399))</f>
        <v>0.3</v>
      </c>
      <c r="K399" s="11" t="s">
        <v>1722</v>
      </c>
      <c r="L399" s="11" t="s">
        <v>1775</v>
      </c>
      <c r="M399" s="11" t="str">
        <f aca="false">L399&amp;" - "&amp;N399</f>
        <v>وصلة بار التوازن - خلفي يمين</v>
      </c>
      <c r="N399" s="11" t="s">
        <v>1365</v>
      </c>
      <c r="O399" s="11" t="s">
        <v>1615</v>
      </c>
      <c r="P399" s="10" t="n">
        <f aca="false">G399</f>
        <v>15</v>
      </c>
      <c r="Q399" s="10" t="n">
        <f aca="false">H399</f>
        <v>10</v>
      </c>
      <c r="R399" s="10" t="n">
        <f aca="false">I399</f>
        <v>8</v>
      </c>
      <c r="S399" s="10" t="n">
        <f aca="false">J399</f>
        <v>0.3</v>
      </c>
      <c r="T399" s="12" t="s">
        <v>1724</v>
      </c>
      <c r="U399" s="12" t="s">
        <v>1776</v>
      </c>
      <c r="V399" s="9" t="str">
        <f aca="false">U399&amp;" - "&amp;W399</f>
        <v>稳定杆连杆 - 后右</v>
      </c>
      <c r="W399" s="12" t="s">
        <v>1366</v>
      </c>
      <c r="X399" s="12" t="s">
        <v>1618</v>
      </c>
      <c r="Y399" s="10" t="n">
        <f aca="false">G399</f>
        <v>15</v>
      </c>
      <c r="Z399" s="10" t="n">
        <f aca="false">H399</f>
        <v>10</v>
      </c>
      <c r="AA399" s="10" t="n">
        <f aca="false">I399</f>
        <v>8</v>
      </c>
      <c r="AB399" s="10" t="n">
        <f aca="false">J399</f>
        <v>0.3</v>
      </c>
      <c r="AC399" s="9" t="s">
        <v>1726</v>
      </c>
      <c r="AD399" s="9" t="s">
        <v>1777</v>
      </c>
      <c r="AE399" s="9" t="str">
        <f aca="false">IF($AK399=0,"",INDEX('Part types'!$T:$T,$AK399)&amp;"")</f>
        <v>All vehicles</v>
      </c>
      <c r="AF399" s="9" t="str">
        <f aca="false">IF($AK399=0,"",INDEX('Part types'!$U:$U,$AK399)&amp;"")</f>
        <v/>
      </c>
      <c r="AG399" s="9" t="str">
        <f aca="false">IF($AK399=0,"",INDEX('Part types'!$V:$V,$AK399)&amp;"")</f>
        <v>Estimate: size class S</v>
      </c>
      <c r="AH399" s="9" t="str">
        <f aca="false">IF($AK399=0,"",INDEX('Part types'!$W:$W,$AK399)&amp;"")</f>
        <v/>
      </c>
      <c r="AI399" s="11" t="str">
        <f aca="false">IF($AK399=0,"",INDEX('Part types'!$X:$X,$AK399)&amp;"")</f>
        <v>سيخ</v>
      </c>
      <c r="AJ399" s="9" t="str">
        <f aca="false">IF($AK399=0,"",INDEX('Part types'!$Y:$Y,$AK399)&amp;"")</f>
        <v/>
      </c>
      <c r="AK399" s="9" t="n">
        <f aca="false">IFERROR(MATCH($AD399,'Part types'!$E:$E,0),0)</f>
        <v>286</v>
      </c>
    </row>
    <row r="400" customFormat="false" ht="15" hidden="false" customHeight="false" outlineLevel="0" collapsed="false">
      <c r="A400" s="9" t="s">
        <v>1781</v>
      </c>
      <c r="B400" s="9" t="s">
        <v>1720</v>
      </c>
      <c r="C400" s="9" t="s">
        <v>1782</v>
      </c>
      <c r="D400" s="9" t="str">
        <f aca="false">C400&amp;" - "&amp;E400</f>
        <v>Stabilizer Bar Bushing - Front</v>
      </c>
      <c r="E400" s="9" t="s">
        <v>161</v>
      </c>
      <c r="F400" s="9" t="s">
        <v>1612</v>
      </c>
      <c r="G400" s="10" t="n">
        <f aca="false">IF($AK400=0,"",INDEX('Part types'!$P:$P,$AK400))</f>
        <v>10</v>
      </c>
      <c r="H400" s="10" t="n">
        <f aca="false">IF($AK400=0,"",INDEX('Part types'!$Q:$Q,$AK400))</f>
        <v>8</v>
      </c>
      <c r="I400" s="10" t="n">
        <f aca="false">IF($AK400=0,"",INDEX('Part types'!$R:$R,$AK400))</f>
        <v>6</v>
      </c>
      <c r="J400" s="10" t="n">
        <f aca="false">IF($AK400=0,"",INDEX('Part types'!$S:$S,$AK400))</f>
        <v>0.1</v>
      </c>
      <c r="K400" s="11" t="s">
        <v>1722</v>
      </c>
      <c r="L400" s="11" t="s">
        <v>1783</v>
      </c>
      <c r="M400" s="11" t="str">
        <f aca="false">L400&amp;" - "&amp;N400</f>
        <v>بوشة بار التوازن - أمامي</v>
      </c>
      <c r="N400" s="11" t="s">
        <v>163</v>
      </c>
      <c r="O400" s="11" t="s">
        <v>1615</v>
      </c>
      <c r="P400" s="10" t="n">
        <f aca="false">G400</f>
        <v>10</v>
      </c>
      <c r="Q400" s="10" t="n">
        <f aca="false">H400</f>
        <v>8</v>
      </c>
      <c r="R400" s="10" t="n">
        <f aca="false">I400</f>
        <v>6</v>
      </c>
      <c r="S400" s="10" t="n">
        <f aca="false">J400</f>
        <v>0.1</v>
      </c>
      <c r="T400" s="12" t="s">
        <v>1724</v>
      </c>
      <c r="U400" s="12" t="s">
        <v>1784</v>
      </c>
      <c r="V400" s="9" t="str">
        <f aca="false">U400&amp;" - "&amp;W400</f>
        <v>稳定杆衬套 - 前部</v>
      </c>
      <c r="W400" s="12" t="s">
        <v>165</v>
      </c>
      <c r="X400" s="12" t="s">
        <v>1618</v>
      </c>
      <c r="Y400" s="10" t="n">
        <f aca="false">G400</f>
        <v>10</v>
      </c>
      <c r="Z400" s="10" t="n">
        <f aca="false">H400</f>
        <v>8</v>
      </c>
      <c r="AA400" s="10" t="n">
        <f aca="false">I400</f>
        <v>6</v>
      </c>
      <c r="AB400" s="10" t="n">
        <f aca="false">J400</f>
        <v>0.1</v>
      </c>
      <c r="AC400" s="9" t="s">
        <v>1726</v>
      </c>
      <c r="AD400" s="9" t="s">
        <v>1785</v>
      </c>
      <c r="AE400" s="9" t="str">
        <f aca="false">IF($AK400=0,"",INDEX('Part types'!$T:$T,$AK400)&amp;"")</f>
        <v>All vehicles</v>
      </c>
      <c r="AF400" s="9" t="str">
        <f aca="false">IF($AK400=0,"",INDEX('Part types'!$U:$U,$AK400)&amp;"")</f>
        <v/>
      </c>
      <c r="AG400" s="9" t="str">
        <f aca="false">IF($AK400=0,"",INDEX('Part types'!$V:$V,$AK400)&amp;"")</f>
        <v>Estimate: size class XS</v>
      </c>
      <c r="AH400" s="9" t="str">
        <f aca="false">IF($AK400=0,"",INDEX('Part types'!$W:$W,$AK400)&amp;"")</f>
        <v/>
      </c>
      <c r="AI400" s="11" t="str">
        <f aca="false">IF($AK400=0,"",INDEX('Part types'!$X:$X,$AK400)&amp;"")</f>
        <v/>
      </c>
      <c r="AJ400" s="9" t="str">
        <f aca="false">IF($AK400=0,"",INDEX('Part types'!$Y:$Y,$AK400)&amp;"")</f>
        <v/>
      </c>
      <c r="AK400" s="9" t="n">
        <f aca="false">IFERROR(MATCH($AD400,'Part types'!$E:$E,0),0)</f>
        <v>287</v>
      </c>
    </row>
    <row r="401" customFormat="false" ht="15" hidden="false" customHeight="false" outlineLevel="0" collapsed="false">
      <c r="A401" s="9" t="s">
        <v>1786</v>
      </c>
      <c r="B401" s="9" t="s">
        <v>1720</v>
      </c>
      <c r="C401" s="9" t="s">
        <v>1782</v>
      </c>
      <c r="D401" s="9" t="str">
        <f aca="false">C401&amp;" - "&amp;E401</f>
        <v>Stabilizer Bar Bushing - Rear</v>
      </c>
      <c r="E401" s="9" t="s">
        <v>168</v>
      </c>
      <c r="F401" s="9" t="s">
        <v>1612</v>
      </c>
      <c r="G401" s="10" t="n">
        <f aca="false">IF($AK401=0,"",INDEX('Part types'!$P:$P,$AK401))</f>
        <v>10</v>
      </c>
      <c r="H401" s="10" t="n">
        <f aca="false">IF($AK401=0,"",INDEX('Part types'!$Q:$Q,$AK401))</f>
        <v>8</v>
      </c>
      <c r="I401" s="10" t="n">
        <f aca="false">IF($AK401=0,"",INDEX('Part types'!$R:$R,$AK401))</f>
        <v>6</v>
      </c>
      <c r="J401" s="10" t="n">
        <f aca="false">IF($AK401=0,"",INDEX('Part types'!$S:$S,$AK401))</f>
        <v>0.1</v>
      </c>
      <c r="K401" s="11" t="s">
        <v>1722</v>
      </c>
      <c r="L401" s="11" t="s">
        <v>1783</v>
      </c>
      <c r="M401" s="11" t="str">
        <f aca="false">L401&amp;" - "&amp;N401</f>
        <v>بوشة بار التوازن - خلفي</v>
      </c>
      <c r="N401" s="11" t="s">
        <v>169</v>
      </c>
      <c r="O401" s="11" t="s">
        <v>1615</v>
      </c>
      <c r="P401" s="10" t="n">
        <f aca="false">G401</f>
        <v>10</v>
      </c>
      <c r="Q401" s="10" t="n">
        <f aca="false">H401</f>
        <v>8</v>
      </c>
      <c r="R401" s="10" t="n">
        <f aca="false">I401</f>
        <v>6</v>
      </c>
      <c r="S401" s="10" t="n">
        <f aca="false">J401</f>
        <v>0.1</v>
      </c>
      <c r="T401" s="12" t="s">
        <v>1724</v>
      </c>
      <c r="U401" s="12" t="s">
        <v>1784</v>
      </c>
      <c r="V401" s="9" t="str">
        <f aca="false">U401&amp;" - "&amp;W401</f>
        <v>稳定杆衬套 - 后部</v>
      </c>
      <c r="W401" s="12" t="s">
        <v>170</v>
      </c>
      <c r="X401" s="12" t="s">
        <v>1618</v>
      </c>
      <c r="Y401" s="10" t="n">
        <f aca="false">G401</f>
        <v>10</v>
      </c>
      <c r="Z401" s="10" t="n">
        <f aca="false">H401</f>
        <v>8</v>
      </c>
      <c r="AA401" s="10" t="n">
        <f aca="false">I401</f>
        <v>6</v>
      </c>
      <c r="AB401" s="10" t="n">
        <f aca="false">J401</f>
        <v>0.1</v>
      </c>
      <c r="AC401" s="9" t="s">
        <v>1726</v>
      </c>
      <c r="AD401" s="9" t="s">
        <v>1785</v>
      </c>
      <c r="AE401" s="9" t="str">
        <f aca="false">IF($AK401=0,"",INDEX('Part types'!$T:$T,$AK401)&amp;"")</f>
        <v>All vehicles</v>
      </c>
      <c r="AF401" s="9" t="str">
        <f aca="false">IF($AK401=0,"",INDEX('Part types'!$U:$U,$AK401)&amp;"")</f>
        <v/>
      </c>
      <c r="AG401" s="9" t="str">
        <f aca="false">IF($AK401=0,"",INDEX('Part types'!$V:$V,$AK401)&amp;"")</f>
        <v>Estimate: size class XS</v>
      </c>
      <c r="AH401" s="9" t="str">
        <f aca="false">IF($AK401=0,"",INDEX('Part types'!$W:$W,$AK401)&amp;"")</f>
        <v/>
      </c>
      <c r="AI401" s="11" t="str">
        <f aca="false">IF($AK401=0,"",INDEX('Part types'!$X:$X,$AK401)&amp;"")</f>
        <v/>
      </c>
      <c r="AJ401" s="9" t="str">
        <f aca="false">IF($AK401=0,"",INDEX('Part types'!$Y:$Y,$AK401)&amp;"")</f>
        <v/>
      </c>
      <c r="AK401" s="9" t="n">
        <f aca="false">IFERROR(MATCH($AD401,'Part types'!$E:$E,0),0)</f>
        <v>287</v>
      </c>
    </row>
    <row r="402" customFormat="false" ht="15" hidden="false" customHeight="false" outlineLevel="0" collapsed="false">
      <c r="A402" s="9" t="s">
        <v>1787</v>
      </c>
      <c r="B402" s="9" t="s">
        <v>1720</v>
      </c>
      <c r="C402" s="9" t="s">
        <v>1788</v>
      </c>
      <c r="D402" s="9" t="str">
        <f aca="false">C402&amp;" - "&amp;E402</f>
        <v>Subframe - Front</v>
      </c>
      <c r="E402" s="9" t="s">
        <v>161</v>
      </c>
      <c r="F402" s="9" t="s">
        <v>237</v>
      </c>
      <c r="G402" s="10" t="n">
        <f aca="false">IF($AK402=0,"",INDEX('Part types'!$P:$P,$AK402))</f>
        <v>100</v>
      </c>
      <c r="H402" s="10" t="n">
        <f aca="false">IF($AK402=0,"",INDEX('Part types'!$Q:$Q,$AK402))</f>
        <v>60</v>
      </c>
      <c r="I402" s="10" t="n">
        <f aca="false">IF($AK402=0,"",INDEX('Part types'!$R:$R,$AK402))</f>
        <v>20</v>
      </c>
      <c r="J402" s="10" t="n">
        <f aca="false">IF($AK402=0,"",INDEX('Part types'!$S:$S,$AK402))</f>
        <v>20</v>
      </c>
      <c r="K402" s="11" t="s">
        <v>1722</v>
      </c>
      <c r="L402" s="11" t="s">
        <v>1789</v>
      </c>
      <c r="M402" s="11" t="str">
        <f aca="false">L402&amp;" - "&amp;N402</f>
        <v>الشاسيه الفرعي - أمامي</v>
      </c>
      <c r="N402" s="11" t="s">
        <v>163</v>
      </c>
      <c r="O402" s="11" t="s">
        <v>239</v>
      </c>
      <c r="P402" s="10" t="n">
        <f aca="false">G402</f>
        <v>100</v>
      </c>
      <c r="Q402" s="10" t="n">
        <f aca="false">H402</f>
        <v>60</v>
      </c>
      <c r="R402" s="10" t="n">
        <f aca="false">I402</f>
        <v>20</v>
      </c>
      <c r="S402" s="10" t="n">
        <f aca="false">J402</f>
        <v>20</v>
      </c>
      <c r="T402" s="12" t="s">
        <v>1724</v>
      </c>
      <c r="U402" s="12" t="s">
        <v>1790</v>
      </c>
      <c r="V402" s="9" t="str">
        <f aca="false">U402&amp;" - "&amp;W402</f>
        <v>副车架 - 前部</v>
      </c>
      <c r="W402" s="12" t="s">
        <v>165</v>
      </c>
      <c r="X402" s="12" t="s">
        <v>241</v>
      </c>
      <c r="Y402" s="10" t="n">
        <f aca="false">G402</f>
        <v>100</v>
      </c>
      <c r="Z402" s="10" t="n">
        <f aca="false">H402</f>
        <v>60</v>
      </c>
      <c r="AA402" s="10" t="n">
        <f aca="false">I402</f>
        <v>20</v>
      </c>
      <c r="AB402" s="10" t="n">
        <f aca="false">J402</f>
        <v>20</v>
      </c>
      <c r="AC402" s="9" t="s">
        <v>1726</v>
      </c>
      <c r="AD402" s="9" t="s">
        <v>1791</v>
      </c>
      <c r="AE402" s="9" t="str">
        <f aca="false">IF($AK402=0,"",INDEX('Part types'!$T:$T,$AK402)&amp;"")</f>
        <v>All vehicles</v>
      </c>
      <c r="AF402" s="9" t="str">
        <f aca="false">IF($AK402=0,"",INDEX('Part types'!$U:$U,$AK402)&amp;"")</f>
        <v/>
      </c>
      <c r="AG402" s="9" t="str">
        <f aca="false">IF($AK402=0,"",INDEX('Part types'!$V:$V,$AK402)&amp;"")</f>
        <v>Estimate: item-specific</v>
      </c>
      <c r="AH402" s="9" t="str">
        <f aca="false">IF($AK402=0,"",INDEX('Part types'!$W:$W,$AK402)&amp;"")</f>
        <v>Crossmember</v>
      </c>
      <c r="AI402" s="11" t="str">
        <f aca="false">IF($AK402=0,"",INDEX('Part types'!$X:$X,$AK402)&amp;"")</f>
        <v>كرسي المحرك</v>
      </c>
      <c r="AJ402" s="9" t="str">
        <f aca="false">IF($AK402=0,"",INDEX('Part types'!$Y:$Y,$AK402)&amp;"")</f>
        <v/>
      </c>
      <c r="AK402" s="9" t="n">
        <f aca="false">IFERROR(MATCH($AD402,'Part types'!$E:$E,0),0)</f>
        <v>288</v>
      </c>
    </row>
    <row r="403" customFormat="false" ht="15" hidden="false" customHeight="false" outlineLevel="0" collapsed="false">
      <c r="A403" s="9" t="s">
        <v>1792</v>
      </c>
      <c r="B403" s="9" t="s">
        <v>1720</v>
      </c>
      <c r="C403" s="9" t="s">
        <v>1788</v>
      </c>
      <c r="D403" s="9" t="str">
        <f aca="false">C403&amp;" - "&amp;E403</f>
        <v>Subframe - Rear</v>
      </c>
      <c r="E403" s="9" t="s">
        <v>168</v>
      </c>
      <c r="F403" s="9" t="s">
        <v>237</v>
      </c>
      <c r="G403" s="10" t="n">
        <f aca="false">IF($AK403=0,"",INDEX('Part types'!$P:$P,$AK403))</f>
        <v>100</v>
      </c>
      <c r="H403" s="10" t="n">
        <f aca="false">IF($AK403=0,"",INDEX('Part types'!$Q:$Q,$AK403))</f>
        <v>60</v>
      </c>
      <c r="I403" s="10" t="n">
        <f aca="false">IF($AK403=0,"",INDEX('Part types'!$R:$R,$AK403))</f>
        <v>20</v>
      </c>
      <c r="J403" s="10" t="n">
        <f aca="false">IF($AK403=0,"",INDEX('Part types'!$S:$S,$AK403))</f>
        <v>20</v>
      </c>
      <c r="K403" s="11" t="s">
        <v>1722</v>
      </c>
      <c r="L403" s="11" t="s">
        <v>1789</v>
      </c>
      <c r="M403" s="11" t="str">
        <f aca="false">L403&amp;" - "&amp;N403</f>
        <v>الشاسيه الفرعي - خلفي</v>
      </c>
      <c r="N403" s="11" t="s">
        <v>169</v>
      </c>
      <c r="O403" s="11" t="s">
        <v>239</v>
      </c>
      <c r="P403" s="10" t="n">
        <f aca="false">G403</f>
        <v>100</v>
      </c>
      <c r="Q403" s="10" t="n">
        <f aca="false">H403</f>
        <v>60</v>
      </c>
      <c r="R403" s="10" t="n">
        <f aca="false">I403</f>
        <v>20</v>
      </c>
      <c r="S403" s="10" t="n">
        <f aca="false">J403</f>
        <v>20</v>
      </c>
      <c r="T403" s="12" t="s">
        <v>1724</v>
      </c>
      <c r="U403" s="12" t="s">
        <v>1790</v>
      </c>
      <c r="V403" s="9" t="str">
        <f aca="false">U403&amp;" - "&amp;W403</f>
        <v>副车架 - 后部</v>
      </c>
      <c r="W403" s="12" t="s">
        <v>170</v>
      </c>
      <c r="X403" s="12" t="s">
        <v>241</v>
      </c>
      <c r="Y403" s="10" t="n">
        <f aca="false">G403</f>
        <v>100</v>
      </c>
      <c r="Z403" s="10" t="n">
        <f aca="false">H403</f>
        <v>60</v>
      </c>
      <c r="AA403" s="10" t="n">
        <f aca="false">I403</f>
        <v>20</v>
      </c>
      <c r="AB403" s="10" t="n">
        <f aca="false">J403</f>
        <v>20</v>
      </c>
      <c r="AC403" s="9" t="s">
        <v>1726</v>
      </c>
      <c r="AD403" s="9" t="s">
        <v>1791</v>
      </c>
      <c r="AE403" s="9" t="str">
        <f aca="false">IF($AK403=0,"",INDEX('Part types'!$T:$T,$AK403)&amp;"")</f>
        <v>All vehicles</v>
      </c>
      <c r="AF403" s="9" t="str">
        <f aca="false">IF($AK403=0,"",INDEX('Part types'!$U:$U,$AK403)&amp;"")</f>
        <v/>
      </c>
      <c r="AG403" s="9" t="str">
        <f aca="false">IF($AK403=0,"",INDEX('Part types'!$V:$V,$AK403)&amp;"")</f>
        <v>Estimate: item-specific</v>
      </c>
      <c r="AH403" s="9" t="str">
        <f aca="false">IF($AK403=0,"",INDEX('Part types'!$W:$W,$AK403)&amp;"")</f>
        <v>Crossmember</v>
      </c>
      <c r="AI403" s="11" t="str">
        <f aca="false">IF($AK403=0,"",INDEX('Part types'!$X:$X,$AK403)&amp;"")</f>
        <v>كرسي المحرك</v>
      </c>
      <c r="AJ403" s="9" t="str">
        <f aca="false">IF($AK403=0,"",INDEX('Part types'!$Y:$Y,$AK403)&amp;"")</f>
        <v/>
      </c>
      <c r="AK403" s="9" t="n">
        <f aca="false">IFERROR(MATCH($AD403,'Part types'!$E:$E,0),0)</f>
        <v>288</v>
      </c>
    </row>
    <row r="404" customFormat="false" ht="15" hidden="false" customHeight="false" outlineLevel="0" collapsed="false">
      <c r="A404" s="9" t="s">
        <v>1793</v>
      </c>
      <c r="B404" s="9" t="s">
        <v>1720</v>
      </c>
      <c r="C404" s="9" t="s">
        <v>1794</v>
      </c>
      <c r="D404" s="9" t="str">
        <f aca="false">C404&amp;" - "&amp;E404</f>
        <v>Subframe Bushing - Front</v>
      </c>
      <c r="E404" s="9" t="s">
        <v>161</v>
      </c>
      <c r="F404" s="9" t="s">
        <v>237</v>
      </c>
      <c r="G404" s="10" t="n">
        <f aca="false">IF($AK404=0,"",INDEX('Part types'!$P:$P,$AK404))</f>
        <v>15</v>
      </c>
      <c r="H404" s="10" t="n">
        <f aca="false">IF($AK404=0,"",INDEX('Part types'!$Q:$Q,$AK404))</f>
        <v>10</v>
      </c>
      <c r="I404" s="10" t="n">
        <f aca="false">IF($AK404=0,"",INDEX('Part types'!$R:$R,$AK404))</f>
        <v>8</v>
      </c>
      <c r="J404" s="10" t="n">
        <f aca="false">IF($AK404=0,"",INDEX('Part types'!$S:$S,$AK404))</f>
        <v>0.3</v>
      </c>
      <c r="K404" s="11" t="s">
        <v>1722</v>
      </c>
      <c r="L404" s="11" t="s">
        <v>1795</v>
      </c>
      <c r="M404" s="11" t="str">
        <f aca="false">L404&amp;" - "&amp;N404</f>
        <v>بوشة الشاسيه الفرعي - أمامي</v>
      </c>
      <c r="N404" s="11" t="s">
        <v>163</v>
      </c>
      <c r="O404" s="11" t="s">
        <v>239</v>
      </c>
      <c r="P404" s="10" t="n">
        <f aca="false">G404</f>
        <v>15</v>
      </c>
      <c r="Q404" s="10" t="n">
        <f aca="false">H404</f>
        <v>10</v>
      </c>
      <c r="R404" s="10" t="n">
        <f aca="false">I404</f>
        <v>8</v>
      </c>
      <c r="S404" s="10" t="n">
        <f aca="false">J404</f>
        <v>0.3</v>
      </c>
      <c r="T404" s="12" t="s">
        <v>1724</v>
      </c>
      <c r="U404" s="12" t="s">
        <v>1796</v>
      </c>
      <c r="V404" s="9" t="str">
        <f aca="false">U404&amp;" - "&amp;W404</f>
        <v>副车架衬套 - 前部</v>
      </c>
      <c r="W404" s="12" t="s">
        <v>165</v>
      </c>
      <c r="X404" s="12" t="s">
        <v>241</v>
      </c>
      <c r="Y404" s="10" t="n">
        <f aca="false">G404</f>
        <v>15</v>
      </c>
      <c r="Z404" s="10" t="n">
        <f aca="false">H404</f>
        <v>10</v>
      </c>
      <c r="AA404" s="10" t="n">
        <f aca="false">I404</f>
        <v>8</v>
      </c>
      <c r="AB404" s="10" t="n">
        <f aca="false">J404</f>
        <v>0.3</v>
      </c>
      <c r="AC404" s="9" t="s">
        <v>1726</v>
      </c>
      <c r="AD404" s="9" t="s">
        <v>1797</v>
      </c>
      <c r="AE404" s="9" t="str">
        <f aca="false">IF($AK404=0,"",INDEX('Part types'!$T:$T,$AK404)&amp;"")</f>
        <v>All vehicles</v>
      </c>
      <c r="AF404" s="9" t="str">
        <f aca="false">IF($AK404=0,"",INDEX('Part types'!$U:$U,$AK404)&amp;"")</f>
        <v/>
      </c>
      <c r="AG404" s="9" t="str">
        <f aca="false">IF($AK404=0,"",INDEX('Part types'!$V:$V,$AK404)&amp;"")</f>
        <v>Estimate: size class S</v>
      </c>
      <c r="AH404" s="9" t="str">
        <f aca="false">IF($AK404=0,"",INDEX('Part types'!$W:$W,$AK404)&amp;"")</f>
        <v/>
      </c>
      <c r="AI404" s="11" t="str">
        <f aca="false">IF($AK404=0,"",INDEX('Part types'!$X:$X,$AK404)&amp;"")</f>
        <v/>
      </c>
      <c r="AJ404" s="9" t="str">
        <f aca="false">IF($AK404=0,"",INDEX('Part types'!$Y:$Y,$AK404)&amp;"")</f>
        <v/>
      </c>
      <c r="AK404" s="9" t="n">
        <f aca="false">IFERROR(MATCH($AD404,'Part types'!$E:$E,0),0)</f>
        <v>289</v>
      </c>
    </row>
    <row r="405" customFormat="false" ht="15" hidden="false" customHeight="false" outlineLevel="0" collapsed="false">
      <c r="A405" s="9" t="s">
        <v>1798</v>
      </c>
      <c r="B405" s="9" t="s">
        <v>1720</v>
      </c>
      <c r="C405" s="9" t="s">
        <v>1794</v>
      </c>
      <c r="D405" s="9" t="str">
        <f aca="false">C405&amp;" - "&amp;E405</f>
        <v>Subframe Bushing - Rear</v>
      </c>
      <c r="E405" s="9" t="s">
        <v>168</v>
      </c>
      <c r="F405" s="9" t="s">
        <v>237</v>
      </c>
      <c r="G405" s="10" t="n">
        <f aca="false">IF($AK405=0,"",INDEX('Part types'!$P:$P,$AK405))</f>
        <v>15</v>
      </c>
      <c r="H405" s="10" t="n">
        <f aca="false">IF($AK405=0,"",INDEX('Part types'!$Q:$Q,$AK405))</f>
        <v>10</v>
      </c>
      <c r="I405" s="10" t="n">
        <f aca="false">IF($AK405=0,"",INDEX('Part types'!$R:$R,$AK405))</f>
        <v>8</v>
      </c>
      <c r="J405" s="10" t="n">
        <f aca="false">IF($AK405=0,"",INDEX('Part types'!$S:$S,$AK405))</f>
        <v>0.3</v>
      </c>
      <c r="K405" s="11" t="s">
        <v>1722</v>
      </c>
      <c r="L405" s="11" t="s">
        <v>1795</v>
      </c>
      <c r="M405" s="11" t="str">
        <f aca="false">L405&amp;" - "&amp;N405</f>
        <v>بوشة الشاسيه الفرعي - خلفي</v>
      </c>
      <c r="N405" s="11" t="s">
        <v>169</v>
      </c>
      <c r="O405" s="11" t="s">
        <v>239</v>
      </c>
      <c r="P405" s="10" t="n">
        <f aca="false">G405</f>
        <v>15</v>
      </c>
      <c r="Q405" s="10" t="n">
        <f aca="false">H405</f>
        <v>10</v>
      </c>
      <c r="R405" s="10" t="n">
        <f aca="false">I405</f>
        <v>8</v>
      </c>
      <c r="S405" s="10" t="n">
        <f aca="false">J405</f>
        <v>0.3</v>
      </c>
      <c r="T405" s="12" t="s">
        <v>1724</v>
      </c>
      <c r="U405" s="12" t="s">
        <v>1796</v>
      </c>
      <c r="V405" s="9" t="str">
        <f aca="false">U405&amp;" - "&amp;W405</f>
        <v>副车架衬套 - 后部</v>
      </c>
      <c r="W405" s="12" t="s">
        <v>170</v>
      </c>
      <c r="X405" s="12" t="s">
        <v>241</v>
      </c>
      <c r="Y405" s="10" t="n">
        <f aca="false">G405</f>
        <v>15</v>
      </c>
      <c r="Z405" s="10" t="n">
        <f aca="false">H405</f>
        <v>10</v>
      </c>
      <c r="AA405" s="10" t="n">
        <f aca="false">I405</f>
        <v>8</v>
      </c>
      <c r="AB405" s="10" t="n">
        <f aca="false">J405</f>
        <v>0.3</v>
      </c>
      <c r="AC405" s="9" t="s">
        <v>1726</v>
      </c>
      <c r="AD405" s="9" t="s">
        <v>1797</v>
      </c>
      <c r="AE405" s="9" t="str">
        <f aca="false">IF($AK405=0,"",INDEX('Part types'!$T:$T,$AK405)&amp;"")</f>
        <v>All vehicles</v>
      </c>
      <c r="AF405" s="9" t="str">
        <f aca="false">IF($AK405=0,"",INDEX('Part types'!$U:$U,$AK405)&amp;"")</f>
        <v/>
      </c>
      <c r="AG405" s="9" t="str">
        <f aca="false">IF($AK405=0,"",INDEX('Part types'!$V:$V,$AK405)&amp;"")</f>
        <v>Estimate: size class S</v>
      </c>
      <c r="AH405" s="9" t="str">
        <f aca="false">IF($AK405=0,"",INDEX('Part types'!$W:$W,$AK405)&amp;"")</f>
        <v/>
      </c>
      <c r="AI405" s="11" t="str">
        <f aca="false">IF($AK405=0,"",INDEX('Part types'!$X:$X,$AK405)&amp;"")</f>
        <v/>
      </c>
      <c r="AJ405" s="9" t="str">
        <f aca="false">IF($AK405=0,"",INDEX('Part types'!$Y:$Y,$AK405)&amp;"")</f>
        <v/>
      </c>
      <c r="AK405" s="9" t="n">
        <f aca="false">IFERROR(MATCH($AD405,'Part types'!$E:$E,0),0)</f>
        <v>289</v>
      </c>
    </row>
    <row r="406" customFormat="false" ht="15" hidden="false" customHeight="false" outlineLevel="0" collapsed="false">
      <c r="A406" s="9" t="s">
        <v>1799</v>
      </c>
      <c r="B406" s="9" t="s">
        <v>1720</v>
      </c>
      <c r="C406" s="9" t="s">
        <v>1800</v>
      </c>
      <c r="D406" s="9" t="str">
        <f aca="false">C406&amp;" - "&amp;E406</f>
        <v>Panhard Rod - Rear</v>
      </c>
      <c r="E406" s="9" t="s">
        <v>168</v>
      </c>
      <c r="F406" s="9" t="s">
        <v>1642</v>
      </c>
      <c r="G406" s="10" t="n">
        <f aca="false">IF($AK406=0,"",INDEX('Part types'!$P:$P,$AK406))</f>
        <v>90</v>
      </c>
      <c r="H406" s="10" t="n">
        <f aca="false">IF($AK406=0,"",INDEX('Part types'!$Q:$Q,$AK406))</f>
        <v>8</v>
      </c>
      <c r="I406" s="10" t="n">
        <f aca="false">IF($AK406=0,"",INDEX('Part types'!$R:$R,$AK406))</f>
        <v>8</v>
      </c>
      <c r="J406" s="10" t="n">
        <f aca="false">IF($AK406=0,"",INDEX('Part types'!$S:$S,$AK406))</f>
        <v>4</v>
      </c>
      <c r="K406" s="11" t="s">
        <v>1722</v>
      </c>
      <c r="L406" s="11" t="s">
        <v>1801</v>
      </c>
      <c r="M406" s="11" t="str">
        <f aca="false">L406&amp;" - "&amp;N406</f>
        <v>ذراع بانهارد - خلفي</v>
      </c>
      <c r="N406" s="11" t="s">
        <v>169</v>
      </c>
      <c r="O406" s="11" t="s">
        <v>1644</v>
      </c>
      <c r="P406" s="10" t="n">
        <f aca="false">G406</f>
        <v>90</v>
      </c>
      <c r="Q406" s="10" t="n">
        <f aca="false">H406</f>
        <v>8</v>
      </c>
      <c r="R406" s="10" t="n">
        <f aca="false">I406</f>
        <v>8</v>
      </c>
      <c r="S406" s="10" t="n">
        <f aca="false">J406</f>
        <v>4</v>
      </c>
      <c r="T406" s="12" t="s">
        <v>1724</v>
      </c>
      <c r="U406" s="12" t="s">
        <v>1802</v>
      </c>
      <c r="V406" s="9" t="str">
        <f aca="false">U406&amp;" - "&amp;W406</f>
        <v>横向推力杆 - 后部</v>
      </c>
      <c r="W406" s="12" t="s">
        <v>170</v>
      </c>
      <c r="X406" s="12" t="s">
        <v>1646</v>
      </c>
      <c r="Y406" s="10" t="n">
        <f aca="false">G406</f>
        <v>90</v>
      </c>
      <c r="Z406" s="10" t="n">
        <f aca="false">H406</f>
        <v>8</v>
      </c>
      <c r="AA406" s="10" t="n">
        <f aca="false">I406</f>
        <v>8</v>
      </c>
      <c r="AB406" s="10" t="n">
        <f aca="false">J406</f>
        <v>4</v>
      </c>
      <c r="AC406" s="9" t="s">
        <v>1726</v>
      </c>
      <c r="AD406" s="9" t="s">
        <v>1803</v>
      </c>
      <c r="AE406" s="9" t="str">
        <f aca="false">IF($AK406=0,"",INDEX('Part types'!$T:$T,$AK406)&amp;"")</f>
        <v>All vehicles</v>
      </c>
      <c r="AF406" s="9" t="str">
        <f aca="false">IF($AK406=0,"",INDEX('Part types'!$U:$U,$AK406)&amp;"")</f>
        <v/>
      </c>
      <c r="AG406" s="9" t="str">
        <f aca="false">IF($AK406=0,"",INDEX('Part types'!$V:$V,$AK406)&amp;"")</f>
        <v>Estimate: item-specific</v>
      </c>
      <c r="AH406" s="9" t="str">
        <f aca="false">IF($AK406=0,"",INDEX('Part types'!$W:$W,$AK406)&amp;"")</f>
        <v/>
      </c>
      <c r="AI406" s="11" t="str">
        <f aca="false">IF($AK406=0,"",INDEX('Part types'!$X:$X,$AK406)&amp;"")</f>
        <v/>
      </c>
      <c r="AJ406" s="9" t="str">
        <f aca="false">IF($AK406=0,"",INDEX('Part types'!$Y:$Y,$AK406)&amp;"")</f>
        <v/>
      </c>
      <c r="AK406" s="9" t="n">
        <f aca="false">IFERROR(MATCH($AD406,'Part types'!$E:$E,0),0)</f>
        <v>290</v>
      </c>
    </row>
    <row r="407" customFormat="false" ht="15" hidden="false" customHeight="false" outlineLevel="0" collapsed="false">
      <c r="A407" s="9" t="s">
        <v>1804</v>
      </c>
      <c r="B407" s="9" t="s">
        <v>1720</v>
      </c>
      <c r="C407" s="9" t="s">
        <v>1805</v>
      </c>
      <c r="D407" s="9" t="str">
        <f aca="false">C407&amp;" - "&amp;E407</f>
        <v>Torsion Bar - Left</v>
      </c>
      <c r="E407" s="9" t="s">
        <v>218</v>
      </c>
      <c r="F407" s="9" t="s">
        <v>1659</v>
      </c>
      <c r="G407" s="10" t="n">
        <f aca="false">IF($AK407=0,"",INDEX('Part types'!$P:$P,$AK407))</f>
        <v>100</v>
      </c>
      <c r="H407" s="10" t="n">
        <f aca="false">IF($AK407=0,"",INDEX('Part types'!$Q:$Q,$AK407))</f>
        <v>4</v>
      </c>
      <c r="I407" s="10" t="n">
        <f aca="false">IF($AK407=0,"",INDEX('Part types'!$R:$R,$AK407))</f>
        <v>4</v>
      </c>
      <c r="J407" s="10" t="n">
        <f aca="false">IF($AK407=0,"",INDEX('Part types'!$S:$S,$AK407))</f>
        <v>6</v>
      </c>
      <c r="K407" s="11" t="s">
        <v>1722</v>
      </c>
      <c r="L407" s="11" t="s">
        <v>1806</v>
      </c>
      <c r="M407" s="11" t="str">
        <f aca="false">L407&amp;" - "&amp;N407</f>
        <v>قضيب الالتواء - يسار</v>
      </c>
      <c r="N407" s="11" t="s">
        <v>220</v>
      </c>
      <c r="O407" s="11" t="s">
        <v>1661</v>
      </c>
      <c r="P407" s="10" t="n">
        <f aca="false">G407</f>
        <v>100</v>
      </c>
      <c r="Q407" s="10" t="n">
        <f aca="false">H407</f>
        <v>4</v>
      </c>
      <c r="R407" s="10" t="n">
        <f aca="false">I407</f>
        <v>4</v>
      </c>
      <c r="S407" s="10" t="n">
        <f aca="false">J407</f>
        <v>6</v>
      </c>
      <c r="T407" s="12" t="s">
        <v>1724</v>
      </c>
      <c r="U407" s="12" t="s">
        <v>1807</v>
      </c>
      <c r="V407" s="9" t="str">
        <f aca="false">U407&amp;" - "&amp;W407</f>
        <v>扭杆 - 左侧</v>
      </c>
      <c r="W407" s="12" t="s">
        <v>222</v>
      </c>
      <c r="X407" s="12" t="s">
        <v>1663</v>
      </c>
      <c r="Y407" s="10" t="n">
        <f aca="false">G407</f>
        <v>100</v>
      </c>
      <c r="Z407" s="10" t="n">
        <f aca="false">H407</f>
        <v>4</v>
      </c>
      <c r="AA407" s="10" t="n">
        <f aca="false">I407</f>
        <v>4</v>
      </c>
      <c r="AB407" s="10" t="n">
        <f aca="false">J407</f>
        <v>6</v>
      </c>
      <c r="AC407" s="9" t="s">
        <v>1726</v>
      </c>
      <c r="AD407" s="9" t="s">
        <v>1808</v>
      </c>
      <c r="AE407" s="9" t="str">
        <f aca="false">IF($AK407=0,"",INDEX('Part types'!$T:$T,$AK407)&amp;"")</f>
        <v>All vehicles</v>
      </c>
      <c r="AF407" s="9" t="str">
        <f aca="false">IF($AK407=0,"",INDEX('Part types'!$U:$U,$AK407)&amp;"")</f>
        <v/>
      </c>
      <c r="AG407" s="9" t="str">
        <f aca="false">IF($AK407=0,"",INDEX('Part types'!$V:$V,$AK407)&amp;"")</f>
        <v>Estimate: item-specific</v>
      </c>
      <c r="AH407" s="9" t="str">
        <f aca="false">IF($AK407=0,"",INDEX('Part types'!$W:$W,$AK407)&amp;"")</f>
        <v/>
      </c>
      <c r="AI407" s="11" t="str">
        <f aca="false">IF($AK407=0,"",INDEX('Part types'!$X:$X,$AK407)&amp;"")</f>
        <v/>
      </c>
      <c r="AJ407" s="9" t="str">
        <f aca="false">IF($AK407=0,"",INDEX('Part types'!$Y:$Y,$AK407)&amp;"")</f>
        <v/>
      </c>
      <c r="AK407" s="9" t="n">
        <f aca="false">IFERROR(MATCH($AD407,'Part types'!$E:$E,0),0)</f>
        <v>291</v>
      </c>
    </row>
    <row r="408" customFormat="false" ht="15" hidden="false" customHeight="false" outlineLevel="0" collapsed="false">
      <c r="A408" s="9" t="s">
        <v>1809</v>
      </c>
      <c r="B408" s="9" t="s">
        <v>1720</v>
      </c>
      <c r="C408" s="9" t="s">
        <v>1805</v>
      </c>
      <c r="D408" s="9" t="str">
        <f aca="false">C408&amp;" - "&amp;E408</f>
        <v>Torsion Bar - Right</v>
      </c>
      <c r="E408" s="9" t="s">
        <v>225</v>
      </c>
      <c r="F408" s="9" t="s">
        <v>1659</v>
      </c>
      <c r="G408" s="10" t="n">
        <f aca="false">IF($AK408=0,"",INDEX('Part types'!$P:$P,$AK408))</f>
        <v>100</v>
      </c>
      <c r="H408" s="10" t="n">
        <f aca="false">IF($AK408=0,"",INDEX('Part types'!$Q:$Q,$AK408))</f>
        <v>4</v>
      </c>
      <c r="I408" s="10" t="n">
        <f aca="false">IF($AK408=0,"",INDEX('Part types'!$R:$R,$AK408))</f>
        <v>4</v>
      </c>
      <c r="J408" s="10" t="n">
        <f aca="false">IF($AK408=0,"",INDEX('Part types'!$S:$S,$AK408))</f>
        <v>6</v>
      </c>
      <c r="K408" s="11" t="s">
        <v>1722</v>
      </c>
      <c r="L408" s="11" t="s">
        <v>1806</v>
      </c>
      <c r="M408" s="11" t="str">
        <f aca="false">L408&amp;" - "&amp;N408</f>
        <v>قضيب الالتواء - يمين</v>
      </c>
      <c r="N408" s="11" t="s">
        <v>226</v>
      </c>
      <c r="O408" s="11" t="s">
        <v>1661</v>
      </c>
      <c r="P408" s="10" t="n">
        <f aca="false">G408</f>
        <v>100</v>
      </c>
      <c r="Q408" s="10" t="n">
        <f aca="false">H408</f>
        <v>4</v>
      </c>
      <c r="R408" s="10" t="n">
        <f aca="false">I408</f>
        <v>4</v>
      </c>
      <c r="S408" s="10" t="n">
        <f aca="false">J408</f>
        <v>6</v>
      </c>
      <c r="T408" s="12" t="s">
        <v>1724</v>
      </c>
      <c r="U408" s="12" t="s">
        <v>1807</v>
      </c>
      <c r="V408" s="9" t="str">
        <f aca="false">U408&amp;" - "&amp;W408</f>
        <v>扭杆 - 右侧</v>
      </c>
      <c r="W408" s="12" t="s">
        <v>227</v>
      </c>
      <c r="X408" s="12" t="s">
        <v>1663</v>
      </c>
      <c r="Y408" s="10" t="n">
        <f aca="false">G408</f>
        <v>100</v>
      </c>
      <c r="Z408" s="10" t="n">
        <f aca="false">H408</f>
        <v>4</v>
      </c>
      <c r="AA408" s="10" t="n">
        <f aca="false">I408</f>
        <v>4</v>
      </c>
      <c r="AB408" s="10" t="n">
        <f aca="false">J408</f>
        <v>6</v>
      </c>
      <c r="AC408" s="9" t="s">
        <v>1726</v>
      </c>
      <c r="AD408" s="9" t="s">
        <v>1808</v>
      </c>
      <c r="AE408" s="9" t="str">
        <f aca="false">IF($AK408=0,"",INDEX('Part types'!$T:$T,$AK408)&amp;"")</f>
        <v>All vehicles</v>
      </c>
      <c r="AF408" s="9" t="str">
        <f aca="false">IF($AK408=0,"",INDEX('Part types'!$U:$U,$AK408)&amp;"")</f>
        <v/>
      </c>
      <c r="AG408" s="9" t="str">
        <f aca="false">IF($AK408=0,"",INDEX('Part types'!$V:$V,$AK408)&amp;"")</f>
        <v>Estimate: item-specific</v>
      </c>
      <c r="AH408" s="9" t="str">
        <f aca="false">IF($AK408=0,"",INDEX('Part types'!$W:$W,$AK408)&amp;"")</f>
        <v/>
      </c>
      <c r="AI408" s="11" t="str">
        <f aca="false">IF($AK408=0,"",INDEX('Part types'!$X:$X,$AK408)&amp;"")</f>
        <v/>
      </c>
      <c r="AJ408" s="9" t="str">
        <f aca="false">IF($AK408=0,"",INDEX('Part types'!$Y:$Y,$AK408)&amp;"")</f>
        <v/>
      </c>
      <c r="AK408" s="9" t="n">
        <f aca="false">IFERROR(MATCH($AD408,'Part types'!$E:$E,0),0)</f>
        <v>291</v>
      </c>
    </row>
    <row r="409" customFormat="false" ht="15" hidden="false" customHeight="false" outlineLevel="0" collapsed="false">
      <c r="A409" s="9" t="s">
        <v>1810</v>
      </c>
      <c r="B409" s="9" t="s">
        <v>1720</v>
      </c>
      <c r="C409" s="9" t="s">
        <v>1811</v>
      </c>
      <c r="D409" s="9" t="str">
        <f aca="false">C409&amp;" - "&amp;E409</f>
        <v>Torsion Beam - Rear</v>
      </c>
      <c r="E409" s="9" t="s">
        <v>168</v>
      </c>
      <c r="F409" s="9" t="s">
        <v>1642</v>
      </c>
      <c r="G409" s="10" t="n">
        <f aca="false">IF($AK409=0,"",INDEX('Part types'!$P:$P,$AK409))</f>
        <v>110</v>
      </c>
      <c r="H409" s="10" t="n">
        <f aca="false">IF($AK409=0,"",INDEX('Part types'!$Q:$Q,$AK409))</f>
        <v>30</v>
      </c>
      <c r="I409" s="10" t="n">
        <f aca="false">IF($AK409=0,"",INDEX('Part types'!$R:$R,$AK409))</f>
        <v>20</v>
      </c>
      <c r="J409" s="10" t="n">
        <f aca="false">IF($AK409=0,"",INDEX('Part types'!$S:$S,$AK409))</f>
        <v>18</v>
      </c>
      <c r="K409" s="11" t="s">
        <v>1722</v>
      </c>
      <c r="L409" s="11" t="s">
        <v>1812</v>
      </c>
      <c r="M409" s="11" t="str">
        <f aca="false">L409&amp;" - "&amp;N409</f>
        <v>كمرة المحور الخلفي - خلفي</v>
      </c>
      <c r="N409" s="11" t="s">
        <v>169</v>
      </c>
      <c r="O409" s="11" t="s">
        <v>1644</v>
      </c>
      <c r="P409" s="10" t="n">
        <f aca="false">G409</f>
        <v>110</v>
      </c>
      <c r="Q409" s="10" t="n">
        <f aca="false">H409</f>
        <v>30</v>
      </c>
      <c r="R409" s="10" t="n">
        <f aca="false">I409</f>
        <v>20</v>
      </c>
      <c r="S409" s="10" t="n">
        <f aca="false">J409</f>
        <v>18</v>
      </c>
      <c r="T409" s="12" t="s">
        <v>1724</v>
      </c>
      <c r="U409" s="12" t="s">
        <v>1813</v>
      </c>
      <c r="V409" s="9" t="str">
        <f aca="false">U409&amp;" - "&amp;W409</f>
        <v>扭力梁 - 后部</v>
      </c>
      <c r="W409" s="12" t="s">
        <v>170</v>
      </c>
      <c r="X409" s="12" t="s">
        <v>1646</v>
      </c>
      <c r="Y409" s="10" t="n">
        <f aca="false">G409</f>
        <v>110</v>
      </c>
      <c r="Z409" s="10" t="n">
        <f aca="false">H409</f>
        <v>30</v>
      </c>
      <c r="AA409" s="10" t="n">
        <f aca="false">I409</f>
        <v>20</v>
      </c>
      <c r="AB409" s="10" t="n">
        <f aca="false">J409</f>
        <v>18</v>
      </c>
      <c r="AC409" s="9" t="s">
        <v>1726</v>
      </c>
      <c r="AD409" s="9" t="s">
        <v>1814</v>
      </c>
      <c r="AE409" s="9" t="str">
        <f aca="false">IF($AK409=0,"",INDEX('Part types'!$T:$T,$AK409)&amp;"")</f>
        <v>All vehicles</v>
      </c>
      <c r="AF409" s="9" t="str">
        <f aca="false">IF($AK409=0,"",INDEX('Part types'!$U:$U,$AK409)&amp;"")</f>
        <v/>
      </c>
      <c r="AG409" s="9" t="str">
        <f aca="false">IF($AK409=0,"",INDEX('Part types'!$V:$V,$AK409)&amp;"")</f>
        <v>Estimate: item-specific</v>
      </c>
      <c r="AH409" s="9" t="str">
        <f aca="false">IF($AK409=0,"",INDEX('Part types'!$W:$W,$AK409)&amp;"")</f>
        <v>Twist Axle</v>
      </c>
      <c r="AI409" s="11" t="str">
        <f aca="false">IF($AK409=0,"",INDEX('Part types'!$X:$X,$AK409)&amp;"")</f>
        <v/>
      </c>
      <c r="AJ409" s="9" t="str">
        <f aca="false">IF($AK409=0,"",INDEX('Part types'!$Y:$Y,$AK409)&amp;"")</f>
        <v/>
      </c>
      <c r="AK409" s="9" t="n">
        <f aca="false">IFERROR(MATCH($AD409,'Part types'!$E:$E,0),0)</f>
        <v>292</v>
      </c>
    </row>
    <row r="410" customFormat="false" ht="15" hidden="false" customHeight="false" outlineLevel="0" collapsed="false">
      <c r="A410" s="9" t="s">
        <v>1815</v>
      </c>
      <c r="B410" s="9" t="s">
        <v>1720</v>
      </c>
      <c r="C410" s="9" t="s">
        <v>1816</v>
      </c>
      <c r="D410" s="9" t="str">
        <f aca="false">C410&amp;" - "&amp;E410</f>
        <v>Strut Tower Brace - Universal</v>
      </c>
      <c r="E410" s="9" t="s">
        <v>68</v>
      </c>
      <c r="F410" s="9" t="s">
        <v>69</v>
      </c>
      <c r="G410" s="10" t="n">
        <f aca="false">IF($AK410=0,"",INDEX('Part types'!$P:$P,$AK410))</f>
        <v>80</v>
      </c>
      <c r="H410" s="10" t="n">
        <f aca="false">IF($AK410=0,"",INDEX('Part types'!$Q:$Q,$AK410))</f>
        <v>10</v>
      </c>
      <c r="I410" s="10" t="n">
        <f aca="false">IF($AK410=0,"",INDEX('Part types'!$R:$R,$AK410))</f>
        <v>8</v>
      </c>
      <c r="J410" s="10" t="n">
        <f aca="false">IF($AK410=0,"",INDEX('Part types'!$S:$S,$AK410))</f>
        <v>3</v>
      </c>
      <c r="K410" s="11" t="s">
        <v>1722</v>
      </c>
      <c r="L410" s="11" t="s">
        <v>1817</v>
      </c>
      <c r="M410" s="11" t="str">
        <f aca="false">L410&amp;" - "&amp;N410</f>
        <v>دعامة أبراج التعليق - عام</v>
      </c>
      <c r="N410" s="11" t="s">
        <v>72</v>
      </c>
      <c r="O410" s="11" t="s">
        <v>73</v>
      </c>
      <c r="P410" s="10" t="n">
        <f aca="false">G410</f>
        <v>80</v>
      </c>
      <c r="Q410" s="10" t="n">
        <f aca="false">H410</f>
        <v>10</v>
      </c>
      <c r="R410" s="10" t="n">
        <f aca="false">I410</f>
        <v>8</v>
      </c>
      <c r="S410" s="10" t="n">
        <f aca="false">J410</f>
        <v>3</v>
      </c>
      <c r="T410" s="12" t="s">
        <v>1724</v>
      </c>
      <c r="U410" s="12" t="s">
        <v>1818</v>
      </c>
      <c r="V410" s="9" t="str">
        <f aca="false">U410&amp;" - "&amp;W410</f>
        <v>避震塔顶吧 - 通用</v>
      </c>
      <c r="W410" s="12" t="s">
        <v>76</v>
      </c>
      <c r="X410" s="12" t="s">
        <v>77</v>
      </c>
      <c r="Y410" s="10" t="n">
        <f aca="false">G410</f>
        <v>80</v>
      </c>
      <c r="Z410" s="10" t="n">
        <f aca="false">H410</f>
        <v>10</v>
      </c>
      <c r="AA410" s="10" t="n">
        <f aca="false">I410</f>
        <v>8</v>
      </c>
      <c r="AB410" s="10" t="n">
        <f aca="false">J410</f>
        <v>3</v>
      </c>
      <c r="AC410" s="9" t="s">
        <v>1726</v>
      </c>
      <c r="AD410" s="9" t="s">
        <v>1819</v>
      </c>
      <c r="AE410" s="9" t="str">
        <f aca="false">IF($AK410=0,"",INDEX('Part types'!$T:$T,$AK410)&amp;"")</f>
        <v>All vehicles</v>
      </c>
      <c r="AF410" s="9" t="str">
        <f aca="false">IF($AK410=0,"",INDEX('Part types'!$U:$U,$AK410)&amp;"")</f>
        <v/>
      </c>
      <c r="AG410" s="9" t="str">
        <f aca="false">IF($AK410=0,"",INDEX('Part types'!$V:$V,$AK410)&amp;"")</f>
        <v>Estimate: item-specific</v>
      </c>
      <c r="AH410" s="9" t="str">
        <f aca="false">IF($AK410=0,"",INDEX('Part types'!$W:$W,$AK410)&amp;"")</f>
        <v/>
      </c>
      <c r="AI410" s="11" t="str">
        <f aca="false">IF($AK410=0,"",INDEX('Part types'!$X:$X,$AK410)&amp;"")</f>
        <v/>
      </c>
      <c r="AJ410" s="9" t="str">
        <f aca="false">IF($AK410=0,"",INDEX('Part types'!$Y:$Y,$AK410)&amp;"")</f>
        <v/>
      </c>
      <c r="AK410" s="9" t="n">
        <f aca="false">IFERROR(MATCH($AD410,'Part types'!$E:$E,0),0)</f>
        <v>293</v>
      </c>
    </row>
    <row r="411" customFormat="false" ht="15" hidden="false" customHeight="false" outlineLevel="0" collapsed="false">
      <c r="A411" s="9" t="s">
        <v>1820</v>
      </c>
      <c r="B411" s="9" t="s">
        <v>1821</v>
      </c>
      <c r="C411" s="9" t="s">
        <v>1822</v>
      </c>
      <c r="D411" s="9" t="str">
        <f aca="false">C411&amp;" - "&amp;E411</f>
        <v>Steering Rack - Universal</v>
      </c>
      <c r="E411" s="9" t="s">
        <v>68</v>
      </c>
      <c r="F411" s="9" t="s">
        <v>934</v>
      </c>
      <c r="G411" s="10" t="n">
        <f aca="false">IF($AK411=0,"",INDEX('Part types'!$P:$P,$AK411))</f>
        <v>80</v>
      </c>
      <c r="H411" s="10" t="n">
        <f aca="false">IF($AK411=0,"",INDEX('Part types'!$Q:$Q,$AK411))</f>
        <v>20</v>
      </c>
      <c r="I411" s="10" t="n">
        <f aca="false">IF($AK411=0,"",INDEX('Part types'!$R:$R,$AK411))</f>
        <v>20</v>
      </c>
      <c r="J411" s="10" t="n">
        <f aca="false">IF($AK411=0,"",INDEX('Part types'!$S:$S,$AK411))</f>
        <v>10</v>
      </c>
      <c r="K411" s="11" t="s">
        <v>1823</v>
      </c>
      <c r="L411" s="11" t="s">
        <v>1824</v>
      </c>
      <c r="M411" s="11" t="str">
        <f aca="false">L411&amp;" - "&amp;N411</f>
        <v>جير التوجيه - عام</v>
      </c>
      <c r="N411" s="11" t="s">
        <v>72</v>
      </c>
      <c r="O411" s="11" t="s">
        <v>936</v>
      </c>
      <c r="P411" s="10" t="n">
        <f aca="false">G411</f>
        <v>80</v>
      </c>
      <c r="Q411" s="10" t="n">
        <f aca="false">H411</f>
        <v>20</v>
      </c>
      <c r="R411" s="10" t="n">
        <f aca="false">I411</f>
        <v>20</v>
      </c>
      <c r="S411" s="10" t="n">
        <f aca="false">J411</f>
        <v>10</v>
      </c>
      <c r="T411" s="12" t="s">
        <v>1825</v>
      </c>
      <c r="U411" s="12" t="s">
        <v>1826</v>
      </c>
      <c r="V411" s="9" t="str">
        <f aca="false">U411&amp;" - "&amp;W411</f>
        <v>转向机 - 通用</v>
      </c>
      <c r="W411" s="12" t="s">
        <v>76</v>
      </c>
      <c r="X411" s="12" t="s">
        <v>938</v>
      </c>
      <c r="Y411" s="10" t="n">
        <f aca="false">G411</f>
        <v>80</v>
      </c>
      <c r="Z411" s="10" t="n">
        <f aca="false">H411</f>
        <v>20</v>
      </c>
      <c r="AA411" s="10" t="n">
        <f aca="false">I411</f>
        <v>20</v>
      </c>
      <c r="AB411" s="10" t="n">
        <f aca="false">J411</f>
        <v>10</v>
      </c>
      <c r="AC411" s="9" t="s">
        <v>1827</v>
      </c>
      <c r="AD411" s="9" t="s">
        <v>1828</v>
      </c>
      <c r="AE411" s="9" t="str">
        <f aca="false">IF($AK411=0,"",INDEX('Part types'!$T:$T,$AK411)&amp;"")</f>
        <v>All vehicles</v>
      </c>
      <c r="AF411" s="9" t="str">
        <f aca="false">IF($AK411=0,"",INDEX('Part types'!$U:$U,$AK411)&amp;"")</f>
        <v/>
      </c>
      <c r="AG411" s="9" t="str">
        <f aca="false">IF($AK411=0,"",INDEX('Part types'!$V:$V,$AK411)&amp;"")</f>
        <v>Estimate: item-specific</v>
      </c>
      <c r="AH411" s="9" t="str">
        <f aca="false">IF($AK411=0,"",INDEX('Part types'!$W:$W,$AK411)&amp;"")</f>
        <v/>
      </c>
      <c r="AI411" s="11" t="str">
        <f aca="false">IF($AK411=0,"",INDEX('Part types'!$X:$X,$AK411)&amp;"")</f>
        <v>الدركسيون</v>
      </c>
      <c r="AJ411" s="9" t="str">
        <f aca="false">IF($AK411=0,"",INDEX('Part types'!$Y:$Y,$AK411)&amp;"")</f>
        <v>齿条</v>
      </c>
      <c r="AK411" s="9" t="n">
        <f aca="false">IFERROR(MATCH($AD411,'Part types'!$E:$E,0),0)</f>
        <v>294</v>
      </c>
    </row>
    <row r="412" customFormat="false" ht="15" hidden="false" customHeight="false" outlineLevel="0" collapsed="false">
      <c r="A412" s="9" t="s">
        <v>1829</v>
      </c>
      <c r="B412" s="9" t="s">
        <v>1821</v>
      </c>
      <c r="C412" s="9" t="s">
        <v>1830</v>
      </c>
      <c r="D412" s="9" t="str">
        <f aca="false">C412&amp;" - "&amp;E412</f>
        <v>Steering Gearbox - Universal</v>
      </c>
      <c r="E412" s="9" t="s">
        <v>68</v>
      </c>
      <c r="F412" s="9" t="s">
        <v>934</v>
      </c>
      <c r="G412" s="10" t="n">
        <f aca="false">IF($AK412=0,"",INDEX('Part types'!$P:$P,$AK412))</f>
        <v>40</v>
      </c>
      <c r="H412" s="10" t="n">
        <f aca="false">IF($AK412=0,"",INDEX('Part types'!$Q:$Q,$AK412))</f>
        <v>25</v>
      </c>
      <c r="I412" s="10" t="n">
        <f aca="false">IF($AK412=0,"",INDEX('Part types'!$R:$R,$AK412))</f>
        <v>25</v>
      </c>
      <c r="J412" s="10" t="n">
        <f aca="false">IF($AK412=0,"",INDEX('Part types'!$S:$S,$AK412))</f>
        <v>12</v>
      </c>
      <c r="K412" s="11" t="s">
        <v>1823</v>
      </c>
      <c r="L412" s="11" t="s">
        <v>1831</v>
      </c>
      <c r="M412" s="11" t="str">
        <f aca="false">L412&amp;" - "&amp;N412</f>
        <v>علبة التوجيه - عام</v>
      </c>
      <c r="N412" s="11" t="s">
        <v>72</v>
      </c>
      <c r="O412" s="11" t="s">
        <v>936</v>
      </c>
      <c r="P412" s="10" t="n">
        <f aca="false">G412</f>
        <v>40</v>
      </c>
      <c r="Q412" s="10" t="n">
        <f aca="false">H412</f>
        <v>25</v>
      </c>
      <c r="R412" s="10" t="n">
        <f aca="false">I412</f>
        <v>25</v>
      </c>
      <c r="S412" s="10" t="n">
        <f aca="false">J412</f>
        <v>12</v>
      </c>
      <c r="T412" s="12" t="s">
        <v>1825</v>
      </c>
      <c r="U412" s="12" t="s">
        <v>1832</v>
      </c>
      <c r="V412" s="9" t="str">
        <f aca="false">U412&amp;" - "&amp;W412</f>
        <v>循环球转向器 - 通用</v>
      </c>
      <c r="W412" s="12" t="s">
        <v>76</v>
      </c>
      <c r="X412" s="12" t="s">
        <v>938</v>
      </c>
      <c r="Y412" s="10" t="n">
        <f aca="false">G412</f>
        <v>40</v>
      </c>
      <c r="Z412" s="10" t="n">
        <f aca="false">H412</f>
        <v>25</v>
      </c>
      <c r="AA412" s="10" t="n">
        <f aca="false">I412</f>
        <v>25</v>
      </c>
      <c r="AB412" s="10" t="n">
        <f aca="false">J412</f>
        <v>12</v>
      </c>
      <c r="AC412" s="9" t="s">
        <v>1827</v>
      </c>
      <c r="AD412" s="9" t="s">
        <v>1833</v>
      </c>
      <c r="AE412" s="9" t="str">
        <f aca="false">IF($AK412=0,"",INDEX('Part types'!$T:$T,$AK412)&amp;"")</f>
        <v>All vehicles</v>
      </c>
      <c r="AF412" s="9" t="str">
        <f aca="false">IF($AK412=0,"",INDEX('Part types'!$U:$U,$AK412)&amp;"")</f>
        <v/>
      </c>
      <c r="AG412" s="9" t="str">
        <f aca="false">IF($AK412=0,"",INDEX('Part types'!$V:$V,$AK412)&amp;"")</f>
        <v>Estimate: item-specific</v>
      </c>
      <c r="AH412" s="9" t="str">
        <f aca="false">IF($AK412=0,"",INDEX('Part types'!$W:$W,$AK412)&amp;"")</f>
        <v>Recirculating Ball</v>
      </c>
      <c r="AI412" s="11" t="str">
        <f aca="false">IF($AK412=0,"",INDEX('Part types'!$X:$X,$AK412)&amp;"")</f>
        <v>جير</v>
      </c>
      <c r="AJ412" s="9" t="str">
        <f aca="false">IF($AK412=0,"",INDEX('Part types'!$Y:$Y,$AK412)&amp;"")</f>
        <v/>
      </c>
      <c r="AK412" s="9" t="n">
        <f aca="false">IFERROR(MATCH($AD412,'Part types'!$E:$E,0),0)</f>
        <v>295</v>
      </c>
    </row>
    <row r="413" customFormat="false" ht="15" hidden="false" customHeight="false" outlineLevel="0" collapsed="false">
      <c r="A413" s="9" t="s">
        <v>1834</v>
      </c>
      <c r="B413" s="9" t="s">
        <v>1821</v>
      </c>
      <c r="C413" s="9" t="s">
        <v>1835</v>
      </c>
      <c r="D413" s="9" t="str">
        <f aca="false">C413&amp;" - "&amp;E413</f>
        <v>Power Steering Pump - Universal</v>
      </c>
      <c r="E413" s="9" t="s">
        <v>68</v>
      </c>
      <c r="F413" s="9" t="s">
        <v>266</v>
      </c>
      <c r="G413" s="10" t="n">
        <f aca="false">IF($AK413=0,"",INDEX('Part types'!$P:$P,$AK413))</f>
        <v>30</v>
      </c>
      <c r="H413" s="10" t="n">
        <f aca="false">IF($AK413=0,"",INDEX('Part types'!$Q:$Q,$AK413))</f>
        <v>20</v>
      </c>
      <c r="I413" s="10" t="n">
        <f aca="false">IF($AK413=0,"",INDEX('Part types'!$R:$R,$AK413))</f>
        <v>15</v>
      </c>
      <c r="J413" s="10" t="n">
        <f aca="false">IF($AK413=0,"",INDEX('Part types'!$S:$S,$AK413))</f>
        <v>1.8</v>
      </c>
      <c r="K413" s="11" t="s">
        <v>1823</v>
      </c>
      <c r="L413" s="11" t="s">
        <v>1836</v>
      </c>
      <c r="M413" s="11" t="str">
        <f aca="false">L413&amp;" - "&amp;N413</f>
        <v>طلمبة الباور - عام</v>
      </c>
      <c r="N413" s="11" t="s">
        <v>72</v>
      </c>
      <c r="O413" s="11" t="s">
        <v>269</v>
      </c>
      <c r="P413" s="10" t="n">
        <f aca="false">G413</f>
        <v>30</v>
      </c>
      <c r="Q413" s="10" t="n">
        <f aca="false">H413</f>
        <v>20</v>
      </c>
      <c r="R413" s="10" t="n">
        <f aca="false">I413</f>
        <v>15</v>
      </c>
      <c r="S413" s="10" t="n">
        <f aca="false">J413</f>
        <v>1.8</v>
      </c>
      <c r="T413" s="12" t="s">
        <v>1825</v>
      </c>
      <c r="U413" s="12" t="s">
        <v>1837</v>
      </c>
      <c r="V413" s="9" t="str">
        <f aca="false">U413&amp;" - "&amp;W413</f>
        <v>转向助力泵 - 通用</v>
      </c>
      <c r="W413" s="12" t="s">
        <v>76</v>
      </c>
      <c r="X413" s="12" t="s">
        <v>272</v>
      </c>
      <c r="Y413" s="10" t="n">
        <f aca="false">G413</f>
        <v>30</v>
      </c>
      <c r="Z413" s="10" t="n">
        <f aca="false">H413</f>
        <v>20</v>
      </c>
      <c r="AA413" s="10" t="n">
        <f aca="false">I413</f>
        <v>15</v>
      </c>
      <c r="AB413" s="10" t="n">
        <f aca="false">J413</f>
        <v>1.8</v>
      </c>
      <c r="AC413" s="9" t="s">
        <v>1827</v>
      </c>
      <c r="AD413" s="9" t="s">
        <v>1838</v>
      </c>
      <c r="AE413" s="9" t="str">
        <f aca="false">IF($AK413=0,"",INDEX('Part types'!$T:$T,$AK413)&amp;"")</f>
        <v>Combustion engine (petrol, diesel, hybrid, range extender)</v>
      </c>
      <c r="AF413" s="9" t="str">
        <f aca="false">IF($AK413=0,"",INDEX('Part types'!$U:$U,$AK413)&amp;"")</f>
        <v/>
      </c>
      <c r="AG413" s="9" t="str">
        <f aca="false">IF($AK413=0,"",INDEX('Part types'!$V:$V,$AK413)&amp;"")</f>
        <v>Estimate: size class M2</v>
      </c>
      <c r="AH413" s="9" t="str">
        <f aca="false">IF($AK413=0,"",INDEX('Part types'!$W:$W,$AK413)&amp;"")</f>
        <v/>
      </c>
      <c r="AI413" s="11" t="str">
        <f aca="false">IF($AK413=0,"",INDEX('Part types'!$X:$X,$AK413)&amp;"")</f>
        <v/>
      </c>
      <c r="AJ413" s="9" t="str">
        <f aca="false">IF($AK413=0,"",INDEX('Part types'!$Y:$Y,$AK413)&amp;"")</f>
        <v/>
      </c>
      <c r="AK413" s="9" t="n">
        <f aca="false">IFERROR(MATCH($AD413,'Part types'!$E:$E,0),0)</f>
        <v>296</v>
      </c>
    </row>
    <row r="414" customFormat="false" ht="15" hidden="false" customHeight="false" outlineLevel="0" collapsed="false">
      <c r="A414" s="9" t="s">
        <v>1839</v>
      </c>
      <c r="B414" s="9" t="s">
        <v>1821</v>
      </c>
      <c r="C414" s="9" t="s">
        <v>1840</v>
      </c>
      <c r="D414" s="9" t="str">
        <f aca="false">C414&amp;" - "&amp;E414</f>
        <v>Steering Assist Motor - Universal</v>
      </c>
      <c r="E414" s="9" t="s">
        <v>68</v>
      </c>
      <c r="F414" s="9" t="s">
        <v>934</v>
      </c>
      <c r="G414" s="10" t="n">
        <f aca="false">IF($AK414=0,"",INDEX('Part types'!$P:$P,$AK414))</f>
        <v>30</v>
      </c>
      <c r="H414" s="10" t="n">
        <f aca="false">IF($AK414=0,"",INDEX('Part types'!$Q:$Q,$AK414))</f>
        <v>20</v>
      </c>
      <c r="I414" s="10" t="n">
        <f aca="false">IF($AK414=0,"",INDEX('Part types'!$R:$R,$AK414))</f>
        <v>15</v>
      </c>
      <c r="J414" s="10" t="n">
        <f aca="false">IF($AK414=0,"",INDEX('Part types'!$S:$S,$AK414))</f>
        <v>1.8</v>
      </c>
      <c r="K414" s="11" t="s">
        <v>1823</v>
      </c>
      <c r="L414" s="11" t="s">
        <v>1841</v>
      </c>
      <c r="M414" s="11" t="str">
        <f aca="false">L414&amp;" - "&amp;N414</f>
        <v>موتور التوجيه الكهربائي - عام</v>
      </c>
      <c r="N414" s="11" t="s">
        <v>72</v>
      </c>
      <c r="O414" s="11" t="s">
        <v>936</v>
      </c>
      <c r="P414" s="10" t="n">
        <f aca="false">G414</f>
        <v>30</v>
      </c>
      <c r="Q414" s="10" t="n">
        <f aca="false">H414</f>
        <v>20</v>
      </c>
      <c r="R414" s="10" t="n">
        <f aca="false">I414</f>
        <v>15</v>
      </c>
      <c r="S414" s="10" t="n">
        <f aca="false">J414</f>
        <v>1.8</v>
      </c>
      <c r="T414" s="12" t="s">
        <v>1825</v>
      </c>
      <c r="U414" s="12" t="s">
        <v>1842</v>
      </c>
      <c r="V414" s="9" t="str">
        <f aca="false">U414&amp;" - "&amp;W414</f>
        <v>电动助力转向电机 - 通用</v>
      </c>
      <c r="W414" s="12" t="s">
        <v>76</v>
      </c>
      <c r="X414" s="12" t="s">
        <v>938</v>
      </c>
      <c r="Y414" s="10" t="n">
        <f aca="false">G414</f>
        <v>30</v>
      </c>
      <c r="Z414" s="10" t="n">
        <f aca="false">H414</f>
        <v>20</v>
      </c>
      <c r="AA414" s="10" t="n">
        <f aca="false">I414</f>
        <v>15</v>
      </c>
      <c r="AB414" s="10" t="n">
        <f aca="false">J414</f>
        <v>1.8</v>
      </c>
      <c r="AC414" s="9" t="s">
        <v>1827</v>
      </c>
      <c r="AD414" s="9" t="s">
        <v>1843</v>
      </c>
      <c r="AE414" s="9" t="str">
        <f aca="false">IF($AK414=0,"",INDEX('Part types'!$T:$T,$AK414)&amp;"")</f>
        <v>All vehicles</v>
      </c>
      <c r="AF414" s="9" t="str">
        <f aca="false">IF($AK414=0,"",INDEX('Part types'!$U:$U,$AK414)&amp;"")</f>
        <v/>
      </c>
      <c r="AG414" s="9" t="str">
        <f aca="false">IF($AK414=0,"",INDEX('Part types'!$V:$V,$AK414)&amp;"")</f>
        <v>Estimate: size class M2</v>
      </c>
      <c r="AH414" s="9" t="str">
        <f aca="false">IF($AK414=0,"",INDEX('Part types'!$W:$W,$AK414)&amp;"")</f>
        <v>Electric Power Steering Motor</v>
      </c>
      <c r="AI414" s="11" t="str">
        <f aca="false">IF($AK414=0,"",INDEX('Part types'!$X:$X,$AK414)&amp;"")</f>
        <v>EPS</v>
      </c>
      <c r="AJ414" s="9" t="str">
        <f aca="false">IF($AK414=0,"",INDEX('Part types'!$Y:$Y,$AK414)&amp;"")</f>
        <v/>
      </c>
      <c r="AK414" s="9" t="n">
        <f aca="false">IFERROR(MATCH($AD414,'Part types'!$E:$E,0),0)</f>
        <v>297</v>
      </c>
    </row>
    <row r="415" customFormat="false" ht="15" hidden="false" customHeight="false" outlineLevel="0" collapsed="false">
      <c r="A415" s="9" t="s">
        <v>1844</v>
      </c>
      <c r="B415" s="9" t="s">
        <v>1821</v>
      </c>
      <c r="C415" s="9" t="s">
        <v>1845</v>
      </c>
      <c r="D415" s="9" t="str">
        <f aca="false">C415&amp;" - "&amp;E415</f>
        <v>Rack Boot Kit - Left</v>
      </c>
      <c r="E415" s="9" t="s">
        <v>218</v>
      </c>
      <c r="F415" s="9" t="s">
        <v>934</v>
      </c>
      <c r="G415" s="10" t="n">
        <f aca="false">IF($AK415=0,"",INDEX('Part types'!$P:$P,$AK415))</f>
        <v>15</v>
      </c>
      <c r="H415" s="10" t="n">
        <f aca="false">IF($AK415=0,"",INDEX('Part types'!$Q:$Q,$AK415))</f>
        <v>10</v>
      </c>
      <c r="I415" s="10" t="n">
        <f aca="false">IF($AK415=0,"",INDEX('Part types'!$R:$R,$AK415))</f>
        <v>8</v>
      </c>
      <c r="J415" s="10" t="n">
        <f aca="false">IF($AK415=0,"",INDEX('Part types'!$S:$S,$AK415))</f>
        <v>0.3</v>
      </c>
      <c r="K415" s="11" t="s">
        <v>1823</v>
      </c>
      <c r="L415" s="11" t="s">
        <v>1846</v>
      </c>
      <c r="M415" s="11" t="str">
        <f aca="false">L415&amp;" - "&amp;N415</f>
        <v>طقم كاوتش الجير - يسار</v>
      </c>
      <c r="N415" s="11" t="s">
        <v>220</v>
      </c>
      <c r="O415" s="11" t="s">
        <v>936</v>
      </c>
      <c r="P415" s="10" t="n">
        <f aca="false">G415</f>
        <v>15</v>
      </c>
      <c r="Q415" s="10" t="n">
        <f aca="false">H415</f>
        <v>10</v>
      </c>
      <c r="R415" s="10" t="n">
        <f aca="false">I415</f>
        <v>8</v>
      </c>
      <c r="S415" s="10" t="n">
        <f aca="false">J415</f>
        <v>0.3</v>
      </c>
      <c r="T415" s="12" t="s">
        <v>1825</v>
      </c>
      <c r="U415" s="12" t="s">
        <v>1847</v>
      </c>
      <c r="V415" s="9" t="str">
        <f aca="false">U415&amp;" - "&amp;W415</f>
        <v>转向机防尘套套装 - 左侧</v>
      </c>
      <c r="W415" s="12" t="s">
        <v>222</v>
      </c>
      <c r="X415" s="12" t="s">
        <v>938</v>
      </c>
      <c r="Y415" s="10" t="n">
        <f aca="false">G415</f>
        <v>15</v>
      </c>
      <c r="Z415" s="10" t="n">
        <f aca="false">H415</f>
        <v>10</v>
      </c>
      <c r="AA415" s="10" t="n">
        <f aca="false">I415</f>
        <v>8</v>
      </c>
      <c r="AB415" s="10" t="n">
        <f aca="false">J415</f>
        <v>0.3</v>
      </c>
      <c r="AC415" s="9" t="s">
        <v>1827</v>
      </c>
      <c r="AD415" s="9" t="s">
        <v>1848</v>
      </c>
      <c r="AE415" s="9" t="str">
        <f aca="false">IF($AK415=0,"",INDEX('Part types'!$T:$T,$AK415)&amp;"")</f>
        <v>All vehicles</v>
      </c>
      <c r="AF415" s="9" t="str">
        <f aca="false">IF($AK415=0,"",INDEX('Part types'!$U:$U,$AK415)&amp;"")</f>
        <v/>
      </c>
      <c r="AG415" s="9" t="str">
        <f aca="false">IF($AK415=0,"",INDEX('Part types'!$V:$V,$AK415)&amp;"")</f>
        <v>Estimate: size class S</v>
      </c>
      <c r="AH415" s="9" t="str">
        <f aca="false">IF($AK415=0,"",INDEX('Part types'!$W:$W,$AK415)&amp;"")</f>
        <v>Steering Rack Boot Kit</v>
      </c>
      <c r="AI415" s="11" t="str">
        <f aca="false">IF($AK415=0,"",INDEX('Part types'!$X:$X,$AK415)&amp;"")</f>
        <v/>
      </c>
      <c r="AJ415" s="9" t="str">
        <f aca="false">IF($AK415=0,"",INDEX('Part types'!$Y:$Y,$AK415)&amp;"")</f>
        <v/>
      </c>
      <c r="AK415" s="9" t="n">
        <f aca="false">IFERROR(MATCH($AD415,'Part types'!$E:$E,0),0)</f>
        <v>298</v>
      </c>
    </row>
    <row r="416" customFormat="false" ht="15" hidden="false" customHeight="false" outlineLevel="0" collapsed="false">
      <c r="A416" s="9" t="s">
        <v>1849</v>
      </c>
      <c r="B416" s="9" t="s">
        <v>1821</v>
      </c>
      <c r="C416" s="9" t="s">
        <v>1845</v>
      </c>
      <c r="D416" s="9" t="str">
        <f aca="false">C416&amp;" - "&amp;E416</f>
        <v>Rack Boot Kit - Right</v>
      </c>
      <c r="E416" s="9" t="s">
        <v>225</v>
      </c>
      <c r="F416" s="9" t="s">
        <v>934</v>
      </c>
      <c r="G416" s="10" t="n">
        <f aca="false">IF($AK416=0,"",INDEX('Part types'!$P:$P,$AK416))</f>
        <v>15</v>
      </c>
      <c r="H416" s="10" t="n">
        <f aca="false">IF($AK416=0,"",INDEX('Part types'!$Q:$Q,$AK416))</f>
        <v>10</v>
      </c>
      <c r="I416" s="10" t="n">
        <f aca="false">IF($AK416=0,"",INDEX('Part types'!$R:$R,$AK416))</f>
        <v>8</v>
      </c>
      <c r="J416" s="10" t="n">
        <f aca="false">IF($AK416=0,"",INDEX('Part types'!$S:$S,$AK416))</f>
        <v>0.3</v>
      </c>
      <c r="K416" s="11" t="s">
        <v>1823</v>
      </c>
      <c r="L416" s="11" t="s">
        <v>1846</v>
      </c>
      <c r="M416" s="11" t="str">
        <f aca="false">L416&amp;" - "&amp;N416</f>
        <v>طقم كاوتش الجير - يمين</v>
      </c>
      <c r="N416" s="11" t="s">
        <v>226</v>
      </c>
      <c r="O416" s="11" t="s">
        <v>936</v>
      </c>
      <c r="P416" s="10" t="n">
        <f aca="false">G416</f>
        <v>15</v>
      </c>
      <c r="Q416" s="10" t="n">
        <f aca="false">H416</f>
        <v>10</v>
      </c>
      <c r="R416" s="10" t="n">
        <f aca="false">I416</f>
        <v>8</v>
      </c>
      <c r="S416" s="10" t="n">
        <f aca="false">J416</f>
        <v>0.3</v>
      </c>
      <c r="T416" s="12" t="s">
        <v>1825</v>
      </c>
      <c r="U416" s="12" t="s">
        <v>1847</v>
      </c>
      <c r="V416" s="9" t="str">
        <f aca="false">U416&amp;" - "&amp;W416</f>
        <v>转向机防尘套套装 - 右侧</v>
      </c>
      <c r="W416" s="12" t="s">
        <v>227</v>
      </c>
      <c r="X416" s="12" t="s">
        <v>938</v>
      </c>
      <c r="Y416" s="10" t="n">
        <f aca="false">G416</f>
        <v>15</v>
      </c>
      <c r="Z416" s="10" t="n">
        <f aca="false">H416</f>
        <v>10</v>
      </c>
      <c r="AA416" s="10" t="n">
        <f aca="false">I416</f>
        <v>8</v>
      </c>
      <c r="AB416" s="10" t="n">
        <f aca="false">J416</f>
        <v>0.3</v>
      </c>
      <c r="AC416" s="9" t="s">
        <v>1827</v>
      </c>
      <c r="AD416" s="9" t="s">
        <v>1848</v>
      </c>
      <c r="AE416" s="9" t="str">
        <f aca="false">IF($AK416=0,"",INDEX('Part types'!$T:$T,$AK416)&amp;"")</f>
        <v>All vehicles</v>
      </c>
      <c r="AF416" s="9" t="str">
        <f aca="false">IF($AK416=0,"",INDEX('Part types'!$U:$U,$AK416)&amp;"")</f>
        <v/>
      </c>
      <c r="AG416" s="9" t="str">
        <f aca="false">IF($AK416=0,"",INDEX('Part types'!$V:$V,$AK416)&amp;"")</f>
        <v>Estimate: size class S</v>
      </c>
      <c r="AH416" s="9" t="str">
        <f aca="false">IF($AK416=0,"",INDEX('Part types'!$W:$W,$AK416)&amp;"")</f>
        <v>Steering Rack Boot Kit</v>
      </c>
      <c r="AI416" s="11" t="str">
        <f aca="false">IF($AK416=0,"",INDEX('Part types'!$X:$X,$AK416)&amp;"")</f>
        <v/>
      </c>
      <c r="AJ416" s="9" t="str">
        <f aca="false">IF($AK416=0,"",INDEX('Part types'!$Y:$Y,$AK416)&amp;"")</f>
        <v/>
      </c>
      <c r="AK416" s="9" t="n">
        <f aca="false">IFERROR(MATCH($AD416,'Part types'!$E:$E,0),0)</f>
        <v>298</v>
      </c>
    </row>
    <row r="417" customFormat="false" ht="15" hidden="false" customHeight="false" outlineLevel="0" collapsed="false">
      <c r="A417" s="9" t="s">
        <v>1850</v>
      </c>
      <c r="B417" s="9" t="s">
        <v>1821</v>
      </c>
      <c r="C417" s="9" t="s">
        <v>1851</v>
      </c>
      <c r="D417" s="9" t="str">
        <f aca="false">C417&amp;" - "&amp;E417</f>
        <v>Outer Tie Rod - Left</v>
      </c>
      <c r="E417" s="9" t="s">
        <v>218</v>
      </c>
      <c r="F417" s="9" t="s">
        <v>934</v>
      </c>
      <c r="G417" s="10" t="n">
        <f aca="false">IF($AK417=0,"",INDEX('Part types'!$P:$P,$AK417))</f>
        <v>15</v>
      </c>
      <c r="H417" s="10" t="n">
        <f aca="false">IF($AK417=0,"",INDEX('Part types'!$Q:$Q,$AK417))</f>
        <v>10</v>
      </c>
      <c r="I417" s="10" t="n">
        <f aca="false">IF($AK417=0,"",INDEX('Part types'!$R:$R,$AK417))</f>
        <v>8</v>
      </c>
      <c r="J417" s="10" t="n">
        <f aca="false">IF($AK417=0,"",INDEX('Part types'!$S:$S,$AK417))</f>
        <v>0.3</v>
      </c>
      <c r="K417" s="11" t="s">
        <v>1823</v>
      </c>
      <c r="L417" s="11" t="s">
        <v>1852</v>
      </c>
      <c r="M417" s="11" t="str">
        <f aca="false">L417&amp;" - "&amp;N417</f>
        <v>رأس سيخ التوجيه الخارجي - يسار</v>
      </c>
      <c r="N417" s="11" t="s">
        <v>220</v>
      </c>
      <c r="O417" s="11" t="s">
        <v>936</v>
      </c>
      <c r="P417" s="10" t="n">
        <f aca="false">G417</f>
        <v>15</v>
      </c>
      <c r="Q417" s="10" t="n">
        <f aca="false">H417</f>
        <v>10</v>
      </c>
      <c r="R417" s="10" t="n">
        <f aca="false">I417</f>
        <v>8</v>
      </c>
      <c r="S417" s="10" t="n">
        <f aca="false">J417</f>
        <v>0.3</v>
      </c>
      <c r="T417" s="12" t="s">
        <v>1825</v>
      </c>
      <c r="U417" s="12" t="s">
        <v>1853</v>
      </c>
      <c r="V417" s="9" t="str">
        <f aca="false">U417&amp;" - "&amp;W417</f>
        <v>转向横拉杆外球头 - 左侧</v>
      </c>
      <c r="W417" s="12" t="s">
        <v>222</v>
      </c>
      <c r="X417" s="12" t="s">
        <v>938</v>
      </c>
      <c r="Y417" s="10" t="n">
        <f aca="false">G417</f>
        <v>15</v>
      </c>
      <c r="Z417" s="10" t="n">
        <f aca="false">H417</f>
        <v>10</v>
      </c>
      <c r="AA417" s="10" t="n">
        <f aca="false">I417</f>
        <v>8</v>
      </c>
      <c r="AB417" s="10" t="n">
        <f aca="false">J417</f>
        <v>0.3</v>
      </c>
      <c r="AC417" s="9" t="s">
        <v>1827</v>
      </c>
      <c r="AD417" s="9" t="s">
        <v>1854</v>
      </c>
      <c r="AE417" s="9" t="str">
        <f aca="false">IF($AK417=0,"",INDEX('Part types'!$T:$T,$AK417)&amp;"")</f>
        <v>All vehicles</v>
      </c>
      <c r="AF417" s="9" t="str">
        <f aca="false">IF($AK417=0,"",INDEX('Part types'!$U:$U,$AK417)&amp;"")</f>
        <v/>
      </c>
      <c r="AG417" s="9" t="str">
        <f aca="false">IF($AK417=0,"",INDEX('Part types'!$V:$V,$AK417)&amp;"")</f>
        <v>Estimate: size class S</v>
      </c>
      <c r="AH417" s="9" t="str">
        <f aca="false">IF($AK417=0,"",INDEX('Part types'!$W:$W,$AK417)&amp;"")</f>
        <v>Tie Rod End</v>
      </c>
      <c r="AI417" s="11" t="str">
        <f aca="false">IF($AK417=0,"",INDEX('Part types'!$X:$X,$AK417)&amp;"")</f>
        <v/>
      </c>
      <c r="AJ417" s="9" t="str">
        <f aca="false">IF($AK417=0,"",INDEX('Part types'!$Y:$Y,$AK417)&amp;"")</f>
        <v/>
      </c>
      <c r="AK417" s="9" t="n">
        <f aca="false">IFERROR(MATCH($AD417,'Part types'!$E:$E,0),0)</f>
        <v>299</v>
      </c>
    </row>
    <row r="418" customFormat="false" ht="15" hidden="false" customHeight="false" outlineLevel="0" collapsed="false">
      <c r="A418" s="9" t="s">
        <v>1855</v>
      </c>
      <c r="B418" s="9" t="s">
        <v>1821</v>
      </c>
      <c r="C418" s="9" t="s">
        <v>1851</v>
      </c>
      <c r="D418" s="9" t="str">
        <f aca="false">C418&amp;" - "&amp;E418</f>
        <v>Outer Tie Rod - Right</v>
      </c>
      <c r="E418" s="9" t="s">
        <v>225</v>
      </c>
      <c r="F418" s="9" t="s">
        <v>934</v>
      </c>
      <c r="G418" s="10" t="n">
        <f aca="false">IF($AK418=0,"",INDEX('Part types'!$P:$P,$AK418))</f>
        <v>15</v>
      </c>
      <c r="H418" s="10" t="n">
        <f aca="false">IF($AK418=0,"",INDEX('Part types'!$Q:$Q,$AK418))</f>
        <v>10</v>
      </c>
      <c r="I418" s="10" t="n">
        <f aca="false">IF($AK418=0,"",INDEX('Part types'!$R:$R,$AK418))</f>
        <v>8</v>
      </c>
      <c r="J418" s="10" t="n">
        <f aca="false">IF($AK418=0,"",INDEX('Part types'!$S:$S,$AK418))</f>
        <v>0.3</v>
      </c>
      <c r="K418" s="11" t="s">
        <v>1823</v>
      </c>
      <c r="L418" s="11" t="s">
        <v>1852</v>
      </c>
      <c r="M418" s="11" t="str">
        <f aca="false">L418&amp;" - "&amp;N418</f>
        <v>رأس سيخ التوجيه الخارجي - يمين</v>
      </c>
      <c r="N418" s="11" t="s">
        <v>226</v>
      </c>
      <c r="O418" s="11" t="s">
        <v>936</v>
      </c>
      <c r="P418" s="10" t="n">
        <f aca="false">G418</f>
        <v>15</v>
      </c>
      <c r="Q418" s="10" t="n">
        <f aca="false">H418</f>
        <v>10</v>
      </c>
      <c r="R418" s="10" t="n">
        <f aca="false">I418</f>
        <v>8</v>
      </c>
      <c r="S418" s="10" t="n">
        <f aca="false">J418</f>
        <v>0.3</v>
      </c>
      <c r="T418" s="12" t="s">
        <v>1825</v>
      </c>
      <c r="U418" s="12" t="s">
        <v>1853</v>
      </c>
      <c r="V418" s="9" t="str">
        <f aca="false">U418&amp;" - "&amp;W418</f>
        <v>转向横拉杆外球头 - 右侧</v>
      </c>
      <c r="W418" s="12" t="s">
        <v>227</v>
      </c>
      <c r="X418" s="12" t="s">
        <v>938</v>
      </c>
      <c r="Y418" s="10" t="n">
        <f aca="false">G418</f>
        <v>15</v>
      </c>
      <c r="Z418" s="10" t="n">
        <f aca="false">H418</f>
        <v>10</v>
      </c>
      <c r="AA418" s="10" t="n">
        <f aca="false">I418</f>
        <v>8</v>
      </c>
      <c r="AB418" s="10" t="n">
        <f aca="false">J418</f>
        <v>0.3</v>
      </c>
      <c r="AC418" s="9" t="s">
        <v>1827</v>
      </c>
      <c r="AD418" s="9" t="s">
        <v>1854</v>
      </c>
      <c r="AE418" s="9" t="str">
        <f aca="false">IF($AK418=0,"",INDEX('Part types'!$T:$T,$AK418)&amp;"")</f>
        <v>All vehicles</v>
      </c>
      <c r="AF418" s="9" t="str">
        <f aca="false">IF($AK418=0,"",INDEX('Part types'!$U:$U,$AK418)&amp;"")</f>
        <v/>
      </c>
      <c r="AG418" s="9" t="str">
        <f aca="false">IF($AK418=0,"",INDEX('Part types'!$V:$V,$AK418)&amp;"")</f>
        <v>Estimate: size class S</v>
      </c>
      <c r="AH418" s="9" t="str">
        <f aca="false">IF($AK418=0,"",INDEX('Part types'!$W:$W,$AK418)&amp;"")</f>
        <v>Tie Rod End</v>
      </c>
      <c r="AI418" s="11" t="str">
        <f aca="false">IF($AK418=0,"",INDEX('Part types'!$X:$X,$AK418)&amp;"")</f>
        <v/>
      </c>
      <c r="AJ418" s="9" t="str">
        <f aca="false">IF($AK418=0,"",INDEX('Part types'!$Y:$Y,$AK418)&amp;"")</f>
        <v/>
      </c>
      <c r="AK418" s="9" t="n">
        <f aca="false">IFERROR(MATCH($AD418,'Part types'!$E:$E,0),0)</f>
        <v>299</v>
      </c>
    </row>
    <row r="419" customFormat="false" ht="15" hidden="false" customHeight="false" outlineLevel="0" collapsed="false">
      <c r="A419" s="9" t="s">
        <v>1856</v>
      </c>
      <c r="B419" s="9" t="s">
        <v>1821</v>
      </c>
      <c r="C419" s="9" t="s">
        <v>1857</v>
      </c>
      <c r="D419" s="9" t="str">
        <f aca="false">C419&amp;" - "&amp;E419</f>
        <v>Inner Tie Rod - Left</v>
      </c>
      <c r="E419" s="9" t="s">
        <v>218</v>
      </c>
      <c r="F419" s="9" t="s">
        <v>934</v>
      </c>
      <c r="G419" s="10" t="n">
        <f aca="false">IF($AK419=0,"",INDEX('Part types'!$P:$P,$AK419))</f>
        <v>15</v>
      </c>
      <c r="H419" s="10" t="n">
        <f aca="false">IF($AK419=0,"",INDEX('Part types'!$Q:$Q,$AK419))</f>
        <v>10</v>
      </c>
      <c r="I419" s="10" t="n">
        <f aca="false">IF($AK419=0,"",INDEX('Part types'!$R:$R,$AK419))</f>
        <v>8</v>
      </c>
      <c r="J419" s="10" t="n">
        <f aca="false">IF($AK419=0,"",INDEX('Part types'!$S:$S,$AK419))</f>
        <v>0.3</v>
      </c>
      <c r="K419" s="11" t="s">
        <v>1823</v>
      </c>
      <c r="L419" s="11" t="s">
        <v>1858</v>
      </c>
      <c r="M419" s="11" t="str">
        <f aca="false">L419&amp;" - "&amp;N419</f>
        <v>سيخ التوجيه الداخلي - يسار</v>
      </c>
      <c r="N419" s="11" t="s">
        <v>220</v>
      </c>
      <c r="O419" s="11" t="s">
        <v>936</v>
      </c>
      <c r="P419" s="10" t="n">
        <f aca="false">G419</f>
        <v>15</v>
      </c>
      <c r="Q419" s="10" t="n">
        <f aca="false">H419</f>
        <v>10</v>
      </c>
      <c r="R419" s="10" t="n">
        <f aca="false">I419</f>
        <v>8</v>
      </c>
      <c r="S419" s="10" t="n">
        <f aca="false">J419</f>
        <v>0.3</v>
      </c>
      <c r="T419" s="12" t="s">
        <v>1825</v>
      </c>
      <c r="U419" s="12" t="s">
        <v>1859</v>
      </c>
      <c r="V419" s="9" t="str">
        <f aca="false">U419&amp;" - "&amp;W419</f>
        <v>转向横拉杆内球头 - 左侧</v>
      </c>
      <c r="W419" s="12" t="s">
        <v>222</v>
      </c>
      <c r="X419" s="12" t="s">
        <v>938</v>
      </c>
      <c r="Y419" s="10" t="n">
        <f aca="false">G419</f>
        <v>15</v>
      </c>
      <c r="Z419" s="10" t="n">
        <f aca="false">H419</f>
        <v>10</v>
      </c>
      <c r="AA419" s="10" t="n">
        <f aca="false">I419</f>
        <v>8</v>
      </c>
      <c r="AB419" s="10" t="n">
        <f aca="false">J419</f>
        <v>0.3</v>
      </c>
      <c r="AC419" s="9" t="s">
        <v>1827</v>
      </c>
      <c r="AD419" s="9" t="s">
        <v>1860</v>
      </c>
      <c r="AE419" s="9" t="str">
        <f aca="false">IF($AK419=0,"",INDEX('Part types'!$T:$T,$AK419)&amp;"")</f>
        <v>All vehicles</v>
      </c>
      <c r="AF419" s="9" t="str">
        <f aca="false">IF($AK419=0,"",INDEX('Part types'!$U:$U,$AK419)&amp;"")</f>
        <v/>
      </c>
      <c r="AG419" s="9" t="str">
        <f aca="false">IF($AK419=0,"",INDEX('Part types'!$V:$V,$AK419)&amp;"")</f>
        <v>Estimate: size class S</v>
      </c>
      <c r="AH419" s="9" t="str">
        <f aca="false">IF($AK419=0,"",INDEX('Part types'!$W:$W,$AK419)&amp;"")</f>
        <v/>
      </c>
      <c r="AI419" s="11" t="str">
        <f aca="false">IF($AK419=0,"",INDEX('Part types'!$X:$X,$AK419)&amp;"")</f>
        <v/>
      </c>
      <c r="AJ419" s="9" t="str">
        <f aca="false">IF($AK419=0,"",INDEX('Part types'!$Y:$Y,$AK419)&amp;"")</f>
        <v/>
      </c>
      <c r="AK419" s="9" t="n">
        <f aca="false">IFERROR(MATCH($AD419,'Part types'!$E:$E,0),0)</f>
        <v>300</v>
      </c>
    </row>
    <row r="420" customFormat="false" ht="15" hidden="false" customHeight="false" outlineLevel="0" collapsed="false">
      <c r="A420" s="9" t="s">
        <v>1861</v>
      </c>
      <c r="B420" s="9" t="s">
        <v>1821</v>
      </c>
      <c r="C420" s="9" t="s">
        <v>1857</v>
      </c>
      <c r="D420" s="9" t="str">
        <f aca="false">C420&amp;" - "&amp;E420</f>
        <v>Inner Tie Rod - Right</v>
      </c>
      <c r="E420" s="9" t="s">
        <v>225</v>
      </c>
      <c r="F420" s="9" t="s">
        <v>934</v>
      </c>
      <c r="G420" s="10" t="n">
        <f aca="false">IF($AK420=0,"",INDEX('Part types'!$P:$P,$AK420))</f>
        <v>15</v>
      </c>
      <c r="H420" s="10" t="n">
        <f aca="false">IF($AK420=0,"",INDEX('Part types'!$Q:$Q,$AK420))</f>
        <v>10</v>
      </c>
      <c r="I420" s="10" t="n">
        <f aca="false">IF($AK420=0,"",INDEX('Part types'!$R:$R,$AK420))</f>
        <v>8</v>
      </c>
      <c r="J420" s="10" t="n">
        <f aca="false">IF($AK420=0,"",INDEX('Part types'!$S:$S,$AK420))</f>
        <v>0.3</v>
      </c>
      <c r="K420" s="11" t="s">
        <v>1823</v>
      </c>
      <c r="L420" s="11" t="s">
        <v>1858</v>
      </c>
      <c r="M420" s="11" t="str">
        <f aca="false">L420&amp;" - "&amp;N420</f>
        <v>سيخ التوجيه الداخلي - يمين</v>
      </c>
      <c r="N420" s="11" t="s">
        <v>226</v>
      </c>
      <c r="O420" s="11" t="s">
        <v>936</v>
      </c>
      <c r="P420" s="10" t="n">
        <f aca="false">G420</f>
        <v>15</v>
      </c>
      <c r="Q420" s="10" t="n">
        <f aca="false">H420</f>
        <v>10</v>
      </c>
      <c r="R420" s="10" t="n">
        <f aca="false">I420</f>
        <v>8</v>
      </c>
      <c r="S420" s="10" t="n">
        <f aca="false">J420</f>
        <v>0.3</v>
      </c>
      <c r="T420" s="12" t="s">
        <v>1825</v>
      </c>
      <c r="U420" s="12" t="s">
        <v>1859</v>
      </c>
      <c r="V420" s="9" t="str">
        <f aca="false">U420&amp;" - "&amp;W420</f>
        <v>转向横拉杆内球头 - 右侧</v>
      </c>
      <c r="W420" s="12" t="s">
        <v>227</v>
      </c>
      <c r="X420" s="12" t="s">
        <v>938</v>
      </c>
      <c r="Y420" s="10" t="n">
        <f aca="false">G420</f>
        <v>15</v>
      </c>
      <c r="Z420" s="10" t="n">
        <f aca="false">H420</f>
        <v>10</v>
      </c>
      <c r="AA420" s="10" t="n">
        <f aca="false">I420</f>
        <v>8</v>
      </c>
      <c r="AB420" s="10" t="n">
        <f aca="false">J420</f>
        <v>0.3</v>
      </c>
      <c r="AC420" s="9" t="s">
        <v>1827</v>
      </c>
      <c r="AD420" s="9" t="s">
        <v>1860</v>
      </c>
      <c r="AE420" s="9" t="str">
        <f aca="false">IF($AK420=0,"",INDEX('Part types'!$T:$T,$AK420)&amp;"")</f>
        <v>All vehicles</v>
      </c>
      <c r="AF420" s="9" t="str">
        <f aca="false">IF($AK420=0,"",INDEX('Part types'!$U:$U,$AK420)&amp;"")</f>
        <v/>
      </c>
      <c r="AG420" s="9" t="str">
        <f aca="false">IF($AK420=0,"",INDEX('Part types'!$V:$V,$AK420)&amp;"")</f>
        <v>Estimate: size class S</v>
      </c>
      <c r="AH420" s="9" t="str">
        <f aca="false">IF($AK420=0,"",INDEX('Part types'!$W:$W,$AK420)&amp;"")</f>
        <v/>
      </c>
      <c r="AI420" s="11" t="str">
        <f aca="false">IF($AK420=0,"",INDEX('Part types'!$X:$X,$AK420)&amp;"")</f>
        <v/>
      </c>
      <c r="AJ420" s="9" t="str">
        <f aca="false">IF($AK420=0,"",INDEX('Part types'!$Y:$Y,$AK420)&amp;"")</f>
        <v/>
      </c>
      <c r="AK420" s="9" t="n">
        <f aca="false">IFERROR(MATCH($AD420,'Part types'!$E:$E,0),0)</f>
        <v>300</v>
      </c>
    </row>
    <row r="421" customFormat="false" ht="15" hidden="false" customHeight="false" outlineLevel="0" collapsed="false">
      <c r="A421" s="9" t="s">
        <v>1862</v>
      </c>
      <c r="B421" s="9" t="s">
        <v>1821</v>
      </c>
      <c r="C421" s="9" t="s">
        <v>1863</v>
      </c>
      <c r="D421" s="9" t="str">
        <f aca="false">C421&amp;" - "&amp;E421</f>
        <v>Steering Column - Universal</v>
      </c>
      <c r="E421" s="9" t="s">
        <v>68</v>
      </c>
      <c r="F421" s="9" t="s">
        <v>1863</v>
      </c>
      <c r="G421" s="10" t="n">
        <f aca="false">IF($AK421=0,"",INDEX('Part types'!$P:$P,$AK421))</f>
        <v>60</v>
      </c>
      <c r="H421" s="10" t="n">
        <f aca="false">IF($AK421=0,"",INDEX('Part types'!$Q:$Q,$AK421))</f>
        <v>20</v>
      </c>
      <c r="I421" s="10" t="n">
        <f aca="false">IF($AK421=0,"",INDEX('Part types'!$R:$R,$AK421))</f>
        <v>20</v>
      </c>
      <c r="J421" s="10" t="n">
        <f aca="false">IF($AK421=0,"",INDEX('Part types'!$S:$S,$AK421))</f>
        <v>6</v>
      </c>
      <c r="K421" s="11" t="s">
        <v>1823</v>
      </c>
      <c r="L421" s="11" t="s">
        <v>1864</v>
      </c>
      <c r="M421" s="11" t="str">
        <f aca="false">L421&amp;" - "&amp;N421</f>
        <v>عمود التوجيه - عام</v>
      </c>
      <c r="N421" s="11" t="s">
        <v>72</v>
      </c>
      <c r="O421" s="11" t="s">
        <v>1864</v>
      </c>
      <c r="P421" s="10" t="n">
        <f aca="false">G421</f>
        <v>60</v>
      </c>
      <c r="Q421" s="10" t="n">
        <f aca="false">H421</f>
        <v>20</v>
      </c>
      <c r="R421" s="10" t="n">
        <f aca="false">I421</f>
        <v>20</v>
      </c>
      <c r="S421" s="10" t="n">
        <f aca="false">J421</f>
        <v>6</v>
      </c>
      <c r="T421" s="12" t="s">
        <v>1825</v>
      </c>
      <c r="U421" s="12" t="s">
        <v>1865</v>
      </c>
      <c r="V421" s="9" t="str">
        <f aca="false">U421&amp;" - "&amp;W421</f>
        <v>转向柱 - 通用</v>
      </c>
      <c r="W421" s="12" t="s">
        <v>76</v>
      </c>
      <c r="X421" s="12" t="s">
        <v>1865</v>
      </c>
      <c r="Y421" s="10" t="n">
        <f aca="false">G421</f>
        <v>60</v>
      </c>
      <c r="Z421" s="10" t="n">
        <f aca="false">H421</f>
        <v>20</v>
      </c>
      <c r="AA421" s="10" t="n">
        <f aca="false">I421</f>
        <v>20</v>
      </c>
      <c r="AB421" s="10" t="n">
        <f aca="false">J421</f>
        <v>6</v>
      </c>
      <c r="AC421" s="9" t="s">
        <v>1827</v>
      </c>
      <c r="AD421" s="9" t="s">
        <v>1866</v>
      </c>
      <c r="AE421" s="9" t="str">
        <f aca="false">IF($AK421=0,"",INDEX('Part types'!$T:$T,$AK421)&amp;"")</f>
        <v>All vehicles</v>
      </c>
      <c r="AF421" s="9" t="str">
        <f aca="false">IF($AK421=0,"",INDEX('Part types'!$U:$U,$AK421)&amp;"")</f>
        <v/>
      </c>
      <c r="AG421" s="9" t="str">
        <f aca="false">IF($AK421=0,"",INDEX('Part types'!$V:$V,$AK421)&amp;"")</f>
        <v>Estimate: item-specific</v>
      </c>
      <c r="AH421" s="9" t="str">
        <f aca="false">IF($AK421=0,"",INDEX('Part types'!$W:$W,$AK421)&amp;"")</f>
        <v/>
      </c>
      <c r="AI421" s="11" t="str">
        <f aca="false">IF($AK421=0,"",INDEX('Part types'!$X:$X,$AK421)&amp;"")</f>
        <v/>
      </c>
      <c r="AJ421" s="9" t="str">
        <f aca="false">IF($AK421=0,"",INDEX('Part types'!$Y:$Y,$AK421)&amp;"")</f>
        <v/>
      </c>
      <c r="AK421" s="9" t="n">
        <f aca="false">IFERROR(MATCH($AD421,'Part types'!$E:$E,0),0)</f>
        <v>301</v>
      </c>
    </row>
    <row r="422" customFormat="false" ht="15" hidden="false" customHeight="false" outlineLevel="0" collapsed="false">
      <c r="A422" s="9" t="s">
        <v>1867</v>
      </c>
      <c r="B422" s="9" t="s">
        <v>1821</v>
      </c>
      <c r="C422" s="9" t="s">
        <v>1868</v>
      </c>
      <c r="D422" s="9" t="str">
        <f aca="false">C422&amp;" - "&amp;E422</f>
        <v>Steering Intermediate Shaft - Universal</v>
      </c>
      <c r="E422" s="9" t="s">
        <v>68</v>
      </c>
      <c r="F422" s="9" t="s">
        <v>1863</v>
      </c>
      <c r="G422" s="10" t="n">
        <f aca="false">IF($AK422=0,"",INDEX('Part types'!$P:$P,$AK422))</f>
        <v>30</v>
      </c>
      <c r="H422" s="10" t="n">
        <f aca="false">IF($AK422=0,"",INDEX('Part types'!$Q:$Q,$AK422))</f>
        <v>20</v>
      </c>
      <c r="I422" s="10" t="n">
        <f aca="false">IF($AK422=0,"",INDEX('Part types'!$R:$R,$AK422))</f>
        <v>15</v>
      </c>
      <c r="J422" s="10" t="n">
        <f aca="false">IF($AK422=0,"",INDEX('Part types'!$S:$S,$AK422))</f>
        <v>1.8</v>
      </c>
      <c r="K422" s="11" t="s">
        <v>1823</v>
      </c>
      <c r="L422" s="11" t="s">
        <v>1869</v>
      </c>
      <c r="M422" s="11" t="str">
        <f aca="false">L422&amp;" - "&amp;N422</f>
        <v>عمود التوجيه الأوسط - عام</v>
      </c>
      <c r="N422" s="11" t="s">
        <v>72</v>
      </c>
      <c r="O422" s="11" t="s">
        <v>1864</v>
      </c>
      <c r="P422" s="10" t="n">
        <f aca="false">G422</f>
        <v>30</v>
      </c>
      <c r="Q422" s="10" t="n">
        <f aca="false">H422</f>
        <v>20</v>
      </c>
      <c r="R422" s="10" t="n">
        <f aca="false">I422</f>
        <v>15</v>
      </c>
      <c r="S422" s="10" t="n">
        <f aca="false">J422</f>
        <v>1.8</v>
      </c>
      <c r="T422" s="12" t="s">
        <v>1825</v>
      </c>
      <c r="U422" s="12" t="s">
        <v>1870</v>
      </c>
      <c r="V422" s="9" t="str">
        <f aca="false">U422&amp;" - "&amp;W422</f>
        <v>转向中间轴 - 通用</v>
      </c>
      <c r="W422" s="12" t="s">
        <v>76</v>
      </c>
      <c r="X422" s="12" t="s">
        <v>1865</v>
      </c>
      <c r="Y422" s="10" t="n">
        <f aca="false">G422</f>
        <v>30</v>
      </c>
      <c r="Z422" s="10" t="n">
        <f aca="false">H422</f>
        <v>20</v>
      </c>
      <c r="AA422" s="10" t="n">
        <f aca="false">I422</f>
        <v>15</v>
      </c>
      <c r="AB422" s="10" t="n">
        <f aca="false">J422</f>
        <v>1.8</v>
      </c>
      <c r="AC422" s="9" t="s">
        <v>1827</v>
      </c>
      <c r="AD422" s="9" t="s">
        <v>1871</v>
      </c>
      <c r="AE422" s="9" t="str">
        <f aca="false">IF($AK422=0,"",INDEX('Part types'!$T:$T,$AK422)&amp;"")</f>
        <v>All vehicles</v>
      </c>
      <c r="AF422" s="9" t="str">
        <f aca="false">IF($AK422=0,"",INDEX('Part types'!$U:$U,$AK422)&amp;"")</f>
        <v/>
      </c>
      <c r="AG422" s="9" t="str">
        <f aca="false">IF($AK422=0,"",INDEX('Part types'!$V:$V,$AK422)&amp;"")</f>
        <v>Estimate: size class M2</v>
      </c>
      <c r="AH422" s="9" t="str">
        <f aca="false">IF($AK422=0,"",INDEX('Part types'!$W:$W,$AK422)&amp;"")</f>
        <v/>
      </c>
      <c r="AI422" s="11" t="str">
        <f aca="false">IF($AK422=0,"",INDEX('Part types'!$X:$X,$AK422)&amp;"")</f>
        <v/>
      </c>
      <c r="AJ422" s="9" t="str">
        <f aca="false">IF($AK422=0,"",INDEX('Part types'!$Y:$Y,$AK422)&amp;"")</f>
        <v/>
      </c>
      <c r="AK422" s="9" t="n">
        <f aca="false">IFERROR(MATCH($AD422,'Part types'!$E:$E,0),0)</f>
        <v>302</v>
      </c>
    </row>
    <row r="423" customFormat="false" ht="15" hidden="false" customHeight="false" outlineLevel="0" collapsed="false">
      <c r="A423" s="9" t="s">
        <v>1872</v>
      </c>
      <c r="B423" s="9" t="s">
        <v>1821</v>
      </c>
      <c r="C423" s="9" t="s">
        <v>1873</v>
      </c>
      <c r="D423" s="9" t="str">
        <f aca="false">C423&amp;" - "&amp;E423</f>
        <v>Steering Wheel - Universal</v>
      </c>
      <c r="E423" s="9" t="s">
        <v>68</v>
      </c>
      <c r="F423" s="9" t="s">
        <v>1863</v>
      </c>
      <c r="G423" s="10" t="n">
        <f aca="false">IF($AK423=0,"",INDEX('Part types'!$P:$P,$AK423))</f>
        <v>40</v>
      </c>
      <c r="H423" s="10" t="n">
        <f aca="false">IF($AK423=0,"",INDEX('Part types'!$Q:$Q,$AK423))</f>
        <v>40</v>
      </c>
      <c r="I423" s="10" t="n">
        <f aca="false">IF($AK423=0,"",INDEX('Part types'!$R:$R,$AK423))</f>
        <v>15</v>
      </c>
      <c r="J423" s="10" t="n">
        <f aca="false">IF($AK423=0,"",INDEX('Part types'!$S:$S,$AK423))</f>
        <v>1.8</v>
      </c>
      <c r="K423" s="11" t="s">
        <v>1823</v>
      </c>
      <c r="L423" s="11" t="s">
        <v>1874</v>
      </c>
      <c r="M423" s="11" t="str">
        <f aca="false">L423&amp;" - "&amp;N423</f>
        <v>عجلة القيادة - عام</v>
      </c>
      <c r="N423" s="11" t="s">
        <v>72</v>
      </c>
      <c r="O423" s="11" t="s">
        <v>1864</v>
      </c>
      <c r="P423" s="10" t="n">
        <f aca="false">G423</f>
        <v>40</v>
      </c>
      <c r="Q423" s="10" t="n">
        <f aca="false">H423</f>
        <v>40</v>
      </c>
      <c r="R423" s="10" t="n">
        <f aca="false">I423</f>
        <v>15</v>
      </c>
      <c r="S423" s="10" t="n">
        <f aca="false">J423</f>
        <v>1.8</v>
      </c>
      <c r="T423" s="12" t="s">
        <v>1825</v>
      </c>
      <c r="U423" s="12" t="s">
        <v>1875</v>
      </c>
      <c r="V423" s="9" t="str">
        <f aca="false">U423&amp;" - "&amp;W423</f>
        <v>方向盘 - 通用</v>
      </c>
      <c r="W423" s="12" t="s">
        <v>76</v>
      </c>
      <c r="X423" s="12" t="s">
        <v>1865</v>
      </c>
      <c r="Y423" s="10" t="n">
        <f aca="false">G423</f>
        <v>40</v>
      </c>
      <c r="Z423" s="10" t="n">
        <f aca="false">H423</f>
        <v>40</v>
      </c>
      <c r="AA423" s="10" t="n">
        <f aca="false">I423</f>
        <v>15</v>
      </c>
      <c r="AB423" s="10" t="n">
        <f aca="false">J423</f>
        <v>1.8</v>
      </c>
      <c r="AC423" s="9" t="s">
        <v>1827</v>
      </c>
      <c r="AD423" s="9" t="s">
        <v>1876</v>
      </c>
      <c r="AE423" s="9" t="str">
        <f aca="false">IF($AK423=0,"",INDEX('Part types'!$T:$T,$AK423)&amp;"")</f>
        <v>All vehicles</v>
      </c>
      <c r="AF423" s="9" t="str">
        <f aca="false">IF($AK423=0,"",INDEX('Part types'!$U:$U,$AK423)&amp;"")</f>
        <v/>
      </c>
      <c r="AG423" s="9" t="str">
        <f aca="false">IF($AK423=0,"",INDEX('Part types'!$V:$V,$AK423)&amp;"")</f>
        <v>Estimate: item-specific</v>
      </c>
      <c r="AH423" s="9" t="str">
        <f aca="false">IF($AK423=0,"",INDEX('Part types'!$W:$W,$AK423)&amp;"")</f>
        <v/>
      </c>
      <c r="AI423" s="11" t="str">
        <f aca="false">IF($AK423=0,"",INDEX('Part types'!$X:$X,$AK423)&amp;"")</f>
        <v>الدركسيون</v>
      </c>
      <c r="AJ423" s="9" t="str">
        <f aca="false">IF($AK423=0,"",INDEX('Part types'!$Y:$Y,$AK423)&amp;"")</f>
        <v/>
      </c>
      <c r="AK423" s="9" t="n">
        <f aca="false">IFERROR(MATCH($AD423,'Part types'!$E:$E,0),0)</f>
        <v>303</v>
      </c>
    </row>
    <row r="424" customFormat="false" ht="15" hidden="false" customHeight="false" outlineLevel="0" collapsed="false">
      <c r="A424" s="9" t="s">
        <v>1877</v>
      </c>
      <c r="B424" s="9" t="s">
        <v>1821</v>
      </c>
      <c r="C424" s="9" t="s">
        <v>1878</v>
      </c>
      <c r="D424" s="9" t="str">
        <f aca="false">C424&amp;" - "&amp;E424</f>
        <v>Steering Wheel Switch - Left</v>
      </c>
      <c r="E424" s="9" t="s">
        <v>218</v>
      </c>
      <c r="F424" s="9" t="s">
        <v>1863</v>
      </c>
      <c r="G424" s="10" t="n">
        <f aca="false">IF($AK424=0,"",INDEX('Part types'!$P:$P,$AK424))</f>
        <v>10</v>
      </c>
      <c r="H424" s="10" t="n">
        <f aca="false">IF($AK424=0,"",INDEX('Part types'!$Q:$Q,$AK424))</f>
        <v>8</v>
      </c>
      <c r="I424" s="10" t="n">
        <f aca="false">IF($AK424=0,"",INDEX('Part types'!$R:$R,$AK424))</f>
        <v>6</v>
      </c>
      <c r="J424" s="10" t="n">
        <f aca="false">IF($AK424=0,"",INDEX('Part types'!$S:$S,$AK424))</f>
        <v>0.1</v>
      </c>
      <c r="K424" s="11" t="s">
        <v>1823</v>
      </c>
      <c r="L424" s="11" t="s">
        <v>1879</v>
      </c>
      <c r="M424" s="11" t="str">
        <f aca="false">L424&amp;" - "&amp;N424</f>
        <v>مفاتيح عجلة القيادة - يسار</v>
      </c>
      <c r="N424" s="11" t="s">
        <v>220</v>
      </c>
      <c r="O424" s="11" t="s">
        <v>1864</v>
      </c>
      <c r="P424" s="10" t="n">
        <f aca="false">G424</f>
        <v>10</v>
      </c>
      <c r="Q424" s="10" t="n">
        <f aca="false">H424</f>
        <v>8</v>
      </c>
      <c r="R424" s="10" t="n">
        <f aca="false">I424</f>
        <v>6</v>
      </c>
      <c r="S424" s="10" t="n">
        <f aca="false">J424</f>
        <v>0.1</v>
      </c>
      <c r="T424" s="12" t="s">
        <v>1825</v>
      </c>
      <c r="U424" s="12" t="s">
        <v>1880</v>
      </c>
      <c r="V424" s="9" t="str">
        <f aca="false">U424&amp;" - "&amp;W424</f>
        <v>方向盘按键 - 左侧</v>
      </c>
      <c r="W424" s="12" t="s">
        <v>222</v>
      </c>
      <c r="X424" s="12" t="s">
        <v>1865</v>
      </c>
      <c r="Y424" s="10" t="n">
        <f aca="false">G424</f>
        <v>10</v>
      </c>
      <c r="Z424" s="10" t="n">
        <f aca="false">H424</f>
        <v>8</v>
      </c>
      <c r="AA424" s="10" t="n">
        <f aca="false">I424</f>
        <v>6</v>
      </c>
      <c r="AB424" s="10" t="n">
        <f aca="false">J424</f>
        <v>0.1</v>
      </c>
      <c r="AC424" s="9" t="s">
        <v>1827</v>
      </c>
      <c r="AD424" s="9" t="s">
        <v>1881</v>
      </c>
      <c r="AE424" s="9" t="str">
        <f aca="false">IF($AK424=0,"",INDEX('Part types'!$T:$T,$AK424)&amp;"")</f>
        <v>All vehicles</v>
      </c>
      <c r="AF424" s="9" t="str">
        <f aca="false">IF($AK424=0,"",INDEX('Part types'!$U:$U,$AK424)&amp;"")</f>
        <v/>
      </c>
      <c r="AG424" s="9" t="str">
        <f aca="false">IF($AK424=0,"",INDEX('Part types'!$V:$V,$AK424)&amp;"")</f>
        <v>Estimate: size class XS</v>
      </c>
      <c r="AH424" s="9" t="str">
        <f aca="false">IF($AK424=0,"",INDEX('Part types'!$W:$W,$AK424)&amp;"")</f>
        <v/>
      </c>
      <c r="AI424" s="11" t="str">
        <f aca="false">IF($AK424=0,"",INDEX('Part types'!$X:$X,$AK424)&amp;"")</f>
        <v/>
      </c>
      <c r="AJ424" s="9" t="str">
        <f aca="false">IF($AK424=0,"",INDEX('Part types'!$Y:$Y,$AK424)&amp;"")</f>
        <v/>
      </c>
      <c r="AK424" s="9" t="n">
        <f aca="false">IFERROR(MATCH($AD424,'Part types'!$E:$E,0),0)</f>
        <v>304</v>
      </c>
    </row>
    <row r="425" customFormat="false" ht="15" hidden="false" customHeight="false" outlineLevel="0" collapsed="false">
      <c r="A425" s="9" t="s">
        <v>1882</v>
      </c>
      <c r="B425" s="9" t="s">
        <v>1821</v>
      </c>
      <c r="C425" s="9" t="s">
        <v>1878</v>
      </c>
      <c r="D425" s="9" t="str">
        <f aca="false">C425&amp;" - "&amp;E425</f>
        <v>Steering Wheel Switch - Right</v>
      </c>
      <c r="E425" s="9" t="s">
        <v>225</v>
      </c>
      <c r="F425" s="9" t="s">
        <v>1863</v>
      </c>
      <c r="G425" s="10" t="n">
        <f aca="false">IF($AK425=0,"",INDEX('Part types'!$P:$P,$AK425))</f>
        <v>10</v>
      </c>
      <c r="H425" s="10" t="n">
        <f aca="false">IF($AK425=0,"",INDEX('Part types'!$Q:$Q,$AK425))</f>
        <v>8</v>
      </c>
      <c r="I425" s="10" t="n">
        <f aca="false">IF($AK425=0,"",INDEX('Part types'!$R:$R,$AK425))</f>
        <v>6</v>
      </c>
      <c r="J425" s="10" t="n">
        <f aca="false">IF($AK425=0,"",INDEX('Part types'!$S:$S,$AK425))</f>
        <v>0.1</v>
      </c>
      <c r="K425" s="11" t="s">
        <v>1823</v>
      </c>
      <c r="L425" s="11" t="s">
        <v>1879</v>
      </c>
      <c r="M425" s="11" t="str">
        <f aca="false">L425&amp;" - "&amp;N425</f>
        <v>مفاتيح عجلة القيادة - يمين</v>
      </c>
      <c r="N425" s="11" t="s">
        <v>226</v>
      </c>
      <c r="O425" s="11" t="s">
        <v>1864</v>
      </c>
      <c r="P425" s="10" t="n">
        <f aca="false">G425</f>
        <v>10</v>
      </c>
      <c r="Q425" s="10" t="n">
        <f aca="false">H425</f>
        <v>8</v>
      </c>
      <c r="R425" s="10" t="n">
        <f aca="false">I425</f>
        <v>6</v>
      </c>
      <c r="S425" s="10" t="n">
        <f aca="false">J425</f>
        <v>0.1</v>
      </c>
      <c r="T425" s="12" t="s">
        <v>1825</v>
      </c>
      <c r="U425" s="12" t="s">
        <v>1880</v>
      </c>
      <c r="V425" s="9" t="str">
        <f aca="false">U425&amp;" - "&amp;W425</f>
        <v>方向盘按键 - 右侧</v>
      </c>
      <c r="W425" s="12" t="s">
        <v>227</v>
      </c>
      <c r="X425" s="12" t="s">
        <v>1865</v>
      </c>
      <c r="Y425" s="10" t="n">
        <f aca="false">G425</f>
        <v>10</v>
      </c>
      <c r="Z425" s="10" t="n">
        <f aca="false">H425</f>
        <v>8</v>
      </c>
      <c r="AA425" s="10" t="n">
        <f aca="false">I425</f>
        <v>6</v>
      </c>
      <c r="AB425" s="10" t="n">
        <f aca="false">J425</f>
        <v>0.1</v>
      </c>
      <c r="AC425" s="9" t="s">
        <v>1827</v>
      </c>
      <c r="AD425" s="9" t="s">
        <v>1881</v>
      </c>
      <c r="AE425" s="9" t="str">
        <f aca="false">IF($AK425=0,"",INDEX('Part types'!$T:$T,$AK425)&amp;"")</f>
        <v>All vehicles</v>
      </c>
      <c r="AF425" s="9" t="str">
        <f aca="false">IF($AK425=0,"",INDEX('Part types'!$U:$U,$AK425)&amp;"")</f>
        <v/>
      </c>
      <c r="AG425" s="9" t="str">
        <f aca="false">IF($AK425=0,"",INDEX('Part types'!$V:$V,$AK425)&amp;"")</f>
        <v>Estimate: size class XS</v>
      </c>
      <c r="AH425" s="9" t="str">
        <f aca="false">IF($AK425=0,"",INDEX('Part types'!$W:$W,$AK425)&amp;"")</f>
        <v/>
      </c>
      <c r="AI425" s="11" t="str">
        <f aca="false">IF($AK425=0,"",INDEX('Part types'!$X:$X,$AK425)&amp;"")</f>
        <v/>
      </c>
      <c r="AJ425" s="9" t="str">
        <f aca="false">IF($AK425=0,"",INDEX('Part types'!$Y:$Y,$AK425)&amp;"")</f>
        <v/>
      </c>
      <c r="AK425" s="9" t="n">
        <f aca="false">IFERROR(MATCH($AD425,'Part types'!$E:$E,0),0)</f>
        <v>304</v>
      </c>
    </row>
    <row r="426" customFormat="false" ht="15" hidden="false" customHeight="false" outlineLevel="0" collapsed="false">
      <c r="A426" s="9" t="s">
        <v>1883</v>
      </c>
      <c r="B426" s="9" t="s">
        <v>1821</v>
      </c>
      <c r="C426" s="9" t="s">
        <v>1884</v>
      </c>
      <c r="D426" s="9" t="str">
        <f aca="false">C426&amp;" - "&amp;E426</f>
        <v>Clock Spring - Universal</v>
      </c>
      <c r="E426" s="9" t="s">
        <v>68</v>
      </c>
      <c r="F426" s="9" t="s">
        <v>1863</v>
      </c>
      <c r="G426" s="10" t="n">
        <f aca="false">IF($AK426=0,"",INDEX('Part types'!$P:$P,$AK426))</f>
        <v>15</v>
      </c>
      <c r="H426" s="10" t="n">
        <f aca="false">IF($AK426=0,"",INDEX('Part types'!$Q:$Q,$AK426))</f>
        <v>10</v>
      </c>
      <c r="I426" s="10" t="n">
        <f aca="false">IF($AK426=0,"",INDEX('Part types'!$R:$R,$AK426))</f>
        <v>8</v>
      </c>
      <c r="J426" s="10" t="n">
        <f aca="false">IF($AK426=0,"",INDEX('Part types'!$S:$S,$AK426))</f>
        <v>0.3</v>
      </c>
      <c r="K426" s="11" t="s">
        <v>1823</v>
      </c>
      <c r="L426" s="11" t="s">
        <v>1885</v>
      </c>
      <c r="M426" s="11" t="str">
        <f aca="false">L426&amp;" - "&amp;N426</f>
        <v>كلوك سبرينغ - عام</v>
      </c>
      <c r="N426" s="11" t="s">
        <v>72</v>
      </c>
      <c r="O426" s="11" t="s">
        <v>1864</v>
      </c>
      <c r="P426" s="10" t="n">
        <f aca="false">G426</f>
        <v>15</v>
      </c>
      <c r="Q426" s="10" t="n">
        <f aca="false">H426</f>
        <v>10</v>
      </c>
      <c r="R426" s="10" t="n">
        <f aca="false">I426</f>
        <v>8</v>
      </c>
      <c r="S426" s="10" t="n">
        <f aca="false">J426</f>
        <v>0.3</v>
      </c>
      <c r="T426" s="12" t="s">
        <v>1825</v>
      </c>
      <c r="U426" s="12" t="s">
        <v>1886</v>
      </c>
      <c r="V426" s="9" t="str">
        <f aca="false">U426&amp;" - "&amp;W426</f>
        <v>方向盘游丝 - 通用</v>
      </c>
      <c r="W426" s="12" t="s">
        <v>76</v>
      </c>
      <c r="X426" s="12" t="s">
        <v>1865</v>
      </c>
      <c r="Y426" s="10" t="n">
        <f aca="false">G426</f>
        <v>15</v>
      </c>
      <c r="Z426" s="10" t="n">
        <f aca="false">H426</f>
        <v>10</v>
      </c>
      <c r="AA426" s="10" t="n">
        <f aca="false">I426</f>
        <v>8</v>
      </c>
      <c r="AB426" s="10" t="n">
        <f aca="false">J426</f>
        <v>0.3</v>
      </c>
      <c r="AC426" s="9" t="s">
        <v>1827</v>
      </c>
      <c r="AD426" s="9" t="s">
        <v>1887</v>
      </c>
      <c r="AE426" s="9" t="str">
        <f aca="false">IF($AK426=0,"",INDEX('Part types'!$T:$T,$AK426)&amp;"")</f>
        <v>All vehicles</v>
      </c>
      <c r="AF426" s="9" t="str">
        <f aca="false">IF($AK426=0,"",INDEX('Part types'!$U:$U,$AK426)&amp;"")</f>
        <v/>
      </c>
      <c r="AG426" s="9" t="str">
        <f aca="false">IF($AK426=0,"",INDEX('Part types'!$V:$V,$AK426)&amp;"")</f>
        <v>Estimate: size class S</v>
      </c>
      <c r="AH426" s="9" t="str">
        <f aca="false">IF($AK426=0,"",INDEX('Part types'!$W:$W,$AK426)&amp;"")</f>
        <v/>
      </c>
      <c r="AI426" s="11" t="str">
        <f aca="false">IF($AK426=0,"",INDEX('Part types'!$X:$X,$AK426)&amp;"")</f>
        <v>سلك العجلة اللولبي</v>
      </c>
      <c r="AJ426" s="9" t="str">
        <f aca="false">IF($AK426=0,"",INDEX('Part types'!$Y:$Y,$AK426)&amp;"")</f>
        <v>气囊弹簧线</v>
      </c>
      <c r="AK426" s="9" t="n">
        <f aca="false">IFERROR(MATCH($AD426,'Part types'!$E:$E,0),0)</f>
        <v>305</v>
      </c>
    </row>
    <row r="427" customFormat="false" ht="15" hidden="false" customHeight="false" outlineLevel="0" collapsed="false">
      <c r="A427" s="9" t="s">
        <v>1888</v>
      </c>
      <c r="B427" s="9" t="s">
        <v>1821</v>
      </c>
      <c r="C427" s="9" t="s">
        <v>1889</v>
      </c>
      <c r="D427" s="9" t="str">
        <f aca="false">C427&amp;" - "&amp;E427</f>
        <v>Steering Column Cover - Universal</v>
      </c>
      <c r="E427" s="9" t="s">
        <v>68</v>
      </c>
      <c r="F427" s="9" t="s">
        <v>1863</v>
      </c>
      <c r="G427" s="10" t="n">
        <f aca="false">IF($AK427=0,"",INDEX('Part types'!$P:$P,$AK427))</f>
        <v>25</v>
      </c>
      <c r="H427" s="10" t="n">
        <f aca="false">IF($AK427=0,"",INDEX('Part types'!$Q:$Q,$AK427))</f>
        <v>15</v>
      </c>
      <c r="I427" s="10" t="n">
        <f aca="false">IF($AK427=0,"",INDEX('Part types'!$R:$R,$AK427))</f>
        <v>10</v>
      </c>
      <c r="J427" s="10" t="n">
        <f aca="false">IF($AK427=0,"",INDEX('Part types'!$S:$S,$AK427))</f>
        <v>0.9</v>
      </c>
      <c r="K427" s="11" t="s">
        <v>1823</v>
      </c>
      <c r="L427" s="11" t="s">
        <v>1890</v>
      </c>
      <c r="M427" s="11" t="str">
        <f aca="false">L427&amp;" - "&amp;N427</f>
        <v>غطاء عمود التوجيه - عام</v>
      </c>
      <c r="N427" s="11" t="s">
        <v>72</v>
      </c>
      <c r="O427" s="11" t="s">
        <v>1864</v>
      </c>
      <c r="P427" s="10" t="n">
        <f aca="false">G427</f>
        <v>25</v>
      </c>
      <c r="Q427" s="10" t="n">
        <f aca="false">H427</f>
        <v>15</v>
      </c>
      <c r="R427" s="10" t="n">
        <f aca="false">I427</f>
        <v>10</v>
      </c>
      <c r="S427" s="10" t="n">
        <f aca="false">J427</f>
        <v>0.9</v>
      </c>
      <c r="T427" s="12" t="s">
        <v>1825</v>
      </c>
      <c r="U427" s="12" t="s">
        <v>1891</v>
      </c>
      <c r="V427" s="9" t="str">
        <f aca="false">U427&amp;" - "&amp;W427</f>
        <v>转向柱护罩 - 通用</v>
      </c>
      <c r="W427" s="12" t="s">
        <v>76</v>
      </c>
      <c r="X427" s="12" t="s">
        <v>1865</v>
      </c>
      <c r="Y427" s="10" t="n">
        <f aca="false">G427</f>
        <v>25</v>
      </c>
      <c r="Z427" s="10" t="n">
        <f aca="false">H427</f>
        <v>15</v>
      </c>
      <c r="AA427" s="10" t="n">
        <f aca="false">I427</f>
        <v>10</v>
      </c>
      <c r="AB427" s="10" t="n">
        <f aca="false">J427</f>
        <v>0.9</v>
      </c>
      <c r="AC427" s="9" t="s">
        <v>1827</v>
      </c>
      <c r="AD427" s="9" t="s">
        <v>1892</v>
      </c>
      <c r="AE427" s="9" t="str">
        <f aca="false">IF($AK427=0,"",INDEX('Part types'!$T:$T,$AK427)&amp;"")</f>
        <v>All vehicles</v>
      </c>
      <c r="AF427" s="9" t="str">
        <f aca="false">IF($AK427=0,"",INDEX('Part types'!$U:$U,$AK427)&amp;"")</f>
        <v/>
      </c>
      <c r="AG427" s="9" t="str">
        <f aca="false">IF($AK427=0,"",INDEX('Part types'!$V:$V,$AK427)&amp;"")</f>
        <v>Estimate: size class M</v>
      </c>
      <c r="AH427" s="9" t="str">
        <f aca="false">IF($AK427=0,"",INDEX('Part types'!$W:$W,$AK427)&amp;"")</f>
        <v/>
      </c>
      <c r="AI427" s="11" t="str">
        <f aca="false">IF($AK427=0,"",INDEX('Part types'!$X:$X,$AK427)&amp;"")</f>
        <v/>
      </c>
      <c r="AJ427" s="9" t="str">
        <f aca="false">IF($AK427=0,"",INDEX('Part types'!$Y:$Y,$AK427)&amp;"")</f>
        <v/>
      </c>
      <c r="AK427" s="9" t="n">
        <f aca="false">IFERROR(MATCH($AD427,'Part types'!$E:$E,0),0)</f>
        <v>306</v>
      </c>
    </row>
    <row r="428" customFormat="false" ht="15" hidden="false" customHeight="false" outlineLevel="0" collapsed="false">
      <c r="A428" s="9" t="s">
        <v>1893</v>
      </c>
      <c r="B428" s="9" t="s">
        <v>1821</v>
      </c>
      <c r="C428" s="9" t="s">
        <v>1894</v>
      </c>
      <c r="D428" s="9" t="str">
        <f aca="false">C428&amp;" - "&amp;E428</f>
        <v>Steering Lock Cylinder - Universal</v>
      </c>
      <c r="E428" s="9" t="s">
        <v>68</v>
      </c>
      <c r="F428" s="9" t="s">
        <v>1863</v>
      </c>
      <c r="G428" s="10" t="n">
        <f aca="false">IF($AK428=0,"",INDEX('Part types'!$P:$P,$AK428))</f>
        <v>15</v>
      </c>
      <c r="H428" s="10" t="n">
        <f aca="false">IF($AK428=0,"",INDEX('Part types'!$Q:$Q,$AK428))</f>
        <v>10</v>
      </c>
      <c r="I428" s="10" t="n">
        <f aca="false">IF($AK428=0,"",INDEX('Part types'!$R:$R,$AK428))</f>
        <v>8</v>
      </c>
      <c r="J428" s="10" t="n">
        <f aca="false">IF($AK428=0,"",INDEX('Part types'!$S:$S,$AK428))</f>
        <v>0.3</v>
      </c>
      <c r="K428" s="11" t="s">
        <v>1823</v>
      </c>
      <c r="L428" s="11" t="s">
        <v>1895</v>
      </c>
      <c r="M428" s="11" t="str">
        <f aca="false">L428&amp;" - "&amp;N428</f>
        <v>قفل التوجيه - عام</v>
      </c>
      <c r="N428" s="11" t="s">
        <v>72</v>
      </c>
      <c r="O428" s="11" t="s">
        <v>1864</v>
      </c>
      <c r="P428" s="10" t="n">
        <f aca="false">G428</f>
        <v>15</v>
      </c>
      <c r="Q428" s="10" t="n">
        <f aca="false">H428</f>
        <v>10</v>
      </c>
      <c r="R428" s="10" t="n">
        <f aca="false">I428</f>
        <v>8</v>
      </c>
      <c r="S428" s="10" t="n">
        <f aca="false">J428</f>
        <v>0.3</v>
      </c>
      <c r="T428" s="12" t="s">
        <v>1825</v>
      </c>
      <c r="U428" s="12" t="s">
        <v>1896</v>
      </c>
      <c r="V428" s="9" t="str">
        <f aca="false">U428&amp;" - "&amp;W428</f>
        <v>转向锁 - 通用</v>
      </c>
      <c r="W428" s="12" t="s">
        <v>76</v>
      </c>
      <c r="X428" s="12" t="s">
        <v>1865</v>
      </c>
      <c r="Y428" s="10" t="n">
        <f aca="false">G428</f>
        <v>15</v>
      </c>
      <c r="Z428" s="10" t="n">
        <f aca="false">H428</f>
        <v>10</v>
      </c>
      <c r="AA428" s="10" t="n">
        <f aca="false">I428</f>
        <v>8</v>
      </c>
      <c r="AB428" s="10" t="n">
        <f aca="false">J428</f>
        <v>0.3</v>
      </c>
      <c r="AC428" s="9" t="s">
        <v>1827</v>
      </c>
      <c r="AD428" s="9" t="s">
        <v>1897</v>
      </c>
      <c r="AE428" s="9" t="str">
        <f aca="false">IF($AK428=0,"",INDEX('Part types'!$T:$T,$AK428)&amp;"")</f>
        <v>All vehicles</v>
      </c>
      <c r="AF428" s="9" t="str">
        <f aca="false">IF($AK428=0,"",INDEX('Part types'!$U:$U,$AK428)&amp;"")</f>
        <v/>
      </c>
      <c r="AG428" s="9" t="str">
        <f aca="false">IF($AK428=0,"",INDEX('Part types'!$V:$V,$AK428)&amp;"")</f>
        <v>Estimate: size class S</v>
      </c>
      <c r="AH428" s="9" t="str">
        <f aca="false">IF($AK428=0,"",INDEX('Part types'!$W:$W,$AK428)&amp;"")</f>
        <v/>
      </c>
      <c r="AI428" s="11" t="str">
        <f aca="false">IF($AK428=0,"",INDEX('Part types'!$X:$X,$AK428)&amp;"")</f>
        <v/>
      </c>
      <c r="AJ428" s="9" t="str">
        <f aca="false">IF($AK428=0,"",INDEX('Part types'!$Y:$Y,$AK428)&amp;"")</f>
        <v/>
      </c>
      <c r="AK428" s="9" t="n">
        <f aca="false">IFERROR(MATCH($AD428,'Part types'!$E:$E,0),0)</f>
        <v>307</v>
      </c>
    </row>
    <row r="429" customFormat="false" ht="15" hidden="false" customHeight="false" outlineLevel="0" collapsed="false">
      <c r="A429" s="9" t="s">
        <v>1898</v>
      </c>
      <c r="B429" s="9" t="s">
        <v>1821</v>
      </c>
      <c r="C429" s="9" t="s">
        <v>1899</v>
      </c>
      <c r="D429" s="9" t="str">
        <f aca="false">C429&amp;" - "&amp;E429</f>
        <v>Steering Pressure Hose - Universal</v>
      </c>
      <c r="E429" s="9" t="s">
        <v>68</v>
      </c>
      <c r="F429" s="9" t="s">
        <v>934</v>
      </c>
      <c r="G429" s="10" t="n">
        <f aca="false">IF($AK429=0,"",INDEX('Part types'!$P:$P,$AK429))</f>
        <v>25</v>
      </c>
      <c r="H429" s="10" t="n">
        <f aca="false">IF($AK429=0,"",INDEX('Part types'!$Q:$Q,$AK429))</f>
        <v>15</v>
      </c>
      <c r="I429" s="10" t="n">
        <f aca="false">IF($AK429=0,"",INDEX('Part types'!$R:$R,$AK429))</f>
        <v>10</v>
      </c>
      <c r="J429" s="10" t="n">
        <f aca="false">IF($AK429=0,"",INDEX('Part types'!$S:$S,$AK429))</f>
        <v>0.9</v>
      </c>
      <c r="K429" s="11" t="s">
        <v>1823</v>
      </c>
      <c r="L429" s="11" t="s">
        <v>1900</v>
      </c>
      <c r="M429" s="11" t="str">
        <f aca="false">L429&amp;" - "&amp;N429</f>
        <v>خرطوم الباور عالي الضغط - عام</v>
      </c>
      <c r="N429" s="11" t="s">
        <v>72</v>
      </c>
      <c r="O429" s="11" t="s">
        <v>936</v>
      </c>
      <c r="P429" s="10" t="n">
        <f aca="false">G429</f>
        <v>25</v>
      </c>
      <c r="Q429" s="10" t="n">
        <f aca="false">H429</f>
        <v>15</v>
      </c>
      <c r="R429" s="10" t="n">
        <f aca="false">I429</f>
        <v>10</v>
      </c>
      <c r="S429" s="10" t="n">
        <f aca="false">J429</f>
        <v>0.9</v>
      </c>
      <c r="T429" s="12" t="s">
        <v>1825</v>
      </c>
      <c r="U429" s="12" t="s">
        <v>1901</v>
      </c>
      <c r="V429" s="9" t="str">
        <f aca="false">U429&amp;" - "&amp;W429</f>
        <v>转向助力高压软管 - 通用</v>
      </c>
      <c r="W429" s="12" t="s">
        <v>76</v>
      </c>
      <c r="X429" s="12" t="s">
        <v>938</v>
      </c>
      <c r="Y429" s="10" t="n">
        <f aca="false">G429</f>
        <v>25</v>
      </c>
      <c r="Z429" s="10" t="n">
        <f aca="false">H429</f>
        <v>15</v>
      </c>
      <c r="AA429" s="10" t="n">
        <f aca="false">I429</f>
        <v>10</v>
      </c>
      <c r="AB429" s="10" t="n">
        <f aca="false">J429</f>
        <v>0.9</v>
      </c>
      <c r="AC429" s="9" t="s">
        <v>1827</v>
      </c>
      <c r="AD429" s="9" t="s">
        <v>1902</v>
      </c>
      <c r="AE429" s="9" t="str">
        <f aca="false">IF($AK429=0,"",INDEX('Part types'!$T:$T,$AK429)&amp;"")</f>
        <v>Combustion engine (petrol, diesel, hybrid, range extender)</v>
      </c>
      <c r="AF429" s="9" t="str">
        <f aca="false">IF($AK429=0,"",INDEX('Part types'!$U:$U,$AK429)&amp;"")</f>
        <v/>
      </c>
      <c r="AG429" s="9" t="str">
        <f aca="false">IF($AK429=0,"",INDEX('Part types'!$V:$V,$AK429)&amp;"")</f>
        <v>Estimate: size class M</v>
      </c>
      <c r="AH429" s="9" t="str">
        <f aca="false">IF($AK429=0,"",INDEX('Part types'!$W:$W,$AK429)&amp;"")</f>
        <v>Power Steering Hose; High Pressure</v>
      </c>
      <c r="AI429" s="11" t="str">
        <f aca="false">IF($AK429=0,"",INDEX('Part types'!$X:$X,$AK429)&amp;"")</f>
        <v/>
      </c>
      <c r="AJ429" s="9" t="str">
        <f aca="false">IF($AK429=0,"",INDEX('Part types'!$Y:$Y,$AK429)&amp;"")</f>
        <v/>
      </c>
      <c r="AK429" s="9" t="n">
        <f aca="false">IFERROR(MATCH($AD429,'Part types'!$E:$E,0),0)</f>
        <v>308</v>
      </c>
    </row>
    <row r="430" customFormat="false" ht="15" hidden="false" customHeight="false" outlineLevel="0" collapsed="false">
      <c r="A430" s="9" t="s">
        <v>1903</v>
      </c>
      <c r="B430" s="9" t="s">
        <v>1821</v>
      </c>
      <c r="C430" s="9" t="s">
        <v>1904</v>
      </c>
      <c r="D430" s="9" t="str">
        <f aca="false">C430&amp;" - "&amp;E430</f>
        <v>Steering Return Hose - Universal</v>
      </c>
      <c r="E430" s="9" t="s">
        <v>68</v>
      </c>
      <c r="F430" s="9" t="s">
        <v>934</v>
      </c>
      <c r="G430" s="10" t="n">
        <f aca="false">IF($AK430=0,"",INDEX('Part types'!$P:$P,$AK430))</f>
        <v>15</v>
      </c>
      <c r="H430" s="10" t="n">
        <f aca="false">IF($AK430=0,"",INDEX('Part types'!$Q:$Q,$AK430))</f>
        <v>10</v>
      </c>
      <c r="I430" s="10" t="n">
        <f aca="false">IF($AK430=0,"",INDEX('Part types'!$R:$R,$AK430))</f>
        <v>8</v>
      </c>
      <c r="J430" s="10" t="n">
        <f aca="false">IF($AK430=0,"",INDEX('Part types'!$S:$S,$AK430))</f>
        <v>0.3</v>
      </c>
      <c r="K430" s="11" t="s">
        <v>1823</v>
      </c>
      <c r="L430" s="11" t="s">
        <v>1905</v>
      </c>
      <c r="M430" s="11" t="str">
        <f aca="false">L430&amp;" - "&amp;N430</f>
        <v>خرطوم رجوع الباور - عام</v>
      </c>
      <c r="N430" s="11" t="s">
        <v>72</v>
      </c>
      <c r="O430" s="11" t="s">
        <v>936</v>
      </c>
      <c r="P430" s="10" t="n">
        <f aca="false">G430</f>
        <v>15</v>
      </c>
      <c r="Q430" s="10" t="n">
        <f aca="false">H430</f>
        <v>10</v>
      </c>
      <c r="R430" s="10" t="n">
        <f aca="false">I430</f>
        <v>8</v>
      </c>
      <c r="S430" s="10" t="n">
        <f aca="false">J430</f>
        <v>0.3</v>
      </c>
      <c r="T430" s="12" t="s">
        <v>1825</v>
      </c>
      <c r="U430" s="12" t="s">
        <v>1906</v>
      </c>
      <c r="V430" s="9" t="str">
        <f aca="false">U430&amp;" - "&amp;W430</f>
        <v>转向助力回油软管 - 通用</v>
      </c>
      <c r="W430" s="12" t="s">
        <v>76</v>
      </c>
      <c r="X430" s="12" t="s">
        <v>938</v>
      </c>
      <c r="Y430" s="10" t="n">
        <f aca="false">G430</f>
        <v>15</v>
      </c>
      <c r="Z430" s="10" t="n">
        <f aca="false">H430</f>
        <v>10</v>
      </c>
      <c r="AA430" s="10" t="n">
        <f aca="false">I430</f>
        <v>8</v>
      </c>
      <c r="AB430" s="10" t="n">
        <f aca="false">J430</f>
        <v>0.3</v>
      </c>
      <c r="AC430" s="9" t="s">
        <v>1827</v>
      </c>
      <c r="AD430" s="9" t="s">
        <v>1907</v>
      </c>
      <c r="AE430" s="9" t="str">
        <f aca="false">IF($AK430=0,"",INDEX('Part types'!$T:$T,$AK430)&amp;"")</f>
        <v>Combustion engine (petrol, diesel, hybrid, range extender)</v>
      </c>
      <c r="AF430" s="9" t="str">
        <f aca="false">IF($AK430=0,"",INDEX('Part types'!$U:$U,$AK430)&amp;"")</f>
        <v/>
      </c>
      <c r="AG430" s="9" t="str">
        <f aca="false">IF($AK430=0,"",INDEX('Part types'!$V:$V,$AK430)&amp;"")</f>
        <v>Estimate: size class S</v>
      </c>
      <c r="AH430" s="9" t="str">
        <f aca="false">IF($AK430=0,"",INDEX('Part types'!$W:$W,$AK430)&amp;"")</f>
        <v>Power Steering Return Hose</v>
      </c>
      <c r="AI430" s="11" t="str">
        <f aca="false">IF($AK430=0,"",INDEX('Part types'!$X:$X,$AK430)&amp;"")</f>
        <v/>
      </c>
      <c r="AJ430" s="9" t="str">
        <f aca="false">IF($AK430=0,"",INDEX('Part types'!$Y:$Y,$AK430)&amp;"")</f>
        <v/>
      </c>
      <c r="AK430" s="9" t="n">
        <f aca="false">IFERROR(MATCH($AD430,'Part types'!$E:$E,0),0)</f>
        <v>309</v>
      </c>
    </row>
    <row r="431" customFormat="false" ht="15" hidden="false" customHeight="false" outlineLevel="0" collapsed="false">
      <c r="A431" s="9" t="s">
        <v>1908</v>
      </c>
      <c r="B431" s="9" t="s">
        <v>1821</v>
      </c>
      <c r="C431" s="9" t="s">
        <v>1909</v>
      </c>
      <c r="D431" s="9" t="str">
        <f aca="false">C431&amp;" - "&amp;E431</f>
        <v>Power Steering Reservoir - Universal</v>
      </c>
      <c r="E431" s="9" t="s">
        <v>68</v>
      </c>
      <c r="F431" s="9" t="s">
        <v>69</v>
      </c>
      <c r="G431" s="10" t="n">
        <f aca="false">IF($AK431=0,"",INDEX('Part types'!$P:$P,$AK431))</f>
        <v>25</v>
      </c>
      <c r="H431" s="10" t="n">
        <f aca="false">IF($AK431=0,"",INDEX('Part types'!$Q:$Q,$AK431))</f>
        <v>15</v>
      </c>
      <c r="I431" s="10" t="n">
        <f aca="false">IF($AK431=0,"",INDEX('Part types'!$R:$R,$AK431))</f>
        <v>10</v>
      </c>
      <c r="J431" s="10" t="n">
        <f aca="false">IF($AK431=0,"",INDEX('Part types'!$S:$S,$AK431))</f>
        <v>0.9</v>
      </c>
      <c r="K431" s="11" t="s">
        <v>1823</v>
      </c>
      <c r="L431" s="11" t="s">
        <v>1910</v>
      </c>
      <c r="M431" s="11" t="str">
        <f aca="false">L431&amp;" - "&amp;N431</f>
        <v>خزان زيت الباور - عام</v>
      </c>
      <c r="N431" s="11" t="s">
        <v>72</v>
      </c>
      <c r="O431" s="11" t="s">
        <v>73</v>
      </c>
      <c r="P431" s="10" t="n">
        <f aca="false">G431</f>
        <v>25</v>
      </c>
      <c r="Q431" s="10" t="n">
        <f aca="false">H431</f>
        <v>15</v>
      </c>
      <c r="R431" s="10" t="n">
        <f aca="false">I431</f>
        <v>10</v>
      </c>
      <c r="S431" s="10" t="n">
        <f aca="false">J431</f>
        <v>0.9</v>
      </c>
      <c r="T431" s="12" t="s">
        <v>1825</v>
      </c>
      <c r="U431" s="12" t="s">
        <v>1911</v>
      </c>
      <c r="V431" s="9" t="str">
        <f aca="false">U431&amp;" - "&amp;W431</f>
        <v>转向助力油壶 - 通用</v>
      </c>
      <c r="W431" s="12" t="s">
        <v>76</v>
      </c>
      <c r="X431" s="12" t="s">
        <v>77</v>
      </c>
      <c r="Y431" s="10" t="n">
        <f aca="false">G431</f>
        <v>25</v>
      </c>
      <c r="Z431" s="10" t="n">
        <f aca="false">H431</f>
        <v>15</v>
      </c>
      <c r="AA431" s="10" t="n">
        <f aca="false">I431</f>
        <v>10</v>
      </c>
      <c r="AB431" s="10" t="n">
        <f aca="false">J431</f>
        <v>0.9</v>
      </c>
      <c r="AC431" s="9" t="s">
        <v>1827</v>
      </c>
      <c r="AD431" s="9" t="s">
        <v>1912</v>
      </c>
      <c r="AE431" s="9" t="str">
        <f aca="false">IF($AK431=0,"",INDEX('Part types'!$T:$T,$AK431)&amp;"")</f>
        <v>Combustion engine (petrol, diesel, hybrid, range extender)</v>
      </c>
      <c r="AF431" s="9" t="str">
        <f aca="false">IF($AK431=0,"",INDEX('Part types'!$U:$U,$AK431)&amp;"")</f>
        <v/>
      </c>
      <c r="AG431" s="9" t="str">
        <f aca="false">IF($AK431=0,"",INDEX('Part types'!$V:$V,$AK431)&amp;"")</f>
        <v>Estimate: size class M</v>
      </c>
      <c r="AH431" s="9" t="str">
        <f aca="false">IF($AK431=0,"",INDEX('Part types'!$W:$W,$AK431)&amp;"")</f>
        <v/>
      </c>
      <c r="AI431" s="11" t="str">
        <f aca="false">IF($AK431=0,"",INDEX('Part types'!$X:$X,$AK431)&amp;"")</f>
        <v/>
      </c>
      <c r="AJ431" s="9" t="str">
        <f aca="false">IF($AK431=0,"",INDEX('Part types'!$Y:$Y,$AK431)&amp;"")</f>
        <v/>
      </c>
      <c r="AK431" s="9" t="n">
        <f aca="false">IFERROR(MATCH($AD431,'Part types'!$E:$E,0),0)</f>
        <v>310</v>
      </c>
    </row>
    <row r="432" customFormat="false" ht="15" hidden="false" customHeight="false" outlineLevel="0" collapsed="false">
      <c r="A432" s="9" t="s">
        <v>1913</v>
      </c>
      <c r="B432" s="9" t="s">
        <v>1821</v>
      </c>
      <c r="C432" s="9" t="s">
        <v>1914</v>
      </c>
      <c r="D432" s="9" t="str">
        <f aca="false">C432&amp;" - "&amp;E432</f>
        <v>Steering Reservoir Cap - Universal</v>
      </c>
      <c r="E432" s="9" t="s">
        <v>68</v>
      </c>
      <c r="F432" s="9" t="s">
        <v>69</v>
      </c>
      <c r="G432" s="10" t="n">
        <f aca="false">IF($AK432=0,"",INDEX('Part types'!$P:$P,$AK432))</f>
        <v>10</v>
      </c>
      <c r="H432" s="10" t="n">
        <f aca="false">IF($AK432=0,"",INDEX('Part types'!$Q:$Q,$AK432))</f>
        <v>8</v>
      </c>
      <c r="I432" s="10" t="n">
        <f aca="false">IF($AK432=0,"",INDEX('Part types'!$R:$R,$AK432))</f>
        <v>6</v>
      </c>
      <c r="J432" s="10" t="n">
        <f aca="false">IF($AK432=0,"",INDEX('Part types'!$S:$S,$AK432))</f>
        <v>0.1</v>
      </c>
      <c r="K432" s="11" t="s">
        <v>1823</v>
      </c>
      <c r="L432" s="11" t="s">
        <v>1915</v>
      </c>
      <c r="M432" s="11" t="str">
        <f aca="false">L432&amp;" - "&amp;N432</f>
        <v>غطاء خزان الباور - عام</v>
      </c>
      <c r="N432" s="11" t="s">
        <v>72</v>
      </c>
      <c r="O432" s="11" t="s">
        <v>73</v>
      </c>
      <c r="P432" s="10" t="n">
        <f aca="false">G432</f>
        <v>10</v>
      </c>
      <c r="Q432" s="10" t="n">
        <f aca="false">H432</f>
        <v>8</v>
      </c>
      <c r="R432" s="10" t="n">
        <f aca="false">I432</f>
        <v>6</v>
      </c>
      <c r="S432" s="10" t="n">
        <f aca="false">J432</f>
        <v>0.1</v>
      </c>
      <c r="T432" s="12" t="s">
        <v>1825</v>
      </c>
      <c r="U432" s="12" t="s">
        <v>1916</v>
      </c>
      <c r="V432" s="9" t="str">
        <f aca="false">U432&amp;" - "&amp;W432</f>
        <v>转向助力油壶盖 - 通用</v>
      </c>
      <c r="W432" s="12" t="s">
        <v>76</v>
      </c>
      <c r="X432" s="12" t="s">
        <v>77</v>
      </c>
      <c r="Y432" s="10" t="n">
        <f aca="false">G432</f>
        <v>10</v>
      </c>
      <c r="Z432" s="10" t="n">
        <f aca="false">H432</f>
        <v>8</v>
      </c>
      <c r="AA432" s="10" t="n">
        <f aca="false">I432</f>
        <v>6</v>
      </c>
      <c r="AB432" s="10" t="n">
        <f aca="false">J432</f>
        <v>0.1</v>
      </c>
      <c r="AC432" s="9" t="s">
        <v>1827</v>
      </c>
      <c r="AD432" s="9" t="s">
        <v>1917</v>
      </c>
      <c r="AE432" s="9" t="str">
        <f aca="false">IF($AK432=0,"",INDEX('Part types'!$T:$T,$AK432)&amp;"")</f>
        <v>Combustion engine (petrol, diesel, hybrid, range extender)</v>
      </c>
      <c r="AF432" s="9" t="str">
        <f aca="false">IF($AK432=0,"",INDEX('Part types'!$U:$U,$AK432)&amp;"")</f>
        <v/>
      </c>
      <c r="AG432" s="9" t="str">
        <f aca="false">IF($AK432=0,"",INDEX('Part types'!$V:$V,$AK432)&amp;"")</f>
        <v>Estimate: size class XS</v>
      </c>
      <c r="AH432" s="9" t="str">
        <f aca="false">IF($AK432=0,"",INDEX('Part types'!$W:$W,$AK432)&amp;"")</f>
        <v>Power Steering Reservoir Cap</v>
      </c>
      <c r="AI432" s="11" t="str">
        <f aca="false">IF($AK432=0,"",INDEX('Part types'!$X:$X,$AK432)&amp;"")</f>
        <v/>
      </c>
      <c r="AJ432" s="9" t="str">
        <f aca="false">IF($AK432=0,"",INDEX('Part types'!$Y:$Y,$AK432)&amp;"")</f>
        <v/>
      </c>
      <c r="AK432" s="9" t="n">
        <f aca="false">IFERROR(MATCH($AD432,'Part types'!$E:$E,0),0)</f>
        <v>311</v>
      </c>
    </row>
    <row r="433" customFormat="false" ht="15" hidden="false" customHeight="false" outlineLevel="0" collapsed="false">
      <c r="A433" s="9" t="s">
        <v>1918</v>
      </c>
      <c r="B433" s="9" t="s">
        <v>1821</v>
      </c>
      <c r="C433" s="9" t="s">
        <v>1919</v>
      </c>
      <c r="D433" s="9" t="str">
        <f aca="false">C433&amp;" - "&amp;E433</f>
        <v>Steering Damper - Universal</v>
      </c>
      <c r="E433" s="9" t="s">
        <v>68</v>
      </c>
      <c r="F433" s="9" t="s">
        <v>934</v>
      </c>
      <c r="G433" s="10" t="n">
        <f aca="false">IF($AK433=0,"",INDEX('Part types'!$P:$P,$AK433))</f>
        <v>25</v>
      </c>
      <c r="H433" s="10" t="n">
        <f aca="false">IF($AK433=0,"",INDEX('Part types'!$Q:$Q,$AK433))</f>
        <v>15</v>
      </c>
      <c r="I433" s="10" t="n">
        <f aca="false">IF($AK433=0,"",INDEX('Part types'!$R:$R,$AK433))</f>
        <v>10</v>
      </c>
      <c r="J433" s="10" t="n">
        <f aca="false">IF($AK433=0,"",INDEX('Part types'!$S:$S,$AK433))</f>
        <v>0.9</v>
      </c>
      <c r="K433" s="11" t="s">
        <v>1823</v>
      </c>
      <c r="L433" s="11" t="s">
        <v>1920</v>
      </c>
      <c r="M433" s="11" t="str">
        <f aca="false">L433&amp;" - "&amp;N433</f>
        <v>ممتص صدمات التوجيه - عام</v>
      </c>
      <c r="N433" s="11" t="s">
        <v>72</v>
      </c>
      <c r="O433" s="11" t="s">
        <v>936</v>
      </c>
      <c r="P433" s="10" t="n">
        <f aca="false">G433</f>
        <v>25</v>
      </c>
      <c r="Q433" s="10" t="n">
        <f aca="false">H433</f>
        <v>15</v>
      </c>
      <c r="R433" s="10" t="n">
        <f aca="false">I433</f>
        <v>10</v>
      </c>
      <c r="S433" s="10" t="n">
        <f aca="false">J433</f>
        <v>0.9</v>
      </c>
      <c r="T433" s="12" t="s">
        <v>1825</v>
      </c>
      <c r="U433" s="12" t="s">
        <v>1921</v>
      </c>
      <c r="V433" s="9" t="str">
        <f aca="false">U433&amp;" - "&amp;W433</f>
        <v>转向减震器 - 通用</v>
      </c>
      <c r="W433" s="12" t="s">
        <v>76</v>
      </c>
      <c r="X433" s="12" t="s">
        <v>938</v>
      </c>
      <c r="Y433" s="10" t="n">
        <f aca="false">G433</f>
        <v>25</v>
      </c>
      <c r="Z433" s="10" t="n">
        <f aca="false">H433</f>
        <v>15</v>
      </c>
      <c r="AA433" s="10" t="n">
        <f aca="false">I433</f>
        <v>10</v>
      </c>
      <c r="AB433" s="10" t="n">
        <f aca="false">J433</f>
        <v>0.9</v>
      </c>
      <c r="AC433" s="9" t="s">
        <v>1827</v>
      </c>
      <c r="AD433" s="9" t="s">
        <v>1922</v>
      </c>
      <c r="AE433" s="9" t="str">
        <f aca="false">IF($AK433=0,"",INDEX('Part types'!$T:$T,$AK433)&amp;"")</f>
        <v>All vehicles</v>
      </c>
      <c r="AF433" s="9" t="str">
        <f aca="false">IF($AK433=0,"",INDEX('Part types'!$U:$U,$AK433)&amp;"")</f>
        <v/>
      </c>
      <c r="AG433" s="9" t="str">
        <f aca="false">IF($AK433=0,"",INDEX('Part types'!$V:$V,$AK433)&amp;"")</f>
        <v>Estimate: size class M</v>
      </c>
      <c r="AH433" s="9" t="str">
        <f aca="false">IF($AK433=0,"",INDEX('Part types'!$W:$W,$AK433)&amp;"")</f>
        <v/>
      </c>
      <c r="AI433" s="11" t="str">
        <f aca="false">IF($AK433=0,"",INDEX('Part types'!$X:$X,$AK433)&amp;"")</f>
        <v/>
      </c>
      <c r="AJ433" s="9" t="str">
        <f aca="false">IF($AK433=0,"",INDEX('Part types'!$Y:$Y,$AK433)&amp;"")</f>
        <v/>
      </c>
      <c r="AK433" s="9" t="n">
        <f aca="false">IFERROR(MATCH($AD433,'Part types'!$E:$E,0),0)</f>
        <v>312</v>
      </c>
    </row>
    <row r="434" customFormat="false" ht="15" hidden="false" customHeight="false" outlineLevel="0" collapsed="false">
      <c r="A434" s="9" t="s">
        <v>1923</v>
      </c>
      <c r="B434" s="9" t="s">
        <v>1821</v>
      </c>
      <c r="C434" s="9" t="s">
        <v>1924</v>
      </c>
      <c r="D434" s="9" t="str">
        <f aca="false">C434&amp;" - "&amp;E434</f>
        <v>Pitman Arm - Universal</v>
      </c>
      <c r="E434" s="9" t="s">
        <v>68</v>
      </c>
      <c r="F434" s="9" t="s">
        <v>934</v>
      </c>
      <c r="G434" s="10" t="n">
        <f aca="false">IF($AK434=0,"",INDEX('Part types'!$P:$P,$AK434))</f>
        <v>25</v>
      </c>
      <c r="H434" s="10" t="n">
        <f aca="false">IF($AK434=0,"",INDEX('Part types'!$Q:$Q,$AK434))</f>
        <v>15</v>
      </c>
      <c r="I434" s="10" t="n">
        <f aca="false">IF($AK434=0,"",INDEX('Part types'!$R:$R,$AK434))</f>
        <v>10</v>
      </c>
      <c r="J434" s="10" t="n">
        <f aca="false">IF($AK434=0,"",INDEX('Part types'!$S:$S,$AK434))</f>
        <v>0.9</v>
      </c>
      <c r="K434" s="11" t="s">
        <v>1823</v>
      </c>
      <c r="L434" s="11" t="s">
        <v>1925</v>
      </c>
      <c r="M434" s="11" t="str">
        <f aca="false">L434&amp;" - "&amp;N434</f>
        <v>ذراع بيتمان - عام</v>
      </c>
      <c r="N434" s="11" t="s">
        <v>72</v>
      </c>
      <c r="O434" s="11" t="s">
        <v>936</v>
      </c>
      <c r="P434" s="10" t="n">
        <f aca="false">G434</f>
        <v>25</v>
      </c>
      <c r="Q434" s="10" t="n">
        <f aca="false">H434</f>
        <v>15</v>
      </c>
      <c r="R434" s="10" t="n">
        <f aca="false">I434</f>
        <v>10</v>
      </c>
      <c r="S434" s="10" t="n">
        <f aca="false">J434</f>
        <v>0.9</v>
      </c>
      <c r="T434" s="12" t="s">
        <v>1825</v>
      </c>
      <c r="U434" s="12" t="s">
        <v>1926</v>
      </c>
      <c r="V434" s="9" t="str">
        <f aca="false">U434&amp;" - "&amp;W434</f>
        <v>转向摇臂 - 通用</v>
      </c>
      <c r="W434" s="12" t="s">
        <v>76</v>
      </c>
      <c r="X434" s="12" t="s">
        <v>938</v>
      </c>
      <c r="Y434" s="10" t="n">
        <f aca="false">G434</f>
        <v>25</v>
      </c>
      <c r="Z434" s="10" t="n">
        <f aca="false">H434</f>
        <v>15</v>
      </c>
      <c r="AA434" s="10" t="n">
        <f aca="false">I434</f>
        <v>10</v>
      </c>
      <c r="AB434" s="10" t="n">
        <f aca="false">J434</f>
        <v>0.9</v>
      </c>
      <c r="AC434" s="9" t="s">
        <v>1827</v>
      </c>
      <c r="AD434" s="9" t="s">
        <v>1927</v>
      </c>
      <c r="AE434" s="9" t="str">
        <f aca="false">IF($AK434=0,"",INDEX('Part types'!$T:$T,$AK434)&amp;"")</f>
        <v>All vehicles</v>
      </c>
      <c r="AF434" s="9" t="str">
        <f aca="false">IF($AK434=0,"",INDEX('Part types'!$U:$U,$AK434)&amp;"")</f>
        <v/>
      </c>
      <c r="AG434" s="9" t="str">
        <f aca="false">IF($AK434=0,"",INDEX('Part types'!$V:$V,$AK434)&amp;"")</f>
        <v>Estimate: size class M</v>
      </c>
      <c r="AH434" s="9" t="str">
        <f aca="false">IF($AK434=0,"",INDEX('Part types'!$W:$W,$AK434)&amp;"")</f>
        <v/>
      </c>
      <c r="AI434" s="11" t="str">
        <f aca="false">IF($AK434=0,"",INDEX('Part types'!$X:$X,$AK434)&amp;"")</f>
        <v/>
      </c>
      <c r="AJ434" s="9" t="str">
        <f aca="false">IF($AK434=0,"",INDEX('Part types'!$Y:$Y,$AK434)&amp;"")</f>
        <v/>
      </c>
      <c r="AK434" s="9" t="n">
        <f aca="false">IFERROR(MATCH($AD434,'Part types'!$E:$E,0),0)</f>
        <v>313</v>
      </c>
    </row>
    <row r="435" customFormat="false" ht="15" hidden="false" customHeight="false" outlineLevel="0" collapsed="false">
      <c r="A435" s="9" t="s">
        <v>1928</v>
      </c>
      <c r="B435" s="9" t="s">
        <v>1821</v>
      </c>
      <c r="C435" s="9" t="s">
        <v>1929</v>
      </c>
      <c r="D435" s="9" t="str">
        <f aca="false">C435&amp;" - "&amp;E435</f>
        <v>Idler Arm - Universal</v>
      </c>
      <c r="E435" s="9" t="s">
        <v>68</v>
      </c>
      <c r="F435" s="9" t="s">
        <v>934</v>
      </c>
      <c r="G435" s="10" t="n">
        <f aca="false">IF($AK435=0,"",INDEX('Part types'!$P:$P,$AK435))</f>
        <v>25</v>
      </c>
      <c r="H435" s="10" t="n">
        <f aca="false">IF($AK435=0,"",INDEX('Part types'!$Q:$Q,$AK435))</f>
        <v>15</v>
      </c>
      <c r="I435" s="10" t="n">
        <f aca="false">IF($AK435=0,"",INDEX('Part types'!$R:$R,$AK435))</f>
        <v>10</v>
      </c>
      <c r="J435" s="10" t="n">
        <f aca="false">IF($AK435=0,"",INDEX('Part types'!$S:$S,$AK435))</f>
        <v>0.9</v>
      </c>
      <c r="K435" s="11" t="s">
        <v>1823</v>
      </c>
      <c r="L435" s="11" t="s">
        <v>1930</v>
      </c>
      <c r="M435" s="11" t="str">
        <f aca="false">L435&amp;" - "&amp;N435</f>
        <v>ذراع التوجيه المساعد - عام</v>
      </c>
      <c r="N435" s="11" t="s">
        <v>72</v>
      </c>
      <c r="O435" s="11" t="s">
        <v>936</v>
      </c>
      <c r="P435" s="10" t="n">
        <f aca="false">G435</f>
        <v>25</v>
      </c>
      <c r="Q435" s="10" t="n">
        <f aca="false">H435</f>
        <v>15</v>
      </c>
      <c r="R435" s="10" t="n">
        <f aca="false">I435</f>
        <v>10</v>
      </c>
      <c r="S435" s="10" t="n">
        <f aca="false">J435</f>
        <v>0.9</v>
      </c>
      <c r="T435" s="12" t="s">
        <v>1825</v>
      </c>
      <c r="U435" s="12" t="s">
        <v>1931</v>
      </c>
      <c r="V435" s="9" t="str">
        <f aca="false">U435&amp;" - "&amp;W435</f>
        <v>转向惰臂 - 通用</v>
      </c>
      <c r="W435" s="12" t="s">
        <v>76</v>
      </c>
      <c r="X435" s="12" t="s">
        <v>938</v>
      </c>
      <c r="Y435" s="10" t="n">
        <f aca="false">G435</f>
        <v>25</v>
      </c>
      <c r="Z435" s="10" t="n">
        <f aca="false">H435</f>
        <v>15</v>
      </c>
      <c r="AA435" s="10" t="n">
        <f aca="false">I435</f>
        <v>10</v>
      </c>
      <c r="AB435" s="10" t="n">
        <f aca="false">J435</f>
        <v>0.9</v>
      </c>
      <c r="AC435" s="9" t="s">
        <v>1827</v>
      </c>
      <c r="AD435" s="9" t="s">
        <v>1932</v>
      </c>
      <c r="AE435" s="9" t="str">
        <f aca="false">IF($AK435=0,"",INDEX('Part types'!$T:$T,$AK435)&amp;"")</f>
        <v>All vehicles</v>
      </c>
      <c r="AF435" s="9" t="str">
        <f aca="false">IF($AK435=0,"",INDEX('Part types'!$U:$U,$AK435)&amp;"")</f>
        <v/>
      </c>
      <c r="AG435" s="9" t="str">
        <f aca="false">IF($AK435=0,"",INDEX('Part types'!$V:$V,$AK435)&amp;"")</f>
        <v>Estimate: size class M</v>
      </c>
      <c r="AH435" s="9" t="str">
        <f aca="false">IF($AK435=0,"",INDEX('Part types'!$W:$W,$AK435)&amp;"")</f>
        <v/>
      </c>
      <c r="AI435" s="11" t="str">
        <f aca="false">IF($AK435=0,"",INDEX('Part types'!$X:$X,$AK435)&amp;"")</f>
        <v>آيدلر</v>
      </c>
      <c r="AJ435" s="9" t="str">
        <f aca="false">IF($AK435=0,"",INDEX('Part types'!$Y:$Y,$AK435)&amp;"")</f>
        <v/>
      </c>
      <c r="AK435" s="9" t="n">
        <f aca="false">IFERROR(MATCH($AD435,'Part types'!$E:$E,0),0)</f>
        <v>314</v>
      </c>
    </row>
    <row r="436" customFormat="false" ht="15" hidden="false" customHeight="false" outlineLevel="0" collapsed="false">
      <c r="A436" s="9" t="s">
        <v>1933</v>
      </c>
      <c r="B436" s="9" t="s">
        <v>1821</v>
      </c>
      <c r="C436" s="9" t="s">
        <v>1934</v>
      </c>
      <c r="D436" s="9" t="str">
        <f aca="false">C436&amp;" - "&amp;E436</f>
        <v>Drag Link - Universal</v>
      </c>
      <c r="E436" s="9" t="s">
        <v>68</v>
      </c>
      <c r="F436" s="9" t="s">
        <v>934</v>
      </c>
      <c r="G436" s="10" t="n">
        <f aca="false">IF($AK436=0,"",INDEX('Part types'!$P:$P,$AK436))</f>
        <v>30</v>
      </c>
      <c r="H436" s="10" t="n">
        <f aca="false">IF($AK436=0,"",INDEX('Part types'!$Q:$Q,$AK436))</f>
        <v>20</v>
      </c>
      <c r="I436" s="10" t="n">
        <f aca="false">IF($AK436=0,"",INDEX('Part types'!$R:$R,$AK436))</f>
        <v>15</v>
      </c>
      <c r="J436" s="10" t="n">
        <f aca="false">IF($AK436=0,"",INDEX('Part types'!$S:$S,$AK436))</f>
        <v>1.8</v>
      </c>
      <c r="K436" s="11" t="s">
        <v>1823</v>
      </c>
      <c r="L436" s="11" t="s">
        <v>1935</v>
      </c>
      <c r="M436" s="11" t="str">
        <f aca="false">L436&amp;" - "&amp;N436</f>
        <v>سيخ السحب - عام</v>
      </c>
      <c r="N436" s="11" t="s">
        <v>72</v>
      </c>
      <c r="O436" s="11" t="s">
        <v>936</v>
      </c>
      <c r="P436" s="10" t="n">
        <f aca="false">G436</f>
        <v>30</v>
      </c>
      <c r="Q436" s="10" t="n">
        <f aca="false">H436</f>
        <v>20</v>
      </c>
      <c r="R436" s="10" t="n">
        <f aca="false">I436</f>
        <v>15</v>
      </c>
      <c r="S436" s="10" t="n">
        <f aca="false">J436</f>
        <v>1.8</v>
      </c>
      <c r="T436" s="12" t="s">
        <v>1825</v>
      </c>
      <c r="U436" s="12" t="s">
        <v>1936</v>
      </c>
      <c r="V436" s="9" t="str">
        <f aca="false">U436&amp;" - "&amp;W436</f>
        <v>转向直拉杆 - 通用</v>
      </c>
      <c r="W436" s="12" t="s">
        <v>76</v>
      </c>
      <c r="X436" s="12" t="s">
        <v>938</v>
      </c>
      <c r="Y436" s="10" t="n">
        <f aca="false">G436</f>
        <v>30</v>
      </c>
      <c r="Z436" s="10" t="n">
        <f aca="false">H436</f>
        <v>20</v>
      </c>
      <c r="AA436" s="10" t="n">
        <f aca="false">I436</f>
        <v>15</v>
      </c>
      <c r="AB436" s="10" t="n">
        <f aca="false">J436</f>
        <v>1.8</v>
      </c>
      <c r="AC436" s="9" t="s">
        <v>1827</v>
      </c>
      <c r="AD436" s="9" t="s">
        <v>1937</v>
      </c>
      <c r="AE436" s="9" t="str">
        <f aca="false">IF($AK436=0,"",INDEX('Part types'!$T:$T,$AK436)&amp;"")</f>
        <v>All vehicles</v>
      </c>
      <c r="AF436" s="9" t="str">
        <f aca="false">IF($AK436=0,"",INDEX('Part types'!$U:$U,$AK436)&amp;"")</f>
        <v/>
      </c>
      <c r="AG436" s="9" t="str">
        <f aca="false">IF($AK436=0,"",INDEX('Part types'!$V:$V,$AK436)&amp;"")</f>
        <v>Estimate: size class M2</v>
      </c>
      <c r="AH436" s="9" t="str">
        <f aca="false">IF($AK436=0,"",INDEX('Part types'!$W:$W,$AK436)&amp;"")</f>
        <v/>
      </c>
      <c r="AI436" s="11" t="str">
        <f aca="false">IF($AK436=0,"",INDEX('Part types'!$X:$X,$AK436)&amp;"")</f>
        <v>درج لينك</v>
      </c>
      <c r="AJ436" s="9" t="str">
        <f aca="false">IF($AK436=0,"",INDEX('Part types'!$Y:$Y,$AK436)&amp;"")</f>
        <v/>
      </c>
      <c r="AK436" s="9" t="n">
        <f aca="false">IFERROR(MATCH($AD436,'Part types'!$E:$E,0),0)</f>
        <v>315</v>
      </c>
    </row>
    <row r="437" customFormat="false" ht="15" hidden="false" customHeight="false" outlineLevel="0" collapsed="false">
      <c r="A437" s="9" t="s">
        <v>1938</v>
      </c>
      <c r="B437" s="9" t="s">
        <v>1939</v>
      </c>
      <c r="C437" s="9" t="s">
        <v>1940</v>
      </c>
      <c r="D437" s="9" t="str">
        <f aca="false">C437&amp;" - "&amp;E437</f>
        <v>Hub Bearing Assembly - Front-Left</v>
      </c>
      <c r="E437" s="9" t="s">
        <v>1346</v>
      </c>
      <c r="F437" s="9" t="s">
        <v>1385</v>
      </c>
      <c r="G437" s="10" t="n">
        <f aca="false">IF($AK437=0,"",INDEX('Part types'!$P:$P,$AK437))</f>
        <v>15</v>
      </c>
      <c r="H437" s="10" t="n">
        <f aca="false">IF($AK437=0,"",INDEX('Part types'!$Q:$Q,$AK437))</f>
        <v>15</v>
      </c>
      <c r="I437" s="10" t="n">
        <f aca="false">IF($AK437=0,"",INDEX('Part types'!$R:$R,$AK437))</f>
        <v>12</v>
      </c>
      <c r="J437" s="10" t="n">
        <f aca="false">IF($AK437=0,"",INDEX('Part types'!$S:$S,$AK437))</f>
        <v>2.5</v>
      </c>
      <c r="K437" s="11" t="s">
        <v>1941</v>
      </c>
      <c r="L437" s="11" t="s">
        <v>1942</v>
      </c>
      <c r="M437" s="11" t="str">
        <f aca="false">L437&amp;" - "&amp;N437</f>
        <v>رولمان العجلة مع الصرة - أمامي يسار</v>
      </c>
      <c r="N437" s="11" t="s">
        <v>1349</v>
      </c>
      <c r="O437" s="11" t="s">
        <v>1387</v>
      </c>
      <c r="P437" s="10" t="n">
        <f aca="false">G437</f>
        <v>15</v>
      </c>
      <c r="Q437" s="10" t="n">
        <f aca="false">H437</f>
        <v>15</v>
      </c>
      <c r="R437" s="10" t="n">
        <f aca="false">I437</f>
        <v>12</v>
      </c>
      <c r="S437" s="10" t="n">
        <f aca="false">J437</f>
        <v>2.5</v>
      </c>
      <c r="T437" s="12" t="s">
        <v>1943</v>
      </c>
      <c r="U437" s="12" t="s">
        <v>1944</v>
      </c>
      <c r="V437" s="9" t="str">
        <f aca="false">U437&amp;" - "&amp;W437</f>
        <v>轮毂轴承总成 - 前左</v>
      </c>
      <c r="W437" s="12" t="s">
        <v>1352</v>
      </c>
      <c r="X437" s="12" t="s">
        <v>1389</v>
      </c>
      <c r="Y437" s="10" t="n">
        <f aca="false">G437</f>
        <v>15</v>
      </c>
      <c r="Z437" s="10" t="n">
        <f aca="false">H437</f>
        <v>15</v>
      </c>
      <c r="AA437" s="10" t="n">
        <f aca="false">I437</f>
        <v>12</v>
      </c>
      <c r="AB437" s="10" t="n">
        <f aca="false">J437</f>
        <v>2.5</v>
      </c>
      <c r="AC437" s="9" t="s">
        <v>1945</v>
      </c>
      <c r="AD437" s="9" t="s">
        <v>1946</v>
      </c>
      <c r="AE437" s="9" t="str">
        <f aca="false">IF($AK437=0,"",INDEX('Part types'!$T:$T,$AK437)&amp;"")</f>
        <v>All vehicles</v>
      </c>
      <c r="AF437" s="9" t="str">
        <f aca="false">IF($AK437=0,"",INDEX('Part types'!$U:$U,$AK437)&amp;"")</f>
        <v/>
      </c>
      <c r="AG437" s="9" t="str">
        <f aca="false">IF($AK437=0,"",INDEX('Part types'!$V:$V,$AK437)&amp;"")</f>
        <v>Estimate: item-specific</v>
      </c>
      <c r="AH437" s="9" t="str">
        <f aca="false">IF($AK437=0,"",INDEX('Part types'!$W:$W,$AK437)&amp;"")</f>
        <v>Wheel Hub Bearing Assembly</v>
      </c>
      <c r="AI437" s="11" t="str">
        <f aca="false">IF($AK437=0,"",INDEX('Part types'!$X:$X,$AK437)&amp;"")</f>
        <v/>
      </c>
      <c r="AJ437" s="9" t="str">
        <f aca="false">IF($AK437=0,"",INDEX('Part types'!$Y:$Y,$AK437)&amp;"")</f>
        <v/>
      </c>
      <c r="AK437" s="9" t="n">
        <f aca="false">IFERROR(MATCH($AD437,'Part types'!$E:$E,0),0)</f>
        <v>316</v>
      </c>
    </row>
    <row r="438" customFormat="false" ht="15" hidden="false" customHeight="false" outlineLevel="0" collapsed="false">
      <c r="A438" s="9" t="s">
        <v>1947</v>
      </c>
      <c r="B438" s="9" t="s">
        <v>1939</v>
      </c>
      <c r="C438" s="9" t="s">
        <v>1940</v>
      </c>
      <c r="D438" s="9" t="str">
        <f aca="false">C438&amp;" - "&amp;E438</f>
        <v>Hub Bearing Assembly - Front-Right</v>
      </c>
      <c r="E438" s="9" t="s">
        <v>1356</v>
      </c>
      <c r="F438" s="9" t="s">
        <v>1385</v>
      </c>
      <c r="G438" s="10" t="n">
        <f aca="false">IF($AK438=0,"",INDEX('Part types'!$P:$P,$AK438))</f>
        <v>15</v>
      </c>
      <c r="H438" s="10" t="n">
        <f aca="false">IF($AK438=0,"",INDEX('Part types'!$Q:$Q,$AK438))</f>
        <v>15</v>
      </c>
      <c r="I438" s="10" t="n">
        <f aca="false">IF($AK438=0,"",INDEX('Part types'!$R:$R,$AK438))</f>
        <v>12</v>
      </c>
      <c r="J438" s="10" t="n">
        <f aca="false">IF($AK438=0,"",INDEX('Part types'!$S:$S,$AK438))</f>
        <v>2.5</v>
      </c>
      <c r="K438" s="11" t="s">
        <v>1941</v>
      </c>
      <c r="L438" s="11" t="s">
        <v>1942</v>
      </c>
      <c r="M438" s="11" t="str">
        <f aca="false">L438&amp;" - "&amp;N438</f>
        <v>رولمان العجلة مع الصرة - أمامي يمين</v>
      </c>
      <c r="N438" s="11" t="s">
        <v>1357</v>
      </c>
      <c r="O438" s="11" t="s">
        <v>1387</v>
      </c>
      <c r="P438" s="10" t="n">
        <f aca="false">G438</f>
        <v>15</v>
      </c>
      <c r="Q438" s="10" t="n">
        <f aca="false">H438</f>
        <v>15</v>
      </c>
      <c r="R438" s="10" t="n">
        <f aca="false">I438</f>
        <v>12</v>
      </c>
      <c r="S438" s="10" t="n">
        <f aca="false">J438</f>
        <v>2.5</v>
      </c>
      <c r="T438" s="12" t="s">
        <v>1943</v>
      </c>
      <c r="U438" s="12" t="s">
        <v>1944</v>
      </c>
      <c r="V438" s="9" t="str">
        <f aca="false">U438&amp;" - "&amp;W438</f>
        <v>轮毂轴承总成 - 前右</v>
      </c>
      <c r="W438" s="12" t="s">
        <v>1358</v>
      </c>
      <c r="X438" s="12" t="s">
        <v>1389</v>
      </c>
      <c r="Y438" s="10" t="n">
        <f aca="false">G438</f>
        <v>15</v>
      </c>
      <c r="Z438" s="10" t="n">
        <f aca="false">H438</f>
        <v>15</v>
      </c>
      <c r="AA438" s="10" t="n">
        <f aca="false">I438</f>
        <v>12</v>
      </c>
      <c r="AB438" s="10" t="n">
        <f aca="false">J438</f>
        <v>2.5</v>
      </c>
      <c r="AC438" s="9" t="s">
        <v>1945</v>
      </c>
      <c r="AD438" s="9" t="s">
        <v>1946</v>
      </c>
      <c r="AE438" s="9" t="str">
        <f aca="false">IF($AK438=0,"",INDEX('Part types'!$T:$T,$AK438)&amp;"")</f>
        <v>All vehicles</v>
      </c>
      <c r="AF438" s="9" t="str">
        <f aca="false">IF($AK438=0,"",INDEX('Part types'!$U:$U,$AK438)&amp;"")</f>
        <v/>
      </c>
      <c r="AG438" s="9" t="str">
        <f aca="false">IF($AK438=0,"",INDEX('Part types'!$V:$V,$AK438)&amp;"")</f>
        <v>Estimate: item-specific</v>
      </c>
      <c r="AH438" s="9" t="str">
        <f aca="false">IF($AK438=0,"",INDEX('Part types'!$W:$W,$AK438)&amp;"")</f>
        <v>Wheel Hub Bearing Assembly</v>
      </c>
      <c r="AI438" s="11" t="str">
        <f aca="false">IF($AK438=0,"",INDEX('Part types'!$X:$X,$AK438)&amp;"")</f>
        <v/>
      </c>
      <c r="AJ438" s="9" t="str">
        <f aca="false">IF($AK438=0,"",INDEX('Part types'!$Y:$Y,$AK438)&amp;"")</f>
        <v/>
      </c>
      <c r="AK438" s="9" t="n">
        <f aca="false">IFERROR(MATCH($AD438,'Part types'!$E:$E,0),0)</f>
        <v>316</v>
      </c>
    </row>
    <row r="439" customFormat="false" ht="15" hidden="false" customHeight="false" outlineLevel="0" collapsed="false">
      <c r="A439" s="9" t="s">
        <v>1948</v>
      </c>
      <c r="B439" s="9" t="s">
        <v>1939</v>
      </c>
      <c r="C439" s="9" t="s">
        <v>1940</v>
      </c>
      <c r="D439" s="9" t="str">
        <f aca="false">C439&amp;" - "&amp;E439</f>
        <v>Hub Bearing Assembly - Rear-Left</v>
      </c>
      <c r="E439" s="9" t="s">
        <v>1360</v>
      </c>
      <c r="F439" s="9" t="s">
        <v>1385</v>
      </c>
      <c r="G439" s="10" t="n">
        <f aca="false">IF($AK439=0,"",INDEX('Part types'!$P:$P,$AK439))</f>
        <v>15</v>
      </c>
      <c r="H439" s="10" t="n">
        <f aca="false">IF($AK439=0,"",INDEX('Part types'!$Q:$Q,$AK439))</f>
        <v>15</v>
      </c>
      <c r="I439" s="10" t="n">
        <f aca="false">IF($AK439=0,"",INDEX('Part types'!$R:$R,$AK439))</f>
        <v>12</v>
      </c>
      <c r="J439" s="10" t="n">
        <f aca="false">IF($AK439=0,"",INDEX('Part types'!$S:$S,$AK439))</f>
        <v>2.5</v>
      </c>
      <c r="K439" s="11" t="s">
        <v>1941</v>
      </c>
      <c r="L439" s="11" t="s">
        <v>1942</v>
      </c>
      <c r="M439" s="11" t="str">
        <f aca="false">L439&amp;" - "&amp;N439</f>
        <v>رولمان العجلة مع الصرة - خلفي يسار</v>
      </c>
      <c r="N439" s="11" t="s">
        <v>1361</v>
      </c>
      <c r="O439" s="11" t="s">
        <v>1387</v>
      </c>
      <c r="P439" s="10" t="n">
        <f aca="false">G439</f>
        <v>15</v>
      </c>
      <c r="Q439" s="10" t="n">
        <f aca="false">H439</f>
        <v>15</v>
      </c>
      <c r="R439" s="10" t="n">
        <f aca="false">I439</f>
        <v>12</v>
      </c>
      <c r="S439" s="10" t="n">
        <f aca="false">J439</f>
        <v>2.5</v>
      </c>
      <c r="T439" s="12" t="s">
        <v>1943</v>
      </c>
      <c r="U439" s="12" t="s">
        <v>1944</v>
      </c>
      <c r="V439" s="9" t="str">
        <f aca="false">U439&amp;" - "&amp;W439</f>
        <v>轮毂轴承总成 - 后左</v>
      </c>
      <c r="W439" s="12" t="s">
        <v>1362</v>
      </c>
      <c r="X439" s="12" t="s">
        <v>1389</v>
      </c>
      <c r="Y439" s="10" t="n">
        <f aca="false">G439</f>
        <v>15</v>
      </c>
      <c r="Z439" s="10" t="n">
        <f aca="false">H439</f>
        <v>15</v>
      </c>
      <c r="AA439" s="10" t="n">
        <f aca="false">I439</f>
        <v>12</v>
      </c>
      <c r="AB439" s="10" t="n">
        <f aca="false">J439</f>
        <v>2.5</v>
      </c>
      <c r="AC439" s="9" t="s">
        <v>1945</v>
      </c>
      <c r="AD439" s="9" t="s">
        <v>1946</v>
      </c>
      <c r="AE439" s="9" t="str">
        <f aca="false">IF($AK439=0,"",INDEX('Part types'!$T:$T,$AK439)&amp;"")</f>
        <v>All vehicles</v>
      </c>
      <c r="AF439" s="9" t="str">
        <f aca="false">IF($AK439=0,"",INDEX('Part types'!$U:$U,$AK439)&amp;"")</f>
        <v/>
      </c>
      <c r="AG439" s="9" t="str">
        <f aca="false">IF($AK439=0,"",INDEX('Part types'!$V:$V,$AK439)&amp;"")</f>
        <v>Estimate: item-specific</v>
      </c>
      <c r="AH439" s="9" t="str">
        <f aca="false">IF($AK439=0,"",INDEX('Part types'!$W:$W,$AK439)&amp;"")</f>
        <v>Wheel Hub Bearing Assembly</v>
      </c>
      <c r="AI439" s="11" t="str">
        <f aca="false">IF($AK439=0,"",INDEX('Part types'!$X:$X,$AK439)&amp;"")</f>
        <v/>
      </c>
      <c r="AJ439" s="9" t="str">
        <f aca="false">IF($AK439=0,"",INDEX('Part types'!$Y:$Y,$AK439)&amp;"")</f>
        <v/>
      </c>
      <c r="AK439" s="9" t="n">
        <f aca="false">IFERROR(MATCH($AD439,'Part types'!$E:$E,0),0)</f>
        <v>316</v>
      </c>
    </row>
    <row r="440" customFormat="false" ht="15" hidden="false" customHeight="false" outlineLevel="0" collapsed="false">
      <c r="A440" s="9" t="s">
        <v>1949</v>
      </c>
      <c r="B440" s="9" t="s">
        <v>1939</v>
      </c>
      <c r="C440" s="9" t="s">
        <v>1940</v>
      </c>
      <c r="D440" s="9" t="str">
        <f aca="false">C440&amp;" - "&amp;E440</f>
        <v>Hub Bearing Assembly - Rear-Right</v>
      </c>
      <c r="E440" s="9" t="s">
        <v>1364</v>
      </c>
      <c r="F440" s="9" t="s">
        <v>1385</v>
      </c>
      <c r="G440" s="10" t="n">
        <f aca="false">IF($AK440=0,"",INDEX('Part types'!$P:$P,$AK440))</f>
        <v>15</v>
      </c>
      <c r="H440" s="10" t="n">
        <f aca="false">IF($AK440=0,"",INDEX('Part types'!$Q:$Q,$AK440))</f>
        <v>15</v>
      </c>
      <c r="I440" s="10" t="n">
        <f aca="false">IF($AK440=0,"",INDEX('Part types'!$R:$R,$AK440))</f>
        <v>12</v>
      </c>
      <c r="J440" s="10" t="n">
        <f aca="false">IF($AK440=0,"",INDEX('Part types'!$S:$S,$AK440))</f>
        <v>2.5</v>
      </c>
      <c r="K440" s="11" t="s">
        <v>1941</v>
      </c>
      <c r="L440" s="11" t="s">
        <v>1942</v>
      </c>
      <c r="M440" s="11" t="str">
        <f aca="false">L440&amp;" - "&amp;N440</f>
        <v>رولمان العجلة مع الصرة - خلفي يمين</v>
      </c>
      <c r="N440" s="11" t="s">
        <v>1365</v>
      </c>
      <c r="O440" s="11" t="s">
        <v>1387</v>
      </c>
      <c r="P440" s="10" t="n">
        <f aca="false">G440</f>
        <v>15</v>
      </c>
      <c r="Q440" s="10" t="n">
        <f aca="false">H440</f>
        <v>15</v>
      </c>
      <c r="R440" s="10" t="n">
        <f aca="false">I440</f>
        <v>12</v>
      </c>
      <c r="S440" s="10" t="n">
        <f aca="false">J440</f>
        <v>2.5</v>
      </c>
      <c r="T440" s="12" t="s">
        <v>1943</v>
      </c>
      <c r="U440" s="12" t="s">
        <v>1944</v>
      </c>
      <c r="V440" s="9" t="str">
        <f aca="false">U440&amp;" - "&amp;W440</f>
        <v>轮毂轴承总成 - 后右</v>
      </c>
      <c r="W440" s="12" t="s">
        <v>1366</v>
      </c>
      <c r="X440" s="12" t="s">
        <v>1389</v>
      </c>
      <c r="Y440" s="10" t="n">
        <f aca="false">G440</f>
        <v>15</v>
      </c>
      <c r="Z440" s="10" t="n">
        <f aca="false">H440</f>
        <v>15</v>
      </c>
      <c r="AA440" s="10" t="n">
        <f aca="false">I440</f>
        <v>12</v>
      </c>
      <c r="AB440" s="10" t="n">
        <f aca="false">J440</f>
        <v>2.5</v>
      </c>
      <c r="AC440" s="9" t="s">
        <v>1945</v>
      </c>
      <c r="AD440" s="9" t="s">
        <v>1946</v>
      </c>
      <c r="AE440" s="9" t="str">
        <f aca="false">IF($AK440=0,"",INDEX('Part types'!$T:$T,$AK440)&amp;"")</f>
        <v>All vehicles</v>
      </c>
      <c r="AF440" s="9" t="str">
        <f aca="false">IF($AK440=0,"",INDEX('Part types'!$U:$U,$AK440)&amp;"")</f>
        <v/>
      </c>
      <c r="AG440" s="9" t="str">
        <f aca="false">IF($AK440=0,"",INDEX('Part types'!$V:$V,$AK440)&amp;"")</f>
        <v>Estimate: item-specific</v>
      </c>
      <c r="AH440" s="9" t="str">
        <f aca="false">IF($AK440=0,"",INDEX('Part types'!$W:$W,$AK440)&amp;"")</f>
        <v>Wheel Hub Bearing Assembly</v>
      </c>
      <c r="AI440" s="11" t="str">
        <f aca="false">IF($AK440=0,"",INDEX('Part types'!$X:$X,$AK440)&amp;"")</f>
        <v/>
      </c>
      <c r="AJ440" s="9" t="str">
        <f aca="false">IF($AK440=0,"",INDEX('Part types'!$Y:$Y,$AK440)&amp;"")</f>
        <v/>
      </c>
      <c r="AK440" s="9" t="n">
        <f aca="false">IFERROR(MATCH($AD440,'Part types'!$E:$E,0),0)</f>
        <v>316</v>
      </c>
    </row>
    <row r="441" customFormat="false" ht="15" hidden="false" customHeight="false" outlineLevel="0" collapsed="false">
      <c r="A441" s="9" t="s">
        <v>1950</v>
      </c>
      <c r="B441" s="9" t="s">
        <v>1939</v>
      </c>
      <c r="C441" s="9" t="s">
        <v>1951</v>
      </c>
      <c r="D441" s="9" t="str">
        <f aca="false">C441&amp;" - "&amp;E441</f>
        <v>Wheel Bearing - Front-Left</v>
      </c>
      <c r="E441" s="9" t="s">
        <v>1346</v>
      </c>
      <c r="F441" s="9" t="s">
        <v>1385</v>
      </c>
      <c r="G441" s="10" t="n">
        <f aca="false">IF($AK441=0,"",INDEX('Part types'!$P:$P,$AK441))</f>
        <v>15</v>
      </c>
      <c r="H441" s="10" t="n">
        <f aca="false">IF($AK441=0,"",INDEX('Part types'!$Q:$Q,$AK441))</f>
        <v>10</v>
      </c>
      <c r="I441" s="10" t="n">
        <f aca="false">IF($AK441=0,"",INDEX('Part types'!$R:$R,$AK441))</f>
        <v>8</v>
      </c>
      <c r="J441" s="10" t="n">
        <f aca="false">IF($AK441=0,"",INDEX('Part types'!$S:$S,$AK441))</f>
        <v>0.3</v>
      </c>
      <c r="K441" s="11" t="s">
        <v>1941</v>
      </c>
      <c r="L441" s="11" t="s">
        <v>1952</v>
      </c>
      <c r="M441" s="11" t="str">
        <f aca="false">L441&amp;" - "&amp;N441</f>
        <v>رولمان عجلة - أمامي يسار</v>
      </c>
      <c r="N441" s="11" t="s">
        <v>1349</v>
      </c>
      <c r="O441" s="11" t="s">
        <v>1387</v>
      </c>
      <c r="P441" s="10" t="n">
        <f aca="false">G441</f>
        <v>15</v>
      </c>
      <c r="Q441" s="10" t="n">
        <f aca="false">H441</f>
        <v>10</v>
      </c>
      <c r="R441" s="10" t="n">
        <f aca="false">I441</f>
        <v>8</v>
      </c>
      <c r="S441" s="10" t="n">
        <f aca="false">J441</f>
        <v>0.3</v>
      </c>
      <c r="T441" s="12" t="s">
        <v>1943</v>
      </c>
      <c r="U441" s="12" t="s">
        <v>1953</v>
      </c>
      <c r="V441" s="9" t="str">
        <f aca="false">U441&amp;" - "&amp;W441</f>
        <v>轮毂轴承 - 前左</v>
      </c>
      <c r="W441" s="12" t="s">
        <v>1352</v>
      </c>
      <c r="X441" s="12" t="s">
        <v>1389</v>
      </c>
      <c r="Y441" s="10" t="n">
        <f aca="false">G441</f>
        <v>15</v>
      </c>
      <c r="Z441" s="10" t="n">
        <f aca="false">H441</f>
        <v>10</v>
      </c>
      <c r="AA441" s="10" t="n">
        <f aca="false">I441</f>
        <v>8</v>
      </c>
      <c r="AB441" s="10" t="n">
        <f aca="false">J441</f>
        <v>0.3</v>
      </c>
      <c r="AC441" s="9" t="s">
        <v>1945</v>
      </c>
      <c r="AD441" s="9" t="s">
        <v>1954</v>
      </c>
      <c r="AE441" s="9" t="str">
        <f aca="false">IF($AK441=0,"",INDEX('Part types'!$T:$T,$AK441)&amp;"")</f>
        <v>All vehicles</v>
      </c>
      <c r="AF441" s="9" t="str">
        <f aca="false">IF($AK441=0,"",INDEX('Part types'!$U:$U,$AK441)&amp;"")</f>
        <v/>
      </c>
      <c r="AG441" s="9" t="str">
        <f aca="false">IF($AK441=0,"",INDEX('Part types'!$V:$V,$AK441)&amp;"")</f>
        <v>Estimate: size class S</v>
      </c>
      <c r="AH441" s="9" t="str">
        <f aca="false">IF($AK441=0,"",INDEX('Part types'!$W:$W,$AK441)&amp;"")</f>
        <v/>
      </c>
      <c r="AI441" s="11" t="str">
        <f aca="false">IF($AK441=0,"",INDEX('Part types'!$X:$X,$AK441)&amp;"")</f>
        <v/>
      </c>
      <c r="AJ441" s="9" t="str">
        <f aca="false">IF($AK441=0,"",INDEX('Part types'!$Y:$Y,$AK441)&amp;"")</f>
        <v/>
      </c>
      <c r="AK441" s="9" t="n">
        <f aca="false">IFERROR(MATCH($AD441,'Part types'!$E:$E,0),0)</f>
        <v>317</v>
      </c>
    </row>
    <row r="442" customFormat="false" ht="15" hidden="false" customHeight="false" outlineLevel="0" collapsed="false">
      <c r="A442" s="9" t="s">
        <v>1955</v>
      </c>
      <c r="B442" s="9" t="s">
        <v>1939</v>
      </c>
      <c r="C442" s="9" t="s">
        <v>1951</v>
      </c>
      <c r="D442" s="9" t="str">
        <f aca="false">C442&amp;" - "&amp;E442</f>
        <v>Wheel Bearing - Front-Right</v>
      </c>
      <c r="E442" s="9" t="s">
        <v>1356</v>
      </c>
      <c r="F442" s="9" t="s">
        <v>1385</v>
      </c>
      <c r="G442" s="10" t="n">
        <f aca="false">IF($AK442=0,"",INDEX('Part types'!$P:$P,$AK442))</f>
        <v>15</v>
      </c>
      <c r="H442" s="10" t="n">
        <f aca="false">IF($AK442=0,"",INDEX('Part types'!$Q:$Q,$AK442))</f>
        <v>10</v>
      </c>
      <c r="I442" s="10" t="n">
        <f aca="false">IF($AK442=0,"",INDEX('Part types'!$R:$R,$AK442))</f>
        <v>8</v>
      </c>
      <c r="J442" s="10" t="n">
        <f aca="false">IF($AK442=0,"",INDEX('Part types'!$S:$S,$AK442))</f>
        <v>0.3</v>
      </c>
      <c r="K442" s="11" t="s">
        <v>1941</v>
      </c>
      <c r="L442" s="11" t="s">
        <v>1952</v>
      </c>
      <c r="M442" s="11" t="str">
        <f aca="false">L442&amp;" - "&amp;N442</f>
        <v>رولمان عجلة - أمامي يمين</v>
      </c>
      <c r="N442" s="11" t="s">
        <v>1357</v>
      </c>
      <c r="O442" s="11" t="s">
        <v>1387</v>
      </c>
      <c r="P442" s="10" t="n">
        <f aca="false">G442</f>
        <v>15</v>
      </c>
      <c r="Q442" s="10" t="n">
        <f aca="false">H442</f>
        <v>10</v>
      </c>
      <c r="R442" s="10" t="n">
        <f aca="false">I442</f>
        <v>8</v>
      </c>
      <c r="S442" s="10" t="n">
        <f aca="false">J442</f>
        <v>0.3</v>
      </c>
      <c r="T442" s="12" t="s">
        <v>1943</v>
      </c>
      <c r="U442" s="12" t="s">
        <v>1953</v>
      </c>
      <c r="V442" s="9" t="str">
        <f aca="false">U442&amp;" - "&amp;W442</f>
        <v>轮毂轴承 - 前右</v>
      </c>
      <c r="W442" s="12" t="s">
        <v>1358</v>
      </c>
      <c r="X442" s="12" t="s">
        <v>1389</v>
      </c>
      <c r="Y442" s="10" t="n">
        <f aca="false">G442</f>
        <v>15</v>
      </c>
      <c r="Z442" s="10" t="n">
        <f aca="false">H442</f>
        <v>10</v>
      </c>
      <c r="AA442" s="10" t="n">
        <f aca="false">I442</f>
        <v>8</v>
      </c>
      <c r="AB442" s="10" t="n">
        <f aca="false">J442</f>
        <v>0.3</v>
      </c>
      <c r="AC442" s="9" t="s">
        <v>1945</v>
      </c>
      <c r="AD442" s="9" t="s">
        <v>1954</v>
      </c>
      <c r="AE442" s="9" t="str">
        <f aca="false">IF($AK442=0,"",INDEX('Part types'!$T:$T,$AK442)&amp;"")</f>
        <v>All vehicles</v>
      </c>
      <c r="AF442" s="9" t="str">
        <f aca="false">IF($AK442=0,"",INDEX('Part types'!$U:$U,$AK442)&amp;"")</f>
        <v/>
      </c>
      <c r="AG442" s="9" t="str">
        <f aca="false">IF($AK442=0,"",INDEX('Part types'!$V:$V,$AK442)&amp;"")</f>
        <v>Estimate: size class S</v>
      </c>
      <c r="AH442" s="9" t="str">
        <f aca="false">IF($AK442=0,"",INDEX('Part types'!$W:$W,$AK442)&amp;"")</f>
        <v/>
      </c>
      <c r="AI442" s="11" t="str">
        <f aca="false">IF($AK442=0,"",INDEX('Part types'!$X:$X,$AK442)&amp;"")</f>
        <v/>
      </c>
      <c r="AJ442" s="9" t="str">
        <f aca="false">IF($AK442=0,"",INDEX('Part types'!$Y:$Y,$AK442)&amp;"")</f>
        <v/>
      </c>
      <c r="AK442" s="9" t="n">
        <f aca="false">IFERROR(MATCH($AD442,'Part types'!$E:$E,0),0)</f>
        <v>317</v>
      </c>
    </row>
    <row r="443" customFormat="false" ht="15" hidden="false" customHeight="false" outlineLevel="0" collapsed="false">
      <c r="A443" s="9" t="s">
        <v>1956</v>
      </c>
      <c r="B443" s="9" t="s">
        <v>1939</v>
      </c>
      <c r="C443" s="9" t="s">
        <v>1951</v>
      </c>
      <c r="D443" s="9" t="str">
        <f aca="false">C443&amp;" - "&amp;E443</f>
        <v>Wheel Bearing - Rear-Left</v>
      </c>
      <c r="E443" s="9" t="s">
        <v>1360</v>
      </c>
      <c r="F443" s="9" t="s">
        <v>1385</v>
      </c>
      <c r="G443" s="10" t="n">
        <f aca="false">IF($AK443=0,"",INDEX('Part types'!$P:$P,$AK443))</f>
        <v>15</v>
      </c>
      <c r="H443" s="10" t="n">
        <f aca="false">IF($AK443=0,"",INDEX('Part types'!$Q:$Q,$AK443))</f>
        <v>10</v>
      </c>
      <c r="I443" s="10" t="n">
        <f aca="false">IF($AK443=0,"",INDEX('Part types'!$R:$R,$AK443))</f>
        <v>8</v>
      </c>
      <c r="J443" s="10" t="n">
        <f aca="false">IF($AK443=0,"",INDEX('Part types'!$S:$S,$AK443))</f>
        <v>0.3</v>
      </c>
      <c r="K443" s="11" t="s">
        <v>1941</v>
      </c>
      <c r="L443" s="11" t="s">
        <v>1952</v>
      </c>
      <c r="M443" s="11" t="str">
        <f aca="false">L443&amp;" - "&amp;N443</f>
        <v>رولمان عجلة - خلفي يسار</v>
      </c>
      <c r="N443" s="11" t="s">
        <v>1361</v>
      </c>
      <c r="O443" s="11" t="s">
        <v>1387</v>
      </c>
      <c r="P443" s="10" t="n">
        <f aca="false">G443</f>
        <v>15</v>
      </c>
      <c r="Q443" s="10" t="n">
        <f aca="false">H443</f>
        <v>10</v>
      </c>
      <c r="R443" s="10" t="n">
        <f aca="false">I443</f>
        <v>8</v>
      </c>
      <c r="S443" s="10" t="n">
        <f aca="false">J443</f>
        <v>0.3</v>
      </c>
      <c r="T443" s="12" t="s">
        <v>1943</v>
      </c>
      <c r="U443" s="12" t="s">
        <v>1953</v>
      </c>
      <c r="V443" s="9" t="str">
        <f aca="false">U443&amp;" - "&amp;W443</f>
        <v>轮毂轴承 - 后左</v>
      </c>
      <c r="W443" s="12" t="s">
        <v>1362</v>
      </c>
      <c r="X443" s="12" t="s">
        <v>1389</v>
      </c>
      <c r="Y443" s="10" t="n">
        <f aca="false">G443</f>
        <v>15</v>
      </c>
      <c r="Z443" s="10" t="n">
        <f aca="false">H443</f>
        <v>10</v>
      </c>
      <c r="AA443" s="10" t="n">
        <f aca="false">I443</f>
        <v>8</v>
      </c>
      <c r="AB443" s="10" t="n">
        <f aca="false">J443</f>
        <v>0.3</v>
      </c>
      <c r="AC443" s="9" t="s">
        <v>1945</v>
      </c>
      <c r="AD443" s="9" t="s">
        <v>1954</v>
      </c>
      <c r="AE443" s="9" t="str">
        <f aca="false">IF($AK443=0,"",INDEX('Part types'!$T:$T,$AK443)&amp;"")</f>
        <v>All vehicles</v>
      </c>
      <c r="AF443" s="9" t="str">
        <f aca="false">IF($AK443=0,"",INDEX('Part types'!$U:$U,$AK443)&amp;"")</f>
        <v/>
      </c>
      <c r="AG443" s="9" t="str">
        <f aca="false">IF($AK443=0,"",INDEX('Part types'!$V:$V,$AK443)&amp;"")</f>
        <v>Estimate: size class S</v>
      </c>
      <c r="AH443" s="9" t="str">
        <f aca="false">IF($AK443=0,"",INDEX('Part types'!$W:$W,$AK443)&amp;"")</f>
        <v/>
      </c>
      <c r="AI443" s="11" t="str">
        <f aca="false">IF($AK443=0,"",INDEX('Part types'!$X:$X,$AK443)&amp;"")</f>
        <v/>
      </c>
      <c r="AJ443" s="9" t="str">
        <f aca="false">IF($AK443=0,"",INDEX('Part types'!$Y:$Y,$AK443)&amp;"")</f>
        <v/>
      </c>
      <c r="AK443" s="9" t="n">
        <f aca="false">IFERROR(MATCH($AD443,'Part types'!$E:$E,0),0)</f>
        <v>317</v>
      </c>
    </row>
    <row r="444" customFormat="false" ht="15" hidden="false" customHeight="false" outlineLevel="0" collapsed="false">
      <c r="A444" s="9" t="s">
        <v>1957</v>
      </c>
      <c r="B444" s="9" t="s">
        <v>1939</v>
      </c>
      <c r="C444" s="9" t="s">
        <v>1951</v>
      </c>
      <c r="D444" s="9" t="str">
        <f aca="false">C444&amp;" - "&amp;E444</f>
        <v>Wheel Bearing - Rear-Right</v>
      </c>
      <c r="E444" s="9" t="s">
        <v>1364</v>
      </c>
      <c r="F444" s="9" t="s">
        <v>1385</v>
      </c>
      <c r="G444" s="10" t="n">
        <f aca="false">IF($AK444=0,"",INDEX('Part types'!$P:$P,$AK444))</f>
        <v>15</v>
      </c>
      <c r="H444" s="10" t="n">
        <f aca="false">IF($AK444=0,"",INDEX('Part types'!$Q:$Q,$AK444))</f>
        <v>10</v>
      </c>
      <c r="I444" s="10" t="n">
        <f aca="false">IF($AK444=0,"",INDEX('Part types'!$R:$R,$AK444))</f>
        <v>8</v>
      </c>
      <c r="J444" s="10" t="n">
        <f aca="false">IF($AK444=0,"",INDEX('Part types'!$S:$S,$AK444))</f>
        <v>0.3</v>
      </c>
      <c r="K444" s="11" t="s">
        <v>1941</v>
      </c>
      <c r="L444" s="11" t="s">
        <v>1952</v>
      </c>
      <c r="M444" s="11" t="str">
        <f aca="false">L444&amp;" - "&amp;N444</f>
        <v>رولمان عجلة - خلفي يمين</v>
      </c>
      <c r="N444" s="11" t="s">
        <v>1365</v>
      </c>
      <c r="O444" s="11" t="s">
        <v>1387</v>
      </c>
      <c r="P444" s="10" t="n">
        <f aca="false">G444</f>
        <v>15</v>
      </c>
      <c r="Q444" s="10" t="n">
        <f aca="false">H444</f>
        <v>10</v>
      </c>
      <c r="R444" s="10" t="n">
        <f aca="false">I444</f>
        <v>8</v>
      </c>
      <c r="S444" s="10" t="n">
        <f aca="false">J444</f>
        <v>0.3</v>
      </c>
      <c r="T444" s="12" t="s">
        <v>1943</v>
      </c>
      <c r="U444" s="12" t="s">
        <v>1953</v>
      </c>
      <c r="V444" s="9" t="str">
        <f aca="false">U444&amp;" - "&amp;W444</f>
        <v>轮毂轴承 - 后右</v>
      </c>
      <c r="W444" s="12" t="s">
        <v>1366</v>
      </c>
      <c r="X444" s="12" t="s">
        <v>1389</v>
      </c>
      <c r="Y444" s="10" t="n">
        <f aca="false">G444</f>
        <v>15</v>
      </c>
      <c r="Z444" s="10" t="n">
        <f aca="false">H444</f>
        <v>10</v>
      </c>
      <c r="AA444" s="10" t="n">
        <f aca="false">I444</f>
        <v>8</v>
      </c>
      <c r="AB444" s="10" t="n">
        <f aca="false">J444</f>
        <v>0.3</v>
      </c>
      <c r="AC444" s="9" t="s">
        <v>1945</v>
      </c>
      <c r="AD444" s="9" t="s">
        <v>1954</v>
      </c>
      <c r="AE444" s="9" t="str">
        <f aca="false">IF($AK444=0,"",INDEX('Part types'!$T:$T,$AK444)&amp;"")</f>
        <v>All vehicles</v>
      </c>
      <c r="AF444" s="9" t="str">
        <f aca="false">IF($AK444=0,"",INDEX('Part types'!$U:$U,$AK444)&amp;"")</f>
        <v/>
      </c>
      <c r="AG444" s="9" t="str">
        <f aca="false">IF($AK444=0,"",INDEX('Part types'!$V:$V,$AK444)&amp;"")</f>
        <v>Estimate: size class S</v>
      </c>
      <c r="AH444" s="9" t="str">
        <f aca="false">IF($AK444=0,"",INDEX('Part types'!$W:$W,$AK444)&amp;"")</f>
        <v/>
      </c>
      <c r="AI444" s="11" t="str">
        <f aca="false">IF($AK444=0,"",INDEX('Part types'!$X:$X,$AK444)&amp;"")</f>
        <v/>
      </c>
      <c r="AJ444" s="9" t="str">
        <f aca="false">IF($AK444=0,"",INDEX('Part types'!$Y:$Y,$AK444)&amp;"")</f>
        <v/>
      </c>
      <c r="AK444" s="9" t="n">
        <f aca="false">IFERROR(MATCH($AD444,'Part types'!$E:$E,0),0)</f>
        <v>317</v>
      </c>
    </row>
    <row r="445" customFormat="false" ht="15" hidden="false" customHeight="false" outlineLevel="0" collapsed="false">
      <c r="A445" s="9" t="s">
        <v>1958</v>
      </c>
      <c r="B445" s="9" t="s">
        <v>1939</v>
      </c>
      <c r="C445" s="9" t="s">
        <v>1959</v>
      </c>
      <c r="D445" s="9" t="str">
        <f aca="false">C445&amp;" - "&amp;E445</f>
        <v>Steering Knuckle - Front-Left</v>
      </c>
      <c r="E445" s="9" t="s">
        <v>1346</v>
      </c>
      <c r="F445" s="9" t="s">
        <v>1510</v>
      </c>
      <c r="G445" s="10" t="n">
        <f aca="false">IF($AK445=0,"",INDEX('Part types'!$P:$P,$AK445))</f>
        <v>30</v>
      </c>
      <c r="H445" s="10" t="n">
        <f aca="false">IF($AK445=0,"",INDEX('Part types'!$Q:$Q,$AK445))</f>
        <v>25</v>
      </c>
      <c r="I445" s="10" t="n">
        <f aca="false">IF($AK445=0,"",INDEX('Part types'!$R:$R,$AK445))</f>
        <v>20</v>
      </c>
      <c r="J445" s="10" t="n">
        <f aca="false">IF($AK445=0,"",INDEX('Part types'!$S:$S,$AK445))</f>
        <v>6</v>
      </c>
      <c r="K445" s="11" t="s">
        <v>1941</v>
      </c>
      <c r="L445" s="11" t="s">
        <v>1960</v>
      </c>
      <c r="M445" s="11" t="str">
        <f aca="false">L445&amp;" - "&amp;N445</f>
        <v>مفصل العجلة - أمامي يسار</v>
      </c>
      <c r="N445" s="11" t="s">
        <v>1349</v>
      </c>
      <c r="O445" s="11" t="s">
        <v>1512</v>
      </c>
      <c r="P445" s="10" t="n">
        <f aca="false">G445</f>
        <v>30</v>
      </c>
      <c r="Q445" s="10" t="n">
        <f aca="false">H445</f>
        <v>25</v>
      </c>
      <c r="R445" s="10" t="n">
        <f aca="false">I445</f>
        <v>20</v>
      </c>
      <c r="S445" s="10" t="n">
        <f aca="false">J445</f>
        <v>6</v>
      </c>
      <c r="T445" s="12" t="s">
        <v>1943</v>
      </c>
      <c r="U445" s="12" t="s">
        <v>1961</v>
      </c>
      <c r="V445" s="9" t="str">
        <f aca="false">U445&amp;" - "&amp;W445</f>
        <v>转向节 - 前左</v>
      </c>
      <c r="W445" s="12" t="s">
        <v>1352</v>
      </c>
      <c r="X445" s="12" t="s">
        <v>1514</v>
      </c>
      <c r="Y445" s="10" t="n">
        <f aca="false">G445</f>
        <v>30</v>
      </c>
      <c r="Z445" s="10" t="n">
        <f aca="false">H445</f>
        <v>25</v>
      </c>
      <c r="AA445" s="10" t="n">
        <f aca="false">I445</f>
        <v>20</v>
      </c>
      <c r="AB445" s="10" t="n">
        <f aca="false">J445</f>
        <v>6</v>
      </c>
      <c r="AC445" s="9" t="s">
        <v>1945</v>
      </c>
      <c r="AD445" s="9" t="s">
        <v>1962</v>
      </c>
      <c r="AE445" s="9" t="str">
        <f aca="false">IF($AK445=0,"",INDEX('Part types'!$T:$T,$AK445)&amp;"")</f>
        <v>All vehicles</v>
      </c>
      <c r="AF445" s="9" t="str">
        <f aca="false">IF($AK445=0,"",INDEX('Part types'!$U:$U,$AK445)&amp;"")</f>
        <v/>
      </c>
      <c r="AG445" s="9" t="str">
        <f aca="false">IF($AK445=0,"",INDEX('Part types'!$V:$V,$AK445)&amp;"")</f>
        <v>Estimate: item-specific</v>
      </c>
      <c r="AH445" s="9" t="str">
        <f aca="false">IF($AK445=0,"",INDEX('Part types'!$W:$W,$AK445)&amp;"")</f>
        <v/>
      </c>
      <c r="AI445" s="11" t="str">
        <f aca="false">IF($AK445=0,"",INDEX('Part types'!$X:$X,$AK445)&amp;"")</f>
        <v>دسك التوجيه</v>
      </c>
      <c r="AJ445" s="9" t="str">
        <f aca="false">IF($AK445=0,"",INDEX('Part types'!$Y:$Y,$AK445)&amp;"")</f>
        <v/>
      </c>
      <c r="AK445" s="9" t="n">
        <f aca="false">IFERROR(MATCH($AD445,'Part types'!$E:$E,0),0)</f>
        <v>318</v>
      </c>
    </row>
    <row r="446" customFormat="false" ht="15" hidden="false" customHeight="false" outlineLevel="0" collapsed="false">
      <c r="A446" s="9" t="s">
        <v>1963</v>
      </c>
      <c r="B446" s="9" t="s">
        <v>1939</v>
      </c>
      <c r="C446" s="9" t="s">
        <v>1959</v>
      </c>
      <c r="D446" s="9" t="str">
        <f aca="false">C446&amp;" - "&amp;E446</f>
        <v>Steering Knuckle - Front-Right</v>
      </c>
      <c r="E446" s="9" t="s">
        <v>1356</v>
      </c>
      <c r="F446" s="9" t="s">
        <v>1510</v>
      </c>
      <c r="G446" s="10" t="n">
        <f aca="false">IF($AK446=0,"",INDEX('Part types'!$P:$P,$AK446))</f>
        <v>30</v>
      </c>
      <c r="H446" s="10" t="n">
        <f aca="false">IF($AK446=0,"",INDEX('Part types'!$Q:$Q,$AK446))</f>
        <v>25</v>
      </c>
      <c r="I446" s="10" t="n">
        <f aca="false">IF($AK446=0,"",INDEX('Part types'!$R:$R,$AK446))</f>
        <v>20</v>
      </c>
      <c r="J446" s="10" t="n">
        <f aca="false">IF($AK446=0,"",INDEX('Part types'!$S:$S,$AK446))</f>
        <v>6</v>
      </c>
      <c r="K446" s="11" t="s">
        <v>1941</v>
      </c>
      <c r="L446" s="11" t="s">
        <v>1960</v>
      </c>
      <c r="M446" s="11" t="str">
        <f aca="false">L446&amp;" - "&amp;N446</f>
        <v>مفصل العجلة - أمامي يمين</v>
      </c>
      <c r="N446" s="11" t="s">
        <v>1357</v>
      </c>
      <c r="O446" s="11" t="s">
        <v>1512</v>
      </c>
      <c r="P446" s="10" t="n">
        <f aca="false">G446</f>
        <v>30</v>
      </c>
      <c r="Q446" s="10" t="n">
        <f aca="false">H446</f>
        <v>25</v>
      </c>
      <c r="R446" s="10" t="n">
        <f aca="false">I446</f>
        <v>20</v>
      </c>
      <c r="S446" s="10" t="n">
        <f aca="false">J446</f>
        <v>6</v>
      </c>
      <c r="T446" s="12" t="s">
        <v>1943</v>
      </c>
      <c r="U446" s="12" t="s">
        <v>1961</v>
      </c>
      <c r="V446" s="9" t="str">
        <f aca="false">U446&amp;" - "&amp;W446</f>
        <v>转向节 - 前右</v>
      </c>
      <c r="W446" s="12" t="s">
        <v>1358</v>
      </c>
      <c r="X446" s="12" t="s">
        <v>1514</v>
      </c>
      <c r="Y446" s="10" t="n">
        <f aca="false">G446</f>
        <v>30</v>
      </c>
      <c r="Z446" s="10" t="n">
        <f aca="false">H446</f>
        <v>25</v>
      </c>
      <c r="AA446" s="10" t="n">
        <f aca="false">I446</f>
        <v>20</v>
      </c>
      <c r="AB446" s="10" t="n">
        <f aca="false">J446</f>
        <v>6</v>
      </c>
      <c r="AC446" s="9" t="s">
        <v>1945</v>
      </c>
      <c r="AD446" s="9" t="s">
        <v>1962</v>
      </c>
      <c r="AE446" s="9" t="str">
        <f aca="false">IF($AK446=0,"",INDEX('Part types'!$T:$T,$AK446)&amp;"")</f>
        <v>All vehicles</v>
      </c>
      <c r="AF446" s="9" t="str">
        <f aca="false">IF($AK446=0,"",INDEX('Part types'!$U:$U,$AK446)&amp;"")</f>
        <v/>
      </c>
      <c r="AG446" s="9" t="str">
        <f aca="false">IF($AK446=0,"",INDEX('Part types'!$V:$V,$AK446)&amp;"")</f>
        <v>Estimate: item-specific</v>
      </c>
      <c r="AH446" s="9" t="str">
        <f aca="false">IF($AK446=0,"",INDEX('Part types'!$W:$W,$AK446)&amp;"")</f>
        <v/>
      </c>
      <c r="AI446" s="11" t="str">
        <f aca="false">IF($AK446=0,"",INDEX('Part types'!$X:$X,$AK446)&amp;"")</f>
        <v>دسك التوجيه</v>
      </c>
      <c r="AJ446" s="9" t="str">
        <f aca="false">IF($AK446=0,"",INDEX('Part types'!$Y:$Y,$AK446)&amp;"")</f>
        <v/>
      </c>
      <c r="AK446" s="9" t="n">
        <f aca="false">IFERROR(MATCH($AD446,'Part types'!$E:$E,0),0)</f>
        <v>318</v>
      </c>
    </row>
    <row r="447" customFormat="false" ht="15" hidden="false" customHeight="false" outlineLevel="0" collapsed="false">
      <c r="A447" s="9" t="s">
        <v>1964</v>
      </c>
      <c r="B447" s="9" t="s">
        <v>1939</v>
      </c>
      <c r="C447" s="9" t="s">
        <v>1959</v>
      </c>
      <c r="D447" s="9" t="str">
        <f aca="false">C447&amp;" - "&amp;E447</f>
        <v>Steering Knuckle - Rear-Left</v>
      </c>
      <c r="E447" s="9" t="s">
        <v>1360</v>
      </c>
      <c r="F447" s="9" t="s">
        <v>1510</v>
      </c>
      <c r="G447" s="10" t="n">
        <f aca="false">IF($AK447=0,"",INDEX('Part types'!$P:$P,$AK447))</f>
        <v>30</v>
      </c>
      <c r="H447" s="10" t="n">
        <f aca="false">IF($AK447=0,"",INDEX('Part types'!$Q:$Q,$AK447))</f>
        <v>25</v>
      </c>
      <c r="I447" s="10" t="n">
        <f aca="false">IF($AK447=0,"",INDEX('Part types'!$R:$R,$AK447))</f>
        <v>20</v>
      </c>
      <c r="J447" s="10" t="n">
        <f aca="false">IF($AK447=0,"",INDEX('Part types'!$S:$S,$AK447))</f>
        <v>6</v>
      </c>
      <c r="K447" s="11" t="s">
        <v>1941</v>
      </c>
      <c r="L447" s="11" t="s">
        <v>1960</v>
      </c>
      <c r="M447" s="11" t="str">
        <f aca="false">L447&amp;" - "&amp;N447</f>
        <v>مفصل العجلة - خلفي يسار</v>
      </c>
      <c r="N447" s="11" t="s">
        <v>1361</v>
      </c>
      <c r="O447" s="11" t="s">
        <v>1512</v>
      </c>
      <c r="P447" s="10" t="n">
        <f aca="false">G447</f>
        <v>30</v>
      </c>
      <c r="Q447" s="10" t="n">
        <f aca="false">H447</f>
        <v>25</v>
      </c>
      <c r="R447" s="10" t="n">
        <f aca="false">I447</f>
        <v>20</v>
      </c>
      <c r="S447" s="10" t="n">
        <f aca="false">J447</f>
        <v>6</v>
      </c>
      <c r="T447" s="12" t="s">
        <v>1943</v>
      </c>
      <c r="U447" s="12" t="s">
        <v>1961</v>
      </c>
      <c r="V447" s="9" t="str">
        <f aca="false">U447&amp;" - "&amp;W447</f>
        <v>转向节 - 后左</v>
      </c>
      <c r="W447" s="12" t="s">
        <v>1362</v>
      </c>
      <c r="X447" s="12" t="s">
        <v>1514</v>
      </c>
      <c r="Y447" s="10" t="n">
        <f aca="false">G447</f>
        <v>30</v>
      </c>
      <c r="Z447" s="10" t="n">
        <f aca="false">H447</f>
        <v>25</v>
      </c>
      <c r="AA447" s="10" t="n">
        <f aca="false">I447</f>
        <v>20</v>
      </c>
      <c r="AB447" s="10" t="n">
        <f aca="false">J447</f>
        <v>6</v>
      </c>
      <c r="AC447" s="9" t="s">
        <v>1945</v>
      </c>
      <c r="AD447" s="9" t="s">
        <v>1962</v>
      </c>
      <c r="AE447" s="9" t="str">
        <f aca="false">IF($AK447=0,"",INDEX('Part types'!$T:$T,$AK447)&amp;"")</f>
        <v>All vehicles</v>
      </c>
      <c r="AF447" s="9" t="str">
        <f aca="false">IF($AK447=0,"",INDEX('Part types'!$U:$U,$AK447)&amp;"")</f>
        <v/>
      </c>
      <c r="AG447" s="9" t="str">
        <f aca="false">IF($AK447=0,"",INDEX('Part types'!$V:$V,$AK447)&amp;"")</f>
        <v>Estimate: item-specific</v>
      </c>
      <c r="AH447" s="9" t="str">
        <f aca="false">IF($AK447=0,"",INDEX('Part types'!$W:$W,$AK447)&amp;"")</f>
        <v/>
      </c>
      <c r="AI447" s="11" t="str">
        <f aca="false">IF($AK447=0,"",INDEX('Part types'!$X:$X,$AK447)&amp;"")</f>
        <v>دسك التوجيه</v>
      </c>
      <c r="AJ447" s="9" t="str">
        <f aca="false">IF($AK447=0,"",INDEX('Part types'!$Y:$Y,$AK447)&amp;"")</f>
        <v/>
      </c>
      <c r="AK447" s="9" t="n">
        <f aca="false">IFERROR(MATCH($AD447,'Part types'!$E:$E,0),0)</f>
        <v>318</v>
      </c>
    </row>
    <row r="448" customFormat="false" ht="15" hidden="false" customHeight="false" outlineLevel="0" collapsed="false">
      <c r="A448" s="9" t="s">
        <v>1965</v>
      </c>
      <c r="B448" s="9" t="s">
        <v>1939</v>
      </c>
      <c r="C448" s="9" t="s">
        <v>1959</v>
      </c>
      <c r="D448" s="9" t="str">
        <f aca="false">C448&amp;" - "&amp;E448</f>
        <v>Steering Knuckle - Rear-Right</v>
      </c>
      <c r="E448" s="9" t="s">
        <v>1364</v>
      </c>
      <c r="F448" s="9" t="s">
        <v>1510</v>
      </c>
      <c r="G448" s="10" t="n">
        <f aca="false">IF($AK448=0,"",INDEX('Part types'!$P:$P,$AK448))</f>
        <v>30</v>
      </c>
      <c r="H448" s="10" t="n">
        <f aca="false">IF($AK448=0,"",INDEX('Part types'!$Q:$Q,$AK448))</f>
        <v>25</v>
      </c>
      <c r="I448" s="10" t="n">
        <f aca="false">IF($AK448=0,"",INDEX('Part types'!$R:$R,$AK448))</f>
        <v>20</v>
      </c>
      <c r="J448" s="10" t="n">
        <f aca="false">IF($AK448=0,"",INDEX('Part types'!$S:$S,$AK448))</f>
        <v>6</v>
      </c>
      <c r="K448" s="11" t="s">
        <v>1941</v>
      </c>
      <c r="L448" s="11" t="s">
        <v>1960</v>
      </c>
      <c r="M448" s="11" t="str">
        <f aca="false">L448&amp;" - "&amp;N448</f>
        <v>مفصل العجلة - خلفي يمين</v>
      </c>
      <c r="N448" s="11" t="s">
        <v>1365</v>
      </c>
      <c r="O448" s="11" t="s">
        <v>1512</v>
      </c>
      <c r="P448" s="10" t="n">
        <f aca="false">G448</f>
        <v>30</v>
      </c>
      <c r="Q448" s="10" t="n">
        <f aca="false">H448</f>
        <v>25</v>
      </c>
      <c r="R448" s="10" t="n">
        <f aca="false">I448</f>
        <v>20</v>
      </c>
      <c r="S448" s="10" t="n">
        <f aca="false">J448</f>
        <v>6</v>
      </c>
      <c r="T448" s="12" t="s">
        <v>1943</v>
      </c>
      <c r="U448" s="12" t="s">
        <v>1961</v>
      </c>
      <c r="V448" s="9" t="str">
        <f aca="false">U448&amp;" - "&amp;W448</f>
        <v>转向节 - 后右</v>
      </c>
      <c r="W448" s="12" t="s">
        <v>1366</v>
      </c>
      <c r="X448" s="12" t="s">
        <v>1514</v>
      </c>
      <c r="Y448" s="10" t="n">
        <f aca="false">G448</f>
        <v>30</v>
      </c>
      <c r="Z448" s="10" t="n">
        <f aca="false">H448</f>
        <v>25</v>
      </c>
      <c r="AA448" s="10" t="n">
        <f aca="false">I448</f>
        <v>20</v>
      </c>
      <c r="AB448" s="10" t="n">
        <f aca="false">J448</f>
        <v>6</v>
      </c>
      <c r="AC448" s="9" t="s">
        <v>1945</v>
      </c>
      <c r="AD448" s="9" t="s">
        <v>1962</v>
      </c>
      <c r="AE448" s="9" t="str">
        <f aca="false">IF($AK448=0,"",INDEX('Part types'!$T:$T,$AK448)&amp;"")</f>
        <v>All vehicles</v>
      </c>
      <c r="AF448" s="9" t="str">
        <f aca="false">IF($AK448=0,"",INDEX('Part types'!$U:$U,$AK448)&amp;"")</f>
        <v/>
      </c>
      <c r="AG448" s="9" t="str">
        <f aca="false">IF($AK448=0,"",INDEX('Part types'!$V:$V,$AK448)&amp;"")</f>
        <v>Estimate: item-specific</v>
      </c>
      <c r="AH448" s="9" t="str">
        <f aca="false">IF($AK448=0,"",INDEX('Part types'!$W:$W,$AK448)&amp;"")</f>
        <v/>
      </c>
      <c r="AI448" s="11" t="str">
        <f aca="false">IF($AK448=0,"",INDEX('Part types'!$X:$X,$AK448)&amp;"")</f>
        <v>دسك التوجيه</v>
      </c>
      <c r="AJ448" s="9" t="str">
        <f aca="false">IF($AK448=0,"",INDEX('Part types'!$Y:$Y,$AK448)&amp;"")</f>
        <v/>
      </c>
      <c r="AK448" s="9" t="n">
        <f aca="false">IFERROR(MATCH($AD448,'Part types'!$E:$E,0),0)</f>
        <v>318</v>
      </c>
    </row>
    <row r="449" customFormat="false" ht="15" hidden="false" customHeight="false" outlineLevel="0" collapsed="false">
      <c r="A449" s="9" t="s">
        <v>1966</v>
      </c>
      <c r="B449" s="9" t="s">
        <v>1939</v>
      </c>
      <c r="C449" s="9" t="s">
        <v>1967</v>
      </c>
      <c r="D449" s="9" t="str">
        <f aca="false">C449&amp;" - "&amp;E449</f>
        <v>Alloy Wheel - Front-Left</v>
      </c>
      <c r="E449" s="9" t="s">
        <v>1346</v>
      </c>
      <c r="F449" s="9" t="s">
        <v>1968</v>
      </c>
      <c r="G449" s="10" t="n">
        <f aca="false">IF($AK449=0,"",INDEX('Part types'!$P:$P,$AK449))</f>
        <v>70</v>
      </c>
      <c r="H449" s="10" t="n">
        <f aca="false">IF($AK449=0,"",INDEX('Part types'!$Q:$Q,$AK449))</f>
        <v>70</v>
      </c>
      <c r="I449" s="10" t="n">
        <f aca="false">IF($AK449=0,"",INDEX('Part types'!$R:$R,$AK449))</f>
        <v>25</v>
      </c>
      <c r="J449" s="10" t="n">
        <f aca="false">IF($AK449=0,"",INDEX('Part types'!$S:$S,$AK449))</f>
        <v>10</v>
      </c>
      <c r="K449" s="11" t="s">
        <v>1941</v>
      </c>
      <c r="L449" s="11" t="s">
        <v>1969</v>
      </c>
      <c r="M449" s="11" t="str">
        <f aca="false">L449&amp;" - "&amp;N449</f>
        <v>جنط ألمنيوم - أمامي يسار</v>
      </c>
      <c r="N449" s="11" t="s">
        <v>1349</v>
      </c>
      <c r="O449" s="11" t="s">
        <v>1970</v>
      </c>
      <c r="P449" s="10" t="n">
        <f aca="false">G449</f>
        <v>70</v>
      </c>
      <c r="Q449" s="10" t="n">
        <f aca="false">H449</f>
        <v>70</v>
      </c>
      <c r="R449" s="10" t="n">
        <f aca="false">I449</f>
        <v>25</v>
      </c>
      <c r="S449" s="10" t="n">
        <f aca="false">J449</f>
        <v>10</v>
      </c>
      <c r="T449" s="12" t="s">
        <v>1943</v>
      </c>
      <c r="U449" s="12" t="s">
        <v>1971</v>
      </c>
      <c r="V449" s="9" t="str">
        <f aca="false">U449&amp;" - "&amp;W449</f>
        <v>铝合金轮毂 - 前左</v>
      </c>
      <c r="W449" s="12" t="s">
        <v>1352</v>
      </c>
      <c r="X449" s="12" t="s">
        <v>1943</v>
      </c>
      <c r="Y449" s="10" t="n">
        <f aca="false">G449</f>
        <v>70</v>
      </c>
      <c r="Z449" s="10" t="n">
        <f aca="false">H449</f>
        <v>70</v>
      </c>
      <c r="AA449" s="10" t="n">
        <f aca="false">I449</f>
        <v>25</v>
      </c>
      <c r="AB449" s="10" t="n">
        <f aca="false">J449</f>
        <v>10</v>
      </c>
      <c r="AC449" s="9" t="s">
        <v>1945</v>
      </c>
      <c r="AD449" s="9" t="s">
        <v>1972</v>
      </c>
      <c r="AE449" s="9" t="str">
        <f aca="false">IF($AK449=0,"",INDEX('Part types'!$T:$T,$AK449)&amp;"")</f>
        <v>All vehicles</v>
      </c>
      <c r="AF449" s="9" t="str">
        <f aca="false">IF($AK449=0,"",INDEX('Part types'!$U:$U,$AK449)&amp;"")</f>
        <v/>
      </c>
      <c r="AG449" s="9" t="str">
        <f aca="false">IF($AK449=0,"",INDEX('Part types'!$V:$V,$AK449)&amp;"")</f>
        <v>Estimate: item-specific</v>
      </c>
      <c r="AH449" s="9" t="str">
        <f aca="false">IF($AK449=0,"",INDEX('Part types'!$W:$W,$AK449)&amp;"")</f>
        <v/>
      </c>
      <c r="AI449" s="11" t="str">
        <f aca="false">IF($AK449=0,"",INDEX('Part types'!$X:$X,$AK449)&amp;"")</f>
        <v/>
      </c>
      <c r="AJ449" s="9" t="str">
        <f aca="false">IF($AK449=0,"",INDEX('Part types'!$Y:$Y,$AK449)&amp;"")</f>
        <v/>
      </c>
      <c r="AK449" s="9" t="n">
        <f aca="false">IFERROR(MATCH($AD449,'Part types'!$E:$E,0),0)</f>
        <v>319</v>
      </c>
    </row>
    <row r="450" customFormat="false" ht="15" hidden="false" customHeight="false" outlineLevel="0" collapsed="false">
      <c r="A450" s="9" t="s">
        <v>1973</v>
      </c>
      <c r="B450" s="9" t="s">
        <v>1939</v>
      </c>
      <c r="C450" s="9" t="s">
        <v>1967</v>
      </c>
      <c r="D450" s="9" t="str">
        <f aca="false">C450&amp;" - "&amp;E450</f>
        <v>Alloy Wheel - Front-Right</v>
      </c>
      <c r="E450" s="9" t="s">
        <v>1356</v>
      </c>
      <c r="F450" s="9" t="s">
        <v>1968</v>
      </c>
      <c r="G450" s="10" t="n">
        <f aca="false">IF($AK450=0,"",INDEX('Part types'!$P:$P,$AK450))</f>
        <v>70</v>
      </c>
      <c r="H450" s="10" t="n">
        <f aca="false">IF($AK450=0,"",INDEX('Part types'!$Q:$Q,$AK450))</f>
        <v>70</v>
      </c>
      <c r="I450" s="10" t="n">
        <f aca="false">IF($AK450=0,"",INDEX('Part types'!$R:$R,$AK450))</f>
        <v>25</v>
      </c>
      <c r="J450" s="10" t="n">
        <f aca="false">IF($AK450=0,"",INDEX('Part types'!$S:$S,$AK450))</f>
        <v>10</v>
      </c>
      <c r="K450" s="11" t="s">
        <v>1941</v>
      </c>
      <c r="L450" s="11" t="s">
        <v>1969</v>
      </c>
      <c r="M450" s="11" t="str">
        <f aca="false">L450&amp;" - "&amp;N450</f>
        <v>جنط ألمنيوم - أمامي يمين</v>
      </c>
      <c r="N450" s="11" t="s">
        <v>1357</v>
      </c>
      <c r="O450" s="11" t="s">
        <v>1970</v>
      </c>
      <c r="P450" s="10" t="n">
        <f aca="false">G450</f>
        <v>70</v>
      </c>
      <c r="Q450" s="10" t="n">
        <f aca="false">H450</f>
        <v>70</v>
      </c>
      <c r="R450" s="10" t="n">
        <f aca="false">I450</f>
        <v>25</v>
      </c>
      <c r="S450" s="10" t="n">
        <f aca="false">J450</f>
        <v>10</v>
      </c>
      <c r="T450" s="12" t="s">
        <v>1943</v>
      </c>
      <c r="U450" s="12" t="s">
        <v>1971</v>
      </c>
      <c r="V450" s="9" t="str">
        <f aca="false">U450&amp;" - "&amp;W450</f>
        <v>铝合金轮毂 - 前右</v>
      </c>
      <c r="W450" s="12" t="s">
        <v>1358</v>
      </c>
      <c r="X450" s="12" t="s">
        <v>1943</v>
      </c>
      <c r="Y450" s="10" t="n">
        <f aca="false">G450</f>
        <v>70</v>
      </c>
      <c r="Z450" s="10" t="n">
        <f aca="false">H450</f>
        <v>70</v>
      </c>
      <c r="AA450" s="10" t="n">
        <f aca="false">I450</f>
        <v>25</v>
      </c>
      <c r="AB450" s="10" t="n">
        <f aca="false">J450</f>
        <v>10</v>
      </c>
      <c r="AC450" s="9" t="s">
        <v>1945</v>
      </c>
      <c r="AD450" s="9" t="s">
        <v>1972</v>
      </c>
      <c r="AE450" s="9" t="str">
        <f aca="false">IF($AK450=0,"",INDEX('Part types'!$T:$T,$AK450)&amp;"")</f>
        <v>All vehicles</v>
      </c>
      <c r="AF450" s="9" t="str">
        <f aca="false">IF($AK450=0,"",INDEX('Part types'!$U:$U,$AK450)&amp;"")</f>
        <v/>
      </c>
      <c r="AG450" s="9" t="str">
        <f aca="false">IF($AK450=0,"",INDEX('Part types'!$V:$V,$AK450)&amp;"")</f>
        <v>Estimate: item-specific</v>
      </c>
      <c r="AH450" s="9" t="str">
        <f aca="false">IF($AK450=0,"",INDEX('Part types'!$W:$W,$AK450)&amp;"")</f>
        <v/>
      </c>
      <c r="AI450" s="11" t="str">
        <f aca="false">IF($AK450=0,"",INDEX('Part types'!$X:$X,$AK450)&amp;"")</f>
        <v/>
      </c>
      <c r="AJ450" s="9" t="str">
        <f aca="false">IF($AK450=0,"",INDEX('Part types'!$Y:$Y,$AK450)&amp;"")</f>
        <v/>
      </c>
      <c r="AK450" s="9" t="n">
        <f aca="false">IFERROR(MATCH($AD450,'Part types'!$E:$E,0),0)</f>
        <v>319</v>
      </c>
    </row>
    <row r="451" customFormat="false" ht="15" hidden="false" customHeight="false" outlineLevel="0" collapsed="false">
      <c r="A451" s="9" t="s">
        <v>1974</v>
      </c>
      <c r="B451" s="9" t="s">
        <v>1939</v>
      </c>
      <c r="C451" s="9" t="s">
        <v>1967</v>
      </c>
      <c r="D451" s="9" t="str">
        <f aca="false">C451&amp;" - "&amp;E451</f>
        <v>Alloy Wheel - Rear-Left</v>
      </c>
      <c r="E451" s="9" t="s">
        <v>1360</v>
      </c>
      <c r="F451" s="9" t="s">
        <v>1968</v>
      </c>
      <c r="G451" s="10" t="n">
        <f aca="false">IF($AK451=0,"",INDEX('Part types'!$P:$P,$AK451))</f>
        <v>70</v>
      </c>
      <c r="H451" s="10" t="n">
        <f aca="false">IF($AK451=0,"",INDEX('Part types'!$Q:$Q,$AK451))</f>
        <v>70</v>
      </c>
      <c r="I451" s="10" t="n">
        <f aca="false">IF($AK451=0,"",INDEX('Part types'!$R:$R,$AK451))</f>
        <v>25</v>
      </c>
      <c r="J451" s="10" t="n">
        <f aca="false">IF($AK451=0,"",INDEX('Part types'!$S:$S,$AK451))</f>
        <v>10</v>
      </c>
      <c r="K451" s="11" t="s">
        <v>1941</v>
      </c>
      <c r="L451" s="11" t="s">
        <v>1969</v>
      </c>
      <c r="M451" s="11" t="str">
        <f aca="false">L451&amp;" - "&amp;N451</f>
        <v>جنط ألمنيوم - خلفي يسار</v>
      </c>
      <c r="N451" s="11" t="s">
        <v>1361</v>
      </c>
      <c r="O451" s="11" t="s">
        <v>1970</v>
      </c>
      <c r="P451" s="10" t="n">
        <f aca="false">G451</f>
        <v>70</v>
      </c>
      <c r="Q451" s="10" t="n">
        <f aca="false">H451</f>
        <v>70</v>
      </c>
      <c r="R451" s="10" t="n">
        <f aca="false">I451</f>
        <v>25</v>
      </c>
      <c r="S451" s="10" t="n">
        <f aca="false">J451</f>
        <v>10</v>
      </c>
      <c r="T451" s="12" t="s">
        <v>1943</v>
      </c>
      <c r="U451" s="12" t="s">
        <v>1971</v>
      </c>
      <c r="V451" s="9" t="str">
        <f aca="false">U451&amp;" - "&amp;W451</f>
        <v>铝合金轮毂 - 后左</v>
      </c>
      <c r="W451" s="12" t="s">
        <v>1362</v>
      </c>
      <c r="X451" s="12" t="s">
        <v>1943</v>
      </c>
      <c r="Y451" s="10" t="n">
        <f aca="false">G451</f>
        <v>70</v>
      </c>
      <c r="Z451" s="10" t="n">
        <f aca="false">H451</f>
        <v>70</v>
      </c>
      <c r="AA451" s="10" t="n">
        <f aca="false">I451</f>
        <v>25</v>
      </c>
      <c r="AB451" s="10" t="n">
        <f aca="false">J451</f>
        <v>10</v>
      </c>
      <c r="AC451" s="9" t="s">
        <v>1945</v>
      </c>
      <c r="AD451" s="9" t="s">
        <v>1972</v>
      </c>
      <c r="AE451" s="9" t="str">
        <f aca="false">IF($AK451=0,"",INDEX('Part types'!$T:$T,$AK451)&amp;"")</f>
        <v>All vehicles</v>
      </c>
      <c r="AF451" s="9" t="str">
        <f aca="false">IF($AK451=0,"",INDEX('Part types'!$U:$U,$AK451)&amp;"")</f>
        <v/>
      </c>
      <c r="AG451" s="9" t="str">
        <f aca="false">IF($AK451=0,"",INDEX('Part types'!$V:$V,$AK451)&amp;"")</f>
        <v>Estimate: item-specific</v>
      </c>
      <c r="AH451" s="9" t="str">
        <f aca="false">IF($AK451=0,"",INDEX('Part types'!$W:$W,$AK451)&amp;"")</f>
        <v/>
      </c>
      <c r="AI451" s="11" t="str">
        <f aca="false">IF($AK451=0,"",INDEX('Part types'!$X:$X,$AK451)&amp;"")</f>
        <v/>
      </c>
      <c r="AJ451" s="9" t="str">
        <f aca="false">IF($AK451=0,"",INDEX('Part types'!$Y:$Y,$AK451)&amp;"")</f>
        <v/>
      </c>
      <c r="AK451" s="9" t="n">
        <f aca="false">IFERROR(MATCH($AD451,'Part types'!$E:$E,0),0)</f>
        <v>319</v>
      </c>
    </row>
    <row r="452" customFormat="false" ht="15" hidden="false" customHeight="false" outlineLevel="0" collapsed="false">
      <c r="A452" s="9" t="s">
        <v>1975</v>
      </c>
      <c r="B452" s="9" t="s">
        <v>1939</v>
      </c>
      <c r="C452" s="9" t="s">
        <v>1967</v>
      </c>
      <c r="D452" s="9" t="str">
        <f aca="false">C452&amp;" - "&amp;E452</f>
        <v>Alloy Wheel - Rear-Right</v>
      </c>
      <c r="E452" s="9" t="s">
        <v>1364</v>
      </c>
      <c r="F452" s="9" t="s">
        <v>1968</v>
      </c>
      <c r="G452" s="10" t="n">
        <f aca="false">IF($AK452=0,"",INDEX('Part types'!$P:$P,$AK452))</f>
        <v>70</v>
      </c>
      <c r="H452" s="10" t="n">
        <f aca="false">IF($AK452=0,"",INDEX('Part types'!$Q:$Q,$AK452))</f>
        <v>70</v>
      </c>
      <c r="I452" s="10" t="n">
        <f aca="false">IF($AK452=0,"",INDEX('Part types'!$R:$R,$AK452))</f>
        <v>25</v>
      </c>
      <c r="J452" s="10" t="n">
        <f aca="false">IF($AK452=0,"",INDEX('Part types'!$S:$S,$AK452))</f>
        <v>10</v>
      </c>
      <c r="K452" s="11" t="s">
        <v>1941</v>
      </c>
      <c r="L452" s="11" t="s">
        <v>1969</v>
      </c>
      <c r="M452" s="11" t="str">
        <f aca="false">L452&amp;" - "&amp;N452</f>
        <v>جنط ألمنيوم - خلفي يمين</v>
      </c>
      <c r="N452" s="11" t="s">
        <v>1365</v>
      </c>
      <c r="O452" s="11" t="s">
        <v>1970</v>
      </c>
      <c r="P452" s="10" t="n">
        <f aca="false">G452</f>
        <v>70</v>
      </c>
      <c r="Q452" s="10" t="n">
        <f aca="false">H452</f>
        <v>70</v>
      </c>
      <c r="R452" s="10" t="n">
        <f aca="false">I452</f>
        <v>25</v>
      </c>
      <c r="S452" s="10" t="n">
        <f aca="false">J452</f>
        <v>10</v>
      </c>
      <c r="T452" s="12" t="s">
        <v>1943</v>
      </c>
      <c r="U452" s="12" t="s">
        <v>1971</v>
      </c>
      <c r="V452" s="9" t="str">
        <f aca="false">U452&amp;" - "&amp;W452</f>
        <v>铝合金轮毂 - 后右</v>
      </c>
      <c r="W452" s="12" t="s">
        <v>1366</v>
      </c>
      <c r="X452" s="12" t="s">
        <v>1943</v>
      </c>
      <c r="Y452" s="10" t="n">
        <f aca="false">G452</f>
        <v>70</v>
      </c>
      <c r="Z452" s="10" t="n">
        <f aca="false">H452</f>
        <v>70</v>
      </c>
      <c r="AA452" s="10" t="n">
        <f aca="false">I452</f>
        <v>25</v>
      </c>
      <c r="AB452" s="10" t="n">
        <f aca="false">J452</f>
        <v>10</v>
      </c>
      <c r="AC452" s="9" t="s">
        <v>1945</v>
      </c>
      <c r="AD452" s="9" t="s">
        <v>1972</v>
      </c>
      <c r="AE452" s="9" t="str">
        <f aca="false">IF($AK452=0,"",INDEX('Part types'!$T:$T,$AK452)&amp;"")</f>
        <v>All vehicles</v>
      </c>
      <c r="AF452" s="9" t="str">
        <f aca="false">IF($AK452=0,"",INDEX('Part types'!$U:$U,$AK452)&amp;"")</f>
        <v/>
      </c>
      <c r="AG452" s="9" t="str">
        <f aca="false">IF($AK452=0,"",INDEX('Part types'!$V:$V,$AK452)&amp;"")</f>
        <v>Estimate: item-specific</v>
      </c>
      <c r="AH452" s="9" t="str">
        <f aca="false">IF($AK452=0,"",INDEX('Part types'!$W:$W,$AK452)&amp;"")</f>
        <v/>
      </c>
      <c r="AI452" s="11" t="str">
        <f aca="false">IF($AK452=0,"",INDEX('Part types'!$X:$X,$AK452)&amp;"")</f>
        <v/>
      </c>
      <c r="AJ452" s="9" t="str">
        <f aca="false">IF($AK452=0,"",INDEX('Part types'!$Y:$Y,$AK452)&amp;"")</f>
        <v/>
      </c>
      <c r="AK452" s="9" t="n">
        <f aca="false">IFERROR(MATCH($AD452,'Part types'!$E:$E,0),0)</f>
        <v>319</v>
      </c>
    </row>
    <row r="453" customFormat="false" ht="15" hidden="false" customHeight="false" outlineLevel="0" collapsed="false">
      <c r="A453" s="9" t="s">
        <v>1976</v>
      </c>
      <c r="B453" s="9" t="s">
        <v>1939</v>
      </c>
      <c r="C453" s="9" t="s">
        <v>1977</v>
      </c>
      <c r="D453" s="9" t="str">
        <f aca="false">C453&amp;" - "&amp;E453</f>
        <v>Steel Wheel - Front-Left</v>
      </c>
      <c r="E453" s="9" t="s">
        <v>1346</v>
      </c>
      <c r="F453" s="9" t="s">
        <v>1968</v>
      </c>
      <c r="G453" s="10" t="n">
        <f aca="false">IF($AK453=0,"",INDEX('Part types'!$P:$P,$AK453))</f>
        <v>65</v>
      </c>
      <c r="H453" s="10" t="n">
        <f aca="false">IF($AK453=0,"",INDEX('Part types'!$Q:$Q,$AK453))</f>
        <v>65</v>
      </c>
      <c r="I453" s="10" t="n">
        <f aca="false">IF($AK453=0,"",INDEX('Part types'!$R:$R,$AK453))</f>
        <v>22</v>
      </c>
      <c r="J453" s="10" t="n">
        <f aca="false">IF($AK453=0,"",INDEX('Part types'!$S:$S,$AK453))</f>
        <v>9</v>
      </c>
      <c r="K453" s="11" t="s">
        <v>1941</v>
      </c>
      <c r="L453" s="11" t="s">
        <v>1978</v>
      </c>
      <c r="M453" s="11" t="str">
        <f aca="false">L453&amp;" - "&amp;N453</f>
        <v>جنط حديد - أمامي يسار</v>
      </c>
      <c r="N453" s="11" t="s">
        <v>1349</v>
      </c>
      <c r="O453" s="11" t="s">
        <v>1970</v>
      </c>
      <c r="P453" s="10" t="n">
        <f aca="false">G453</f>
        <v>65</v>
      </c>
      <c r="Q453" s="10" t="n">
        <f aca="false">H453</f>
        <v>65</v>
      </c>
      <c r="R453" s="10" t="n">
        <f aca="false">I453</f>
        <v>22</v>
      </c>
      <c r="S453" s="10" t="n">
        <f aca="false">J453</f>
        <v>9</v>
      </c>
      <c r="T453" s="12" t="s">
        <v>1943</v>
      </c>
      <c r="U453" s="12" t="s">
        <v>1979</v>
      </c>
      <c r="V453" s="9" t="str">
        <f aca="false">U453&amp;" - "&amp;W453</f>
        <v>钢制轮毂 - 前左</v>
      </c>
      <c r="W453" s="12" t="s">
        <v>1352</v>
      </c>
      <c r="X453" s="12" t="s">
        <v>1943</v>
      </c>
      <c r="Y453" s="10" t="n">
        <f aca="false">G453</f>
        <v>65</v>
      </c>
      <c r="Z453" s="10" t="n">
        <f aca="false">H453</f>
        <v>65</v>
      </c>
      <c r="AA453" s="10" t="n">
        <f aca="false">I453</f>
        <v>22</v>
      </c>
      <c r="AB453" s="10" t="n">
        <f aca="false">J453</f>
        <v>9</v>
      </c>
      <c r="AC453" s="9" t="s">
        <v>1945</v>
      </c>
      <c r="AD453" s="9" t="s">
        <v>1980</v>
      </c>
      <c r="AE453" s="9" t="str">
        <f aca="false">IF($AK453=0,"",INDEX('Part types'!$T:$T,$AK453)&amp;"")</f>
        <v>All vehicles</v>
      </c>
      <c r="AF453" s="9" t="str">
        <f aca="false">IF($AK453=0,"",INDEX('Part types'!$U:$U,$AK453)&amp;"")</f>
        <v/>
      </c>
      <c r="AG453" s="9" t="str">
        <f aca="false">IF($AK453=0,"",INDEX('Part types'!$V:$V,$AK453)&amp;"")</f>
        <v>Estimate: item-specific</v>
      </c>
      <c r="AH453" s="9" t="str">
        <f aca="false">IF($AK453=0,"",INDEX('Part types'!$W:$W,$AK453)&amp;"")</f>
        <v/>
      </c>
      <c r="AI453" s="11" t="str">
        <f aca="false">IF($AK453=0,"",INDEX('Part types'!$X:$X,$AK453)&amp;"")</f>
        <v/>
      </c>
      <c r="AJ453" s="9" t="str">
        <f aca="false">IF($AK453=0,"",INDEX('Part types'!$Y:$Y,$AK453)&amp;"")</f>
        <v/>
      </c>
      <c r="AK453" s="9" t="n">
        <f aca="false">IFERROR(MATCH($AD453,'Part types'!$E:$E,0),0)</f>
        <v>320</v>
      </c>
    </row>
    <row r="454" customFormat="false" ht="15" hidden="false" customHeight="false" outlineLevel="0" collapsed="false">
      <c r="A454" s="9" t="s">
        <v>1981</v>
      </c>
      <c r="B454" s="9" t="s">
        <v>1939</v>
      </c>
      <c r="C454" s="9" t="s">
        <v>1977</v>
      </c>
      <c r="D454" s="9" t="str">
        <f aca="false">C454&amp;" - "&amp;E454</f>
        <v>Steel Wheel - Front-Right</v>
      </c>
      <c r="E454" s="9" t="s">
        <v>1356</v>
      </c>
      <c r="F454" s="9" t="s">
        <v>1968</v>
      </c>
      <c r="G454" s="10" t="n">
        <f aca="false">IF($AK454=0,"",INDEX('Part types'!$P:$P,$AK454))</f>
        <v>65</v>
      </c>
      <c r="H454" s="10" t="n">
        <f aca="false">IF($AK454=0,"",INDEX('Part types'!$Q:$Q,$AK454))</f>
        <v>65</v>
      </c>
      <c r="I454" s="10" t="n">
        <f aca="false">IF($AK454=0,"",INDEX('Part types'!$R:$R,$AK454))</f>
        <v>22</v>
      </c>
      <c r="J454" s="10" t="n">
        <f aca="false">IF($AK454=0,"",INDEX('Part types'!$S:$S,$AK454))</f>
        <v>9</v>
      </c>
      <c r="K454" s="11" t="s">
        <v>1941</v>
      </c>
      <c r="L454" s="11" t="s">
        <v>1978</v>
      </c>
      <c r="M454" s="11" t="str">
        <f aca="false">L454&amp;" - "&amp;N454</f>
        <v>جنط حديد - أمامي يمين</v>
      </c>
      <c r="N454" s="11" t="s">
        <v>1357</v>
      </c>
      <c r="O454" s="11" t="s">
        <v>1970</v>
      </c>
      <c r="P454" s="10" t="n">
        <f aca="false">G454</f>
        <v>65</v>
      </c>
      <c r="Q454" s="10" t="n">
        <f aca="false">H454</f>
        <v>65</v>
      </c>
      <c r="R454" s="10" t="n">
        <f aca="false">I454</f>
        <v>22</v>
      </c>
      <c r="S454" s="10" t="n">
        <f aca="false">J454</f>
        <v>9</v>
      </c>
      <c r="T454" s="12" t="s">
        <v>1943</v>
      </c>
      <c r="U454" s="12" t="s">
        <v>1979</v>
      </c>
      <c r="V454" s="9" t="str">
        <f aca="false">U454&amp;" - "&amp;W454</f>
        <v>钢制轮毂 - 前右</v>
      </c>
      <c r="W454" s="12" t="s">
        <v>1358</v>
      </c>
      <c r="X454" s="12" t="s">
        <v>1943</v>
      </c>
      <c r="Y454" s="10" t="n">
        <f aca="false">G454</f>
        <v>65</v>
      </c>
      <c r="Z454" s="10" t="n">
        <f aca="false">H454</f>
        <v>65</v>
      </c>
      <c r="AA454" s="10" t="n">
        <f aca="false">I454</f>
        <v>22</v>
      </c>
      <c r="AB454" s="10" t="n">
        <f aca="false">J454</f>
        <v>9</v>
      </c>
      <c r="AC454" s="9" t="s">
        <v>1945</v>
      </c>
      <c r="AD454" s="9" t="s">
        <v>1980</v>
      </c>
      <c r="AE454" s="9" t="str">
        <f aca="false">IF($AK454=0,"",INDEX('Part types'!$T:$T,$AK454)&amp;"")</f>
        <v>All vehicles</v>
      </c>
      <c r="AF454" s="9" t="str">
        <f aca="false">IF($AK454=0,"",INDEX('Part types'!$U:$U,$AK454)&amp;"")</f>
        <v/>
      </c>
      <c r="AG454" s="9" t="str">
        <f aca="false">IF($AK454=0,"",INDEX('Part types'!$V:$V,$AK454)&amp;"")</f>
        <v>Estimate: item-specific</v>
      </c>
      <c r="AH454" s="9" t="str">
        <f aca="false">IF($AK454=0,"",INDEX('Part types'!$W:$W,$AK454)&amp;"")</f>
        <v/>
      </c>
      <c r="AI454" s="11" t="str">
        <f aca="false">IF($AK454=0,"",INDEX('Part types'!$X:$X,$AK454)&amp;"")</f>
        <v/>
      </c>
      <c r="AJ454" s="9" t="str">
        <f aca="false">IF($AK454=0,"",INDEX('Part types'!$Y:$Y,$AK454)&amp;"")</f>
        <v/>
      </c>
      <c r="AK454" s="9" t="n">
        <f aca="false">IFERROR(MATCH($AD454,'Part types'!$E:$E,0),0)</f>
        <v>320</v>
      </c>
    </row>
    <row r="455" customFormat="false" ht="15" hidden="false" customHeight="false" outlineLevel="0" collapsed="false">
      <c r="A455" s="9" t="s">
        <v>1982</v>
      </c>
      <c r="B455" s="9" t="s">
        <v>1939</v>
      </c>
      <c r="C455" s="9" t="s">
        <v>1977</v>
      </c>
      <c r="D455" s="9" t="str">
        <f aca="false">C455&amp;" - "&amp;E455</f>
        <v>Steel Wheel - Rear-Left</v>
      </c>
      <c r="E455" s="9" t="s">
        <v>1360</v>
      </c>
      <c r="F455" s="9" t="s">
        <v>1968</v>
      </c>
      <c r="G455" s="10" t="n">
        <f aca="false">IF($AK455=0,"",INDEX('Part types'!$P:$P,$AK455))</f>
        <v>65</v>
      </c>
      <c r="H455" s="10" t="n">
        <f aca="false">IF($AK455=0,"",INDEX('Part types'!$Q:$Q,$AK455))</f>
        <v>65</v>
      </c>
      <c r="I455" s="10" t="n">
        <f aca="false">IF($AK455=0,"",INDEX('Part types'!$R:$R,$AK455))</f>
        <v>22</v>
      </c>
      <c r="J455" s="10" t="n">
        <f aca="false">IF($AK455=0,"",INDEX('Part types'!$S:$S,$AK455))</f>
        <v>9</v>
      </c>
      <c r="K455" s="11" t="s">
        <v>1941</v>
      </c>
      <c r="L455" s="11" t="s">
        <v>1978</v>
      </c>
      <c r="M455" s="11" t="str">
        <f aca="false">L455&amp;" - "&amp;N455</f>
        <v>جنط حديد - خلفي يسار</v>
      </c>
      <c r="N455" s="11" t="s">
        <v>1361</v>
      </c>
      <c r="O455" s="11" t="s">
        <v>1970</v>
      </c>
      <c r="P455" s="10" t="n">
        <f aca="false">G455</f>
        <v>65</v>
      </c>
      <c r="Q455" s="10" t="n">
        <f aca="false">H455</f>
        <v>65</v>
      </c>
      <c r="R455" s="10" t="n">
        <f aca="false">I455</f>
        <v>22</v>
      </c>
      <c r="S455" s="10" t="n">
        <f aca="false">J455</f>
        <v>9</v>
      </c>
      <c r="T455" s="12" t="s">
        <v>1943</v>
      </c>
      <c r="U455" s="12" t="s">
        <v>1979</v>
      </c>
      <c r="V455" s="9" t="str">
        <f aca="false">U455&amp;" - "&amp;W455</f>
        <v>钢制轮毂 - 后左</v>
      </c>
      <c r="W455" s="12" t="s">
        <v>1362</v>
      </c>
      <c r="X455" s="12" t="s">
        <v>1943</v>
      </c>
      <c r="Y455" s="10" t="n">
        <f aca="false">G455</f>
        <v>65</v>
      </c>
      <c r="Z455" s="10" t="n">
        <f aca="false">H455</f>
        <v>65</v>
      </c>
      <c r="AA455" s="10" t="n">
        <f aca="false">I455</f>
        <v>22</v>
      </c>
      <c r="AB455" s="10" t="n">
        <f aca="false">J455</f>
        <v>9</v>
      </c>
      <c r="AC455" s="9" t="s">
        <v>1945</v>
      </c>
      <c r="AD455" s="9" t="s">
        <v>1980</v>
      </c>
      <c r="AE455" s="9" t="str">
        <f aca="false">IF($AK455=0,"",INDEX('Part types'!$T:$T,$AK455)&amp;"")</f>
        <v>All vehicles</v>
      </c>
      <c r="AF455" s="9" t="str">
        <f aca="false">IF($AK455=0,"",INDEX('Part types'!$U:$U,$AK455)&amp;"")</f>
        <v/>
      </c>
      <c r="AG455" s="9" t="str">
        <f aca="false">IF($AK455=0,"",INDEX('Part types'!$V:$V,$AK455)&amp;"")</f>
        <v>Estimate: item-specific</v>
      </c>
      <c r="AH455" s="9" t="str">
        <f aca="false">IF($AK455=0,"",INDEX('Part types'!$W:$W,$AK455)&amp;"")</f>
        <v/>
      </c>
      <c r="AI455" s="11" t="str">
        <f aca="false">IF($AK455=0,"",INDEX('Part types'!$X:$X,$AK455)&amp;"")</f>
        <v/>
      </c>
      <c r="AJ455" s="9" t="str">
        <f aca="false">IF($AK455=0,"",INDEX('Part types'!$Y:$Y,$AK455)&amp;"")</f>
        <v/>
      </c>
      <c r="AK455" s="9" t="n">
        <f aca="false">IFERROR(MATCH($AD455,'Part types'!$E:$E,0),0)</f>
        <v>320</v>
      </c>
    </row>
    <row r="456" customFormat="false" ht="15" hidden="false" customHeight="false" outlineLevel="0" collapsed="false">
      <c r="A456" s="9" t="s">
        <v>1983</v>
      </c>
      <c r="B456" s="9" t="s">
        <v>1939</v>
      </c>
      <c r="C456" s="9" t="s">
        <v>1977</v>
      </c>
      <c r="D456" s="9" t="str">
        <f aca="false">C456&amp;" - "&amp;E456</f>
        <v>Steel Wheel - Rear-Right</v>
      </c>
      <c r="E456" s="9" t="s">
        <v>1364</v>
      </c>
      <c r="F456" s="9" t="s">
        <v>1968</v>
      </c>
      <c r="G456" s="10" t="n">
        <f aca="false">IF($AK456=0,"",INDEX('Part types'!$P:$P,$AK456))</f>
        <v>65</v>
      </c>
      <c r="H456" s="10" t="n">
        <f aca="false">IF($AK456=0,"",INDEX('Part types'!$Q:$Q,$AK456))</f>
        <v>65</v>
      </c>
      <c r="I456" s="10" t="n">
        <f aca="false">IF($AK456=0,"",INDEX('Part types'!$R:$R,$AK456))</f>
        <v>22</v>
      </c>
      <c r="J456" s="10" t="n">
        <f aca="false">IF($AK456=0,"",INDEX('Part types'!$S:$S,$AK456))</f>
        <v>9</v>
      </c>
      <c r="K456" s="11" t="s">
        <v>1941</v>
      </c>
      <c r="L456" s="11" t="s">
        <v>1978</v>
      </c>
      <c r="M456" s="11" t="str">
        <f aca="false">L456&amp;" - "&amp;N456</f>
        <v>جنط حديد - خلفي يمين</v>
      </c>
      <c r="N456" s="11" t="s">
        <v>1365</v>
      </c>
      <c r="O456" s="11" t="s">
        <v>1970</v>
      </c>
      <c r="P456" s="10" t="n">
        <f aca="false">G456</f>
        <v>65</v>
      </c>
      <c r="Q456" s="10" t="n">
        <f aca="false">H456</f>
        <v>65</v>
      </c>
      <c r="R456" s="10" t="n">
        <f aca="false">I456</f>
        <v>22</v>
      </c>
      <c r="S456" s="10" t="n">
        <f aca="false">J456</f>
        <v>9</v>
      </c>
      <c r="T456" s="12" t="s">
        <v>1943</v>
      </c>
      <c r="U456" s="12" t="s">
        <v>1979</v>
      </c>
      <c r="V456" s="9" t="str">
        <f aca="false">U456&amp;" - "&amp;W456</f>
        <v>钢制轮毂 - 后右</v>
      </c>
      <c r="W456" s="12" t="s">
        <v>1366</v>
      </c>
      <c r="X456" s="12" t="s">
        <v>1943</v>
      </c>
      <c r="Y456" s="10" t="n">
        <f aca="false">G456</f>
        <v>65</v>
      </c>
      <c r="Z456" s="10" t="n">
        <f aca="false">H456</f>
        <v>65</v>
      </c>
      <c r="AA456" s="10" t="n">
        <f aca="false">I456</f>
        <v>22</v>
      </c>
      <c r="AB456" s="10" t="n">
        <f aca="false">J456</f>
        <v>9</v>
      </c>
      <c r="AC456" s="9" t="s">
        <v>1945</v>
      </c>
      <c r="AD456" s="9" t="s">
        <v>1980</v>
      </c>
      <c r="AE456" s="9" t="str">
        <f aca="false">IF($AK456=0,"",INDEX('Part types'!$T:$T,$AK456)&amp;"")</f>
        <v>All vehicles</v>
      </c>
      <c r="AF456" s="9" t="str">
        <f aca="false">IF($AK456=0,"",INDEX('Part types'!$U:$U,$AK456)&amp;"")</f>
        <v/>
      </c>
      <c r="AG456" s="9" t="str">
        <f aca="false">IF($AK456=0,"",INDEX('Part types'!$V:$V,$AK456)&amp;"")</f>
        <v>Estimate: item-specific</v>
      </c>
      <c r="AH456" s="9" t="str">
        <f aca="false">IF($AK456=0,"",INDEX('Part types'!$W:$W,$AK456)&amp;"")</f>
        <v/>
      </c>
      <c r="AI456" s="11" t="str">
        <f aca="false">IF($AK456=0,"",INDEX('Part types'!$X:$X,$AK456)&amp;"")</f>
        <v/>
      </c>
      <c r="AJ456" s="9" t="str">
        <f aca="false">IF($AK456=0,"",INDEX('Part types'!$Y:$Y,$AK456)&amp;"")</f>
        <v/>
      </c>
      <c r="AK456" s="9" t="n">
        <f aca="false">IFERROR(MATCH($AD456,'Part types'!$E:$E,0),0)</f>
        <v>320</v>
      </c>
    </row>
    <row r="457" customFormat="false" ht="15" hidden="false" customHeight="false" outlineLevel="0" collapsed="false">
      <c r="A457" s="9" t="s">
        <v>1984</v>
      </c>
      <c r="B457" s="9" t="s">
        <v>1939</v>
      </c>
      <c r="C457" s="9" t="s">
        <v>1985</v>
      </c>
      <c r="D457" s="9" t="str">
        <f aca="false">C457&amp;" - "&amp;E457</f>
        <v>Wheel Center Cap - Front-Left</v>
      </c>
      <c r="E457" s="9" t="s">
        <v>1346</v>
      </c>
      <c r="F457" s="9" t="s">
        <v>1968</v>
      </c>
      <c r="G457" s="10" t="n">
        <f aca="false">IF($AK457=0,"",INDEX('Part types'!$P:$P,$AK457))</f>
        <v>10</v>
      </c>
      <c r="H457" s="10" t="n">
        <f aca="false">IF($AK457=0,"",INDEX('Part types'!$Q:$Q,$AK457))</f>
        <v>8</v>
      </c>
      <c r="I457" s="10" t="n">
        <f aca="false">IF($AK457=0,"",INDEX('Part types'!$R:$R,$AK457))</f>
        <v>6</v>
      </c>
      <c r="J457" s="10" t="n">
        <f aca="false">IF($AK457=0,"",INDEX('Part types'!$S:$S,$AK457))</f>
        <v>0.1</v>
      </c>
      <c r="K457" s="11" t="s">
        <v>1941</v>
      </c>
      <c r="L457" s="11" t="s">
        <v>1986</v>
      </c>
      <c r="M457" s="11" t="str">
        <f aca="false">L457&amp;" - "&amp;N457</f>
        <v>غطاء مركز الجنط - أمامي يسار</v>
      </c>
      <c r="N457" s="11" t="s">
        <v>1349</v>
      </c>
      <c r="O457" s="11" t="s">
        <v>1970</v>
      </c>
      <c r="P457" s="10" t="n">
        <f aca="false">G457</f>
        <v>10</v>
      </c>
      <c r="Q457" s="10" t="n">
        <f aca="false">H457</f>
        <v>8</v>
      </c>
      <c r="R457" s="10" t="n">
        <f aca="false">I457</f>
        <v>6</v>
      </c>
      <c r="S457" s="10" t="n">
        <f aca="false">J457</f>
        <v>0.1</v>
      </c>
      <c r="T457" s="12" t="s">
        <v>1943</v>
      </c>
      <c r="U457" s="12" t="s">
        <v>1987</v>
      </c>
      <c r="V457" s="9" t="str">
        <f aca="false">U457&amp;" - "&amp;W457</f>
        <v>轮毂中心盖 - 前左</v>
      </c>
      <c r="W457" s="12" t="s">
        <v>1352</v>
      </c>
      <c r="X457" s="12" t="s">
        <v>1943</v>
      </c>
      <c r="Y457" s="10" t="n">
        <f aca="false">G457</f>
        <v>10</v>
      </c>
      <c r="Z457" s="10" t="n">
        <f aca="false">H457</f>
        <v>8</v>
      </c>
      <c r="AA457" s="10" t="n">
        <f aca="false">I457</f>
        <v>6</v>
      </c>
      <c r="AB457" s="10" t="n">
        <f aca="false">J457</f>
        <v>0.1</v>
      </c>
      <c r="AC457" s="9" t="s">
        <v>1945</v>
      </c>
      <c r="AD457" s="9" t="s">
        <v>1988</v>
      </c>
      <c r="AE457" s="9" t="str">
        <f aca="false">IF($AK457=0,"",INDEX('Part types'!$T:$T,$AK457)&amp;"")</f>
        <v>All vehicles</v>
      </c>
      <c r="AF457" s="9" t="str">
        <f aca="false">IF($AK457=0,"",INDEX('Part types'!$U:$U,$AK457)&amp;"")</f>
        <v/>
      </c>
      <c r="AG457" s="9" t="str">
        <f aca="false">IF($AK457=0,"",INDEX('Part types'!$V:$V,$AK457)&amp;"")</f>
        <v>Estimate: size class XS</v>
      </c>
      <c r="AH457" s="9" t="str">
        <f aca="false">IF($AK457=0,"",INDEX('Part types'!$W:$W,$AK457)&amp;"")</f>
        <v/>
      </c>
      <c r="AI457" s="11" t="str">
        <f aca="false">IF($AK457=0,"",INDEX('Part types'!$X:$X,$AK457)&amp;"")</f>
        <v/>
      </c>
      <c r="AJ457" s="9" t="str">
        <f aca="false">IF($AK457=0,"",INDEX('Part types'!$Y:$Y,$AK457)&amp;"")</f>
        <v/>
      </c>
      <c r="AK457" s="9" t="n">
        <f aca="false">IFERROR(MATCH($AD457,'Part types'!$E:$E,0),0)</f>
        <v>321</v>
      </c>
    </row>
    <row r="458" customFormat="false" ht="15" hidden="false" customHeight="false" outlineLevel="0" collapsed="false">
      <c r="A458" s="9" t="s">
        <v>1989</v>
      </c>
      <c r="B458" s="9" t="s">
        <v>1939</v>
      </c>
      <c r="C458" s="9" t="s">
        <v>1985</v>
      </c>
      <c r="D458" s="9" t="str">
        <f aca="false">C458&amp;" - "&amp;E458</f>
        <v>Wheel Center Cap - Front-Right</v>
      </c>
      <c r="E458" s="9" t="s">
        <v>1356</v>
      </c>
      <c r="F458" s="9" t="s">
        <v>1968</v>
      </c>
      <c r="G458" s="10" t="n">
        <f aca="false">IF($AK458=0,"",INDEX('Part types'!$P:$P,$AK458))</f>
        <v>10</v>
      </c>
      <c r="H458" s="10" t="n">
        <f aca="false">IF($AK458=0,"",INDEX('Part types'!$Q:$Q,$AK458))</f>
        <v>8</v>
      </c>
      <c r="I458" s="10" t="n">
        <f aca="false">IF($AK458=0,"",INDEX('Part types'!$R:$R,$AK458))</f>
        <v>6</v>
      </c>
      <c r="J458" s="10" t="n">
        <f aca="false">IF($AK458=0,"",INDEX('Part types'!$S:$S,$AK458))</f>
        <v>0.1</v>
      </c>
      <c r="K458" s="11" t="s">
        <v>1941</v>
      </c>
      <c r="L458" s="11" t="s">
        <v>1986</v>
      </c>
      <c r="M458" s="11" t="str">
        <f aca="false">L458&amp;" - "&amp;N458</f>
        <v>غطاء مركز الجنط - أمامي يمين</v>
      </c>
      <c r="N458" s="11" t="s">
        <v>1357</v>
      </c>
      <c r="O458" s="11" t="s">
        <v>1970</v>
      </c>
      <c r="P458" s="10" t="n">
        <f aca="false">G458</f>
        <v>10</v>
      </c>
      <c r="Q458" s="10" t="n">
        <f aca="false">H458</f>
        <v>8</v>
      </c>
      <c r="R458" s="10" t="n">
        <f aca="false">I458</f>
        <v>6</v>
      </c>
      <c r="S458" s="10" t="n">
        <f aca="false">J458</f>
        <v>0.1</v>
      </c>
      <c r="T458" s="12" t="s">
        <v>1943</v>
      </c>
      <c r="U458" s="12" t="s">
        <v>1987</v>
      </c>
      <c r="V458" s="9" t="str">
        <f aca="false">U458&amp;" - "&amp;W458</f>
        <v>轮毂中心盖 - 前右</v>
      </c>
      <c r="W458" s="12" t="s">
        <v>1358</v>
      </c>
      <c r="X458" s="12" t="s">
        <v>1943</v>
      </c>
      <c r="Y458" s="10" t="n">
        <f aca="false">G458</f>
        <v>10</v>
      </c>
      <c r="Z458" s="10" t="n">
        <f aca="false">H458</f>
        <v>8</v>
      </c>
      <c r="AA458" s="10" t="n">
        <f aca="false">I458</f>
        <v>6</v>
      </c>
      <c r="AB458" s="10" t="n">
        <f aca="false">J458</f>
        <v>0.1</v>
      </c>
      <c r="AC458" s="9" t="s">
        <v>1945</v>
      </c>
      <c r="AD458" s="9" t="s">
        <v>1988</v>
      </c>
      <c r="AE458" s="9" t="str">
        <f aca="false">IF($AK458=0,"",INDEX('Part types'!$T:$T,$AK458)&amp;"")</f>
        <v>All vehicles</v>
      </c>
      <c r="AF458" s="9" t="str">
        <f aca="false">IF($AK458=0,"",INDEX('Part types'!$U:$U,$AK458)&amp;"")</f>
        <v/>
      </c>
      <c r="AG458" s="9" t="str">
        <f aca="false">IF($AK458=0,"",INDEX('Part types'!$V:$V,$AK458)&amp;"")</f>
        <v>Estimate: size class XS</v>
      </c>
      <c r="AH458" s="9" t="str">
        <f aca="false">IF($AK458=0,"",INDEX('Part types'!$W:$W,$AK458)&amp;"")</f>
        <v/>
      </c>
      <c r="AI458" s="11" t="str">
        <f aca="false">IF($AK458=0,"",INDEX('Part types'!$X:$X,$AK458)&amp;"")</f>
        <v/>
      </c>
      <c r="AJ458" s="9" t="str">
        <f aca="false">IF($AK458=0,"",INDEX('Part types'!$Y:$Y,$AK458)&amp;"")</f>
        <v/>
      </c>
      <c r="AK458" s="9" t="n">
        <f aca="false">IFERROR(MATCH($AD458,'Part types'!$E:$E,0),0)</f>
        <v>321</v>
      </c>
    </row>
    <row r="459" customFormat="false" ht="15" hidden="false" customHeight="false" outlineLevel="0" collapsed="false">
      <c r="A459" s="9" t="s">
        <v>1990</v>
      </c>
      <c r="B459" s="9" t="s">
        <v>1939</v>
      </c>
      <c r="C459" s="9" t="s">
        <v>1985</v>
      </c>
      <c r="D459" s="9" t="str">
        <f aca="false">C459&amp;" - "&amp;E459</f>
        <v>Wheel Center Cap - Rear-Left</v>
      </c>
      <c r="E459" s="9" t="s">
        <v>1360</v>
      </c>
      <c r="F459" s="9" t="s">
        <v>1968</v>
      </c>
      <c r="G459" s="10" t="n">
        <f aca="false">IF($AK459=0,"",INDEX('Part types'!$P:$P,$AK459))</f>
        <v>10</v>
      </c>
      <c r="H459" s="10" t="n">
        <f aca="false">IF($AK459=0,"",INDEX('Part types'!$Q:$Q,$AK459))</f>
        <v>8</v>
      </c>
      <c r="I459" s="10" t="n">
        <f aca="false">IF($AK459=0,"",INDEX('Part types'!$R:$R,$AK459))</f>
        <v>6</v>
      </c>
      <c r="J459" s="10" t="n">
        <f aca="false">IF($AK459=0,"",INDEX('Part types'!$S:$S,$AK459))</f>
        <v>0.1</v>
      </c>
      <c r="K459" s="11" t="s">
        <v>1941</v>
      </c>
      <c r="L459" s="11" t="s">
        <v>1986</v>
      </c>
      <c r="M459" s="11" t="str">
        <f aca="false">L459&amp;" - "&amp;N459</f>
        <v>غطاء مركز الجنط - خلفي يسار</v>
      </c>
      <c r="N459" s="11" t="s">
        <v>1361</v>
      </c>
      <c r="O459" s="11" t="s">
        <v>1970</v>
      </c>
      <c r="P459" s="10" t="n">
        <f aca="false">G459</f>
        <v>10</v>
      </c>
      <c r="Q459" s="10" t="n">
        <f aca="false">H459</f>
        <v>8</v>
      </c>
      <c r="R459" s="10" t="n">
        <f aca="false">I459</f>
        <v>6</v>
      </c>
      <c r="S459" s="10" t="n">
        <f aca="false">J459</f>
        <v>0.1</v>
      </c>
      <c r="T459" s="12" t="s">
        <v>1943</v>
      </c>
      <c r="U459" s="12" t="s">
        <v>1987</v>
      </c>
      <c r="V459" s="9" t="str">
        <f aca="false">U459&amp;" - "&amp;W459</f>
        <v>轮毂中心盖 - 后左</v>
      </c>
      <c r="W459" s="12" t="s">
        <v>1362</v>
      </c>
      <c r="X459" s="12" t="s">
        <v>1943</v>
      </c>
      <c r="Y459" s="10" t="n">
        <f aca="false">G459</f>
        <v>10</v>
      </c>
      <c r="Z459" s="10" t="n">
        <f aca="false">H459</f>
        <v>8</v>
      </c>
      <c r="AA459" s="10" t="n">
        <f aca="false">I459</f>
        <v>6</v>
      </c>
      <c r="AB459" s="10" t="n">
        <f aca="false">J459</f>
        <v>0.1</v>
      </c>
      <c r="AC459" s="9" t="s">
        <v>1945</v>
      </c>
      <c r="AD459" s="9" t="s">
        <v>1988</v>
      </c>
      <c r="AE459" s="9" t="str">
        <f aca="false">IF($AK459=0,"",INDEX('Part types'!$T:$T,$AK459)&amp;"")</f>
        <v>All vehicles</v>
      </c>
      <c r="AF459" s="9" t="str">
        <f aca="false">IF($AK459=0,"",INDEX('Part types'!$U:$U,$AK459)&amp;"")</f>
        <v/>
      </c>
      <c r="AG459" s="9" t="str">
        <f aca="false">IF($AK459=0,"",INDEX('Part types'!$V:$V,$AK459)&amp;"")</f>
        <v>Estimate: size class XS</v>
      </c>
      <c r="AH459" s="9" t="str">
        <f aca="false">IF($AK459=0,"",INDEX('Part types'!$W:$W,$AK459)&amp;"")</f>
        <v/>
      </c>
      <c r="AI459" s="11" t="str">
        <f aca="false">IF($AK459=0,"",INDEX('Part types'!$X:$X,$AK459)&amp;"")</f>
        <v/>
      </c>
      <c r="AJ459" s="9" t="str">
        <f aca="false">IF($AK459=0,"",INDEX('Part types'!$Y:$Y,$AK459)&amp;"")</f>
        <v/>
      </c>
      <c r="AK459" s="9" t="n">
        <f aca="false">IFERROR(MATCH($AD459,'Part types'!$E:$E,0),0)</f>
        <v>321</v>
      </c>
    </row>
    <row r="460" customFormat="false" ht="15" hidden="false" customHeight="false" outlineLevel="0" collapsed="false">
      <c r="A460" s="9" t="s">
        <v>1991</v>
      </c>
      <c r="B460" s="9" t="s">
        <v>1939</v>
      </c>
      <c r="C460" s="9" t="s">
        <v>1985</v>
      </c>
      <c r="D460" s="9" t="str">
        <f aca="false">C460&amp;" - "&amp;E460</f>
        <v>Wheel Center Cap - Rear-Right</v>
      </c>
      <c r="E460" s="9" t="s">
        <v>1364</v>
      </c>
      <c r="F460" s="9" t="s">
        <v>1968</v>
      </c>
      <c r="G460" s="10" t="n">
        <f aca="false">IF($AK460=0,"",INDEX('Part types'!$P:$P,$AK460))</f>
        <v>10</v>
      </c>
      <c r="H460" s="10" t="n">
        <f aca="false">IF($AK460=0,"",INDEX('Part types'!$Q:$Q,$AK460))</f>
        <v>8</v>
      </c>
      <c r="I460" s="10" t="n">
        <f aca="false">IF($AK460=0,"",INDEX('Part types'!$R:$R,$AK460))</f>
        <v>6</v>
      </c>
      <c r="J460" s="10" t="n">
        <f aca="false">IF($AK460=0,"",INDEX('Part types'!$S:$S,$AK460))</f>
        <v>0.1</v>
      </c>
      <c r="K460" s="11" t="s">
        <v>1941</v>
      </c>
      <c r="L460" s="11" t="s">
        <v>1986</v>
      </c>
      <c r="M460" s="11" t="str">
        <f aca="false">L460&amp;" - "&amp;N460</f>
        <v>غطاء مركز الجنط - خلفي يمين</v>
      </c>
      <c r="N460" s="11" t="s">
        <v>1365</v>
      </c>
      <c r="O460" s="11" t="s">
        <v>1970</v>
      </c>
      <c r="P460" s="10" t="n">
        <f aca="false">G460</f>
        <v>10</v>
      </c>
      <c r="Q460" s="10" t="n">
        <f aca="false">H460</f>
        <v>8</v>
      </c>
      <c r="R460" s="10" t="n">
        <f aca="false">I460</f>
        <v>6</v>
      </c>
      <c r="S460" s="10" t="n">
        <f aca="false">J460</f>
        <v>0.1</v>
      </c>
      <c r="T460" s="12" t="s">
        <v>1943</v>
      </c>
      <c r="U460" s="12" t="s">
        <v>1987</v>
      </c>
      <c r="V460" s="9" t="str">
        <f aca="false">U460&amp;" - "&amp;W460</f>
        <v>轮毂中心盖 - 后右</v>
      </c>
      <c r="W460" s="12" t="s">
        <v>1366</v>
      </c>
      <c r="X460" s="12" t="s">
        <v>1943</v>
      </c>
      <c r="Y460" s="10" t="n">
        <f aca="false">G460</f>
        <v>10</v>
      </c>
      <c r="Z460" s="10" t="n">
        <f aca="false">H460</f>
        <v>8</v>
      </c>
      <c r="AA460" s="10" t="n">
        <f aca="false">I460</f>
        <v>6</v>
      </c>
      <c r="AB460" s="10" t="n">
        <f aca="false">J460</f>
        <v>0.1</v>
      </c>
      <c r="AC460" s="9" t="s">
        <v>1945</v>
      </c>
      <c r="AD460" s="9" t="s">
        <v>1988</v>
      </c>
      <c r="AE460" s="9" t="str">
        <f aca="false">IF($AK460=0,"",INDEX('Part types'!$T:$T,$AK460)&amp;"")</f>
        <v>All vehicles</v>
      </c>
      <c r="AF460" s="9" t="str">
        <f aca="false">IF($AK460=0,"",INDEX('Part types'!$U:$U,$AK460)&amp;"")</f>
        <v/>
      </c>
      <c r="AG460" s="9" t="str">
        <f aca="false">IF($AK460=0,"",INDEX('Part types'!$V:$V,$AK460)&amp;"")</f>
        <v>Estimate: size class XS</v>
      </c>
      <c r="AH460" s="9" t="str">
        <f aca="false">IF($AK460=0,"",INDEX('Part types'!$W:$W,$AK460)&amp;"")</f>
        <v/>
      </c>
      <c r="AI460" s="11" t="str">
        <f aca="false">IF($AK460=0,"",INDEX('Part types'!$X:$X,$AK460)&amp;"")</f>
        <v/>
      </c>
      <c r="AJ460" s="9" t="str">
        <f aca="false">IF($AK460=0,"",INDEX('Part types'!$Y:$Y,$AK460)&amp;"")</f>
        <v/>
      </c>
      <c r="AK460" s="9" t="n">
        <f aca="false">IFERROR(MATCH($AD460,'Part types'!$E:$E,0),0)</f>
        <v>321</v>
      </c>
    </row>
    <row r="461" customFormat="false" ht="15" hidden="false" customHeight="false" outlineLevel="0" collapsed="false">
      <c r="A461" s="9" t="s">
        <v>1992</v>
      </c>
      <c r="B461" s="9" t="s">
        <v>1939</v>
      </c>
      <c r="C461" s="9" t="s">
        <v>1993</v>
      </c>
      <c r="D461" s="9" t="str">
        <f aca="false">C461&amp;" - "&amp;E461</f>
        <v>Wheel Cover - Front-Left</v>
      </c>
      <c r="E461" s="9" t="s">
        <v>1346</v>
      </c>
      <c r="F461" s="9" t="s">
        <v>1968</v>
      </c>
      <c r="G461" s="10" t="n">
        <f aca="false">IF($AK461=0,"",INDEX('Part types'!$P:$P,$AK461))</f>
        <v>40</v>
      </c>
      <c r="H461" s="10" t="n">
        <f aca="false">IF($AK461=0,"",INDEX('Part types'!$Q:$Q,$AK461))</f>
        <v>40</v>
      </c>
      <c r="I461" s="10" t="n">
        <f aca="false">IF($AK461=0,"",INDEX('Part types'!$R:$R,$AK461))</f>
        <v>8</v>
      </c>
      <c r="J461" s="10" t="n">
        <f aca="false">IF($AK461=0,"",INDEX('Part types'!$S:$S,$AK461))</f>
        <v>0.6</v>
      </c>
      <c r="K461" s="11" t="s">
        <v>1941</v>
      </c>
      <c r="L461" s="11" t="s">
        <v>1994</v>
      </c>
      <c r="M461" s="11" t="str">
        <f aca="false">L461&amp;" - "&amp;N461</f>
        <v>طاسة الجنط - أمامي يسار</v>
      </c>
      <c r="N461" s="11" t="s">
        <v>1349</v>
      </c>
      <c r="O461" s="11" t="s">
        <v>1970</v>
      </c>
      <c r="P461" s="10" t="n">
        <f aca="false">G461</f>
        <v>40</v>
      </c>
      <c r="Q461" s="10" t="n">
        <f aca="false">H461</f>
        <v>40</v>
      </c>
      <c r="R461" s="10" t="n">
        <f aca="false">I461</f>
        <v>8</v>
      </c>
      <c r="S461" s="10" t="n">
        <f aca="false">J461</f>
        <v>0.6</v>
      </c>
      <c r="T461" s="12" t="s">
        <v>1943</v>
      </c>
      <c r="U461" s="12" t="s">
        <v>1995</v>
      </c>
      <c r="V461" s="9" t="str">
        <f aca="false">U461&amp;" - "&amp;W461</f>
        <v>轮毂罩 - 前左</v>
      </c>
      <c r="W461" s="12" t="s">
        <v>1352</v>
      </c>
      <c r="X461" s="12" t="s">
        <v>1943</v>
      </c>
      <c r="Y461" s="10" t="n">
        <f aca="false">G461</f>
        <v>40</v>
      </c>
      <c r="Z461" s="10" t="n">
        <f aca="false">H461</f>
        <v>40</v>
      </c>
      <c r="AA461" s="10" t="n">
        <f aca="false">I461</f>
        <v>8</v>
      </c>
      <c r="AB461" s="10" t="n">
        <f aca="false">J461</f>
        <v>0.6</v>
      </c>
      <c r="AC461" s="9" t="s">
        <v>1945</v>
      </c>
      <c r="AD461" s="9" t="s">
        <v>1996</v>
      </c>
      <c r="AE461" s="9" t="str">
        <f aca="false">IF($AK461=0,"",INDEX('Part types'!$T:$T,$AK461)&amp;"")</f>
        <v>All vehicles</v>
      </c>
      <c r="AF461" s="9" t="str">
        <f aca="false">IF($AK461=0,"",INDEX('Part types'!$U:$U,$AK461)&amp;"")</f>
        <v/>
      </c>
      <c r="AG461" s="9" t="str">
        <f aca="false">IF($AK461=0,"",INDEX('Part types'!$V:$V,$AK461)&amp;"")</f>
        <v>Estimate: item-specific</v>
      </c>
      <c r="AH461" s="9" t="str">
        <f aca="false">IF($AK461=0,"",INDEX('Part types'!$W:$W,$AK461)&amp;"")</f>
        <v>Hub Cap</v>
      </c>
      <c r="AI461" s="11" t="str">
        <f aca="false">IF($AK461=0,"",INDEX('Part types'!$X:$X,$AK461)&amp;"")</f>
        <v/>
      </c>
      <c r="AJ461" s="9" t="str">
        <f aca="false">IF($AK461=0,"",INDEX('Part types'!$Y:$Y,$AK461)&amp;"")</f>
        <v/>
      </c>
      <c r="AK461" s="9" t="n">
        <f aca="false">IFERROR(MATCH($AD461,'Part types'!$E:$E,0),0)</f>
        <v>322</v>
      </c>
    </row>
    <row r="462" customFormat="false" ht="15" hidden="false" customHeight="false" outlineLevel="0" collapsed="false">
      <c r="A462" s="9" t="s">
        <v>1997</v>
      </c>
      <c r="B462" s="9" t="s">
        <v>1939</v>
      </c>
      <c r="C462" s="9" t="s">
        <v>1993</v>
      </c>
      <c r="D462" s="9" t="str">
        <f aca="false">C462&amp;" - "&amp;E462</f>
        <v>Wheel Cover - Front-Right</v>
      </c>
      <c r="E462" s="9" t="s">
        <v>1356</v>
      </c>
      <c r="F462" s="9" t="s">
        <v>1968</v>
      </c>
      <c r="G462" s="10" t="n">
        <f aca="false">IF($AK462=0,"",INDEX('Part types'!$P:$P,$AK462))</f>
        <v>40</v>
      </c>
      <c r="H462" s="10" t="n">
        <f aca="false">IF($AK462=0,"",INDEX('Part types'!$Q:$Q,$AK462))</f>
        <v>40</v>
      </c>
      <c r="I462" s="10" t="n">
        <f aca="false">IF($AK462=0,"",INDEX('Part types'!$R:$R,$AK462))</f>
        <v>8</v>
      </c>
      <c r="J462" s="10" t="n">
        <f aca="false">IF($AK462=0,"",INDEX('Part types'!$S:$S,$AK462))</f>
        <v>0.6</v>
      </c>
      <c r="K462" s="11" t="s">
        <v>1941</v>
      </c>
      <c r="L462" s="11" t="s">
        <v>1994</v>
      </c>
      <c r="M462" s="11" t="str">
        <f aca="false">L462&amp;" - "&amp;N462</f>
        <v>طاسة الجنط - أمامي يمين</v>
      </c>
      <c r="N462" s="11" t="s">
        <v>1357</v>
      </c>
      <c r="O462" s="11" t="s">
        <v>1970</v>
      </c>
      <c r="P462" s="10" t="n">
        <f aca="false">G462</f>
        <v>40</v>
      </c>
      <c r="Q462" s="10" t="n">
        <f aca="false">H462</f>
        <v>40</v>
      </c>
      <c r="R462" s="10" t="n">
        <f aca="false">I462</f>
        <v>8</v>
      </c>
      <c r="S462" s="10" t="n">
        <f aca="false">J462</f>
        <v>0.6</v>
      </c>
      <c r="T462" s="12" t="s">
        <v>1943</v>
      </c>
      <c r="U462" s="12" t="s">
        <v>1995</v>
      </c>
      <c r="V462" s="9" t="str">
        <f aca="false">U462&amp;" - "&amp;W462</f>
        <v>轮毂罩 - 前右</v>
      </c>
      <c r="W462" s="12" t="s">
        <v>1358</v>
      </c>
      <c r="X462" s="12" t="s">
        <v>1943</v>
      </c>
      <c r="Y462" s="10" t="n">
        <f aca="false">G462</f>
        <v>40</v>
      </c>
      <c r="Z462" s="10" t="n">
        <f aca="false">H462</f>
        <v>40</v>
      </c>
      <c r="AA462" s="10" t="n">
        <f aca="false">I462</f>
        <v>8</v>
      </c>
      <c r="AB462" s="10" t="n">
        <f aca="false">J462</f>
        <v>0.6</v>
      </c>
      <c r="AC462" s="9" t="s">
        <v>1945</v>
      </c>
      <c r="AD462" s="9" t="s">
        <v>1996</v>
      </c>
      <c r="AE462" s="9" t="str">
        <f aca="false">IF($AK462=0,"",INDEX('Part types'!$T:$T,$AK462)&amp;"")</f>
        <v>All vehicles</v>
      </c>
      <c r="AF462" s="9" t="str">
        <f aca="false">IF($AK462=0,"",INDEX('Part types'!$U:$U,$AK462)&amp;"")</f>
        <v/>
      </c>
      <c r="AG462" s="9" t="str">
        <f aca="false">IF($AK462=0,"",INDEX('Part types'!$V:$V,$AK462)&amp;"")</f>
        <v>Estimate: item-specific</v>
      </c>
      <c r="AH462" s="9" t="str">
        <f aca="false">IF($AK462=0,"",INDEX('Part types'!$W:$W,$AK462)&amp;"")</f>
        <v>Hub Cap</v>
      </c>
      <c r="AI462" s="11" t="str">
        <f aca="false">IF($AK462=0,"",INDEX('Part types'!$X:$X,$AK462)&amp;"")</f>
        <v/>
      </c>
      <c r="AJ462" s="9" t="str">
        <f aca="false">IF($AK462=0,"",INDEX('Part types'!$Y:$Y,$AK462)&amp;"")</f>
        <v/>
      </c>
      <c r="AK462" s="9" t="n">
        <f aca="false">IFERROR(MATCH($AD462,'Part types'!$E:$E,0),0)</f>
        <v>322</v>
      </c>
    </row>
    <row r="463" customFormat="false" ht="15" hidden="false" customHeight="false" outlineLevel="0" collapsed="false">
      <c r="A463" s="9" t="s">
        <v>1998</v>
      </c>
      <c r="B463" s="9" t="s">
        <v>1939</v>
      </c>
      <c r="C463" s="9" t="s">
        <v>1993</v>
      </c>
      <c r="D463" s="9" t="str">
        <f aca="false">C463&amp;" - "&amp;E463</f>
        <v>Wheel Cover - Rear-Left</v>
      </c>
      <c r="E463" s="9" t="s">
        <v>1360</v>
      </c>
      <c r="F463" s="9" t="s">
        <v>1968</v>
      </c>
      <c r="G463" s="10" t="n">
        <f aca="false">IF($AK463=0,"",INDEX('Part types'!$P:$P,$AK463))</f>
        <v>40</v>
      </c>
      <c r="H463" s="10" t="n">
        <f aca="false">IF($AK463=0,"",INDEX('Part types'!$Q:$Q,$AK463))</f>
        <v>40</v>
      </c>
      <c r="I463" s="10" t="n">
        <f aca="false">IF($AK463=0,"",INDEX('Part types'!$R:$R,$AK463))</f>
        <v>8</v>
      </c>
      <c r="J463" s="10" t="n">
        <f aca="false">IF($AK463=0,"",INDEX('Part types'!$S:$S,$AK463))</f>
        <v>0.6</v>
      </c>
      <c r="K463" s="11" t="s">
        <v>1941</v>
      </c>
      <c r="L463" s="11" t="s">
        <v>1994</v>
      </c>
      <c r="M463" s="11" t="str">
        <f aca="false">L463&amp;" - "&amp;N463</f>
        <v>طاسة الجنط - خلفي يسار</v>
      </c>
      <c r="N463" s="11" t="s">
        <v>1361</v>
      </c>
      <c r="O463" s="11" t="s">
        <v>1970</v>
      </c>
      <c r="P463" s="10" t="n">
        <f aca="false">G463</f>
        <v>40</v>
      </c>
      <c r="Q463" s="10" t="n">
        <f aca="false">H463</f>
        <v>40</v>
      </c>
      <c r="R463" s="10" t="n">
        <f aca="false">I463</f>
        <v>8</v>
      </c>
      <c r="S463" s="10" t="n">
        <f aca="false">J463</f>
        <v>0.6</v>
      </c>
      <c r="T463" s="12" t="s">
        <v>1943</v>
      </c>
      <c r="U463" s="12" t="s">
        <v>1995</v>
      </c>
      <c r="V463" s="9" t="str">
        <f aca="false">U463&amp;" - "&amp;W463</f>
        <v>轮毂罩 - 后左</v>
      </c>
      <c r="W463" s="12" t="s">
        <v>1362</v>
      </c>
      <c r="X463" s="12" t="s">
        <v>1943</v>
      </c>
      <c r="Y463" s="10" t="n">
        <f aca="false">G463</f>
        <v>40</v>
      </c>
      <c r="Z463" s="10" t="n">
        <f aca="false">H463</f>
        <v>40</v>
      </c>
      <c r="AA463" s="10" t="n">
        <f aca="false">I463</f>
        <v>8</v>
      </c>
      <c r="AB463" s="10" t="n">
        <f aca="false">J463</f>
        <v>0.6</v>
      </c>
      <c r="AC463" s="9" t="s">
        <v>1945</v>
      </c>
      <c r="AD463" s="9" t="s">
        <v>1996</v>
      </c>
      <c r="AE463" s="9" t="str">
        <f aca="false">IF($AK463=0,"",INDEX('Part types'!$T:$T,$AK463)&amp;"")</f>
        <v>All vehicles</v>
      </c>
      <c r="AF463" s="9" t="str">
        <f aca="false">IF($AK463=0,"",INDEX('Part types'!$U:$U,$AK463)&amp;"")</f>
        <v/>
      </c>
      <c r="AG463" s="9" t="str">
        <f aca="false">IF($AK463=0,"",INDEX('Part types'!$V:$V,$AK463)&amp;"")</f>
        <v>Estimate: item-specific</v>
      </c>
      <c r="AH463" s="9" t="str">
        <f aca="false">IF($AK463=0,"",INDEX('Part types'!$W:$W,$AK463)&amp;"")</f>
        <v>Hub Cap</v>
      </c>
      <c r="AI463" s="11" t="str">
        <f aca="false">IF($AK463=0,"",INDEX('Part types'!$X:$X,$AK463)&amp;"")</f>
        <v/>
      </c>
      <c r="AJ463" s="9" t="str">
        <f aca="false">IF($AK463=0,"",INDEX('Part types'!$Y:$Y,$AK463)&amp;"")</f>
        <v/>
      </c>
      <c r="AK463" s="9" t="n">
        <f aca="false">IFERROR(MATCH($AD463,'Part types'!$E:$E,0),0)</f>
        <v>322</v>
      </c>
    </row>
    <row r="464" customFormat="false" ht="15" hidden="false" customHeight="false" outlineLevel="0" collapsed="false">
      <c r="A464" s="9" t="s">
        <v>1999</v>
      </c>
      <c r="B464" s="9" t="s">
        <v>1939</v>
      </c>
      <c r="C464" s="9" t="s">
        <v>1993</v>
      </c>
      <c r="D464" s="9" t="str">
        <f aca="false">C464&amp;" - "&amp;E464</f>
        <v>Wheel Cover - Rear-Right</v>
      </c>
      <c r="E464" s="9" t="s">
        <v>1364</v>
      </c>
      <c r="F464" s="9" t="s">
        <v>1968</v>
      </c>
      <c r="G464" s="10" t="n">
        <f aca="false">IF($AK464=0,"",INDEX('Part types'!$P:$P,$AK464))</f>
        <v>40</v>
      </c>
      <c r="H464" s="10" t="n">
        <f aca="false">IF($AK464=0,"",INDEX('Part types'!$Q:$Q,$AK464))</f>
        <v>40</v>
      </c>
      <c r="I464" s="10" t="n">
        <f aca="false">IF($AK464=0,"",INDEX('Part types'!$R:$R,$AK464))</f>
        <v>8</v>
      </c>
      <c r="J464" s="10" t="n">
        <f aca="false">IF($AK464=0,"",INDEX('Part types'!$S:$S,$AK464))</f>
        <v>0.6</v>
      </c>
      <c r="K464" s="11" t="s">
        <v>1941</v>
      </c>
      <c r="L464" s="11" t="s">
        <v>1994</v>
      </c>
      <c r="M464" s="11" t="str">
        <f aca="false">L464&amp;" - "&amp;N464</f>
        <v>طاسة الجنط - خلفي يمين</v>
      </c>
      <c r="N464" s="11" t="s">
        <v>1365</v>
      </c>
      <c r="O464" s="11" t="s">
        <v>1970</v>
      </c>
      <c r="P464" s="10" t="n">
        <f aca="false">G464</f>
        <v>40</v>
      </c>
      <c r="Q464" s="10" t="n">
        <f aca="false">H464</f>
        <v>40</v>
      </c>
      <c r="R464" s="10" t="n">
        <f aca="false">I464</f>
        <v>8</v>
      </c>
      <c r="S464" s="10" t="n">
        <f aca="false">J464</f>
        <v>0.6</v>
      </c>
      <c r="T464" s="12" t="s">
        <v>1943</v>
      </c>
      <c r="U464" s="12" t="s">
        <v>1995</v>
      </c>
      <c r="V464" s="9" t="str">
        <f aca="false">U464&amp;" - "&amp;W464</f>
        <v>轮毂罩 - 后右</v>
      </c>
      <c r="W464" s="12" t="s">
        <v>1366</v>
      </c>
      <c r="X464" s="12" t="s">
        <v>1943</v>
      </c>
      <c r="Y464" s="10" t="n">
        <f aca="false">G464</f>
        <v>40</v>
      </c>
      <c r="Z464" s="10" t="n">
        <f aca="false">H464</f>
        <v>40</v>
      </c>
      <c r="AA464" s="10" t="n">
        <f aca="false">I464</f>
        <v>8</v>
      </c>
      <c r="AB464" s="10" t="n">
        <f aca="false">J464</f>
        <v>0.6</v>
      </c>
      <c r="AC464" s="9" t="s">
        <v>1945</v>
      </c>
      <c r="AD464" s="9" t="s">
        <v>1996</v>
      </c>
      <c r="AE464" s="9" t="str">
        <f aca="false">IF($AK464=0,"",INDEX('Part types'!$T:$T,$AK464)&amp;"")</f>
        <v>All vehicles</v>
      </c>
      <c r="AF464" s="9" t="str">
        <f aca="false">IF($AK464=0,"",INDEX('Part types'!$U:$U,$AK464)&amp;"")</f>
        <v/>
      </c>
      <c r="AG464" s="9" t="str">
        <f aca="false">IF($AK464=0,"",INDEX('Part types'!$V:$V,$AK464)&amp;"")</f>
        <v>Estimate: item-specific</v>
      </c>
      <c r="AH464" s="9" t="str">
        <f aca="false">IF($AK464=0,"",INDEX('Part types'!$W:$W,$AK464)&amp;"")</f>
        <v>Hub Cap</v>
      </c>
      <c r="AI464" s="11" t="str">
        <f aca="false">IF($AK464=0,"",INDEX('Part types'!$X:$X,$AK464)&amp;"")</f>
        <v/>
      </c>
      <c r="AJ464" s="9" t="str">
        <f aca="false">IF($AK464=0,"",INDEX('Part types'!$Y:$Y,$AK464)&amp;"")</f>
        <v/>
      </c>
      <c r="AK464" s="9" t="n">
        <f aca="false">IFERROR(MATCH($AD464,'Part types'!$E:$E,0),0)</f>
        <v>322</v>
      </c>
    </row>
    <row r="465" customFormat="false" ht="15" hidden="false" customHeight="false" outlineLevel="0" collapsed="false">
      <c r="A465" s="9" t="s">
        <v>2000</v>
      </c>
      <c r="B465" s="9" t="s">
        <v>1939</v>
      </c>
      <c r="C465" s="9" t="s">
        <v>2001</v>
      </c>
      <c r="D465" s="9" t="str">
        <f aca="false">C465&amp;" - "&amp;E465</f>
        <v>Wheel Lug Nut - Front-Left</v>
      </c>
      <c r="E465" s="9" t="s">
        <v>1346</v>
      </c>
      <c r="F465" s="9" t="s">
        <v>1968</v>
      </c>
      <c r="G465" s="10" t="n">
        <f aca="false">IF($AK465=0,"",INDEX('Part types'!$P:$P,$AK465))</f>
        <v>6</v>
      </c>
      <c r="H465" s="10" t="n">
        <f aca="false">IF($AK465=0,"",INDEX('Part types'!$Q:$Q,$AK465))</f>
        <v>4</v>
      </c>
      <c r="I465" s="10" t="n">
        <f aca="false">IF($AK465=0,"",INDEX('Part types'!$R:$R,$AK465))</f>
        <v>3</v>
      </c>
      <c r="J465" s="10" t="n">
        <f aca="false">IF($AK465=0,"",INDEX('Part types'!$S:$S,$AK465))</f>
        <v>0.02</v>
      </c>
      <c r="K465" s="11" t="s">
        <v>1941</v>
      </c>
      <c r="L465" s="11" t="s">
        <v>2002</v>
      </c>
      <c r="M465" s="11" t="str">
        <f aca="false">L465&amp;" - "&amp;N465</f>
        <v>صامولة العجلة - أمامي يسار</v>
      </c>
      <c r="N465" s="11" t="s">
        <v>1349</v>
      </c>
      <c r="O465" s="11" t="s">
        <v>1970</v>
      </c>
      <c r="P465" s="10" t="n">
        <f aca="false">G465</f>
        <v>6</v>
      </c>
      <c r="Q465" s="10" t="n">
        <f aca="false">H465</f>
        <v>4</v>
      </c>
      <c r="R465" s="10" t="n">
        <f aca="false">I465</f>
        <v>3</v>
      </c>
      <c r="S465" s="10" t="n">
        <f aca="false">J465</f>
        <v>0.02</v>
      </c>
      <c r="T465" s="12" t="s">
        <v>1943</v>
      </c>
      <c r="U465" s="12" t="s">
        <v>2003</v>
      </c>
      <c r="V465" s="9" t="str">
        <f aca="false">U465&amp;" - "&amp;W465</f>
        <v>轮毂螺母 - 前左</v>
      </c>
      <c r="W465" s="12" t="s">
        <v>1352</v>
      </c>
      <c r="X465" s="12" t="s">
        <v>1943</v>
      </c>
      <c r="Y465" s="10" t="n">
        <f aca="false">G465</f>
        <v>6</v>
      </c>
      <c r="Z465" s="10" t="n">
        <f aca="false">H465</f>
        <v>4</v>
      </c>
      <c r="AA465" s="10" t="n">
        <f aca="false">I465</f>
        <v>3</v>
      </c>
      <c r="AB465" s="10" t="n">
        <f aca="false">J465</f>
        <v>0.02</v>
      </c>
      <c r="AC465" s="9" t="s">
        <v>1945</v>
      </c>
      <c r="AD465" s="9" t="s">
        <v>2004</v>
      </c>
      <c r="AE465" s="9" t="str">
        <f aca="false">IF($AK465=0,"",INDEX('Part types'!$T:$T,$AK465)&amp;"")</f>
        <v>All vehicles</v>
      </c>
      <c r="AF465" s="9" t="str">
        <f aca="false">IF($AK465=0,"",INDEX('Part types'!$U:$U,$AK465)&amp;"")</f>
        <v/>
      </c>
      <c r="AG465" s="9" t="str">
        <f aca="false">IF($AK465=0,"",INDEX('Part types'!$V:$V,$AK465)&amp;"")</f>
        <v>Estimate: size class T</v>
      </c>
      <c r="AH465" s="9" t="str">
        <f aca="false">IF($AK465=0,"",INDEX('Part types'!$W:$W,$AK465)&amp;"")</f>
        <v/>
      </c>
      <c r="AI465" s="11" t="str">
        <f aca="false">IF($AK465=0,"",INDEX('Part types'!$X:$X,$AK465)&amp;"")</f>
        <v/>
      </c>
      <c r="AJ465" s="9" t="str">
        <f aca="false">IF($AK465=0,"",INDEX('Part types'!$Y:$Y,$AK465)&amp;"")</f>
        <v/>
      </c>
      <c r="AK465" s="9" t="n">
        <f aca="false">IFERROR(MATCH($AD465,'Part types'!$E:$E,0),0)</f>
        <v>323</v>
      </c>
    </row>
    <row r="466" customFormat="false" ht="15" hidden="false" customHeight="false" outlineLevel="0" collapsed="false">
      <c r="A466" s="9" t="s">
        <v>2005</v>
      </c>
      <c r="B466" s="9" t="s">
        <v>1939</v>
      </c>
      <c r="C466" s="9" t="s">
        <v>2001</v>
      </c>
      <c r="D466" s="9" t="str">
        <f aca="false">C466&amp;" - "&amp;E466</f>
        <v>Wheel Lug Nut - Front-Right</v>
      </c>
      <c r="E466" s="9" t="s">
        <v>1356</v>
      </c>
      <c r="F466" s="9" t="s">
        <v>1968</v>
      </c>
      <c r="G466" s="10" t="n">
        <f aca="false">IF($AK466=0,"",INDEX('Part types'!$P:$P,$AK466))</f>
        <v>6</v>
      </c>
      <c r="H466" s="10" t="n">
        <f aca="false">IF($AK466=0,"",INDEX('Part types'!$Q:$Q,$AK466))</f>
        <v>4</v>
      </c>
      <c r="I466" s="10" t="n">
        <f aca="false">IF($AK466=0,"",INDEX('Part types'!$R:$R,$AK466))</f>
        <v>3</v>
      </c>
      <c r="J466" s="10" t="n">
        <f aca="false">IF($AK466=0,"",INDEX('Part types'!$S:$S,$AK466))</f>
        <v>0.02</v>
      </c>
      <c r="K466" s="11" t="s">
        <v>1941</v>
      </c>
      <c r="L466" s="11" t="s">
        <v>2002</v>
      </c>
      <c r="M466" s="11" t="str">
        <f aca="false">L466&amp;" - "&amp;N466</f>
        <v>صامولة العجلة - أمامي يمين</v>
      </c>
      <c r="N466" s="11" t="s">
        <v>1357</v>
      </c>
      <c r="O466" s="11" t="s">
        <v>1970</v>
      </c>
      <c r="P466" s="10" t="n">
        <f aca="false">G466</f>
        <v>6</v>
      </c>
      <c r="Q466" s="10" t="n">
        <f aca="false">H466</f>
        <v>4</v>
      </c>
      <c r="R466" s="10" t="n">
        <f aca="false">I466</f>
        <v>3</v>
      </c>
      <c r="S466" s="10" t="n">
        <f aca="false">J466</f>
        <v>0.02</v>
      </c>
      <c r="T466" s="12" t="s">
        <v>1943</v>
      </c>
      <c r="U466" s="12" t="s">
        <v>2003</v>
      </c>
      <c r="V466" s="9" t="str">
        <f aca="false">U466&amp;" - "&amp;W466</f>
        <v>轮毂螺母 - 前右</v>
      </c>
      <c r="W466" s="12" t="s">
        <v>1358</v>
      </c>
      <c r="X466" s="12" t="s">
        <v>1943</v>
      </c>
      <c r="Y466" s="10" t="n">
        <f aca="false">G466</f>
        <v>6</v>
      </c>
      <c r="Z466" s="10" t="n">
        <f aca="false">H466</f>
        <v>4</v>
      </c>
      <c r="AA466" s="10" t="n">
        <f aca="false">I466</f>
        <v>3</v>
      </c>
      <c r="AB466" s="10" t="n">
        <f aca="false">J466</f>
        <v>0.02</v>
      </c>
      <c r="AC466" s="9" t="s">
        <v>1945</v>
      </c>
      <c r="AD466" s="9" t="s">
        <v>2004</v>
      </c>
      <c r="AE466" s="9" t="str">
        <f aca="false">IF($AK466=0,"",INDEX('Part types'!$T:$T,$AK466)&amp;"")</f>
        <v>All vehicles</v>
      </c>
      <c r="AF466" s="9" t="str">
        <f aca="false">IF($AK466=0,"",INDEX('Part types'!$U:$U,$AK466)&amp;"")</f>
        <v/>
      </c>
      <c r="AG466" s="9" t="str">
        <f aca="false">IF($AK466=0,"",INDEX('Part types'!$V:$V,$AK466)&amp;"")</f>
        <v>Estimate: size class T</v>
      </c>
      <c r="AH466" s="9" t="str">
        <f aca="false">IF($AK466=0,"",INDEX('Part types'!$W:$W,$AK466)&amp;"")</f>
        <v/>
      </c>
      <c r="AI466" s="11" t="str">
        <f aca="false">IF($AK466=0,"",INDEX('Part types'!$X:$X,$AK466)&amp;"")</f>
        <v/>
      </c>
      <c r="AJ466" s="9" t="str">
        <f aca="false">IF($AK466=0,"",INDEX('Part types'!$Y:$Y,$AK466)&amp;"")</f>
        <v/>
      </c>
      <c r="AK466" s="9" t="n">
        <f aca="false">IFERROR(MATCH($AD466,'Part types'!$E:$E,0),0)</f>
        <v>323</v>
      </c>
    </row>
    <row r="467" customFormat="false" ht="15" hidden="false" customHeight="false" outlineLevel="0" collapsed="false">
      <c r="A467" s="9" t="s">
        <v>2006</v>
      </c>
      <c r="B467" s="9" t="s">
        <v>1939</v>
      </c>
      <c r="C467" s="9" t="s">
        <v>2001</v>
      </c>
      <c r="D467" s="9" t="str">
        <f aca="false">C467&amp;" - "&amp;E467</f>
        <v>Wheel Lug Nut - Rear-Left</v>
      </c>
      <c r="E467" s="9" t="s">
        <v>1360</v>
      </c>
      <c r="F467" s="9" t="s">
        <v>1968</v>
      </c>
      <c r="G467" s="10" t="n">
        <f aca="false">IF($AK467=0,"",INDEX('Part types'!$P:$P,$AK467))</f>
        <v>6</v>
      </c>
      <c r="H467" s="10" t="n">
        <f aca="false">IF($AK467=0,"",INDEX('Part types'!$Q:$Q,$AK467))</f>
        <v>4</v>
      </c>
      <c r="I467" s="10" t="n">
        <f aca="false">IF($AK467=0,"",INDEX('Part types'!$R:$R,$AK467))</f>
        <v>3</v>
      </c>
      <c r="J467" s="10" t="n">
        <f aca="false">IF($AK467=0,"",INDEX('Part types'!$S:$S,$AK467))</f>
        <v>0.02</v>
      </c>
      <c r="K467" s="11" t="s">
        <v>1941</v>
      </c>
      <c r="L467" s="11" t="s">
        <v>2002</v>
      </c>
      <c r="M467" s="11" t="str">
        <f aca="false">L467&amp;" - "&amp;N467</f>
        <v>صامولة العجلة - خلفي يسار</v>
      </c>
      <c r="N467" s="11" t="s">
        <v>1361</v>
      </c>
      <c r="O467" s="11" t="s">
        <v>1970</v>
      </c>
      <c r="P467" s="10" t="n">
        <f aca="false">G467</f>
        <v>6</v>
      </c>
      <c r="Q467" s="10" t="n">
        <f aca="false">H467</f>
        <v>4</v>
      </c>
      <c r="R467" s="10" t="n">
        <f aca="false">I467</f>
        <v>3</v>
      </c>
      <c r="S467" s="10" t="n">
        <f aca="false">J467</f>
        <v>0.02</v>
      </c>
      <c r="T467" s="12" t="s">
        <v>1943</v>
      </c>
      <c r="U467" s="12" t="s">
        <v>2003</v>
      </c>
      <c r="V467" s="9" t="str">
        <f aca="false">U467&amp;" - "&amp;W467</f>
        <v>轮毂螺母 - 后左</v>
      </c>
      <c r="W467" s="12" t="s">
        <v>1362</v>
      </c>
      <c r="X467" s="12" t="s">
        <v>1943</v>
      </c>
      <c r="Y467" s="10" t="n">
        <f aca="false">G467</f>
        <v>6</v>
      </c>
      <c r="Z467" s="10" t="n">
        <f aca="false">H467</f>
        <v>4</v>
      </c>
      <c r="AA467" s="10" t="n">
        <f aca="false">I467</f>
        <v>3</v>
      </c>
      <c r="AB467" s="10" t="n">
        <f aca="false">J467</f>
        <v>0.02</v>
      </c>
      <c r="AC467" s="9" t="s">
        <v>1945</v>
      </c>
      <c r="AD467" s="9" t="s">
        <v>2004</v>
      </c>
      <c r="AE467" s="9" t="str">
        <f aca="false">IF($AK467=0,"",INDEX('Part types'!$T:$T,$AK467)&amp;"")</f>
        <v>All vehicles</v>
      </c>
      <c r="AF467" s="9" t="str">
        <f aca="false">IF($AK467=0,"",INDEX('Part types'!$U:$U,$AK467)&amp;"")</f>
        <v/>
      </c>
      <c r="AG467" s="9" t="str">
        <f aca="false">IF($AK467=0,"",INDEX('Part types'!$V:$V,$AK467)&amp;"")</f>
        <v>Estimate: size class T</v>
      </c>
      <c r="AH467" s="9" t="str">
        <f aca="false">IF($AK467=0,"",INDEX('Part types'!$W:$W,$AK467)&amp;"")</f>
        <v/>
      </c>
      <c r="AI467" s="11" t="str">
        <f aca="false">IF($AK467=0,"",INDEX('Part types'!$X:$X,$AK467)&amp;"")</f>
        <v/>
      </c>
      <c r="AJ467" s="9" t="str">
        <f aca="false">IF($AK467=0,"",INDEX('Part types'!$Y:$Y,$AK467)&amp;"")</f>
        <v/>
      </c>
      <c r="AK467" s="9" t="n">
        <f aca="false">IFERROR(MATCH($AD467,'Part types'!$E:$E,0),0)</f>
        <v>323</v>
      </c>
    </row>
    <row r="468" customFormat="false" ht="15" hidden="false" customHeight="false" outlineLevel="0" collapsed="false">
      <c r="A468" s="9" t="s">
        <v>2007</v>
      </c>
      <c r="B468" s="9" t="s">
        <v>1939</v>
      </c>
      <c r="C468" s="9" t="s">
        <v>2001</v>
      </c>
      <c r="D468" s="9" t="str">
        <f aca="false">C468&amp;" - "&amp;E468</f>
        <v>Wheel Lug Nut - Rear-Right</v>
      </c>
      <c r="E468" s="9" t="s">
        <v>1364</v>
      </c>
      <c r="F468" s="9" t="s">
        <v>1968</v>
      </c>
      <c r="G468" s="10" t="n">
        <f aca="false">IF($AK468=0,"",INDEX('Part types'!$P:$P,$AK468))</f>
        <v>6</v>
      </c>
      <c r="H468" s="10" t="n">
        <f aca="false">IF($AK468=0,"",INDEX('Part types'!$Q:$Q,$AK468))</f>
        <v>4</v>
      </c>
      <c r="I468" s="10" t="n">
        <f aca="false">IF($AK468=0,"",INDEX('Part types'!$R:$R,$AK468))</f>
        <v>3</v>
      </c>
      <c r="J468" s="10" t="n">
        <f aca="false">IF($AK468=0,"",INDEX('Part types'!$S:$S,$AK468))</f>
        <v>0.02</v>
      </c>
      <c r="K468" s="11" t="s">
        <v>1941</v>
      </c>
      <c r="L468" s="11" t="s">
        <v>2002</v>
      </c>
      <c r="M468" s="11" t="str">
        <f aca="false">L468&amp;" - "&amp;N468</f>
        <v>صامولة العجلة - خلفي يمين</v>
      </c>
      <c r="N468" s="11" t="s">
        <v>1365</v>
      </c>
      <c r="O468" s="11" t="s">
        <v>1970</v>
      </c>
      <c r="P468" s="10" t="n">
        <f aca="false">G468</f>
        <v>6</v>
      </c>
      <c r="Q468" s="10" t="n">
        <f aca="false">H468</f>
        <v>4</v>
      </c>
      <c r="R468" s="10" t="n">
        <f aca="false">I468</f>
        <v>3</v>
      </c>
      <c r="S468" s="10" t="n">
        <f aca="false">J468</f>
        <v>0.02</v>
      </c>
      <c r="T468" s="12" t="s">
        <v>1943</v>
      </c>
      <c r="U468" s="12" t="s">
        <v>2003</v>
      </c>
      <c r="V468" s="9" t="str">
        <f aca="false">U468&amp;" - "&amp;W468</f>
        <v>轮毂螺母 - 后右</v>
      </c>
      <c r="W468" s="12" t="s">
        <v>1366</v>
      </c>
      <c r="X468" s="12" t="s">
        <v>1943</v>
      </c>
      <c r="Y468" s="10" t="n">
        <f aca="false">G468</f>
        <v>6</v>
      </c>
      <c r="Z468" s="10" t="n">
        <f aca="false">H468</f>
        <v>4</v>
      </c>
      <c r="AA468" s="10" t="n">
        <f aca="false">I468</f>
        <v>3</v>
      </c>
      <c r="AB468" s="10" t="n">
        <f aca="false">J468</f>
        <v>0.02</v>
      </c>
      <c r="AC468" s="9" t="s">
        <v>1945</v>
      </c>
      <c r="AD468" s="9" t="s">
        <v>2004</v>
      </c>
      <c r="AE468" s="9" t="str">
        <f aca="false">IF($AK468=0,"",INDEX('Part types'!$T:$T,$AK468)&amp;"")</f>
        <v>All vehicles</v>
      </c>
      <c r="AF468" s="9" t="str">
        <f aca="false">IF($AK468=0,"",INDEX('Part types'!$U:$U,$AK468)&amp;"")</f>
        <v/>
      </c>
      <c r="AG468" s="9" t="str">
        <f aca="false">IF($AK468=0,"",INDEX('Part types'!$V:$V,$AK468)&amp;"")</f>
        <v>Estimate: size class T</v>
      </c>
      <c r="AH468" s="9" t="str">
        <f aca="false">IF($AK468=0,"",INDEX('Part types'!$W:$W,$AK468)&amp;"")</f>
        <v/>
      </c>
      <c r="AI468" s="11" t="str">
        <f aca="false">IF($AK468=0,"",INDEX('Part types'!$X:$X,$AK468)&amp;"")</f>
        <v/>
      </c>
      <c r="AJ468" s="9" t="str">
        <f aca="false">IF($AK468=0,"",INDEX('Part types'!$Y:$Y,$AK468)&amp;"")</f>
        <v/>
      </c>
      <c r="AK468" s="9" t="n">
        <f aca="false">IFERROR(MATCH($AD468,'Part types'!$E:$E,0),0)</f>
        <v>323</v>
      </c>
    </row>
    <row r="469" customFormat="false" ht="15" hidden="false" customHeight="false" outlineLevel="0" collapsed="false">
      <c r="A469" s="9" t="s">
        <v>2008</v>
      </c>
      <c r="B469" s="9" t="s">
        <v>1939</v>
      </c>
      <c r="C469" s="9" t="s">
        <v>2009</v>
      </c>
      <c r="D469" s="9" t="str">
        <f aca="false">C469&amp;" - "&amp;E469</f>
        <v>Wheel Lug Bolt - Front-Left</v>
      </c>
      <c r="E469" s="9" t="s">
        <v>1346</v>
      </c>
      <c r="F469" s="9" t="s">
        <v>1968</v>
      </c>
      <c r="G469" s="10" t="n">
        <f aca="false">IF($AK469=0,"",INDEX('Part types'!$P:$P,$AK469))</f>
        <v>6</v>
      </c>
      <c r="H469" s="10" t="n">
        <f aca="false">IF($AK469=0,"",INDEX('Part types'!$Q:$Q,$AK469))</f>
        <v>4</v>
      </c>
      <c r="I469" s="10" t="n">
        <f aca="false">IF($AK469=0,"",INDEX('Part types'!$R:$R,$AK469))</f>
        <v>3</v>
      </c>
      <c r="J469" s="10" t="n">
        <f aca="false">IF($AK469=0,"",INDEX('Part types'!$S:$S,$AK469))</f>
        <v>0.02</v>
      </c>
      <c r="K469" s="11" t="s">
        <v>1941</v>
      </c>
      <c r="L469" s="11" t="s">
        <v>2010</v>
      </c>
      <c r="M469" s="11" t="str">
        <f aca="false">L469&amp;" - "&amp;N469</f>
        <v>مسمار العجلة - أمامي يسار</v>
      </c>
      <c r="N469" s="11" t="s">
        <v>1349</v>
      </c>
      <c r="O469" s="11" t="s">
        <v>1970</v>
      </c>
      <c r="P469" s="10" t="n">
        <f aca="false">G469</f>
        <v>6</v>
      </c>
      <c r="Q469" s="10" t="n">
        <f aca="false">H469</f>
        <v>4</v>
      </c>
      <c r="R469" s="10" t="n">
        <f aca="false">I469</f>
        <v>3</v>
      </c>
      <c r="S469" s="10" t="n">
        <f aca="false">J469</f>
        <v>0.02</v>
      </c>
      <c r="T469" s="12" t="s">
        <v>1943</v>
      </c>
      <c r="U469" s="12" t="s">
        <v>2011</v>
      </c>
      <c r="V469" s="9" t="str">
        <f aca="false">U469&amp;" - "&amp;W469</f>
        <v>轮毂螺栓 - 前左</v>
      </c>
      <c r="W469" s="12" t="s">
        <v>1352</v>
      </c>
      <c r="X469" s="12" t="s">
        <v>1943</v>
      </c>
      <c r="Y469" s="10" t="n">
        <f aca="false">G469</f>
        <v>6</v>
      </c>
      <c r="Z469" s="10" t="n">
        <f aca="false">H469</f>
        <v>4</v>
      </c>
      <c r="AA469" s="10" t="n">
        <f aca="false">I469</f>
        <v>3</v>
      </c>
      <c r="AB469" s="10" t="n">
        <f aca="false">J469</f>
        <v>0.02</v>
      </c>
      <c r="AC469" s="9" t="s">
        <v>1945</v>
      </c>
      <c r="AD469" s="9" t="s">
        <v>2012</v>
      </c>
      <c r="AE469" s="9" t="str">
        <f aca="false">IF($AK469=0,"",INDEX('Part types'!$T:$T,$AK469)&amp;"")</f>
        <v>All vehicles</v>
      </c>
      <c r="AF469" s="9" t="str">
        <f aca="false">IF($AK469=0,"",INDEX('Part types'!$U:$U,$AK469)&amp;"")</f>
        <v/>
      </c>
      <c r="AG469" s="9" t="str">
        <f aca="false">IF($AK469=0,"",INDEX('Part types'!$V:$V,$AK469)&amp;"")</f>
        <v>Estimate: size class T</v>
      </c>
      <c r="AH469" s="9" t="str">
        <f aca="false">IF($AK469=0,"",INDEX('Part types'!$W:$W,$AK469)&amp;"")</f>
        <v/>
      </c>
      <c r="AI469" s="11" t="str">
        <f aca="false">IF($AK469=0,"",INDEX('Part types'!$X:$X,$AK469)&amp;"")</f>
        <v/>
      </c>
      <c r="AJ469" s="9" t="str">
        <f aca="false">IF($AK469=0,"",INDEX('Part types'!$Y:$Y,$AK469)&amp;"")</f>
        <v/>
      </c>
      <c r="AK469" s="9" t="n">
        <f aca="false">IFERROR(MATCH($AD469,'Part types'!$E:$E,0),0)</f>
        <v>324</v>
      </c>
    </row>
    <row r="470" customFormat="false" ht="15" hidden="false" customHeight="false" outlineLevel="0" collapsed="false">
      <c r="A470" s="9" t="s">
        <v>2013</v>
      </c>
      <c r="B470" s="9" t="s">
        <v>1939</v>
      </c>
      <c r="C470" s="9" t="s">
        <v>2009</v>
      </c>
      <c r="D470" s="9" t="str">
        <f aca="false">C470&amp;" - "&amp;E470</f>
        <v>Wheel Lug Bolt - Front-Right</v>
      </c>
      <c r="E470" s="9" t="s">
        <v>1356</v>
      </c>
      <c r="F470" s="9" t="s">
        <v>1968</v>
      </c>
      <c r="G470" s="10" t="n">
        <f aca="false">IF($AK470=0,"",INDEX('Part types'!$P:$P,$AK470))</f>
        <v>6</v>
      </c>
      <c r="H470" s="10" t="n">
        <f aca="false">IF($AK470=0,"",INDEX('Part types'!$Q:$Q,$AK470))</f>
        <v>4</v>
      </c>
      <c r="I470" s="10" t="n">
        <f aca="false">IF($AK470=0,"",INDEX('Part types'!$R:$R,$AK470))</f>
        <v>3</v>
      </c>
      <c r="J470" s="10" t="n">
        <f aca="false">IF($AK470=0,"",INDEX('Part types'!$S:$S,$AK470))</f>
        <v>0.02</v>
      </c>
      <c r="K470" s="11" t="s">
        <v>1941</v>
      </c>
      <c r="L470" s="11" t="s">
        <v>2010</v>
      </c>
      <c r="M470" s="11" t="str">
        <f aca="false">L470&amp;" - "&amp;N470</f>
        <v>مسمار العجلة - أمامي يمين</v>
      </c>
      <c r="N470" s="11" t="s">
        <v>1357</v>
      </c>
      <c r="O470" s="11" t="s">
        <v>1970</v>
      </c>
      <c r="P470" s="10" t="n">
        <f aca="false">G470</f>
        <v>6</v>
      </c>
      <c r="Q470" s="10" t="n">
        <f aca="false">H470</f>
        <v>4</v>
      </c>
      <c r="R470" s="10" t="n">
        <f aca="false">I470</f>
        <v>3</v>
      </c>
      <c r="S470" s="10" t="n">
        <f aca="false">J470</f>
        <v>0.02</v>
      </c>
      <c r="T470" s="12" t="s">
        <v>1943</v>
      </c>
      <c r="U470" s="12" t="s">
        <v>2011</v>
      </c>
      <c r="V470" s="9" t="str">
        <f aca="false">U470&amp;" - "&amp;W470</f>
        <v>轮毂螺栓 - 前右</v>
      </c>
      <c r="W470" s="12" t="s">
        <v>1358</v>
      </c>
      <c r="X470" s="12" t="s">
        <v>1943</v>
      </c>
      <c r="Y470" s="10" t="n">
        <f aca="false">G470</f>
        <v>6</v>
      </c>
      <c r="Z470" s="10" t="n">
        <f aca="false">H470</f>
        <v>4</v>
      </c>
      <c r="AA470" s="10" t="n">
        <f aca="false">I470</f>
        <v>3</v>
      </c>
      <c r="AB470" s="10" t="n">
        <f aca="false">J470</f>
        <v>0.02</v>
      </c>
      <c r="AC470" s="9" t="s">
        <v>1945</v>
      </c>
      <c r="AD470" s="9" t="s">
        <v>2012</v>
      </c>
      <c r="AE470" s="9" t="str">
        <f aca="false">IF($AK470=0,"",INDEX('Part types'!$T:$T,$AK470)&amp;"")</f>
        <v>All vehicles</v>
      </c>
      <c r="AF470" s="9" t="str">
        <f aca="false">IF($AK470=0,"",INDEX('Part types'!$U:$U,$AK470)&amp;"")</f>
        <v/>
      </c>
      <c r="AG470" s="9" t="str">
        <f aca="false">IF($AK470=0,"",INDEX('Part types'!$V:$V,$AK470)&amp;"")</f>
        <v>Estimate: size class T</v>
      </c>
      <c r="AH470" s="9" t="str">
        <f aca="false">IF($AK470=0,"",INDEX('Part types'!$W:$W,$AK470)&amp;"")</f>
        <v/>
      </c>
      <c r="AI470" s="11" t="str">
        <f aca="false">IF($AK470=0,"",INDEX('Part types'!$X:$X,$AK470)&amp;"")</f>
        <v/>
      </c>
      <c r="AJ470" s="9" t="str">
        <f aca="false">IF($AK470=0,"",INDEX('Part types'!$Y:$Y,$AK470)&amp;"")</f>
        <v/>
      </c>
      <c r="AK470" s="9" t="n">
        <f aca="false">IFERROR(MATCH($AD470,'Part types'!$E:$E,0),0)</f>
        <v>324</v>
      </c>
    </row>
    <row r="471" customFormat="false" ht="15" hidden="false" customHeight="false" outlineLevel="0" collapsed="false">
      <c r="A471" s="9" t="s">
        <v>2014</v>
      </c>
      <c r="B471" s="9" t="s">
        <v>1939</v>
      </c>
      <c r="C471" s="9" t="s">
        <v>2009</v>
      </c>
      <c r="D471" s="9" t="str">
        <f aca="false">C471&amp;" - "&amp;E471</f>
        <v>Wheel Lug Bolt - Rear-Left</v>
      </c>
      <c r="E471" s="9" t="s">
        <v>1360</v>
      </c>
      <c r="F471" s="9" t="s">
        <v>1968</v>
      </c>
      <c r="G471" s="10" t="n">
        <f aca="false">IF($AK471=0,"",INDEX('Part types'!$P:$P,$AK471))</f>
        <v>6</v>
      </c>
      <c r="H471" s="10" t="n">
        <f aca="false">IF($AK471=0,"",INDEX('Part types'!$Q:$Q,$AK471))</f>
        <v>4</v>
      </c>
      <c r="I471" s="10" t="n">
        <f aca="false">IF($AK471=0,"",INDEX('Part types'!$R:$R,$AK471))</f>
        <v>3</v>
      </c>
      <c r="J471" s="10" t="n">
        <f aca="false">IF($AK471=0,"",INDEX('Part types'!$S:$S,$AK471))</f>
        <v>0.02</v>
      </c>
      <c r="K471" s="11" t="s">
        <v>1941</v>
      </c>
      <c r="L471" s="11" t="s">
        <v>2010</v>
      </c>
      <c r="M471" s="11" t="str">
        <f aca="false">L471&amp;" - "&amp;N471</f>
        <v>مسمار العجلة - خلفي يسار</v>
      </c>
      <c r="N471" s="11" t="s">
        <v>1361</v>
      </c>
      <c r="O471" s="11" t="s">
        <v>1970</v>
      </c>
      <c r="P471" s="10" t="n">
        <f aca="false">G471</f>
        <v>6</v>
      </c>
      <c r="Q471" s="10" t="n">
        <f aca="false">H471</f>
        <v>4</v>
      </c>
      <c r="R471" s="10" t="n">
        <f aca="false">I471</f>
        <v>3</v>
      </c>
      <c r="S471" s="10" t="n">
        <f aca="false">J471</f>
        <v>0.02</v>
      </c>
      <c r="T471" s="12" t="s">
        <v>1943</v>
      </c>
      <c r="U471" s="12" t="s">
        <v>2011</v>
      </c>
      <c r="V471" s="9" t="str">
        <f aca="false">U471&amp;" - "&amp;W471</f>
        <v>轮毂螺栓 - 后左</v>
      </c>
      <c r="W471" s="12" t="s">
        <v>1362</v>
      </c>
      <c r="X471" s="12" t="s">
        <v>1943</v>
      </c>
      <c r="Y471" s="10" t="n">
        <f aca="false">G471</f>
        <v>6</v>
      </c>
      <c r="Z471" s="10" t="n">
        <f aca="false">H471</f>
        <v>4</v>
      </c>
      <c r="AA471" s="10" t="n">
        <f aca="false">I471</f>
        <v>3</v>
      </c>
      <c r="AB471" s="10" t="n">
        <f aca="false">J471</f>
        <v>0.02</v>
      </c>
      <c r="AC471" s="9" t="s">
        <v>1945</v>
      </c>
      <c r="AD471" s="9" t="s">
        <v>2012</v>
      </c>
      <c r="AE471" s="9" t="str">
        <f aca="false">IF($AK471=0,"",INDEX('Part types'!$T:$T,$AK471)&amp;"")</f>
        <v>All vehicles</v>
      </c>
      <c r="AF471" s="9" t="str">
        <f aca="false">IF($AK471=0,"",INDEX('Part types'!$U:$U,$AK471)&amp;"")</f>
        <v/>
      </c>
      <c r="AG471" s="9" t="str">
        <f aca="false">IF($AK471=0,"",INDEX('Part types'!$V:$V,$AK471)&amp;"")</f>
        <v>Estimate: size class T</v>
      </c>
      <c r="AH471" s="9" t="str">
        <f aca="false">IF($AK471=0,"",INDEX('Part types'!$W:$W,$AK471)&amp;"")</f>
        <v/>
      </c>
      <c r="AI471" s="11" t="str">
        <f aca="false">IF($AK471=0,"",INDEX('Part types'!$X:$X,$AK471)&amp;"")</f>
        <v/>
      </c>
      <c r="AJ471" s="9" t="str">
        <f aca="false">IF($AK471=0,"",INDEX('Part types'!$Y:$Y,$AK471)&amp;"")</f>
        <v/>
      </c>
      <c r="AK471" s="9" t="n">
        <f aca="false">IFERROR(MATCH($AD471,'Part types'!$E:$E,0),0)</f>
        <v>324</v>
      </c>
    </row>
    <row r="472" customFormat="false" ht="15" hidden="false" customHeight="false" outlineLevel="0" collapsed="false">
      <c r="A472" s="9" t="s">
        <v>2015</v>
      </c>
      <c r="B472" s="9" t="s">
        <v>1939</v>
      </c>
      <c r="C472" s="9" t="s">
        <v>2009</v>
      </c>
      <c r="D472" s="9" t="str">
        <f aca="false">C472&amp;" - "&amp;E472</f>
        <v>Wheel Lug Bolt - Rear-Right</v>
      </c>
      <c r="E472" s="9" t="s">
        <v>1364</v>
      </c>
      <c r="F472" s="9" t="s">
        <v>1968</v>
      </c>
      <c r="G472" s="10" t="n">
        <f aca="false">IF($AK472=0,"",INDEX('Part types'!$P:$P,$AK472))</f>
        <v>6</v>
      </c>
      <c r="H472" s="10" t="n">
        <f aca="false">IF($AK472=0,"",INDEX('Part types'!$Q:$Q,$AK472))</f>
        <v>4</v>
      </c>
      <c r="I472" s="10" t="n">
        <f aca="false">IF($AK472=0,"",INDEX('Part types'!$R:$R,$AK472))</f>
        <v>3</v>
      </c>
      <c r="J472" s="10" t="n">
        <f aca="false">IF($AK472=0,"",INDEX('Part types'!$S:$S,$AK472))</f>
        <v>0.02</v>
      </c>
      <c r="K472" s="11" t="s">
        <v>1941</v>
      </c>
      <c r="L472" s="11" t="s">
        <v>2010</v>
      </c>
      <c r="M472" s="11" t="str">
        <f aca="false">L472&amp;" - "&amp;N472</f>
        <v>مسمار العجلة - خلفي يمين</v>
      </c>
      <c r="N472" s="11" t="s">
        <v>1365</v>
      </c>
      <c r="O472" s="11" t="s">
        <v>1970</v>
      </c>
      <c r="P472" s="10" t="n">
        <f aca="false">G472</f>
        <v>6</v>
      </c>
      <c r="Q472" s="10" t="n">
        <f aca="false">H472</f>
        <v>4</v>
      </c>
      <c r="R472" s="10" t="n">
        <f aca="false">I472</f>
        <v>3</v>
      </c>
      <c r="S472" s="10" t="n">
        <f aca="false">J472</f>
        <v>0.02</v>
      </c>
      <c r="T472" s="12" t="s">
        <v>1943</v>
      </c>
      <c r="U472" s="12" t="s">
        <v>2011</v>
      </c>
      <c r="V472" s="9" t="str">
        <f aca="false">U472&amp;" - "&amp;W472</f>
        <v>轮毂螺栓 - 后右</v>
      </c>
      <c r="W472" s="12" t="s">
        <v>1366</v>
      </c>
      <c r="X472" s="12" t="s">
        <v>1943</v>
      </c>
      <c r="Y472" s="10" t="n">
        <f aca="false">G472</f>
        <v>6</v>
      </c>
      <c r="Z472" s="10" t="n">
        <f aca="false">H472</f>
        <v>4</v>
      </c>
      <c r="AA472" s="10" t="n">
        <f aca="false">I472</f>
        <v>3</v>
      </c>
      <c r="AB472" s="10" t="n">
        <f aca="false">J472</f>
        <v>0.02</v>
      </c>
      <c r="AC472" s="9" t="s">
        <v>1945</v>
      </c>
      <c r="AD472" s="9" t="s">
        <v>2012</v>
      </c>
      <c r="AE472" s="9" t="str">
        <f aca="false">IF($AK472=0,"",INDEX('Part types'!$T:$T,$AK472)&amp;"")</f>
        <v>All vehicles</v>
      </c>
      <c r="AF472" s="9" t="str">
        <f aca="false">IF($AK472=0,"",INDEX('Part types'!$U:$U,$AK472)&amp;"")</f>
        <v/>
      </c>
      <c r="AG472" s="9" t="str">
        <f aca="false">IF($AK472=0,"",INDEX('Part types'!$V:$V,$AK472)&amp;"")</f>
        <v>Estimate: size class T</v>
      </c>
      <c r="AH472" s="9" t="str">
        <f aca="false">IF($AK472=0,"",INDEX('Part types'!$W:$W,$AK472)&amp;"")</f>
        <v/>
      </c>
      <c r="AI472" s="11" t="str">
        <f aca="false">IF($AK472=0,"",INDEX('Part types'!$X:$X,$AK472)&amp;"")</f>
        <v/>
      </c>
      <c r="AJ472" s="9" t="str">
        <f aca="false">IF($AK472=0,"",INDEX('Part types'!$Y:$Y,$AK472)&amp;"")</f>
        <v/>
      </c>
      <c r="AK472" s="9" t="n">
        <f aca="false">IFERROR(MATCH($AD472,'Part types'!$E:$E,0),0)</f>
        <v>324</v>
      </c>
    </row>
    <row r="473" customFormat="false" ht="15" hidden="false" customHeight="false" outlineLevel="0" collapsed="false">
      <c r="A473" s="9" t="s">
        <v>2016</v>
      </c>
      <c r="B473" s="9" t="s">
        <v>1939</v>
      </c>
      <c r="C473" s="9" t="s">
        <v>2017</v>
      </c>
      <c r="D473" s="9" t="str">
        <f aca="false">C473&amp;" - "&amp;E473</f>
        <v>Wheel Stud - Front-Left</v>
      </c>
      <c r="E473" s="9" t="s">
        <v>1346</v>
      </c>
      <c r="F473" s="9" t="s">
        <v>1385</v>
      </c>
      <c r="G473" s="10" t="n">
        <f aca="false">IF($AK473=0,"",INDEX('Part types'!$P:$P,$AK473))</f>
        <v>10</v>
      </c>
      <c r="H473" s="10" t="n">
        <f aca="false">IF($AK473=0,"",INDEX('Part types'!$Q:$Q,$AK473))</f>
        <v>8</v>
      </c>
      <c r="I473" s="10" t="n">
        <f aca="false">IF($AK473=0,"",INDEX('Part types'!$R:$R,$AK473))</f>
        <v>6</v>
      </c>
      <c r="J473" s="10" t="n">
        <f aca="false">IF($AK473=0,"",INDEX('Part types'!$S:$S,$AK473))</f>
        <v>0.1</v>
      </c>
      <c r="K473" s="11" t="s">
        <v>1941</v>
      </c>
      <c r="L473" s="11" t="s">
        <v>2018</v>
      </c>
      <c r="M473" s="11" t="str">
        <f aca="false">L473&amp;" - "&amp;N473</f>
        <v>مسمار تثبيت العجلة - أمامي يسار</v>
      </c>
      <c r="N473" s="11" t="s">
        <v>1349</v>
      </c>
      <c r="O473" s="11" t="s">
        <v>1387</v>
      </c>
      <c r="P473" s="10" t="n">
        <f aca="false">G473</f>
        <v>10</v>
      </c>
      <c r="Q473" s="10" t="n">
        <f aca="false">H473</f>
        <v>8</v>
      </c>
      <c r="R473" s="10" t="n">
        <f aca="false">I473</f>
        <v>6</v>
      </c>
      <c r="S473" s="10" t="n">
        <f aca="false">J473</f>
        <v>0.1</v>
      </c>
      <c r="T473" s="12" t="s">
        <v>1943</v>
      </c>
      <c r="U473" s="12" t="s">
        <v>2019</v>
      </c>
      <c r="V473" s="9" t="str">
        <f aca="false">U473&amp;" - "&amp;W473</f>
        <v>车轮螺柱 - 前左</v>
      </c>
      <c r="W473" s="12" t="s">
        <v>1352</v>
      </c>
      <c r="X473" s="12" t="s">
        <v>1389</v>
      </c>
      <c r="Y473" s="10" t="n">
        <f aca="false">G473</f>
        <v>10</v>
      </c>
      <c r="Z473" s="10" t="n">
        <f aca="false">H473</f>
        <v>8</v>
      </c>
      <c r="AA473" s="10" t="n">
        <f aca="false">I473</f>
        <v>6</v>
      </c>
      <c r="AB473" s="10" t="n">
        <f aca="false">J473</f>
        <v>0.1</v>
      </c>
      <c r="AC473" s="9" t="s">
        <v>1945</v>
      </c>
      <c r="AD473" s="9" t="s">
        <v>2020</v>
      </c>
      <c r="AE473" s="9" t="str">
        <f aca="false">IF($AK473=0,"",INDEX('Part types'!$T:$T,$AK473)&amp;"")</f>
        <v>All vehicles</v>
      </c>
      <c r="AF473" s="9" t="str">
        <f aca="false">IF($AK473=0,"",INDEX('Part types'!$U:$U,$AK473)&amp;"")</f>
        <v/>
      </c>
      <c r="AG473" s="9" t="str">
        <f aca="false">IF($AK473=0,"",INDEX('Part types'!$V:$V,$AK473)&amp;"")</f>
        <v>Estimate: size class XS</v>
      </c>
      <c r="AH473" s="9" t="str">
        <f aca="false">IF($AK473=0,"",INDEX('Part types'!$W:$W,$AK473)&amp;"")</f>
        <v/>
      </c>
      <c r="AI473" s="11" t="str">
        <f aca="false">IF($AK473=0,"",INDEX('Part types'!$X:$X,$AK473)&amp;"")</f>
        <v/>
      </c>
      <c r="AJ473" s="9" t="str">
        <f aca="false">IF($AK473=0,"",INDEX('Part types'!$Y:$Y,$AK473)&amp;"")</f>
        <v/>
      </c>
      <c r="AK473" s="9" t="n">
        <f aca="false">IFERROR(MATCH($AD473,'Part types'!$E:$E,0),0)</f>
        <v>325</v>
      </c>
    </row>
    <row r="474" customFormat="false" ht="15" hidden="false" customHeight="false" outlineLevel="0" collapsed="false">
      <c r="A474" s="9" t="s">
        <v>2021</v>
      </c>
      <c r="B474" s="9" t="s">
        <v>1939</v>
      </c>
      <c r="C474" s="9" t="s">
        <v>2017</v>
      </c>
      <c r="D474" s="9" t="str">
        <f aca="false">C474&amp;" - "&amp;E474</f>
        <v>Wheel Stud - Front-Right</v>
      </c>
      <c r="E474" s="9" t="s">
        <v>1356</v>
      </c>
      <c r="F474" s="9" t="s">
        <v>1385</v>
      </c>
      <c r="G474" s="10" t="n">
        <f aca="false">IF($AK474=0,"",INDEX('Part types'!$P:$P,$AK474))</f>
        <v>10</v>
      </c>
      <c r="H474" s="10" t="n">
        <f aca="false">IF($AK474=0,"",INDEX('Part types'!$Q:$Q,$AK474))</f>
        <v>8</v>
      </c>
      <c r="I474" s="10" t="n">
        <f aca="false">IF($AK474=0,"",INDEX('Part types'!$R:$R,$AK474))</f>
        <v>6</v>
      </c>
      <c r="J474" s="10" t="n">
        <f aca="false">IF($AK474=0,"",INDEX('Part types'!$S:$S,$AK474))</f>
        <v>0.1</v>
      </c>
      <c r="K474" s="11" t="s">
        <v>1941</v>
      </c>
      <c r="L474" s="11" t="s">
        <v>2018</v>
      </c>
      <c r="M474" s="11" t="str">
        <f aca="false">L474&amp;" - "&amp;N474</f>
        <v>مسمار تثبيت العجلة - أمامي يمين</v>
      </c>
      <c r="N474" s="11" t="s">
        <v>1357</v>
      </c>
      <c r="O474" s="11" t="s">
        <v>1387</v>
      </c>
      <c r="P474" s="10" t="n">
        <f aca="false">G474</f>
        <v>10</v>
      </c>
      <c r="Q474" s="10" t="n">
        <f aca="false">H474</f>
        <v>8</v>
      </c>
      <c r="R474" s="10" t="n">
        <f aca="false">I474</f>
        <v>6</v>
      </c>
      <c r="S474" s="10" t="n">
        <f aca="false">J474</f>
        <v>0.1</v>
      </c>
      <c r="T474" s="12" t="s">
        <v>1943</v>
      </c>
      <c r="U474" s="12" t="s">
        <v>2019</v>
      </c>
      <c r="V474" s="9" t="str">
        <f aca="false">U474&amp;" - "&amp;W474</f>
        <v>车轮螺柱 - 前右</v>
      </c>
      <c r="W474" s="12" t="s">
        <v>1358</v>
      </c>
      <c r="X474" s="12" t="s">
        <v>1389</v>
      </c>
      <c r="Y474" s="10" t="n">
        <f aca="false">G474</f>
        <v>10</v>
      </c>
      <c r="Z474" s="10" t="n">
        <f aca="false">H474</f>
        <v>8</v>
      </c>
      <c r="AA474" s="10" t="n">
        <f aca="false">I474</f>
        <v>6</v>
      </c>
      <c r="AB474" s="10" t="n">
        <f aca="false">J474</f>
        <v>0.1</v>
      </c>
      <c r="AC474" s="9" t="s">
        <v>1945</v>
      </c>
      <c r="AD474" s="9" t="s">
        <v>2020</v>
      </c>
      <c r="AE474" s="9" t="str">
        <f aca="false">IF($AK474=0,"",INDEX('Part types'!$T:$T,$AK474)&amp;"")</f>
        <v>All vehicles</v>
      </c>
      <c r="AF474" s="9" t="str">
        <f aca="false">IF($AK474=0,"",INDEX('Part types'!$U:$U,$AK474)&amp;"")</f>
        <v/>
      </c>
      <c r="AG474" s="9" t="str">
        <f aca="false">IF($AK474=0,"",INDEX('Part types'!$V:$V,$AK474)&amp;"")</f>
        <v>Estimate: size class XS</v>
      </c>
      <c r="AH474" s="9" t="str">
        <f aca="false">IF($AK474=0,"",INDEX('Part types'!$W:$W,$AK474)&amp;"")</f>
        <v/>
      </c>
      <c r="AI474" s="11" t="str">
        <f aca="false">IF($AK474=0,"",INDEX('Part types'!$X:$X,$AK474)&amp;"")</f>
        <v/>
      </c>
      <c r="AJ474" s="9" t="str">
        <f aca="false">IF($AK474=0,"",INDEX('Part types'!$Y:$Y,$AK474)&amp;"")</f>
        <v/>
      </c>
      <c r="AK474" s="9" t="n">
        <f aca="false">IFERROR(MATCH($AD474,'Part types'!$E:$E,0),0)</f>
        <v>325</v>
      </c>
    </row>
    <row r="475" customFormat="false" ht="15" hidden="false" customHeight="false" outlineLevel="0" collapsed="false">
      <c r="A475" s="9" t="s">
        <v>2022</v>
      </c>
      <c r="B475" s="9" t="s">
        <v>1939</v>
      </c>
      <c r="C475" s="9" t="s">
        <v>2017</v>
      </c>
      <c r="D475" s="9" t="str">
        <f aca="false">C475&amp;" - "&amp;E475</f>
        <v>Wheel Stud - Rear-Left</v>
      </c>
      <c r="E475" s="9" t="s">
        <v>1360</v>
      </c>
      <c r="F475" s="9" t="s">
        <v>1385</v>
      </c>
      <c r="G475" s="10" t="n">
        <f aca="false">IF($AK475=0,"",INDEX('Part types'!$P:$P,$AK475))</f>
        <v>10</v>
      </c>
      <c r="H475" s="10" t="n">
        <f aca="false">IF($AK475=0,"",INDEX('Part types'!$Q:$Q,$AK475))</f>
        <v>8</v>
      </c>
      <c r="I475" s="10" t="n">
        <f aca="false">IF($AK475=0,"",INDEX('Part types'!$R:$R,$AK475))</f>
        <v>6</v>
      </c>
      <c r="J475" s="10" t="n">
        <f aca="false">IF($AK475=0,"",INDEX('Part types'!$S:$S,$AK475))</f>
        <v>0.1</v>
      </c>
      <c r="K475" s="11" t="s">
        <v>1941</v>
      </c>
      <c r="L475" s="11" t="s">
        <v>2018</v>
      </c>
      <c r="M475" s="11" t="str">
        <f aca="false">L475&amp;" - "&amp;N475</f>
        <v>مسمار تثبيت العجلة - خلفي يسار</v>
      </c>
      <c r="N475" s="11" t="s">
        <v>1361</v>
      </c>
      <c r="O475" s="11" t="s">
        <v>1387</v>
      </c>
      <c r="P475" s="10" t="n">
        <f aca="false">G475</f>
        <v>10</v>
      </c>
      <c r="Q475" s="10" t="n">
        <f aca="false">H475</f>
        <v>8</v>
      </c>
      <c r="R475" s="10" t="n">
        <f aca="false">I475</f>
        <v>6</v>
      </c>
      <c r="S475" s="10" t="n">
        <f aca="false">J475</f>
        <v>0.1</v>
      </c>
      <c r="T475" s="12" t="s">
        <v>1943</v>
      </c>
      <c r="U475" s="12" t="s">
        <v>2019</v>
      </c>
      <c r="V475" s="9" t="str">
        <f aca="false">U475&amp;" - "&amp;W475</f>
        <v>车轮螺柱 - 后左</v>
      </c>
      <c r="W475" s="12" t="s">
        <v>1362</v>
      </c>
      <c r="X475" s="12" t="s">
        <v>1389</v>
      </c>
      <c r="Y475" s="10" t="n">
        <f aca="false">G475</f>
        <v>10</v>
      </c>
      <c r="Z475" s="10" t="n">
        <f aca="false">H475</f>
        <v>8</v>
      </c>
      <c r="AA475" s="10" t="n">
        <f aca="false">I475</f>
        <v>6</v>
      </c>
      <c r="AB475" s="10" t="n">
        <f aca="false">J475</f>
        <v>0.1</v>
      </c>
      <c r="AC475" s="9" t="s">
        <v>1945</v>
      </c>
      <c r="AD475" s="9" t="s">
        <v>2020</v>
      </c>
      <c r="AE475" s="9" t="str">
        <f aca="false">IF($AK475=0,"",INDEX('Part types'!$T:$T,$AK475)&amp;"")</f>
        <v>All vehicles</v>
      </c>
      <c r="AF475" s="9" t="str">
        <f aca="false">IF($AK475=0,"",INDEX('Part types'!$U:$U,$AK475)&amp;"")</f>
        <v/>
      </c>
      <c r="AG475" s="9" t="str">
        <f aca="false">IF($AK475=0,"",INDEX('Part types'!$V:$V,$AK475)&amp;"")</f>
        <v>Estimate: size class XS</v>
      </c>
      <c r="AH475" s="9" t="str">
        <f aca="false">IF($AK475=0,"",INDEX('Part types'!$W:$W,$AK475)&amp;"")</f>
        <v/>
      </c>
      <c r="AI475" s="11" t="str">
        <f aca="false">IF($AK475=0,"",INDEX('Part types'!$X:$X,$AK475)&amp;"")</f>
        <v/>
      </c>
      <c r="AJ475" s="9" t="str">
        <f aca="false">IF($AK475=0,"",INDEX('Part types'!$Y:$Y,$AK475)&amp;"")</f>
        <v/>
      </c>
      <c r="AK475" s="9" t="n">
        <f aca="false">IFERROR(MATCH($AD475,'Part types'!$E:$E,0),0)</f>
        <v>325</v>
      </c>
    </row>
    <row r="476" customFormat="false" ht="15" hidden="false" customHeight="false" outlineLevel="0" collapsed="false">
      <c r="A476" s="9" t="s">
        <v>2023</v>
      </c>
      <c r="B476" s="9" t="s">
        <v>1939</v>
      </c>
      <c r="C476" s="9" t="s">
        <v>2017</v>
      </c>
      <c r="D476" s="9" t="str">
        <f aca="false">C476&amp;" - "&amp;E476</f>
        <v>Wheel Stud - Rear-Right</v>
      </c>
      <c r="E476" s="9" t="s">
        <v>1364</v>
      </c>
      <c r="F476" s="9" t="s">
        <v>1385</v>
      </c>
      <c r="G476" s="10" t="n">
        <f aca="false">IF($AK476=0,"",INDEX('Part types'!$P:$P,$AK476))</f>
        <v>10</v>
      </c>
      <c r="H476" s="10" t="n">
        <f aca="false">IF($AK476=0,"",INDEX('Part types'!$Q:$Q,$AK476))</f>
        <v>8</v>
      </c>
      <c r="I476" s="10" t="n">
        <f aca="false">IF($AK476=0,"",INDEX('Part types'!$R:$R,$AK476))</f>
        <v>6</v>
      </c>
      <c r="J476" s="10" t="n">
        <f aca="false">IF($AK476=0,"",INDEX('Part types'!$S:$S,$AK476))</f>
        <v>0.1</v>
      </c>
      <c r="K476" s="11" t="s">
        <v>1941</v>
      </c>
      <c r="L476" s="11" t="s">
        <v>2018</v>
      </c>
      <c r="M476" s="11" t="str">
        <f aca="false">L476&amp;" - "&amp;N476</f>
        <v>مسمار تثبيت العجلة - خلفي يمين</v>
      </c>
      <c r="N476" s="11" t="s">
        <v>1365</v>
      </c>
      <c r="O476" s="11" t="s">
        <v>1387</v>
      </c>
      <c r="P476" s="10" t="n">
        <f aca="false">G476</f>
        <v>10</v>
      </c>
      <c r="Q476" s="10" t="n">
        <f aca="false">H476</f>
        <v>8</v>
      </c>
      <c r="R476" s="10" t="n">
        <f aca="false">I476</f>
        <v>6</v>
      </c>
      <c r="S476" s="10" t="n">
        <f aca="false">J476</f>
        <v>0.1</v>
      </c>
      <c r="T476" s="12" t="s">
        <v>1943</v>
      </c>
      <c r="U476" s="12" t="s">
        <v>2019</v>
      </c>
      <c r="V476" s="9" t="str">
        <f aca="false">U476&amp;" - "&amp;W476</f>
        <v>车轮螺柱 - 后右</v>
      </c>
      <c r="W476" s="12" t="s">
        <v>1366</v>
      </c>
      <c r="X476" s="12" t="s">
        <v>1389</v>
      </c>
      <c r="Y476" s="10" t="n">
        <f aca="false">G476</f>
        <v>10</v>
      </c>
      <c r="Z476" s="10" t="n">
        <f aca="false">H476</f>
        <v>8</v>
      </c>
      <c r="AA476" s="10" t="n">
        <f aca="false">I476</f>
        <v>6</v>
      </c>
      <c r="AB476" s="10" t="n">
        <f aca="false">J476</f>
        <v>0.1</v>
      </c>
      <c r="AC476" s="9" t="s">
        <v>1945</v>
      </c>
      <c r="AD476" s="9" t="s">
        <v>2020</v>
      </c>
      <c r="AE476" s="9" t="str">
        <f aca="false">IF($AK476=0,"",INDEX('Part types'!$T:$T,$AK476)&amp;"")</f>
        <v>All vehicles</v>
      </c>
      <c r="AF476" s="9" t="str">
        <f aca="false">IF($AK476=0,"",INDEX('Part types'!$U:$U,$AK476)&amp;"")</f>
        <v/>
      </c>
      <c r="AG476" s="9" t="str">
        <f aca="false">IF($AK476=0,"",INDEX('Part types'!$V:$V,$AK476)&amp;"")</f>
        <v>Estimate: size class XS</v>
      </c>
      <c r="AH476" s="9" t="str">
        <f aca="false">IF($AK476=0,"",INDEX('Part types'!$W:$W,$AK476)&amp;"")</f>
        <v/>
      </c>
      <c r="AI476" s="11" t="str">
        <f aca="false">IF($AK476=0,"",INDEX('Part types'!$X:$X,$AK476)&amp;"")</f>
        <v/>
      </c>
      <c r="AJ476" s="9" t="str">
        <f aca="false">IF($AK476=0,"",INDEX('Part types'!$Y:$Y,$AK476)&amp;"")</f>
        <v/>
      </c>
      <c r="AK476" s="9" t="n">
        <f aca="false">IFERROR(MATCH($AD476,'Part types'!$E:$E,0),0)</f>
        <v>325</v>
      </c>
    </row>
    <row r="477" customFormat="false" ht="15" hidden="false" customHeight="false" outlineLevel="0" collapsed="false">
      <c r="A477" s="9" t="s">
        <v>2024</v>
      </c>
      <c r="B477" s="9" t="s">
        <v>1939</v>
      </c>
      <c r="C477" s="9" t="s">
        <v>2025</v>
      </c>
      <c r="D477" s="9" t="str">
        <f aca="false">C477&amp;" - "&amp;E477</f>
        <v>Wheel Lock Set - Universal</v>
      </c>
      <c r="E477" s="9" t="s">
        <v>68</v>
      </c>
      <c r="F477" s="9" t="s">
        <v>1968</v>
      </c>
      <c r="G477" s="10" t="n">
        <f aca="false">IF($AK477=0,"",INDEX('Part types'!$P:$P,$AK477))</f>
        <v>15</v>
      </c>
      <c r="H477" s="10" t="n">
        <f aca="false">IF($AK477=0,"",INDEX('Part types'!$Q:$Q,$AK477))</f>
        <v>10</v>
      </c>
      <c r="I477" s="10" t="n">
        <f aca="false">IF($AK477=0,"",INDEX('Part types'!$R:$R,$AK477))</f>
        <v>8</v>
      </c>
      <c r="J477" s="10" t="n">
        <f aca="false">IF($AK477=0,"",INDEX('Part types'!$S:$S,$AK477))</f>
        <v>0.3</v>
      </c>
      <c r="K477" s="11" t="s">
        <v>1941</v>
      </c>
      <c r="L477" s="11" t="s">
        <v>2026</v>
      </c>
      <c r="M477" s="11" t="str">
        <f aca="false">L477&amp;" - "&amp;N477</f>
        <v>طقم أقفال العجلات - عام</v>
      </c>
      <c r="N477" s="11" t="s">
        <v>72</v>
      </c>
      <c r="O477" s="11" t="s">
        <v>1970</v>
      </c>
      <c r="P477" s="10" t="n">
        <f aca="false">G477</f>
        <v>15</v>
      </c>
      <c r="Q477" s="10" t="n">
        <f aca="false">H477</f>
        <v>10</v>
      </c>
      <c r="R477" s="10" t="n">
        <f aca="false">I477</f>
        <v>8</v>
      </c>
      <c r="S477" s="10" t="n">
        <f aca="false">J477</f>
        <v>0.3</v>
      </c>
      <c r="T477" s="12" t="s">
        <v>1943</v>
      </c>
      <c r="U477" s="12" t="s">
        <v>2027</v>
      </c>
      <c r="V477" s="9" t="str">
        <f aca="false">U477&amp;" - "&amp;W477</f>
        <v>防盗轮毂螺丝套装 - 通用</v>
      </c>
      <c r="W477" s="12" t="s">
        <v>76</v>
      </c>
      <c r="X477" s="12" t="s">
        <v>1943</v>
      </c>
      <c r="Y477" s="10" t="n">
        <f aca="false">G477</f>
        <v>15</v>
      </c>
      <c r="Z477" s="10" t="n">
        <f aca="false">H477</f>
        <v>10</v>
      </c>
      <c r="AA477" s="10" t="n">
        <f aca="false">I477</f>
        <v>8</v>
      </c>
      <c r="AB477" s="10" t="n">
        <f aca="false">J477</f>
        <v>0.3</v>
      </c>
      <c r="AC477" s="9" t="s">
        <v>1945</v>
      </c>
      <c r="AD477" s="9" t="s">
        <v>2028</v>
      </c>
      <c r="AE477" s="9" t="str">
        <f aca="false">IF($AK477=0,"",INDEX('Part types'!$T:$T,$AK477)&amp;"")</f>
        <v>All vehicles</v>
      </c>
      <c r="AF477" s="9" t="str">
        <f aca="false">IF($AK477=0,"",INDEX('Part types'!$U:$U,$AK477)&amp;"")</f>
        <v/>
      </c>
      <c r="AG477" s="9" t="str">
        <f aca="false">IF($AK477=0,"",INDEX('Part types'!$V:$V,$AK477)&amp;"")</f>
        <v>Estimate: size class S</v>
      </c>
      <c r="AH477" s="9" t="str">
        <f aca="false">IF($AK477=0,"",INDEX('Part types'!$W:$W,$AK477)&amp;"")</f>
        <v/>
      </c>
      <c r="AI477" s="11" t="str">
        <f aca="false">IF($AK477=0,"",INDEX('Part types'!$X:$X,$AK477)&amp;"")</f>
        <v/>
      </c>
      <c r="AJ477" s="9" t="str">
        <f aca="false">IF($AK477=0,"",INDEX('Part types'!$Y:$Y,$AK477)&amp;"")</f>
        <v/>
      </c>
      <c r="AK477" s="9" t="n">
        <f aca="false">IFERROR(MATCH($AD477,'Part types'!$E:$E,0),0)</f>
        <v>326</v>
      </c>
    </row>
    <row r="478" customFormat="false" ht="15" hidden="false" customHeight="false" outlineLevel="0" collapsed="false">
      <c r="A478" s="9" t="s">
        <v>2029</v>
      </c>
      <c r="B478" s="9" t="s">
        <v>1939</v>
      </c>
      <c r="C478" s="9" t="s">
        <v>2030</v>
      </c>
      <c r="D478" s="9" t="str">
        <f aca="false">C478&amp;" - "&amp;E478</f>
        <v>Wheel Spacer - Front-Left</v>
      </c>
      <c r="E478" s="9" t="s">
        <v>1346</v>
      </c>
      <c r="F478" s="9" t="s">
        <v>1968</v>
      </c>
      <c r="G478" s="10" t="n">
        <f aca="false">IF($AK478=0,"",INDEX('Part types'!$P:$P,$AK478))</f>
        <v>25</v>
      </c>
      <c r="H478" s="10" t="n">
        <f aca="false">IF($AK478=0,"",INDEX('Part types'!$Q:$Q,$AK478))</f>
        <v>15</v>
      </c>
      <c r="I478" s="10" t="n">
        <f aca="false">IF($AK478=0,"",INDEX('Part types'!$R:$R,$AK478))</f>
        <v>10</v>
      </c>
      <c r="J478" s="10" t="n">
        <f aca="false">IF($AK478=0,"",INDEX('Part types'!$S:$S,$AK478))</f>
        <v>0.9</v>
      </c>
      <c r="K478" s="11" t="s">
        <v>1941</v>
      </c>
      <c r="L478" s="11" t="s">
        <v>2031</v>
      </c>
      <c r="M478" s="11" t="str">
        <f aca="false">L478&amp;" - "&amp;N478</f>
        <v>فاصل العجلة - أمامي يسار</v>
      </c>
      <c r="N478" s="11" t="s">
        <v>1349</v>
      </c>
      <c r="O478" s="11" t="s">
        <v>1970</v>
      </c>
      <c r="P478" s="10" t="n">
        <f aca="false">G478</f>
        <v>25</v>
      </c>
      <c r="Q478" s="10" t="n">
        <f aca="false">H478</f>
        <v>15</v>
      </c>
      <c r="R478" s="10" t="n">
        <f aca="false">I478</f>
        <v>10</v>
      </c>
      <c r="S478" s="10" t="n">
        <f aca="false">J478</f>
        <v>0.9</v>
      </c>
      <c r="T478" s="12" t="s">
        <v>1943</v>
      </c>
      <c r="U478" s="12" t="s">
        <v>2032</v>
      </c>
      <c r="V478" s="9" t="str">
        <f aca="false">U478&amp;" - "&amp;W478</f>
        <v>轮毂垫片 - 前左</v>
      </c>
      <c r="W478" s="12" t="s">
        <v>1352</v>
      </c>
      <c r="X478" s="12" t="s">
        <v>1943</v>
      </c>
      <c r="Y478" s="10" t="n">
        <f aca="false">G478</f>
        <v>25</v>
      </c>
      <c r="Z478" s="10" t="n">
        <f aca="false">H478</f>
        <v>15</v>
      </c>
      <c r="AA478" s="10" t="n">
        <f aca="false">I478</f>
        <v>10</v>
      </c>
      <c r="AB478" s="10" t="n">
        <f aca="false">J478</f>
        <v>0.9</v>
      </c>
      <c r="AC478" s="9" t="s">
        <v>1945</v>
      </c>
      <c r="AD478" s="9" t="s">
        <v>2033</v>
      </c>
      <c r="AE478" s="9" t="str">
        <f aca="false">IF($AK478=0,"",INDEX('Part types'!$T:$T,$AK478)&amp;"")</f>
        <v>All vehicles</v>
      </c>
      <c r="AF478" s="9" t="str">
        <f aca="false">IF($AK478=0,"",INDEX('Part types'!$U:$U,$AK478)&amp;"")</f>
        <v/>
      </c>
      <c r="AG478" s="9" t="str">
        <f aca="false">IF($AK478=0,"",INDEX('Part types'!$V:$V,$AK478)&amp;"")</f>
        <v>Estimate: size class M</v>
      </c>
      <c r="AH478" s="9" t="str">
        <f aca="false">IF($AK478=0,"",INDEX('Part types'!$W:$W,$AK478)&amp;"")</f>
        <v/>
      </c>
      <c r="AI478" s="11" t="str">
        <f aca="false">IF($AK478=0,"",INDEX('Part types'!$X:$X,$AK478)&amp;"")</f>
        <v/>
      </c>
      <c r="AJ478" s="9" t="str">
        <f aca="false">IF($AK478=0,"",INDEX('Part types'!$Y:$Y,$AK478)&amp;"")</f>
        <v>间隔环</v>
      </c>
      <c r="AK478" s="9" t="n">
        <f aca="false">IFERROR(MATCH($AD478,'Part types'!$E:$E,0),0)</f>
        <v>327</v>
      </c>
    </row>
    <row r="479" customFormat="false" ht="15" hidden="false" customHeight="false" outlineLevel="0" collapsed="false">
      <c r="A479" s="9" t="s">
        <v>2034</v>
      </c>
      <c r="B479" s="9" t="s">
        <v>1939</v>
      </c>
      <c r="C479" s="9" t="s">
        <v>2030</v>
      </c>
      <c r="D479" s="9" t="str">
        <f aca="false">C479&amp;" - "&amp;E479</f>
        <v>Wheel Spacer - Front-Right</v>
      </c>
      <c r="E479" s="9" t="s">
        <v>1356</v>
      </c>
      <c r="F479" s="9" t="s">
        <v>1968</v>
      </c>
      <c r="G479" s="10" t="n">
        <f aca="false">IF($AK479=0,"",INDEX('Part types'!$P:$P,$AK479))</f>
        <v>25</v>
      </c>
      <c r="H479" s="10" t="n">
        <f aca="false">IF($AK479=0,"",INDEX('Part types'!$Q:$Q,$AK479))</f>
        <v>15</v>
      </c>
      <c r="I479" s="10" t="n">
        <f aca="false">IF($AK479=0,"",INDEX('Part types'!$R:$R,$AK479))</f>
        <v>10</v>
      </c>
      <c r="J479" s="10" t="n">
        <f aca="false">IF($AK479=0,"",INDEX('Part types'!$S:$S,$AK479))</f>
        <v>0.9</v>
      </c>
      <c r="K479" s="11" t="s">
        <v>1941</v>
      </c>
      <c r="L479" s="11" t="s">
        <v>2031</v>
      </c>
      <c r="M479" s="11" t="str">
        <f aca="false">L479&amp;" - "&amp;N479</f>
        <v>فاصل العجلة - أمامي يمين</v>
      </c>
      <c r="N479" s="11" t="s">
        <v>1357</v>
      </c>
      <c r="O479" s="11" t="s">
        <v>1970</v>
      </c>
      <c r="P479" s="10" t="n">
        <f aca="false">G479</f>
        <v>25</v>
      </c>
      <c r="Q479" s="10" t="n">
        <f aca="false">H479</f>
        <v>15</v>
      </c>
      <c r="R479" s="10" t="n">
        <f aca="false">I479</f>
        <v>10</v>
      </c>
      <c r="S479" s="10" t="n">
        <f aca="false">J479</f>
        <v>0.9</v>
      </c>
      <c r="T479" s="12" t="s">
        <v>1943</v>
      </c>
      <c r="U479" s="12" t="s">
        <v>2032</v>
      </c>
      <c r="V479" s="9" t="str">
        <f aca="false">U479&amp;" - "&amp;W479</f>
        <v>轮毂垫片 - 前右</v>
      </c>
      <c r="W479" s="12" t="s">
        <v>1358</v>
      </c>
      <c r="X479" s="12" t="s">
        <v>1943</v>
      </c>
      <c r="Y479" s="10" t="n">
        <f aca="false">G479</f>
        <v>25</v>
      </c>
      <c r="Z479" s="10" t="n">
        <f aca="false">H479</f>
        <v>15</v>
      </c>
      <c r="AA479" s="10" t="n">
        <f aca="false">I479</f>
        <v>10</v>
      </c>
      <c r="AB479" s="10" t="n">
        <f aca="false">J479</f>
        <v>0.9</v>
      </c>
      <c r="AC479" s="9" t="s">
        <v>1945</v>
      </c>
      <c r="AD479" s="9" t="s">
        <v>2033</v>
      </c>
      <c r="AE479" s="9" t="str">
        <f aca="false">IF($AK479=0,"",INDEX('Part types'!$T:$T,$AK479)&amp;"")</f>
        <v>All vehicles</v>
      </c>
      <c r="AF479" s="9" t="str">
        <f aca="false">IF($AK479=0,"",INDEX('Part types'!$U:$U,$AK479)&amp;"")</f>
        <v/>
      </c>
      <c r="AG479" s="9" t="str">
        <f aca="false">IF($AK479=0,"",INDEX('Part types'!$V:$V,$AK479)&amp;"")</f>
        <v>Estimate: size class M</v>
      </c>
      <c r="AH479" s="9" t="str">
        <f aca="false">IF($AK479=0,"",INDEX('Part types'!$W:$W,$AK479)&amp;"")</f>
        <v/>
      </c>
      <c r="AI479" s="11" t="str">
        <f aca="false">IF($AK479=0,"",INDEX('Part types'!$X:$X,$AK479)&amp;"")</f>
        <v/>
      </c>
      <c r="AJ479" s="9" t="str">
        <f aca="false">IF($AK479=0,"",INDEX('Part types'!$Y:$Y,$AK479)&amp;"")</f>
        <v>间隔环</v>
      </c>
      <c r="AK479" s="9" t="n">
        <f aca="false">IFERROR(MATCH($AD479,'Part types'!$E:$E,0),0)</f>
        <v>327</v>
      </c>
    </row>
    <row r="480" customFormat="false" ht="15" hidden="false" customHeight="false" outlineLevel="0" collapsed="false">
      <c r="A480" s="9" t="s">
        <v>2035</v>
      </c>
      <c r="B480" s="9" t="s">
        <v>1939</v>
      </c>
      <c r="C480" s="9" t="s">
        <v>2030</v>
      </c>
      <c r="D480" s="9" t="str">
        <f aca="false">C480&amp;" - "&amp;E480</f>
        <v>Wheel Spacer - Rear-Left</v>
      </c>
      <c r="E480" s="9" t="s">
        <v>1360</v>
      </c>
      <c r="F480" s="9" t="s">
        <v>1968</v>
      </c>
      <c r="G480" s="10" t="n">
        <f aca="false">IF($AK480=0,"",INDEX('Part types'!$P:$P,$AK480))</f>
        <v>25</v>
      </c>
      <c r="H480" s="10" t="n">
        <f aca="false">IF($AK480=0,"",INDEX('Part types'!$Q:$Q,$AK480))</f>
        <v>15</v>
      </c>
      <c r="I480" s="10" t="n">
        <f aca="false">IF($AK480=0,"",INDEX('Part types'!$R:$R,$AK480))</f>
        <v>10</v>
      </c>
      <c r="J480" s="10" t="n">
        <f aca="false">IF($AK480=0,"",INDEX('Part types'!$S:$S,$AK480))</f>
        <v>0.9</v>
      </c>
      <c r="K480" s="11" t="s">
        <v>1941</v>
      </c>
      <c r="L480" s="11" t="s">
        <v>2031</v>
      </c>
      <c r="M480" s="11" t="str">
        <f aca="false">L480&amp;" - "&amp;N480</f>
        <v>فاصل العجلة - خلفي يسار</v>
      </c>
      <c r="N480" s="11" t="s">
        <v>1361</v>
      </c>
      <c r="O480" s="11" t="s">
        <v>1970</v>
      </c>
      <c r="P480" s="10" t="n">
        <f aca="false">G480</f>
        <v>25</v>
      </c>
      <c r="Q480" s="10" t="n">
        <f aca="false">H480</f>
        <v>15</v>
      </c>
      <c r="R480" s="10" t="n">
        <f aca="false">I480</f>
        <v>10</v>
      </c>
      <c r="S480" s="10" t="n">
        <f aca="false">J480</f>
        <v>0.9</v>
      </c>
      <c r="T480" s="12" t="s">
        <v>1943</v>
      </c>
      <c r="U480" s="12" t="s">
        <v>2032</v>
      </c>
      <c r="V480" s="9" t="str">
        <f aca="false">U480&amp;" - "&amp;W480</f>
        <v>轮毂垫片 - 后左</v>
      </c>
      <c r="W480" s="12" t="s">
        <v>1362</v>
      </c>
      <c r="X480" s="12" t="s">
        <v>1943</v>
      </c>
      <c r="Y480" s="10" t="n">
        <f aca="false">G480</f>
        <v>25</v>
      </c>
      <c r="Z480" s="10" t="n">
        <f aca="false">H480</f>
        <v>15</v>
      </c>
      <c r="AA480" s="10" t="n">
        <f aca="false">I480</f>
        <v>10</v>
      </c>
      <c r="AB480" s="10" t="n">
        <f aca="false">J480</f>
        <v>0.9</v>
      </c>
      <c r="AC480" s="9" t="s">
        <v>1945</v>
      </c>
      <c r="AD480" s="9" t="s">
        <v>2033</v>
      </c>
      <c r="AE480" s="9" t="str">
        <f aca="false">IF($AK480=0,"",INDEX('Part types'!$T:$T,$AK480)&amp;"")</f>
        <v>All vehicles</v>
      </c>
      <c r="AF480" s="9" t="str">
        <f aca="false">IF($AK480=0,"",INDEX('Part types'!$U:$U,$AK480)&amp;"")</f>
        <v/>
      </c>
      <c r="AG480" s="9" t="str">
        <f aca="false">IF($AK480=0,"",INDEX('Part types'!$V:$V,$AK480)&amp;"")</f>
        <v>Estimate: size class M</v>
      </c>
      <c r="AH480" s="9" t="str">
        <f aca="false">IF($AK480=0,"",INDEX('Part types'!$W:$W,$AK480)&amp;"")</f>
        <v/>
      </c>
      <c r="AI480" s="11" t="str">
        <f aca="false">IF($AK480=0,"",INDEX('Part types'!$X:$X,$AK480)&amp;"")</f>
        <v/>
      </c>
      <c r="AJ480" s="9" t="str">
        <f aca="false">IF($AK480=0,"",INDEX('Part types'!$Y:$Y,$AK480)&amp;"")</f>
        <v>间隔环</v>
      </c>
      <c r="AK480" s="9" t="n">
        <f aca="false">IFERROR(MATCH($AD480,'Part types'!$E:$E,0),0)</f>
        <v>327</v>
      </c>
    </row>
    <row r="481" customFormat="false" ht="15" hidden="false" customHeight="false" outlineLevel="0" collapsed="false">
      <c r="A481" s="9" t="s">
        <v>2036</v>
      </c>
      <c r="B481" s="9" t="s">
        <v>1939</v>
      </c>
      <c r="C481" s="9" t="s">
        <v>2030</v>
      </c>
      <c r="D481" s="9" t="str">
        <f aca="false">C481&amp;" - "&amp;E481</f>
        <v>Wheel Spacer - Rear-Right</v>
      </c>
      <c r="E481" s="9" t="s">
        <v>1364</v>
      </c>
      <c r="F481" s="9" t="s">
        <v>1968</v>
      </c>
      <c r="G481" s="10" t="n">
        <f aca="false">IF($AK481=0,"",INDEX('Part types'!$P:$P,$AK481))</f>
        <v>25</v>
      </c>
      <c r="H481" s="10" t="n">
        <f aca="false">IF($AK481=0,"",INDEX('Part types'!$Q:$Q,$AK481))</f>
        <v>15</v>
      </c>
      <c r="I481" s="10" t="n">
        <f aca="false">IF($AK481=0,"",INDEX('Part types'!$R:$R,$AK481))</f>
        <v>10</v>
      </c>
      <c r="J481" s="10" t="n">
        <f aca="false">IF($AK481=0,"",INDEX('Part types'!$S:$S,$AK481))</f>
        <v>0.9</v>
      </c>
      <c r="K481" s="11" t="s">
        <v>1941</v>
      </c>
      <c r="L481" s="11" t="s">
        <v>2031</v>
      </c>
      <c r="M481" s="11" t="str">
        <f aca="false">L481&amp;" - "&amp;N481</f>
        <v>فاصل العجلة - خلفي يمين</v>
      </c>
      <c r="N481" s="11" t="s">
        <v>1365</v>
      </c>
      <c r="O481" s="11" t="s">
        <v>1970</v>
      </c>
      <c r="P481" s="10" t="n">
        <f aca="false">G481</f>
        <v>25</v>
      </c>
      <c r="Q481" s="10" t="n">
        <f aca="false">H481</f>
        <v>15</v>
      </c>
      <c r="R481" s="10" t="n">
        <f aca="false">I481</f>
        <v>10</v>
      </c>
      <c r="S481" s="10" t="n">
        <f aca="false">J481</f>
        <v>0.9</v>
      </c>
      <c r="T481" s="12" t="s">
        <v>1943</v>
      </c>
      <c r="U481" s="12" t="s">
        <v>2032</v>
      </c>
      <c r="V481" s="9" t="str">
        <f aca="false">U481&amp;" - "&amp;W481</f>
        <v>轮毂垫片 - 后右</v>
      </c>
      <c r="W481" s="12" t="s">
        <v>1366</v>
      </c>
      <c r="X481" s="12" t="s">
        <v>1943</v>
      </c>
      <c r="Y481" s="10" t="n">
        <f aca="false">G481</f>
        <v>25</v>
      </c>
      <c r="Z481" s="10" t="n">
        <f aca="false">H481</f>
        <v>15</v>
      </c>
      <c r="AA481" s="10" t="n">
        <f aca="false">I481</f>
        <v>10</v>
      </c>
      <c r="AB481" s="10" t="n">
        <f aca="false">J481</f>
        <v>0.9</v>
      </c>
      <c r="AC481" s="9" t="s">
        <v>1945</v>
      </c>
      <c r="AD481" s="9" t="s">
        <v>2033</v>
      </c>
      <c r="AE481" s="9" t="str">
        <f aca="false">IF($AK481=0,"",INDEX('Part types'!$T:$T,$AK481)&amp;"")</f>
        <v>All vehicles</v>
      </c>
      <c r="AF481" s="9" t="str">
        <f aca="false">IF($AK481=0,"",INDEX('Part types'!$U:$U,$AK481)&amp;"")</f>
        <v/>
      </c>
      <c r="AG481" s="9" t="str">
        <f aca="false">IF($AK481=0,"",INDEX('Part types'!$V:$V,$AK481)&amp;"")</f>
        <v>Estimate: size class M</v>
      </c>
      <c r="AH481" s="9" t="str">
        <f aca="false">IF($AK481=0,"",INDEX('Part types'!$W:$W,$AK481)&amp;"")</f>
        <v/>
      </c>
      <c r="AI481" s="11" t="str">
        <f aca="false">IF($AK481=0,"",INDEX('Part types'!$X:$X,$AK481)&amp;"")</f>
        <v/>
      </c>
      <c r="AJ481" s="9" t="str">
        <f aca="false">IF($AK481=0,"",INDEX('Part types'!$Y:$Y,$AK481)&amp;"")</f>
        <v>间隔环</v>
      </c>
      <c r="AK481" s="9" t="n">
        <f aca="false">IFERROR(MATCH($AD481,'Part types'!$E:$E,0),0)</f>
        <v>327</v>
      </c>
    </row>
    <row r="482" customFormat="false" ht="15" hidden="false" customHeight="false" outlineLevel="0" collapsed="false">
      <c r="A482" s="9" t="s">
        <v>2037</v>
      </c>
      <c r="B482" s="9" t="s">
        <v>1939</v>
      </c>
      <c r="C482" s="9" t="s">
        <v>2038</v>
      </c>
      <c r="D482" s="9" t="str">
        <f aca="false">C482&amp;" - "&amp;E482</f>
        <v>Balancing Weight Set - Universal</v>
      </c>
      <c r="E482" s="9" t="s">
        <v>68</v>
      </c>
      <c r="F482" s="9" t="s">
        <v>1968</v>
      </c>
      <c r="G482" s="10" t="n">
        <f aca="false">IF($AK482=0,"",INDEX('Part types'!$P:$P,$AK482))</f>
        <v>15</v>
      </c>
      <c r="H482" s="10" t="n">
        <f aca="false">IF($AK482=0,"",INDEX('Part types'!$Q:$Q,$AK482))</f>
        <v>10</v>
      </c>
      <c r="I482" s="10" t="n">
        <f aca="false">IF($AK482=0,"",INDEX('Part types'!$R:$R,$AK482))</f>
        <v>8</v>
      </c>
      <c r="J482" s="10" t="n">
        <f aca="false">IF($AK482=0,"",INDEX('Part types'!$S:$S,$AK482))</f>
        <v>0.3</v>
      </c>
      <c r="K482" s="11" t="s">
        <v>1941</v>
      </c>
      <c r="L482" s="11" t="s">
        <v>2039</v>
      </c>
      <c r="M482" s="11" t="str">
        <f aca="false">L482&amp;" - "&amp;N482</f>
        <v>طقم أثقال ترصيص العجلات - عام</v>
      </c>
      <c r="N482" s="11" t="s">
        <v>72</v>
      </c>
      <c r="O482" s="11" t="s">
        <v>1970</v>
      </c>
      <c r="P482" s="10" t="n">
        <f aca="false">G482</f>
        <v>15</v>
      </c>
      <c r="Q482" s="10" t="n">
        <f aca="false">H482</f>
        <v>10</v>
      </c>
      <c r="R482" s="10" t="n">
        <f aca="false">I482</f>
        <v>8</v>
      </c>
      <c r="S482" s="10" t="n">
        <f aca="false">J482</f>
        <v>0.3</v>
      </c>
      <c r="T482" s="12" t="s">
        <v>1943</v>
      </c>
      <c r="U482" s="12" t="s">
        <v>2040</v>
      </c>
      <c r="V482" s="9" t="str">
        <f aca="false">U482&amp;" - "&amp;W482</f>
        <v>平衡块套装 - 通用</v>
      </c>
      <c r="W482" s="12" t="s">
        <v>76</v>
      </c>
      <c r="X482" s="12" t="s">
        <v>1943</v>
      </c>
      <c r="Y482" s="10" t="n">
        <f aca="false">G482</f>
        <v>15</v>
      </c>
      <c r="Z482" s="10" t="n">
        <f aca="false">H482</f>
        <v>10</v>
      </c>
      <c r="AA482" s="10" t="n">
        <f aca="false">I482</f>
        <v>8</v>
      </c>
      <c r="AB482" s="10" t="n">
        <f aca="false">J482</f>
        <v>0.3</v>
      </c>
      <c r="AC482" s="9" t="s">
        <v>1945</v>
      </c>
      <c r="AD482" s="9" t="s">
        <v>2041</v>
      </c>
      <c r="AE482" s="9" t="str">
        <f aca="false">IF($AK482=0,"",INDEX('Part types'!$T:$T,$AK482)&amp;"")</f>
        <v>All vehicles</v>
      </c>
      <c r="AF482" s="9" t="str">
        <f aca="false">IF($AK482=0,"",INDEX('Part types'!$U:$U,$AK482)&amp;"")</f>
        <v/>
      </c>
      <c r="AG482" s="9" t="str">
        <f aca="false">IF($AK482=0,"",INDEX('Part types'!$V:$V,$AK482)&amp;"")</f>
        <v>Estimate: size class S</v>
      </c>
      <c r="AH482" s="9" t="str">
        <f aca="false">IF($AK482=0,"",INDEX('Part types'!$W:$W,$AK482)&amp;"")</f>
        <v>Wheel Balancing Weight Set</v>
      </c>
      <c r="AI482" s="11" t="str">
        <f aca="false">IF($AK482=0,"",INDEX('Part types'!$X:$X,$AK482)&amp;"")</f>
        <v/>
      </c>
      <c r="AJ482" s="9" t="str">
        <f aca="false">IF($AK482=0,"",INDEX('Part types'!$Y:$Y,$AK482)&amp;"")</f>
        <v/>
      </c>
      <c r="AK482" s="9" t="n">
        <f aca="false">IFERROR(MATCH($AD482,'Part types'!$E:$E,0),0)</f>
        <v>328</v>
      </c>
    </row>
    <row r="483" customFormat="false" ht="15" hidden="false" customHeight="false" outlineLevel="0" collapsed="false">
      <c r="A483" s="9" t="s">
        <v>2042</v>
      </c>
      <c r="B483" s="9" t="s">
        <v>2043</v>
      </c>
      <c r="C483" s="9" t="s">
        <v>2044</v>
      </c>
      <c r="D483" s="9" t="str">
        <f aca="false">C483&amp;" - "&amp;E483</f>
        <v>Passenger Tire - Front-Left</v>
      </c>
      <c r="E483" s="9" t="s">
        <v>1346</v>
      </c>
      <c r="F483" s="9" t="s">
        <v>2045</v>
      </c>
      <c r="G483" s="10" t="n">
        <f aca="false">IF($AK483=0,"",INDEX('Part types'!$P:$P,$AK483))</f>
        <v>65</v>
      </c>
      <c r="H483" s="10" t="n">
        <f aca="false">IF($AK483=0,"",INDEX('Part types'!$Q:$Q,$AK483))</f>
        <v>65</v>
      </c>
      <c r="I483" s="10" t="n">
        <f aca="false">IF($AK483=0,"",INDEX('Part types'!$R:$R,$AK483))</f>
        <v>22</v>
      </c>
      <c r="J483" s="10" t="n">
        <f aca="false">IF($AK483=0,"",INDEX('Part types'!$S:$S,$AK483))</f>
        <v>9</v>
      </c>
      <c r="K483" s="11" t="s">
        <v>2046</v>
      </c>
      <c r="L483" s="11" t="s">
        <v>2047</v>
      </c>
      <c r="M483" s="11" t="str">
        <f aca="false">L483&amp;" - "&amp;N483</f>
        <v>إطار سيارة ركاب - أمامي يسار</v>
      </c>
      <c r="N483" s="11" t="s">
        <v>1349</v>
      </c>
      <c r="O483" s="11" t="s">
        <v>2048</v>
      </c>
      <c r="P483" s="10" t="n">
        <f aca="false">G483</f>
        <v>65</v>
      </c>
      <c r="Q483" s="10" t="n">
        <f aca="false">H483</f>
        <v>65</v>
      </c>
      <c r="R483" s="10" t="n">
        <f aca="false">I483</f>
        <v>22</v>
      </c>
      <c r="S483" s="10" t="n">
        <f aca="false">J483</f>
        <v>9</v>
      </c>
      <c r="T483" s="12" t="s">
        <v>2049</v>
      </c>
      <c r="U483" s="12" t="s">
        <v>2050</v>
      </c>
      <c r="V483" s="9" t="str">
        <f aca="false">U483&amp;" - "&amp;W483</f>
        <v>轿车轮胎 - 前左</v>
      </c>
      <c r="W483" s="12" t="s">
        <v>1352</v>
      </c>
      <c r="X483" s="12" t="s">
        <v>2049</v>
      </c>
      <c r="Y483" s="10" t="n">
        <f aca="false">G483</f>
        <v>65</v>
      </c>
      <c r="Z483" s="10" t="n">
        <f aca="false">H483</f>
        <v>65</v>
      </c>
      <c r="AA483" s="10" t="n">
        <f aca="false">I483</f>
        <v>22</v>
      </c>
      <c r="AB483" s="10" t="n">
        <f aca="false">J483</f>
        <v>9</v>
      </c>
      <c r="AC483" s="9" t="s">
        <v>2051</v>
      </c>
      <c r="AD483" s="9" t="s">
        <v>2052</v>
      </c>
      <c r="AE483" s="9" t="str">
        <f aca="false">IF($AK483=0,"",INDEX('Part types'!$T:$T,$AK483)&amp;"")</f>
        <v>All vehicles</v>
      </c>
      <c r="AF483" s="9" t="str">
        <f aca="false">IF($AK483=0,"",INDEX('Part types'!$U:$U,$AK483)&amp;"")</f>
        <v/>
      </c>
      <c r="AG483" s="9" t="str">
        <f aca="false">IF($AK483=0,"",INDEX('Part types'!$V:$V,$AK483)&amp;"")</f>
        <v>Estimate: item-specific</v>
      </c>
      <c r="AH483" s="9" t="str">
        <f aca="false">IF($AK483=0,"",INDEX('Part types'!$W:$W,$AK483)&amp;"")</f>
        <v>Tire; Passenger Car</v>
      </c>
      <c r="AI483" s="11" t="str">
        <f aca="false">IF($AK483=0,"",INDEX('Part types'!$X:$X,$AK483)&amp;"")</f>
        <v/>
      </c>
      <c r="AJ483" s="9" t="str">
        <f aca="false">IF($AK483=0,"",INDEX('Part types'!$Y:$Y,$AK483)&amp;"")</f>
        <v/>
      </c>
      <c r="AK483" s="9" t="n">
        <f aca="false">IFERROR(MATCH($AD483,'Part types'!$E:$E,0),0)</f>
        <v>329</v>
      </c>
    </row>
    <row r="484" customFormat="false" ht="15" hidden="false" customHeight="false" outlineLevel="0" collapsed="false">
      <c r="A484" s="9" t="s">
        <v>2053</v>
      </c>
      <c r="B484" s="9" t="s">
        <v>2043</v>
      </c>
      <c r="C484" s="9" t="s">
        <v>2044</v>
      </c>
      <c r="D484" s="9" t="str">
        <f aca="false">C484&amp;" - "&amp;E484</f>
        <v>Passenger Tire - Front-Right</v>
      </c>
      <c r="E484" s="9" t="s">
        <v>1356</v>
      </c>
      <c r="F484" s="9" t="s">
        <v>2045</v>
      </c>
      <c r="G484" s="10" t="n">
        <f aca="false">IF($AK484=0,"",INDEX('Part types'!$P:$P,$AK484))</f>
        <v>65</v>
      </c>
      <c r="H484" s="10" t="n">
        <f aca="false">IF($AK484=0,"",INDEX('Part types'!$Q:$Q,$AK484))</f>
        <v>65</v>
      </c>
      <c r="I484" s="10" t="n">
        <f aca="false">IF($AK484=0,"",INDEX('Part types'!$R:$R,$AK484))</f>
        <v>22</v>
      </c>
      <c r="J484" s="10" t="n">
        <f aca="false">IF($AK484=0,"",INDEX('Part types'!$S:$S,$AK484))</f>
        <v>9</v>
      </c>
      <c r="K484" s="11" t="s">
        <v>2046</v>
      </c>
      <c r="L484" s="11" t="s">
        <v>2047</v>
      </c>
      <c r="M484" s="11" t="str">
        <f aca="false">L484&amp;" - "&amp;N484</f>
        <v>إطار سيارة ركاب - أمامي يمين</v>
      </c>
      <c r="N484" s="11" t="s">
        <v>1357</v>
      </c>
      <c r="O484" s="11" t="s">
        <v>2048</v>
      </c>
      <c r="P484" s="10" t="n">
        <f aca="false">G484</f>
        <v>65</v>
      </c>
      <c r="Q484" s="10" t="n">
        <f aca="false">H484</f>
        <v>65</v>
      </c>
      <c r="R484" s="10" t="n">
        <f aca="false">I484</f>
        <v>22</v>
      </c>
      <c r="S484" s="10" t="n">
        <f aca="false">J484</f>
        <v>9</v>
      </c>
      <c r="T484" s="12" t="s">
        <v>2049</v>
      </c>
      <c r="U484" s="12" t="s">
        <v>2050</v>
      </c>
      <c r="V484" s="9" t="str">
        <f aca="false">U484&amp;" - "&amp;W484</f>
        <v>轿车轮胎 - 前右</v>
      </c>
      <c r="W484" s="12" t="s">
        <v>1358</v>
      </c>
      <c r="X484" s="12" t="s">
        <v>2049</v>
      </c>
      <c r="Y484" s="10" t="n">
        <f aca="false">G484</f>
        <v>65</v>
      </c>
      <c r="Z484" s="10" t="n">
        <f aca="false">H484</f>
        <v>65</v>
      </c>
      <c r="AA484" s="10" t="n">
        <f aca="false">I484</f>
        <v>22</v>
      </c>
      <c r="AB484" s="10" t="n">
        <f aca="false">J484</f>
        <v>9</v>
      </c>
      <c r="AC484" s="9" t="s">
        <v>2051</v>
      </c>
      <c r="AD484" s="9" t="s">
        <v>2052</v>
      </c>
      <c r="AE484" s="9" t="str">
        <f aca="false">IF($AK484=0,"",INDEX('Part types'!$T:$T,$AK484)&amp;"")</f>
        <v>All vehicles</v>
      </c>
      <c r="AF484" s="9" t="str">
        <f aca="false">IF($AK484=0,"",INDEX('Part types'!$U:$U,$AK484)&amp;"")</f>
        <v/>
      </c>
      <c r="AG484" s="9" t="str">
        <f aca="false">IF($AK484=0,"",INDEX('Part types'!$V:$V,$AK484)&amp;"")</f>
        <v>Estimate: item-specific</v>
      </c>
      <c r="AH484" s="9" t="str">
        <f aca="false">IF($AK484=0,"",INDEX('Part types'!$W:$W,$AK484)&amp;"")</f>
        <v>Tire; Passenger Car</v>
      </c>
      <c r="AI484" s="11" t="str">
        <f aca="false">IF($AK484=0,"",INDEX('Part types'!$X:$X,$AK484)&amp;"")</f>
        <v/>
      </c>
      <c r="AJ484" s="9" t="str">
        <f aca="false">IF($AK484=0,"",INDEX('Part types'!$Y:$Y,$AK484)&amp;"")</f>
        <v/>
      </c>
      <c r="AK484" s="9" t="n">
        <f aca="false">IFERROR(MATCH($AD484,'Part types'!$E:$E,0),0)</f>
        <v>329</v>
      </c>
    </row>
    <row r="485" customFormat="false" ht="15" hidden="false" customHeight="false" outlineLevel="0" collapsed="false">
      <c r="A485" s="9" t="s">
        <v>2054</v>
      </c>
      <c r="B485" s="9" t="s">
        <v>2043</v>
      </c>
      <c r="C485" s="9" t="s">
        <v>2044</v>
      </c>
      <c r="D485" s="9" t="str">
        <f aca="false">C485&amp;" - "&amp;E485</f>
        <v>Passenger Tire - Rear-Left</v>
      </c>
      <c r="E485" s="9" t="s">
        <v>1360</v>
      </c>
      <c r="F485" s="9" t="s">
        <v>2045</v>
      </c>
      <c r="G485" s="10" t="n">
        <f aca="false">IF($AK485=0,"",INDEX('Part types'!$P:$P,$AK485))</f>
        <v>65</v>
      </c>
      <c r="H485" s="10" t="n">
        <f aca="false">IF($AK485=0,"",INDEX('Part types'!$Q:$Q,$AK485))</f>
        <v>65</v>
      </c>
      <c r="I485" s="10" t="n">
        <f aca="false">IF($AK485=0,"",INDEX('Part types'!$R:$R,$AK485))</f>
        <v>22</v>
      </c>
      <c r="J485" s="10" t="n">
        <f aca="false">IF($AK485=0,"",INDEX('Part types'!$S:$S,$AK485))</f>
        <v>9</v>
      </c>
      <c r="K485" s="11" t="s">
        <v>2046</v>
      </c>
      <c r="L485" s="11" t="s">
        <v>2047</v>
      </c>
      <c r="M485" s="11" t="str">
        <f aca="false">L485&amp;" - "&amp;N485</f>
        <v>إطار سيارة ركاب - خلفي يسار</v>
      </c>
      <c r="N485" s="11" t="s">
        <v>1361</v>
      </c>
      <c r="O485" s="11" t="s">
        <v>2048</v>
      </c>
      <c r="P485" s="10" t="n">
        <f aca="false">G485</f>
        <v>65</v>
      </c>
      <c r="Q485" s="10" t="n">
        <f aca="false">H485</f>
        <v>65</v>
      </c>
      <c r="R485" s="10" t="n">
        <f aca="false">I485</f>
        <v>22</v>
      </c>
      <c r="S485" s="10" t="n">
        <f aca="false">J485</f>
        <v>9</v>
      </c>
      <c r="T485" s="12" t="s">
        <v>2049</v>
      </c>
      <c r="U485" s="12" t="s">
        <v>2050</v>
      </c>
      <c r="V485" s="9" t="str">
        <f aca="false">U485&amp;" - "&amp;W485</f>
        <v>轿车轮胎 - 后左</v>
      </c>
      <c r="W485" s="12" t="s">
        <v>1362</v>
      </c>
      <c r="X485" s="12" t="s">
        <v>2049</v>
      </c>
      <c r="Y485" s="10" t="n">
        <f aca="false">G485</f>
        <v>65</v>
      </c>
      <c r="Z485" s="10" t="n">
        <f aca="false">H485</f>
        <v>65</v>
      </c>
      <c r="AA485" s="10" t="n">
        <f aca="false">I485</f>
        <v>22</v>
      </c>
      <c r="AB485" s="10" t="n">
        <f aca="false">J485</f>
        <v>9</v>
      </c>
      <c r="AC485" s="9" t="s">
        <v>2051</v>
      </c>
      <c r="AD485" s="9" t="s">
        <v>2052</v>
      </c>
      <c r="AE485" s="9" t="str">
        <f aca="false">IF($AK485=0,"",INDEX('Part types'!$T:$T,$AK485)&amp;"")</f>
        <v>All vehicles</v>
      </c>
      <c r="AF485" s="9" t="str">
        <f aca="false">IF($AK485=0,"",INDEX('Part types'!$U:$U,$AK485)&amp;"")</f>
        <v/>
      </c>
      <c r="AG485" s="9" t="str">
        <f aca="false">IF($AK485=0,"",INDEX('Part types'!$V:$V,$AK485)&amp;"")</f>
        <v>Estimate: item-specific</v>
      </c>
      <c r="AH485" s="9" t="str">
        <f aca="false">IF($AK485=0,"",INDEX('Part types'!$W:$W,$AK485)&amp;"")</f>
        <v>Tire; Passenger Car</v>
      </c>
      <c r="AI485" s="11" t="str">
        <f aca="false">IF($AK485=0,"",INDEX('Part types'!$X:$X,$AK485)&amp;"")</f>
        <v/>
      </c>
      <c r="AJ485" s="9" t="str">
        <f aca="false">IF($AK485=0,"",INDEX('Part types'!$Y:$Y,$AK485)&amp;"")</f>
        <v/>
      </c>
      <c r="AK485" s="9" t="n">
        <f aca="false">IFERROR(MATCH($AD485,'Part types'!$E:$E,0),0)</f>
        <v>329</v>
      </c>
    </row>
    <row r="486" customFormat="false" ht="15" hidden="false" customHeight="false" outlineLevel="0" collapsed="false">
      <c r="A486" s="9" t="s">
        <v>2055</v>
      </c>
      <c r="B486" s="9" t="s">
        <v>2043</v>
      </c>
      <c r="C486" s="9" t="s">
        <v>2044</v>
      </c>
      <c r="D486" s="9" t="str">
        <f aca="false">C486&amp;" - "&amp;E486</f>
        <v>Passenger Tire - Rear-Right</v>
      </c>
      <c r="E486" s="9" t="s">
        <v>1364</v>
      </c>
      <c r="F486" s="9" t="s">
        <v>2045</v>
      </c>
      <c r="G486" s="10" t="n">
        <f aca="false">IF($AK486=0,"",INDEX('Part types'!$P:$P,$AK486))</f>
        <v>65</v>
      </c>
      <c r="H486" s="10" t="n">
        <f aca="false">IF($AK486=0,"",INDEX('Part types'!$Q:$Q,$AK486))</f>
        <v>65</v>
      </c>
      <c r="I486" s="10" t="n">
        <f aca="false">IF($AK486=0,"",INDEX('Part types'!$R:$R,$AK486))</f>
        <v>22</v>
      </c>
      <c r="J486" s="10" t="n">
        <f aca="false">IF($AK486=0,"",INDEX('Part types'!$S:$S,$AK486))</f>
        <v>9</v>
      </c>
      <c r="K486" s="11" t="s">
        <v>2046</v>
      </c>
      <c r="L486" s="11" t="s">
        <v>2047</v>
      </c>
      <c r="M486" s="11" t="str">
        <f aca="false">L486&amp;" - "&amp;N486</f>
        <v>إطار سيارة ركاب - خلفي يمين</v>
      </c>
      <c r="N486" s="11" t="s">
        <v>1365</v>
      </c>
      <c r="O486" s="11" t="s">
        <v>2048</v>
      </c>
      <c r="P486" s="10" t="n">
        <f aca="false">G486</f>
        <v>65</v>
      </c>
      <c r="Q486" s="10" t="n">
        <f aca="false">H486</f>
        <v>65</v>
      </c>
      <c r="R486" s="10" t="n">
        <f aca="false">I486</f>
        <v>22</v>
      </c>
      <c r="S486" s="10" t="n">
        <f aca="false">J486</f>
        <v>9</v>
      </c>
      <c r="T486" s="12" t="s">
        <v>2049</v>
      </c>
      <c r="U486" s="12" t="s">
        <v>2050</v>
      </c>
      <c r="V486" s="9" t="str">
        <f aca="false">U486&amp;" - "&amp;W486</f>
        <v>轿车轮胎 - 后右</v>
      </c>
      <c r="W486" s="12" t="s">
        <v>1366</v>
      </c>
      <c r="X486" s="12" t="s">
        <v>2049</v>
      </c>
      <c r="Y486" s="10" t="n">
        <f aca="false">G486</f>
        <v>65</v>
      </c>
      <c r="Z486" s="10" t="n">
        <f aca="false">H486</f>
        <v>65</v>
      </c>
      <c r="AA486" s="10" t="n">
        <f aca="false">I486</f>
        <v>22</v>
      </c>
      <c r="AB486" s="10" t="n">
        <f aca="false">J486</f>
        <v>9</v>
      </c>
      <c r="AC486" s="9" t="s">
        <v>2051</v>
      </c>
      <c r="AD486" s="9" t="s">
        <v>2052</v>
      </c>
      <c r="AE486" s="9" t="str">
        <f aca="false">IF($AK486=0,"",INDEX('Part types'!$T:$T,$AK486)&amp;"")</f>
        <v>All vehicles</v>
      </c>
      <c r="AF486" s="9" t="str">
        <f aca="false">IF($AK486=0,"",INDEX('Part types'!$U:$U,$AK486)&amp;"")</f>
        <v/>
      </c>
      <c r="AG486" s="9" t="str">
        <f aca="false">IF($AK486=0,"",INDEX('Part types'!$V:$V,$AK486)&amp;"")</f>
        <v>Estimate: item-specific</v>
      </c>
      <c r="AH486" s="9" t="str">
        <f aca="false">IF($AK486=0,"",INDEX('Part types'!$W:$W,$AK486)&amp;"")</f>
        <v>Tire; Passenger Car</v>
      </c>
      <c r="AI486" s="11" t="str">
        <f aca="false">IF($AK486=0,"",INDEX('Part types'!$X:$X,$AK486)&amp;"")</f>
        <v/>
      </c>
      <c r="AJ486" s="9" t="str">
        <f aca="false">IF($AK486=0,"",INDEX('Part types'!$Y:$Y,$AK486)&amp;"")</f>
        <v/>
      </c>
      <c r="AK486" s="9" t="n">
        <f aca="false">IFERROR(MATCH($AD486,'Part types'!$E:$E,0),0)</f>
        <v>329</v>
      </c>
    </row>
    <row r="487" customFormat="false" ht="15" hidden="false" customHeight="false" outlineLevel="0" collapsed="false">
      <c r="A487" s="9" t="s">
        <v>2056</v>
      </c>
      <c r="B487" s="9" t="s">
        <v>2043</v>
      </c>
      <c r="C487" s="9" t="s">
        <v>2057</v>
      </c>
      <c r="D487" s="9" t="str">
        <f aca="false">C487&amp;" - "&amp;E487</f>
        <v>SUV Tire - Front-Left</v>
      </c>
      <c r="E487" s="9" t="s">
        <v>1346</v>
      </c>
      <c r="F487" s="9" t="s">
        <v>2045</v>
      </c>
      <c r="G487" s="10" t="n">
        <f aca="false">IF($AK487=0,"",INDEX('Part types'!$P:$P,$AK487))</f>
        <v>75</v>
      </c>
      <c r="H487" s="10" t="n">
        <f aca="false">IF($AK487=0,"",INDEX('Part types'!$Q:$Q,$AK487))</f>
        <v>75</v>
      </c>
      <c r="I487" s="10" t="n">
        <f aca="false">IF($AK487=0,"",INDEX('Part types'!$R:$R,$AK487))</f>
        <v>25</v>
      </c>
      <c r="J487" s="10" t="n">
        <f aca="false">IF($AK487=0,"",INDEX('Part types'!$S:$S,$AK487))</f>
        <v>13</v>
      </c>
      <c r="K487" s="11" t="s">
        <v>2046</v>
      </c>
      <c r="L487" s="11" t="s">
        <v>2058</v>
      </c>
      <c r="M487" s="11" t="str">
        <f aca="false">L487&amp;" - "&amp;N487</f>
        <v>إطار دفع رباعي - أمامي يسار</v>
      </c>
      <c r="N487" s="11" t="s">
        <v>1349</v>
      </c>
      <c r="O487" s="11" t="s">
        <v>2048</v>
      </c>
      <c r="P487" s="10" t="n">
        <f aca="false">G487</f>
        <v>75</v>
      </c>
      <c r="Q487" s="10" t="n">
        <f aca="false">H487</f>
        <v>75</v>
      </c>
      <c r="R487" s="10" t="n">
        <f aca="false">I487</f>
        <v>25</v>
      </c>
      <c r="S487" s="10" t="n">
        <f aca="false">J487</f>
        <v>13</v>
      </c>
      <c r="T487" s="12" t="s">
        <v>2049</v>
      </c>
      <c r="U487" s="9" t="s">
        <v>2059</v>
      </c>
      <c r="V487" s="9" t="str">
        <f aca="false">U487&amp;" - "&amp;W487</f>
        <v>SUV轮胎 - 前左</v>
      </c>
      <c r="W487" s="12" t="s">
        <v>1352</v>
      </c>
      <c r="X487" s="12" t="s">
        <v>2049</v>
      </c>
      <c r="Y487" s="10" t="n">
        <f aca="false">G487</f>
        <v>75</v>
      </c>
      <c r="Z487" s="10" t="n">
        <f aca="false">H487</f>
        <v>75</v>
      </c>
      <c r="AA487" s="10" t="n">
        <f aca="false">I487</f>
        <v>25</v>
      </c>
      <c r="AB487" s="10" t="n">
        <f aca="false">J487</f>
        <v>13</v>
      </c>
      <c r="AC487" s="9" t="s">
        <v>2051</v>
      </c>
      <c r="AD487" s="9" t="s">
        <v>2060</v>
      </c>
      <c r="AE487" s="9" t="str">
        <f aca="false">IF($AK487=0,"",INDEX('Part types'!$T:$T,$AK487)&amp;"")</f>
        <v>All vehicles</v>
      </c>
      <c r="AF487" s="9" t="str">
        <f aca="false">IF($AK487=0,"",INDEX('Part types'!$U:$U,$AK487)&amp;"")</f>
        <v/>
      </c>
      <c r="AG487" s="9" t="str">
        <f aca="false">IF($AK487=0,"",INDEX('Part types'!$V:$V,$AK487)&amp;"")</f>
        <v>Estimate: item-specific</v>
      </c>
      <c r="AH487" s="9" t="str">
        <f aca="false">IF($AK487=0,"",INDEX('Part types'!$W:$W,$AK487)&amp;"")</f>
        <v>Tire; SUV / 4x4</v>
      </c>
      <c r="AI487" s="11" t="str">
        <f aca="false">IF($AK487=0,"",INDEX('Part types'!$X:$X,$AK487)&amp;"")</f>
        <v>SUV</v>
      </c>
      <c r="AJ487" s="9" t="str">
        <f aca="false">IF($AK487=0,"",INDEX('Part types'!$Y:$Y,$AK487)&amp;"")</f>
        <v/>
      </c>
      <c r="AK487" s="9" t="n">
        <f aca="false">IFERROR(MATCH($AD487,'Part types'!$E:$E,0),0)</f>
        <v>330</v>
      </c>
    </row>
    <row r="488" customFormat="false" ht="15" hidden="false" customHeight="false" outlineLevel="0" collapsed="false">
      <c r="A488" s="9" t="s">
        <v>2061</v>
      </c>
      <c r="B488" s="9" t="s">
        <v>2043</v>
      </c>
      <c r="C488" s="9" t="s">
        <v>2057</v>
      </c>
      <c r="D488" s="9" t="str">
        <f aca="false">C488&amp;" - "&amp;E488</f>
        <v>SUV Tire - Front-Right</v>
      </c>
      <c r="E488" s="9" t="s">
        <v>1356</v>
      </c>
      <c r="F488" s="9" t="s">
        <v>2045</v>
      </c>
      <c r="G488" s="10" t="n">
        <f aca="false">IF($AK488=0,"",INDEX('Part types'!$P:$P,$AK488))</f>
        <v>75</v>
      </c>
      <c r="H488" s="10" t="n">
        <f aca="false">IF($AK488=0,"",INDEX('Part types'!$Q:$Q,$AK488))</f>
        <v>75</v>
      </c>
      <c r="I488" s="10" t="n">
        <f aca="false">IF($AK488=0,"",INDEX('Part types'!$R:$R,$AK488))</f>
        <v>25</v>
      </c>
      <c r="J488" s="10" t="n">
        <f aca="false">IF($AK488=0,"",INDEX('Part types'!$S:$S,$AK488))</f>
        <v>13</v>
      </c>
      <c r="K488" s="11" t="s">
        <v>2046</v>
      </c>
      <c r="L488" s="11" t="s">
        <v>2058</v>
      </c>
      <c r="M488" s="11" t="str">
        <f aca="false">L488&amp;" - "&amp;N488</f>
        <v>إطار دفع رباعي - أمامي يمين</v>
      </c>
      <c r="N488" s="11" t="s">
        <v>1357</v>
      </c>
      <c r="O488" s="11" t="s">
        <v>2048</v>
      </c>
      <c r="P488" s="10" t="n">
        <f aca="false">G488</f>
        <v>75</v>
      </c>
      <c r="Q488" s="10" t="n">
        <f aca="false">H488</f>
        <v>75</v>
      </c>
      <c r="R488" s="10" t="n">
        <f aca="false">I488</f>
        <v>25</v>
      </c>
      <c r="S488" s="10" t="n">
        <f aca="false">J488</f>
        <v>13</v>
      </c>
      <c r="T488" s="12" t="s">
        <v>2049</v>
      </c>
      <c r="U488" s="9" t="s">
        <v>2059</v>
      </c>
      <c r="V488" s="9" t="str">
        <f aca="false">U488&amp;" - "&amp;W488</f>
        <v>SUV轮胎 - 前右</v>
      </c>
      <c r="W488" s="12" t="s">
        <v>1358</v>
      </c>
      <c r="X488" s="12" t="s">
        <v>2049</v>
      </c>
      <c r="Y488" s="10" t="n">
        <f aca="false">G488</f>
        <v>75</v>
      </c>
      <c r="Z488" s="10" t="n">
        <f aca="false">H488</f>
        <v>75</v>
      </c>
      <c r="AA488" s="10" t="n">
        <f aca="false">I488</f>
        <v>25</v>
      </c>
      <c r="AB488" s="10" t="n">
        <f aca="false">J488</f>
        <v>13</v>
      </c>
      <c r="AC488" s="9" t="s">
        <v>2051</v>
      </c>
      <c r="AD488" s="9" t="s">
        <v>2060</v>
      </c>
      <c r="AE488" s="9" t="str">
        <f aca="false">IF($AK488=0,"",INDEX('Part types'!$T:$T,$AK488)&amp;"")</f>
        <v>All vehicles</v>
      </c>
      <c r="AF488" s="9" t="str">
        <f aca="false">IF($AK488=0,"",INDEX('Part types'!$U:$U,$AK488)&amp;"")</f>
        <v/>
      </c>
      <c r="AG488" s="9" t="str">
        <f aca="false">IF($AK488=0,"",INDEX('Part types'!$V:$V,$AK488)&amp;"")</f>
        <v>Estimate: item-specific</v>
      </c>
      <c r="AH488" s="9" t="str">
        <f aca="false">IF($AK488=0,"",INDEX('Part types'!$W:$W,$AK488)&amp;"")</f>
        <v>Tire; SUV / 4x4</v>
      </c>
      <c r="AI488" s="11" t="str">
        <f aca="false">IF($AK488=0,"",INDEX('Part types'!$X:$X,$AK488)&amp;"")</f>
        <v>SUV</v>
      </c>
      <c r="AJ488" s="9" t="str">
        <f aca="false">IF($AK488=0,"",INDEX('Part types'!$Y:$Y,$AK488)&amp;"")</f>
        <v/>
      </c>
      <c r="AK488" s="9" t="n">
        <f aca="false">IFERROR(MATCH($AD488,'Part types'!$E:$E,0),0)</f>
        <v>330</v>
      </c>
    </row>
    <row r="489" customFormat="false" ht="15" hidden="false" customHeight="false" outlineLevel="0" collapsed="false">
      <c r="A489" s="9" t="s">
        <v>2062</v>
      </c>
      <c r="B489" s="9" t="s">
        <v>2043</v>
      </c>
      <c r="C489" s="9" t="s">
        <v>2057</v>
      </c>
      <c r="D489" s="9" t="str">
        <f aca="false">C489&amp;" - "&amp;E489</f>
        <v>SUV Tire - Rear-Left</v>
      </c>
      <c r="E489" s="9" t="s">
        <v>1360</v>
      </c>
      <c r="F489" s="9" t="s">
        <v>2045</v>
      </c>
      <c r="G489" s="10" t="n">
        <f aca="false">IF($AK489=0,"",INDEX('Part types'!$P:$P,$AK489))</f>
        <v>75</v>
      </c>
      <c r="H489" s="10" t="n">
        <f aca="false">IF($AK489=0,"",INDEX('Part types'!$Q:$Q,$AK489))</f>
        <v>75</v>
      </c>
      <c r="I489" s="10" t="n">
        <f aca="false">IF($AK489=0,"",INDEX('Part types'!$R:$R,$AK489))</f>
        <v>25</v>
      </c>
      <c r="J489" s="10" t="n">
        <f aca="false">IF($AK489=0,"",INDEX('Part types'!$S:$S,$AK489))</f>
        <v>13</v>
      </c>
      <c r="K489" s="11" t="s">
        <v>2046</v>
      </c>
      <c r="L489" s="11" t="s">
        <v>2058</v>
      </c>
      <c r="M489" s="11" t="str">
        <f aca="false">L489&amp;" - "&amp;N489</f>
        <v>إطار دفع رباعي - خلفي يسار</v>
      </c>
      <c r="N489" s="11" t="s">
        <v>1361</v>
      </c>
      <c r="O489" s="11" t="s">
        <v>2048</v>
      </c>
      <c r="P489" s="10" t="n">
        <f aca="false">G489</f>
        <v>75</v>
      </c>
      <c r="Q489" s="10" t="n">
        <f aca="false">H489</f>
        <v>75</v>
      </c>
      <c r="R489" s="10" t="n">
        <f aca="false">I489</f>
        <v>25</v>
      </c>
      <c r="S489" s="10" t="n">
        <f aca="false">J489</f>
        <v>13</v>
      </c>
      <c r="T489" s="12" t="s">
        <v>2049</v>
      </c>
      <c r="U489" s="9" t="s">
        <v>2059</v>
      </c>
      <c r="V489" s="9" t="str">
        <f aca="false">U489&amp;" - "&amp;W489</f>
        <v>SUV轮胎 - 后左</v>
      </c>
      <c r="W489" s="12" t="s">
        <v>1362</v>
      </c>
      <c r="X489" s="12" t="s">
        <v>2049</v>
      </c>
      <c r="Y489" s="10" t="n">
        <f aca="false">G489</f>
        <v>75</v>
      </c>
      <c r="Z489" s="10" t="n">
        <f aca="false">H489</f>
        <v>75</v>
      </c>
      <c r="AA489" s="10" t="n">
        <f aca="false">I489</f>
        <v>25</v>
      </c>
      <c r="AB489" s="10" t="n">
        <f aca="false">J489</f>
        <v>13</v>
      </c>
      <c r="AC489" s="9" t="s">
        <v>2051</v>
      </c>
      <c r="AD489" s="9" t="s">
        <v>2060</v>
      </c>
      <c r="AE489" s="9" t="str">
        <f aca="false">IF($AK489=0,"",INDEX('Part types'!$T:$T,$AK489)&amp;"")</f>
        <v>All vehicles</v>
      </c>
      <c r="AF489" s="9" t="str">
        <f aca="false">IF($AK489=0,"",INDEX('Part types'!$U:$U,$AK489)&amp;"")</f>
        <v/>
      </c>
      <c r="AG489" s="9" t="str">
        <f aca="false">IF($AK489=0,"",INDEX('Part types'!$V:$V,$AK489)&amp;"")</f>
        <v>Estimate: item-specific</v>
      </c>
      <c r="AH489" s="9" t="str">
        <f aca="false">IF($AK489=0,"",INDEX('Part types'!$W:$W,$AK489)&amp;"")</f>
        <v>Tire; SUV / 4x4</v>
      </c>
      <c r="AI489" s="11" t="str">
        <f aca="false">IF($AK489=0,"",INDEX('Part types'!$X:$X,$AK489)&amp;"")</f>
        <v>SUV</v>
      </c>
      <c r="AJ489" s="9" t="str">
        <f aca="false">IF($AK489=0,"",INDEX('Part types'!$Y:$Y,$AK489)&amp;"")</f>
        <v/>
      </c>
      <c r="AK489" s="9" t="n">
        <f aca="false">IFERROR(MATCH($AD489,'Part types'!$E:$E,0),0)</f>
        <v>330</v>
      </c>
    </row>
    <row r="490" customFormat="false" ht="15" hidden="false" customHeight="false" outlineLevel="0" collapsed="false">
      <c r="A490" s="9" t="s">
        <v>2063</v>
      </c>
      <c r="B490" s="9" t="s">
        <v>2043</v>
      </c>
      <c r="C490" s="9" t="s">
        <v>2057</v>
      </c>
      <c r="D490" s="9" t="str">
        <f aca="false">C490&amp;" - "&amp;E490</f>
        <v>SUV Tire - Rear-Right</v>
      </c>
      <c r="E490" s="9" t="s">
        <v>1364</v>
      </c>
      <c r="F490" s="9" t="s">
        <v>2045</v>
      </c>
      <c r="G490" s="10" t="n">
        <f aca="false">IF($AK490=0,"",INDEX('Part types'!$P:$P,$AK490))</f>
        <v>75</v>
      </c>
      <c r="H490" s="10" t="n">
        <f aca="false">IF($AK490=0,"",INDEX('Part types'!$Q:$Q,$AK490))</f>
        <v>75</v>
      </c>
      <c r="I490" s="10" t="n">
        <f aca="false">IF($AK490=0,"",INDEX('Part types'!$R:$R,$AK490))</f>
        <v>25</v>
      </c>
      <c r="J490" s="10" t="n">
        <f aca="false">IF($AK490=0,"",INDEX('Part types'!$S:$S,$AK490))</f>
        <v>13</v>
      </c>
      <c r="K490" s="11" t="s">
        <v>2046</v>
      </c>
      <c r="L490" s="11" t="s">
        <v>2058</v>
      </c>
      <c r="M490" s="11" t="str">
        <f aca="false">L490&amp;" - "&amp;N490</f>
        <v>إطار دفع رباعي - خلفي يمين</v>
      </c>
      <c r="N490" s="11" t="s">
        <v>1365</v>
      </c>
      <c r="O490" s="11" t="s">
        <v>2048</v>
      </c>
      <c r="P490" s="10" t="n">
        <f aca="false">G490</f>
        <v>75</v>
      </c>
      <c r="Q490" s="10" t="n">
        <f aca="false">H490</f>
        <v>75</v>
      </c>
      <c r="R490" s="10" t="n">
        <f aca="false">I490</f>
        <v>25</v>
      </c>
      <c r="S490" s="10" t="n">
        <f aca="false">J490</f>
        <v>13</v>
      </c>
      <c r="T490" s="12" t="s">
        <v>2049</v>
      </c>
      <c r="U490" s="9" t="s">
        <v>2059</v>
      </c>
      <c r="V490" s="9" t="str">
        <f aca="false">U490&amp;" - "&amp;W490</f>
        <v>SUV轮胎 - 后右</v>
      </c>
      <c r="W490" s="12" t="s">
        <v>1366</v>
      </c>
      <c r="X490" s="12" t="s">
        <v>2049</v>
      </c>
      <c r="Y490" s="10" t="n">
        <f aca="false">G490</f>
        <v>75</v>
      </c>
      <c r="Z490" s="10" t="n">
        <f aca="false">H490</f>
        <v>75</v>
      </c>
      <c r="AA490" s="10" t="n">
        <f aca="false">I490</f>
        <v>25</v>
      </c>
      <c r="AB490" s="10" t="n">
        <f aca="false">J490</f>
        <v>13</v>
      </c>
      <c r="AC490" s="9" t="s">
        <v>2051</v>
      </c>
      <c r="AD490" s="9" t="s">
        <v>2060</v>
      </c>
      <c r="AE490" s="9" t="str">
        <f aca="false">IF($AK490=0,"",INDEX('Part types'!$T:$T,$AK490)&amp;"")</f>
        <v>All vehicles</v>
      </c>
      <c r="AF490" s="9" t="str">
        <f aca="false">IF($AK490=0,"",INDEX('Part types'!$U:$U,$AK490)&amp;"")</f>
        <v/>
      </c>
      <c r="AG490" s="9" t="str">
        <f aca="false">IF($AK490=0,"",INDEX('Part types'!$V:$V,$AK490)&amp;"")</f>
        <v>Estimate: item-specific</v>
      </c>
      <c r="AH490" s="9" t="str">
        <f aca="false">IF($AK490=0,"",INDEX('Part types'!$W:$W,$AK490)&amp;"")</f>
        <v>Tire; SUV / 4x4</v>
      </c>
      <c r="AI490" s="11" t="str">
        <f aca="false">IF($AK490=0,"",INDEX('Part types'!$X:$X,$AK490)&amp;"")</f>
        <v>SUV</v>
      </c>
      <c r="AJ490" s="9" t="str">
        <f aca="false">IF($AK490=0,"",INDEX('Part types'!$Y:$Y,$AK490)&amp;"")</f>
        <v/>
      </c>
      <c r="AK490" s="9" t="n">
        <f aca="false">IFERROR(MATCH($AD490,'Part types'!$E:$E,0),0)</f>
        <v>330</v>
      </c>
    </row>
    <row r="491" customFormat="false" ht="15" hidden="false" customHeight="false" outlineLevel="0" collapsed="false">
      <c r="A491" s="9" t="s">
        <v>2064</v>
      </c>
      <c r="B491" s="9" t="s">
        <v>2043</v>
      </c>
      <c r="C491" s="9" t="s">
        <v>2065</v>
      </c>
      <c r="D491" s="9" t="str">
        <f aca="false">C491&amp;" - "&amp;E491</f>
        <v>Light Truck Tire - Front-Left</v>
      </c>
      <c r="E491" s="9" t="s">
        <v>1346</v>
      </c>
      <c r="F491" s="9" t="s">
        <v>2045</v>
      </c>
      <c r="G491" s="10" t="n">
        <f aca="false">IF($AK491=0,"",INDEX('Part types'!$P:$P,$AK491))</f>
        <v>80</v>
      </c>
      <c r="H491" s="10" t="n">
        <f aca="false">IF($AK491=0,"",INDEX('Part types'!$Q:$Q,$AK491))</f>
        <v>80</v>
      </c>
      <c r="I491" s="10" t="n">
        <f aca="false">IF($AK491=0,"",INDEX('Part types'!$R:$R,$AK491))</f>
        <v>25</v>
      </c>
      <c r="J491" s="10" t="n">
        <f aca="false">IF($AK491=0,"",INDEX('Part types'!$S:$S,$AK491))</f>
        <v>16</v>
      </c>
      <c r="K491" s="11" t="s">
        <v>2046</v>
      </c>
      <c r="L491" s="11" t="s">
        <v>2066</v>
      </c>
      <c r="M491" s="11" t="str">
        <f aca="false">L491&amp;" - "&amp;N491</f>
        <v>إطار شاحنة خفيفة - أمامي يسار</v>
      </c>
      <c r="N491" s="11" t="s">
        <v>1349</v>
      </c>
      <c r="O491" s="11" t="s">
        <v>2048</v>
      </c>
      <c r="P491" s="10" t="n">
        <f aca="false">G491</f>
        <v>80</v>
      </c>
      <c r="Q491" s="10" t="n">
        <f aca="false">H491</f>
        <v>80</v>
      </c>
      <c r="R491" s="10" t="n">
        <f aca="false">I491</f>
        <v>25</v>
      </c>
      <c r="S491" s="10" t="n">
        <f aca="false">J491</f>
        <v>16</v>
      </c>
      <c r="T491" s="12" t="s">
        <v>2049</v>
      </c>
      <c r="U491" s="12" t="s">
        <v>2067</v>
      </c>
      <c r="V491" s="9" t="str">
        <f aca="false">U491&amp;" - "&amp;W491</f>
        <v>轻型卡车轮胎 - 前左</v>
      </c>
      <c r="W491" s="12" t="s">
        <v>1352</v>
      </c>
      <c r="X491" s="12" t="s">
        <v>2049</v>
      </c>
      <c r="Y491" s="10" t="n">
        <f aca="false">G491</f>
        <v>80</v>
      </c>
      <c r="Z491" s="10" t="n">
        <f aca="false">H491</f>
        <v>80</v>
      </c>
      <c r="AA491" s="10" t="n">
        <f aca="false">I491</f>
        <v>25</v>
      </c>
      <c r="AB491" s="10" t="n">
        <f aca="false">J491</f>
        <v>16</v>
      </c>
      <c r="AC491" s="9" t="s">
        <v>2051</v>
      </c>
      <c r="AD491" s="9" t="s">
        <v>2068</v>
      </c>
      <c r="AE491" s="9" t="str">
        <f aca="false">IF($AK491=0,"",INDEX('Part types'!$T:$T,$AK491)&amp;"")</f>
        <v>All vehicles</v>
      </c>
      <c r="AF491" s="9" t="str">
        <f aca="false">IF($AK491=0,"",INDEX('Part types'!$U:$U,$AK491)&amp;"")</f>
        <v/>
      </c>
      <c r="AG491" s="9" t="str">
        <f aca="false">IF($AK491=0,"",INDEX('Part types'!$V:$V,$AK491)&amp;"")</f>
        <v>Estimate: item-specific</v>
      </c>
      <c r="AH491" s="9" t="str">
        <f aca="false">IF($AK491=0,"",INDEX('Part types'!$W:$W,$AK491)&amp;"")</f>
        <v>Tire; Light Truck / Van</v>
      </c>
      <c r="AI491" s="11" t="str">
        <f aca="false">IF($AK491=0,"",INDEX('Part types'!$X:$X,$AK491)&amp;"")</f>
        <v/>
      </c>
      <c r="AJ491" s="9" t="str">
        <f aca="false">IF($AK491=0,"",INDEX('Part types'!$Y:$Y,$AK491)&amp;"")</f>
        <v/>
      </c>
      <c r="AK491" s="9" t="n">
        <f aca="false">IFERROR(MATCH($AD491,'Part types'!$E:$E,0),0)</f>
        <v>331</v>
      </c>
    </row>
    <row r="492" customFormat="false" ht="15" hidden="false" customHeight="false" outlineLevel="0" collapsed="false">
      <c r="A492" s="9" t="s">
        <v>2069</v>
      </c>
      <c r="B492" s="9" t="s">
        <v>2043</v>
      </c>
      <c r="C492" s="9" t="s">
        <v>2065</v>
      </c>
      <c r="D492" s="9" t="str">
        <f aca="false">C492&amp;" - "&amp;E492</f>
        <v>Light Truck Tire - Front-Right</v>
      </c>
      <c r="E492" s="9" t="s">
        <v>1356</v>
      </c>
      <c r="F492" s="9" t="s">
        <v>2045</v>
      </c>
      <c r="G492" s="10" t="n">
        <f aca="false">IF($AK492=0,"",INDEX('Part types'!$P:$P,$AK492))</f>
        <v>80</v>
      </c>
      <c r="H492" s="10" t="n">
        <f aca="false">IF($AK492=0,"",INDEX('Part types'!$Q:$Q,$AK492))</f>
        <v>80</v>
      </c>
      <c r="I492" s="10" t="n">
        <f aca="false">IF($AK492=0,"",INDEX('Part types'!$R:$R,$AK492))</f>
        <v>25</v>
      </c>
      <c r="J492" s="10" t="n">
        <f aca="false">IF($AK492=0,"",INDEX('Part types'!$S:$S,$AK492))</f>
        <v>16</v>
      </c>
      <c r="K492" s="11" t="s">
        <v>2046</v>
      </c>
      <c r="L492" s="11" t="s">
        <v>2066</v>
      </c>
      <c r="M492" s="11" t="str">
        <f aca="false">L492&amp;" - "&amp;N492</f>
        <v>إطار شاحنة خفيفة - أمامي يمين</v>
      </c>
      <c r="N492" s="11" t="s">
        <v>1357</v>
      </c>
      <c r="O492" s="11" t="s">
        <v>2048</v>
      </c>
      <c r="P492" s="10" t="n">
        <f aca="false">G492</f>
        <v>80</v>
      </c>
      <c r="Q492" s="10" t="n">
        <f aca="false">H492</f>
        <v>80</v>
      </c>
      <c r="R492" s="10" t="n">
        <f aca="false">I492</f>
        <v>25</v>
      </c>
      <c r="S492" s="10" t="n">
        <f aca="false">J492</f>
        <v>16</v>
      </c>
      <c r="T492" s="12" t="s">
        <v>2049</v>
      </c>
      <c r="U492" s="12" t="s">
        <v>2067</v>
      </c>
      <c r="V492" s="9" t="str">
        <f aca="false">U492&amp;" - "&amp;W492</f>
        <v>轻型卡车轮胎 - 前右</v>
      </c>
      <c r="W492" s="12" t="s">
        <v>1358</v>
      </c>
      <c r="X492" s="12" t="s">
        <v>2049</v>
      </c>
      <c r="Y492" s="10" t="n">
        <f aca="false">G492</f>
        <v>80</v>
      </c>
      <c r="Z492" s="10" t="n">
        <f aca="false">H492</f>
        <v>80</v>
      </c>
      <c r="AA492" s="10" t="n">
        <f aca="false">I492</f>
        <v>25</v>
      </c>
      <c r="AB492" s="10" t="n">
        <f aca="false">J492</f>
        <v>16</v>
      </c>
      <c r="AC492" s="9" t="s">
        <v>2051</v>
      </c>
      <c r="AD492" s="9" t="s">
        <v>2068</v>
      </c>
      <c r="AE492" s="9" t="str">
        <f aca="false">IF($AK492=0,"",INDEX('Part types'!$T:$T,$AK492)&amp;"")</f>
        <v>All vehicles</v>
      </c>
      <c r="AF492" s="9" t="str">
        <f aca="false">IF($AK492=0,"",INDEX('Part types'!$U:$U,$AK492)&amp;"")</f>
        <v/>
      </c>
      <c r="AG492" s="9" t="str">
        <f aca="false">IF($AK492=0,"",INDEX('Part types'!$V:$V,$AK492)&amp;"")</f>
        <v>Estimate: item-specific</v>
      </c>
      <c r="AH492" s="9" t="str">
        <f aca="false">IF($AK492=0,"",INDEX('Part types'!$W:$W,$AK492)&amp;"")</f>
        <v>Tire; Light Truck / Van</v>
      </c>
      <c r="AI492" s="11" t="str">
        <f aca="false">IF($AK492=0,"",INDEX('Part types'!$X:$X,$AK492)&amp;"")</f>
        <v/>
      </c>
      <c r="AJ492" s="9" t="str">
        <f aca="false">IF($AK492=0,"",INDEX('Part types'!$Y:$Y,$AK492)&amp;"")</f>
        <v/>
      </c>
      <c r="AK492" s="9" t="n">
        <f aca="false">IFERROR(MATCH($AD492,'Part types'!$E:$E,0),0)</f>
        <v>331</v>
      </c>
    </row>
    <row r="493" customFormat="false" ht="15" hidden="false" customHeight="false" outlineLevel="0" collapsed="false">
      <c r="A493" s="9" t="s">
        <v>2070</v>
      </c>
      <c r="B493" s="9" t="s">
        <v>2043</v>
      </c>
      <c r="C493" s="9" t="s">
        <v>2065</v>
      </c>
      <c r="D493" s="9" t="str">
        <f aca="false">C493&amp;" - "&amp;E493</f>
        <v>Light Truck Tire - Rear-Left</v>
      </c>
      <c r="E493" s="9" t="s">
        <v>1360</v>
      </c>
      <c r="F493" s="9" t="s">
        <v>2045</v>
      </c>
      <c r="G493" s="10" t="n">
        <f aca="false">IF($AK493=0,"",INDEX('Part types'!$P:$P,$AK493))</f>
        <v>80</v>
      </c>
      <c r="H493" s="10" t="n">
        <f aca="false">IF($AK493=0,"",INDEX('Part types'!$Q:$Q,$AK493))</f>
        <v>80</v>
      </c>
      <c r="I493" s="10" t="n">
        <f aca="false">IF($AK493=0,"",INDEX('Part types'!$R:$R,$AK493))</f>
        <v>25</v>
      </c>
      <c r="J493" s="10" t="n">
        <f aca="false">IF($AK493=0,"",INDEX('Part types'!$S:$S,$AK493))</f>
        <v>16</v>
      </c>
      <c r="K493" s="11" t="s">
        <v>2046</v>
      </c>
      <c r="L493" s="11" t="s">
        <v>2066</v>
      </c>
      <c r="M493" s="11" t="str">
        <f aca="false">L493&amp;" - "&amp;N493</f>
        <v>إطار شاحنة خفيفة - خلفي يسار</v>
      </c>
      <c r="N493" s="11" t="s">
        <v>1361</v>
      </c>
      <c r="O493" s="11" t="s">
        <v>2048</v>
      </c>
      <c r="P493" s="10" t="n">
        <f aca="false">G493</f>
        <v>80</v>
      </c>
      <c r="Q493" s="10" t="n">
        <f aca="false">H493</f>
        <v>80</v>
      </c>
      <c r="R493" s="10" t="n">
        <f aca="false">I493</f>
        <v>25</v>
      </c>
      <c r="S493" s="10" t="n">
        <f aca="false">J493</f>
        <v>16</v>
      </c>
      <c r="T493" s="12" t="s">
        <v>2049</v>
      </c>
      <c r="U493" s="12" t="s">
        <v>2067</v>
      </c>
      <c r="V493" s="9" t="str">
        <f aca="false">U493&amp;" - "&amp;W493</f>
        <v>轻型卡车轮胎 - 后左</v>
      </c>
      <c r="W493" s="12" t="s">
        <v>1362</v>
      </c>
      <c r="X493" s="12" t="s">
        <v>2049</v>
      </c>
      <c r="Y493" s="10" t="n">
        <f aca="false">G493</f>
        <v>80</v>
      </c>
      <c r="Z493" s="10" t="n">
        <f aca="false">H493</f>
        <v>80</v>
      </c>
      <c r="AA493" s="10" t="n">
        <f aca="false">I493</f>
        <v>25</v>
      </c>
      <c r="AB493" s="10" t="n">
        <f aca="false">J493</f>
        <v>16</v>
      </c>
      <c r="AC493" s="9" t="s">
        <v>2051</v>
      </c>
      <c r="AD493" s="9" t="s">
        <v>2068</v>
      </c>
      <c r="AE493" s="9" t="str">
        <f aca="false">IF($AK493=0,"",INDEX('Part types'!$T:$T,$AK493)&amp;"")</f>
        <v>All vehicles</v>
      </c>
      <c r="AF493" s="9" t="str">
        <f aca="false">IF($AK493=0,"",INDEX('Part types'!$U:$U,$AK493)&amp;"")</f>
        <v/>
      </c>
      <c r="AG493" s="9" t="str">
        <f aca="false">IF($AK493=0,"",INDEX('Part types'!$V:$V,$AK493)&amp;"")</f>
        <v>Estimate: item-specific</v>
      </c>
      <c r="AH493" s="9" t="str">
        <f aca="false">IF($AK493=0,"",INDEX('Part types'!$W:$W,$AK493)&amp;"")</f>
        <v>Tire; Light Truck / Van</v>
      </c>
      <c r="AI493" s="11" t="str">
        <f aca="false">IF($AK493=0,"",INDEX('Part types'!$X:$X,$AK493)&amp;"")</f>
        <v/>
      </c>
      <c r="AJ493" s="9" t="str">
        <f aca="false">IF($AK493=0,"",INDEX('Part types'!$Y:$Y,$AK493)&amp;"")</f>
        <v/>
      </c>
      <c r="AK493" s="9" t="n">
        <f aca="false">IFERROR(MATCH($AD493,'Part types'!$E:$E,0),0)</f>
        <v>331</v>
      </c>
    </row>
    <row r="494" customFormat="false" ht="15" hidden="false" customHeight="false" outlineLevel="0" collapsed="false">
      <c r="A494" s="9" t="s">
        <v>2071</v>
      </c>
      <c r="B494" s="9" t="s">
        <v>2043</v>
      </c>
      <c r="C494" s="9" t="s">
        <v>2065</v>
      </c>
      <c r="D494" s="9" t="str">
        <f aca="false">C494&amp;" - "&amp;E494</f>
        <v>Light Truck Tire - Rear-Right</v>
      </c>
      <c r="E494" s="9" t="s">
        <v>1364</v>
      </c>
      <c r="F494" s="9" t="s">
        <v>2045</v>
      </c>
      <c r="G494" s="10" t="n">
        <f aca="false">IF($AK494=0,"",INDEX('Part types'!$P:$P,$AK494))</f>
        <v>80</v>
      </c>
      <c r="H494" s="10" t="n">
        <f aca="false">IF($AK494=0,"",INDEX('Part types'!$Q:$Q,$AK494))</f>
        <v>80</v>
      </c>
      <c r="I494" s="10" t="n">
        <f aca="false">IF($AK494=0,"",INDEX('Part types'!$R:$R,$AK494))</f>
        <v>25</v>
      </c>
      <c r="J494" s="10" t="n">
        <f aca="false">IF($AK494=0,"",INDEX('Part types'!$S:$S,$AK494))</f>
        <v>16</v>
      </c>
      <c r="K494" s="11" t="s">
        <v>2046</v>
      </c>
      <c r="L494" s="11" t="s">
        <v>2066</v>
      </c>
      <c r="M494" s="11" t="str">
        <f aca="false">L494&amp;" - "&amp;N494</f>
        <v>إطار شاحنة خفيفة - خلفي يمين</v>
      </c>
      <c r="N494" s="11" t="s">
        <v>1365</v>
      </c>
      <c r="O494" s="11" t="s">
        <v>2048</v>
      </c>
      <c r="P494" s="10" t="n">
        <f aca="false">G494</f>
        <v>80</v>
      </c>
      <c r="Q494" s="10" t="n">
        <f aca="false">H494</f>
        <v>80</v>
      </c>
      <c r="R494" s="10" t="n">
        <f aca="false">I494</f>
        <v>25</v>
      </c>
      <c r="S494" s="10" t="n">
        <f aca="false">J494</f>
        <v>16</v>
      </c>
      <c r="T494" s="12" t="s">
        <v>2049</v>
      </c>
      <c r="U494" s="12" t="s">
        <v>2067</v>
      </c>
      <c r="V494" s="9" t="str">
        <f aca="false">U494&amp;" - "&amp;W494</f>
        <v>轻型卡车轮胎 - 后右</v>
      </c>
      <c r="W494" s="12" t="s">
        <v>1366</v>
      </c>
      <c r="X494" s="12" t="s">
        <v>2049</v>
      </c>
      <c r="Y494" s="10" t="n">
        <f aca="false">G494</f>
        <v>80</v>
      </c>
      <c r="Z494" s="10" t="n">
        <f aca="false">H494</f>
        <v>80</v>
      </c>
      <c r="AA494" s="10" t="n">
        <f aca="false">I494</f>
        <v>25</v>
      </c>
      <c r="AB494" s="10" t="n">
        <f aca="false">J494</f>
        <v>16</v>
      </c>
      <c r="AC494" s="9" t="s">
        <v>2051</v>
      </c>
      <c r="AD494" s="9" t="s">
        <v>2068</v>
      </c>
      <c r="AE494" s="9" t="str">
        <f aca="false">IF($AK494=0,"",INDEX('Part types'!$T:$T,$AK494)&amp;"")</f>
        <v>All vehicles</v>
      </c>
      <c r="AF494" s="9" t="str">
        <f aca="false">IF($AK494=0,"",INDEX('Part types'!$U:$U,$AK494)&amp;"")</f>
        <v/>
      </c>
      <c r="AG494" s="9" t="str">
        <f aca="false">IF($AK494=0,"",INDEX('Part types'!$V:$V,$AK494)&amp;"")</f>
        <v>Estimate: item-specific</v>
      </c>
      <c r="AH494" s="9" t="str">
        <f aca="false">IF($AK494=0,"",INDEX('Part types'!$W:$W,$AK494)&amp;"")</f>
        <v>Tire; Light Truck / Van</v>
      </c>
      <c r="AI494" s="11" t="str">
        <f aca="false">IF($AK494=0,"",INDEX('Part types'!$X:$X,$AK494)&amp;"")</f>
        <v/>
      </c>
      <c r="AJ494" s="9" t="str">
        <f aca="false">IF($AK494=0,"",INDEX('Part types'!$Y:$Y,$AK494)&amp;"")</f>
        <v/>
      </c>
      <c r="AK494" s="9" t="n">
        <f aca="false">IFERROR(MATCH($AD494,'Part types'!$E:$E,0),0)</f>
        <v>331</v>
      </c>
    </row>
    <row r="495" customFormat="false" ht="15" hidden="false" customHeight="false" outlineLevel="0" collapsed="false">
      <c r="A495" s="9" t="s">
        <v>2072</v>
      </c>
      <c r="B495" s="9" t="s">
        <v>2043</v>
      </c>
      <c r="C495" s="9" t="s">
        <v>2073</v>
      </c>
      <c r="D495" s="9" t="str">
        <f aca="false">C495&amp;" - "&amp;E495</f>
        <v>Winter Tire - Front-Left</v>
      </c>
      <c r="E495" s="9" t="s">
        <v>1346</v>
      </c>
      <c r="F495" s="9" t="s">
        <v>2045</v>
      </c>
      <c r="G495" s="10" t="n">
        <f aca="false">IF($AK495=0,"",INDEX('Part types'!$P:$P,$AK495))</f>
        <v>65</v>
      </c>
      <c r="H495" s="10" t="n">
        <f aca="false">IF($AK495=0,"",INDEX('Part types'!$Q:$Q,$AK495))</f>
        <v>65</v>
      </c>
      <c r="I495" s="10" t="n">
        <f aca="false">IF($AK495=0,"",INDEX('Part types'!$R:$R,$AK495))</f>
        <v>22</v>
      </c>
      <c r="J495" s="10" t="n">
        <f aca="false">IF($AK495=0,"",INDEX('Part types'!$S:$S,$AK495))</f>
        <v>10</v>
      </c>
      <c r="K495" s="11" t="s">
        <v>2046</v>
      </c>
      <c r="L495" s="11" t="s">
        <v>2074</v>
      </c>
      <c r="M495" s="11" t="str">
        <f aca="false">L495&amp;" - "&amp;N495</f>
        <v>إطار شتوي - أمامي يسار</v>
      </c>
      <c r="N495" s="11" t="s">
        <v>1349</v>
      </c>
      <c r="O495" s="11" t="s">
        <v>2048</v>
      </c>
      <c r="P495" s="10" t="n">
        <f aca="false">G495</f>
        <v>65</v>
      </c>
      <c r="Q495" s="10" t="n">
        <f aca="false">H495</f>
        <v>65</v>
      </c>
      <c r="R495" s="10" t="n">
        <f aca="false">I495</f>
        <v>22</v>
      </c>
      <c r="S495" s="10" t="n">
        <f aca="false">J495</f>
        <v>10</v>
      </c>
      <c r="T495" s="12" t="s">
        <v>2049</v>
      </c>
      <c r="U495" s="12" t="s">
        <v>2075</v>
      </c>
      <c r="V495" s="9" t="str">
        <f aca="false">U495&amp;" - "&amp;W495</f>
        <v>冬季轮胎 - 前左</v>
      </c>
      <c r="W495" s="12" t="s">
        <v>1352</v>
      </c>
      <c r="X495" s="12" t="s">
        <v>2049</v>
      </c>
      <c r="Y495" s="10" t="n">
        <f aca="false">G495</f>
        <v>65</v>
      </c>
      <c r="Z495" s="10" t="n">
        <f aca="false">H495</f>
        <v>65</v>
      </c>
      <c r="AA495" s="10" t="n">
        <f aca="false">I495</f>
        <v>22</v>
      </c>
      <c r="AB495" s="10" t="n">
        <f aca="false">J495</f>
        <v>10</v>
      </c>
      <c r="AC495" s="9" t="s">
        <v>2051</v>
      </c>
      <c r="AD495" s="9" t="s">
        <v>2076</v>
      </c>
      <c r="AE495" s="9" t="str">
        <f aca="false">IF($AK495=0,"",INDEX('Part types'!$T:$T,$AK495)&amp;"")</f>
        <v>All vehicles</v>
      </c>
      <c r="AF495" s="9" t="str">
        <f aca="false">IF($AK495=0,"",INDEX('Part types'!$U:$U,$AK495)&amp;"")</f>
        <v/>
      </c>
      <c r="AG495" s="9" t="str">
        <f aca="false">IF($AK495=0,"",INDEX('Part types'!$V:$V,$AK495)&amp;"")</f>
        <v>Estimate: item-specific</v>
      </c>
      <c r="AH495" s="9" t="str">
        <f aca="false">IF($AK495=0,"",INDEX('Part types'!$W:$W,$AK495)&amp;"")</f>
        <v/>
      </c>
      <c r="AI495" s="11" t="str">
        <f aca="false">IF($AK495=0,"",INDEX('Part types'!$X:$X,$AK495)&amp;"")</f>
        <v/>
      </c>
      <c r="AJ495" s="9" t="str">
        <f aca="false">IF($AK495=0,"",INDEX('Part types'!$Y:$Y,$AK495)&amp;"")</f>
        <v/>
      </c>
      <c r="AK495" s="9" t="n">
        <f aca="false">IFERROR(MATCH($AD495,'Part types'!$E:$E,0),0)</f>
        <v>332</v>
      </c>
    </row>
    <row r="496" customFormat="false" ht="15" hidden="false" customHeight="false" outlineLevel="0" collapsed="false">
      <c r="A496" s="9" t="s">
        <v>2077</v>
      </c>
      <c r="B496" s="9" t="s">
        <v>2043</v>
      </c>
      <c r="C496" s="9" t="s">
        <v>2073</v>
      </c>
      <c r="D496" s="9" t="str">
        <f aca="false">C496&amp;" - "&amp;E496</f>
        <v>Winter Tire - Front-Right</v>
      </c>
      <c r="E496" s="9" t="s">
        <v>1356</v>
      </c>
      <c r="F496" s="9" t="s">
        <v>2045</v>
      </c>
      <c r="G496" s="10" t="n">
        <f aca="false">IF($AK496=0,"",INDEX('Part types'!$P:$P,$AK496))</f>
        <v>65</v>
      </c>
      <c r="H496" s="10" t="n">
        <f aca="false">IF($AK496=0,"",INDEX('Part types'!$Q:$Q,$AK496))</f>
        <v>65</v>
      </c>
      <c r="I496" s="10" t="n">
        <f aca="false">IF($AK496=0,"",INDEX('Part types'!$R:$R,$AK496))</f>
        <v>22</v>
      </c>
      <c r="J496" s="10" t="n">
        <f aca="false">IF($AK496=0,"",INDEX('Part types'!$S:$S,$AK496))</f>
        <v>10</v>
      </c>
      <c r="K496" s="11" t="s">
        <v>2046</v>
      </c>
      <c r="L496" s="11" t="s">
        <v>2074</v>
      </c>
      <c r="M496" s="11" t="str">
        <f aca="false">L496&amp;" - "&amp;N496</f>
        <v>إطار شتوي - أمامي يمين</v>
      </c>
      <c r="N496" s="11" t="s">
        <v>1357</v>
      </c>
      <c r="O496" s="11" t="s">
        <v>2048</v>
      </c>
      <c r="P496" s="10" t="n">
        <f aca="false">G496</f>
        <v>65</v>
      </c>
      <c r="Q496" s="10" t="n">
        <f aca="false">H496</f>
        <v>65</v>
      </c>
      <c r="R496" s="10" t="n">
        <f aca="false">I496</f>
        <v>22</v>
      </c>
      <c r="S496" s="10" t="n">
        <f aca="false">J496</f>
        <v>10</v>
      </c>
      <c r="T496" s="12" t="s">
        <v>2049</v>
      </c>
      <c r="U496" s="12" t="s">
        <v>2075</v>
      </c>
      <c r="V496" s="9" t="str">
        <f aca="false">U496&amp;" - "&amp;W496</f>
        <v>冬季轮胎 - 前右</v>
      </c>
      <c r="W496" s="12" t="s">
        <v>1358</v>
      </c>
      <c r="X496" s="12" t="s">
        <v>2049</v>
      </c>
      <c r="Y496" s="10" t="n">
        <f aca="false">G496</f>
        <v>65</v>
      </c>
      <c r="Z496" s="10" t="n">
        <f aca="false">H496</f>
        <v>65</v>
      </c>
      <c r="AA496" s="10" t="n">
        <f aca="false">I496</f>
        <v>22</v>
      </c>
      <c r="AB496" s="10" t="n">
        <f aca="false">J496</f>
        <v>10</v>
      </c>
      <c r="AC496" s="9" t="s">
        <v>2051</v>
      </c>
      <c r="AD496" s="9" t="s">
        <v>2076</v>
      </c>
      <c r="AE496" s="9" t="str">
        <f aca="false">IF($AK496=0,"",INDEX('Part types'!$T:$T,$AK496)&amp;"")</f>
        <v>All vehicles</v>
      </c>
      <c r="AF496" s="9" t="str">
        <f aca="false">IF($AK496=0,"",INDEX('Part types'!$U:$U,$AK496)&amp;"")</f>
        <v/>
      </c>
      <c r="AG496" s="9" t="str">
        <f aca="false">IF($AK496=0,"",INDEX('Part types'!$V:$V,$AK496)&amp;"")</f>
        <v>Estimate: item-specific</v>
      </c>
      <c r="AH496" s="9" t="str">
        <f aca="false">IF($AK496=0,"",INDEX('Part types'!$W:$W,$AK496)&amp;"")</f>
        <v/>
      </c>
      <c r="AI496" s="11" t="str">
        <f aca="false">IF($AK496=0,"",INDEX('Part types'!$X:$X,$AK496)&amp;"")</f>
        <v/>
      </c>
      <c r="AJ496" s="9" t="str">
        <f aca="false">IF($AK496=0,"",INDEX('Part types'!$Y:$Y,$AK496)&amp;"")</f>
        <v/>
      </c>
      <c r="AK496" s="9" t="n">
        <f aca="false">IFERROR(MATCH($AD496,'Part types'!$E:$E,0),0)</f>
        <v>332</v>
      </c>
    </row>
    <row r="497" customFormat="false" ht="15" hidden="false" customHeight="false" outlineLevel="0" collapsed="false">
      <c r="A497" s="9" t="s">
        <v>2078</v>
      </c>
      <c r="B497" s="9" t="s">
        <v>2043</v>
      </c>
      <c r="C497" s="9" t="s">
        <v>2073</v>
      </c>
      <c r="D497" s="9" t="str">
        <f aca="false">C497&amp;" - "&amp;E497</f>
        <v>Winter Tire - Rear-Left</v>
      </c>
      <c r="E497" s="9" t="s">
        <v>1360</v>
      </c>
      <c r="F497" s="9" t="s">
        <v>2045</v>
      </c>
      <c r="G497" s="10" t="n">
        <f aca="false">IF($AK497=0,"",INDEX('Part types'!$P:$P,$AK497))</f>
        <v>65</v>
      </c>
      <c r="H497" s="10" t="n">
        <f aca="false">IF($AK497=0,"",INDEX('Part types'!$Q:$Q,$AK497))</f>
        <v>65</v>
      </c>
      <c r="I497" s="10" t="n">
        <f aca="false">IF($AK497=0,"",INDEX('Part types'!$R:$R,$AK497))</f>
        <v>22</v>
      </c>
      <c r="J497" s="10" t="n">
        <f aca="false">IF($AK497=0,"",INDEX('Part types'!$S:$S,$AK497))</f>
        <v>10</v>
      </c>
      <c r="K497" s="11" t="s">
        <v>2046</v>
      </c>
      <c r="L497" s="11" t="s">
        <v>2074</v>
      </c>
      <c r="M497" s="11" t="str">
        <f aca="false">L497&amp;" - "&amp;N497</f>
        <v>إطار شتوي - خلفي يسار</v>
      </c>
      <c r="N497" s="11" t="s">
        <v>1361</v>
      </c>
      <c r="O497" s="11" t="s">
        <v>2048</v>
      </c>
      <c r="P497" s="10" t="n">
        <f aca="false">G497</f>
        <v>65</v>
      </c>
      <c r="Q497" s="10" t="n">
        <f aca="false">H497</f>
        <v>65</v>
      </c>
      <c r="R497" s="10" t="n">
        <f aca="false">I497</f>
        <v>22</v>
      </c>
      <c r="S497" s="10" t="n">
        <f aca="false">J497</f>
        <v>10</v>
      </c>
      <c r="T497" s="12" t="s">
        <v>2049</v>
      </c>
      <c r="U497" s="12" t="s">
        <v>2075</v>
      </c>
      <c r="V497" s="9" t="str">
        <f aca="false">U497&amp;" - "&amp;W497</f>
        <v>冬季轮胎 - 后左</v>
      </c>
      <c r="W497" s="12" t="s">
        <v>1362</v>
      </c>
      <c r="X497" s="12" t="s">
        <v>2049</v>
      </c>
      <c r="Y497" s="10" t="n">
        <f aca="false">G497</f>
        <v>65</v>
      </c>
      <c r="Z497" s="10" t="n">
        <f aca="false">H497</f>
        <v>65</v>
      </c>
      <c r="AA497" s="10" t="n">
        <f aca="false">I497</f>
        <v>22</v>
      </c>
      <c r="AB497" s="10" t="n">
        <f aca="false">J497</f>
        <v>10</v>
      </c>
      <c r="AC497" s="9" t="s">
        <v>2051</v>
      </c>
      <c r="AD497" s="9" t="s">
        <v>2076</v>
      </c>
      <c r="AE497" s="9" t="str">
        <f aca="false">IF($AK497=0,"",INDEX('Part types'!$T:$T,$AK497)&amp;"")</f>
        <v>All vehicles</v>
      </c>
      <c r="AF497" s="9" t="str">
        <f aca="false">IF($AK497=0,"",INDEX('Part types'!$U:$U,$AK497)&amp;"")</f>
        <v/>
      </c>
      <c r="AG497" s="9" t="str">
        <f aca="false">IF($AK497=0,"",INDEX('Part types'!$V:$V,$AK497)&amp;"")</f>
        <v>Estimate: item-specific</v>
      </c>
      <c r="AH497" s="9" t="str">
        <f aca="false">IF($AK497=0,"",INDEX('Part types'!$W:$W,$AK497)&amp;"")</f>
        <v/>
      </c>
      <c r="AI497" s="11" t="str">
        <f aca="false">IF($AK497=0,"",INDEX('Part types'!$X:$X,$AK497)&amp;"")</f>
        <v/>
      </c>
      <c r="AJ497" s="9" t="str">
        <f aca="false">IF($AK497=0,"",INDEX('Part types'!$Y:$Y,$AK497)&amp;"")</f>
        <v/>
      </c>
      <c r="AK497" s="9" t="n">
        <f aca="false">IFERROR(MATCH($AD497,'Part types'!$E:$E,0),0)</f>
        <v>332</v>
      </c>
    </row>
    <row r="498" customFormat="false" ht="15" hidden="false" customHeight="false" outlineLevel="0" collapsed="false">
      <c r="A498" s="9" t="s">
        <v>2079</v>
      </c>
      <c r="B498" s="9" t="s">
        <v>2043</v>
      </c>
      <c r="C498" s="9" t="s">
        <v>2073</v>
      </c>
      <c r="D498" s="9" t="str">
        <f aca="false">C498&amp;" - "&amp;E498</f>
        <v>Winter Tire - Rear-Right</v>
      </c>
      <c r="E498" s="9" t="s">
        <v>1364</v>
      </c>
      <c r="F498" s="9" t="s">
        <v>2045</v>
      </c>
      <c r="G498" s="10" t="n">
        <f aca="false">IF($AK498=0,"",INDEX('Part types'!$P:$P,$AK498))</f>
        <v>65</v>
      </c>
      <c r="H498" s="10" t="n">
        <f aca="false">IF($AK498=0,"",INDEX('Part types'!$Q:$Q,$AK498))</f>
        <v>65</v>
      </c>
      <c r="I498" s="10" t="n">
        <f aca="false">IF($AK498=0,"",INDEX('Part types'!$R:$R,$AK498))</f>
        <v>22</v>
      </c>
      <c r="J498" s="10" t="n">
        <f aca="false">IF($AK498=0,"",INDEX('Part types'!$S:$S,$AK498))</f>
        <v>10</v>
      </c>
      <c r="K498" s="11" t="s">
        <v>2046</v>
      </c>
      <c r="L498" s="11" t="s">
        <v>2074</v>
      </c>
      <c r="M498" s="11" t="str">
        <f aca="false">L498&amp;" - "&amp;N498</f>
        <v>إطار شتوي - خلفي يمين</v>
      </c>
      <c r="N498" s="11" t="s">
        <v>1365</v>
      </c>
      <c r="O498" s="11" t="s">
        <v>2048</v>
      </c>
      <c r="P498" s="10" t="n">
        <f aca="false">G498</f>
        <v>65</v>
      </c>
      <c r="Q498" s="10" t="n">
        <f aca="false">H498</f>
        <v>65</v>
      </c>
      <c r="R498" s="10" t="n">
        <f aca="false">I498</f>
        <v>22</v>
      </c>
      <c r="S498" s="10" t="n">
        <f aca="false">J498</f>
        <v>10</v>
      </c>
      <c r="T498" s="12" t="s">
        <v>2049</v>
      </c>
      <c r="U498" s="12" t="s">
        <v>2075</v>
      </c>
      <c r="V498" s="9" t="str">
        <f aca="false">U498&amp;" - "&amp;W498</f>
        <v>冬季轮胎 - 后右</v>
      </c>
      <c r="W498" s="12" t="s">
        <v>1366</v>
      </c>
      <c r="X498" s="12" t="s">
        <v>2049</v>
      </c>
      <c r="Y498" s="10" t="n">
        <f aca="false">G498</f>
        <v>65</v>
      </c>
      <c r="Z498" s="10" t="n">
        <f aca="false">H498</f>
        <v>65</v>
      </c>
      <c r="AA498" s="10" t="n">
        <f aca="false">I498</f>
        <v>22</v>
      </c>
      <c r="AB498" s="10" t="n">
        <f aca="false">J498</f>
        <v>10</v>
      </c>
      <c r="AC498" s="9" t="s">
        <v>2051</v>
      </c>
      <c r="AD498" s="9" t="s">
        <v>2076</v>
      </c>
      <c r="AE498" s="9" t="str">
        <f aca="false">IF($AK498=0,"",INDEX('Part types'!$T:$T,$AK498)&amp;"")</f>
        <v>All vehicles</v>
      </c>
      <c r="AF498" s="9" t="str">
        <f aca="false">IF($AK498=0,"",INDEX('Part types'!$U:$U,$AK498)&amp;"")</f>
        <v/>
      </c>
      <c r="AG498" s="9" t="str">
        <f aca="false">IF($AK498=0,"",INDEX('Part types'!$V:$V,$AK498)&amp;"")</f>
        <v>Estimate: item-specific</v>
      </c>
      <c r="AH498" s="9" t="str">
        <f aca="false">IF($AK498=0,"",INDEX('Part types'!$W:$W,$AK498)&amp;"")</f>
        <v/>
      </c>
      <c r="AI498" s="11" t="str">
        <f aca="false">IF($AK498=0,"",INDEX('Part types'!$X:$X,$AK498)&amp;"")</f>
        <v/>
      </c>
      <c r="AJ498" s="9" t="str">
        <f aca="false">IF($AK498=0,"",INDEX('Part types'!$Y:$Y,$AK498)&amp;"")</f>
        <v/>
      </c>
      <c r="AK498" s="9" t="n">
        <f aca="false">IFERROR(MATCH($AD498,'Part types'!$E:$E,0),0)</f>
        <v>332</v>
      </c>
    </row>
    <row r="499" customFormat="false" ht="15" hidden="false" customHeight="false" outlineLevel="0" collapsed="false">
      <c r="A499" s="9" t="s">
        <v>2080</v>
      </c>
      <c r="B499" s="9" t="s">
        <v>2043</v>
      </c>
      <c r="C499" s="9" t="s">
        <v>2081</v>
      </c>
      <c r="D499" s="9" t="str">
        <f aca="false">C499&amp;" - "&amp;E499</f>
        <v>Run-Flat Tire - Front-Left</v>
      </c>
      <c r="E499" s="9" t="s">
        <v>1346</v>
      </c>
      <c r="F499" s="9" t="s">
        <v>2045</v>
      </c>
      <c r="G499" s="10" t="n">
        <f aca="false">IF($AK499=0,"",INDEX('Part types'!$P:$P,$AK499))</f>
        <v>65</v>
      </c>
      <c r="H499" s="10" t="n">
        <f aca="false">IF($AK499=0,"",INDEX('Part types'!$Q:$Q,$AK499))</f>
        <v>65</v>
      </c>
      <c r="I499" s="10" t="n">
        <f aca="false">IF($AK499=0,"",INDEX('Part types'!$R:$R,$AK499))</f>
        <v>22</v>
      </c>
      <c r="J499" s="10" t="n">
        <f aca="false">IF($AK499=0,"",INDEX('Part types'!$S:$S,$AK499))</f>
        <v>11</v>
      </c>
      <c r="K499" s="11" t="s">
        <v>2046</v>
      </c>
      <c r="L499" s="11" t="s">
        <v>2082</v>
      </c>
      <c r="M499" s="11" t="str">
        <f aca="false">L499&amp;" - "&amp;N499</f>
        <v>إطار رن فلات - أمامي يسار</v>
      </c>
      <c r="N499" s="11" t="s">
        <v>1349</v>
      </c>
      <c r="O499" s="11" t="s">
        <v>2048</v>
      </c>
      <c r="P499" s="10" t="n">
        <f aca="false">G499</f>
        <v>65</v>
      </c>
      <c r="Q499" s="10" t="n">
        <f aca="false">H499</f>
        <v>65</v>
      </c>
      <c r="R499" s="10" t="n">
        <f aca="false">I499</f>
        <v>22</v>
      </c>
      <c r="S499" s="10" t="n">
        <f aca="false">J499</f>
        <v>11</v>
      </c>
      <c r="T499" s="12" t="s">
        <v>2049</v>
      </c>
      <c r="U499" s="12" t="s">
        <v>2083</v>
      </c>
      <c r="V499" s="9" t="str">
        <f aca="false">U499&amp;" - "&amp;W499</f>
        <v>缺气保用轮胎 - 前左</v>
      </c>
      <c r="W499" s="12" t="s">
        <v>1352</v>
      </c>
      <c r="X499" s="12" t="s">
        <v>2049</v>
      </c>
      <c r="Y499" s="10" t="n">
        <f aca="false">G499</f>
        <v>65</v>
      </c>
      <c r="Z499" s="10" t="n">
        <f aca="false">H499</f>
        <v>65</v>
      </c>
      <c r="AA499" s="10" t="n">
        <f aca="false">I499</f>
        <v>22</v>
      </c>
      <c r="AB499" s="10" t="n">
        <f aca="false">J499</f>
        <v>11</v>
      </c>
      <c r="AC499" s="9" t="s">
        <v>2051</v>
      </c>
      <c r="AD499" s="9" t="s">
        <v>2084</v>
      </c>
      <c r="AE499" s="9" t="str">
        <f aca="false">IF($AK499=0,"",INDEX('Part types'!$T:$T,$AK499)&amp;"")</f>
        <v>All vehicles</v>
      </c>
      <c r="AF499" s="9" t="str">
        <f aca="false">IF($AK499=0,"",INDEX('Part types'!$U:$U,$AK499)&amp;"")</f>
        <v/>
      </c>
      <c r="AG499" s="9" t="str">
        <f aca="false">IF($AK499=0,"",INDEX('Part types'!$V:$V,$AK499)&amp;"")</f>
        <v>Estimate: item-specific</v>
      </c>
      <c r="AH499" s="9" t="str">
        <f aca="false">IF($AK499=0,"",INDEX('Part types'!$W:$W,$AK499)&amp;"")</f>
        <v/>
      </c>
      <c r="AI499" s="11" t="str">
        <f aca="false">IF($AK499=0,"",INDEX('Part types'!$X:$X,$AK499)&amp;"")</f>
        <v>مقاوم للثقب</v>
      </c>
      <c r="AJ499" s="9" t="str">
        <f aca="false">IF($AK499=0,"",INDEX('Part types'!$Y:$Y,$AK499)&amp;"")</f>
        <v/>
      </c>
      <c r="AK499" s="9" t="n">
        <f aca="false">IFERROR(MATCH($AD499,'Part types'!$E:$E,0),0)</f>
        <v>333</v>
      </c>
    </row>
    <row r="500" customFormat="false" ht="15" hidden="false" customHeight="false" outlineLevel="0" collapsed="false">
      <c r="A500" s="9" t="s">
        <v>2085</v>
      </c>
      <c r="B500" s="9" t="s">
        <v>2043</v>
      </c>
      <c r="C500" s="9" t="s">
        <v>2081</v>
      </c>
      <c r="D500" s="9" t="str">
        <f aca="false">C500&amp;" - "&amp;E500</f>
        <v>Run-Flat Tire - Front-Right</v>
      </c>
      <c r="E500" s="9" t="s">
        <v>1356</v>
      </c>
      <c r="F500" s="9" t="s">
        <v>2045</v>
      </c>
      <c r="G500" s="10" t="n">
        <f aca="false">IF($AK500=0,"",INDEX('Part types'!$P:$P,$AK500))</f>
        <v>65</v>
      </c>
      <c r="H500" s="10" t="n">
        <f aca="false">IF($AK500=0,"",INDEX('Part types'!$Q:$Q,$AK500))</f>
        <v>65</v>
      </c>
      <c r="I500" s="10" t="n">
        <f aca="false">IF($AK500=0,"",INDEX('Part types'!$R:$R,$AK500))</f>
        <v>22</v>
      </c>
      <c r="J500" s="10" t="n">
        <f aca="false">IF($AK500=0,"",INDEX('Part types'!$S:$S,$AK500))</f>
        <v>11</v>
      </c>
      <c r="K500" s="11" t="s">
        <v>2046</v>
      </c>
      <c r="L500" s="11" t="s">
        <v>2082</v>
      </c>
      <c r="M500" s="11" t="str">
        <f aca="false">L500&amp;" - "&amp;N500</f>
        <v>إطار رن فلات - أمامي يمين</v>
      </c>
      <c r="N500" s="11" t="s">
        <v>1357</v>
      </c>
      <c r="O500" s="11" t="s">
        <v>2048</v>
      </c>
      <c r="P500" s="10" t="n">
        <f aca="false">G500</f>
        <v>65</v>
      </c>
      <c r="Q500" s="10" t="n">
        <f aca="false">H500</f>
        <v>65</v>
      </c>
      <c r="R500" s="10" t="n">
        <f aca="false">I500</f>
        <v>22</v>
      </c>
      <c r="S500" s="10" t="n">
        <f aca="false">J500</f>
        <v>11</v>
      </c>
      <c r="T500" s="12" t="s">
        <v>2049</v>
      </c>
      <c r="U500" s="12" t="s">
        <v>2083</v>
      </c>
      <c r="V500" s="9" t="str">
        <f aca="false">U500&amp;" - "&amp;W500</f>
        <v>缺气保用轮胎 - 前右</v>
      </c>
      <c r="W500" s="12" t="s">
        <v>1358</v>
      </c>
      <c r="X500" s="12" t="s">
        <v>2049</v>
      </c>
      <c r="Y500" s="10" t="n">
        <f aca="false">G500</f>
        <v>65</v>
      </c>
      <c r="Z500" s="10" t="n">
        <f aca="false">H500</f>
        <v>65</v>
      </c>
      <c r="AA500" s="10" t="n">
        <f aca="false">I500</f>
        <v>22</v>
      </c>
      <c r="AB500" s="10" t="n">
        <f aca="false">J500</f>
        <v>11</v>
      </c>
      <c r="AC500" s="9" t="s">
        <v>2051</v>
      </c>
      <c r="AD500" s="9" t="s">
        <v>2084</v>
      </c>
      <c r="AE500" s="9" t="str">
        <f aca="false">IF($AK500=0,"",INDEX('Part types'!$T:$T,$AK500)&amp;"")</f>
        <v>All vehicles</v>
      </c>
      <c r="AF500" s="9" t="str">
        <f aca="false">IF($AK500=0,"",INDEX('Part types'!$U:$U,$AK500)&amp;"")</f>
        <v/>
      </c>
      <c r="AG500" s="9" t="str">
        <f aca="false">IF($AK500=0,"",INDEX('Part types'!$V:$V,$AK500)&amp;"")</f>
        <v>Estimate: item-specific</v>
      </c>
      <c r="AH500" s="9" t="str">
        <f aca="false">IF($AK500=0,"",INDEX('Part types'!$W:$W,$AK500)&amp;"")</f>
        <v/>
      </c>
      <c r="AI500" s="11" t="str">
        <f aca="false">IF($AK500=0,"",INDEX('Part types'!$X:$X,$AK500)&amp;"")</f>
        <v>مقاوم للثقب</v>
      </c>
      <c r="AJ500" s="9" t="str">
        <f aca="false">IF($AK500=0,"",INDEX('Part types'!$Y:$Y,$AK500)&amp;"")</f>
        <v/>
      </c>
      <c r="AK500" s="9" t="n">
        <f aca="false">IFERROR(MATCH($AD500,'Part types'!$E:$E,0),0)</f>
        <v>333</v>
      </c>
    </row>
    <row r="501" customFormat="false" ht="15" hidden="false" customHeight="false" outlineLevel="0" collapsed="false">
      <c r="A501" s="9" t="s">
        <v>2086</v>
      </c>
      <c r="B501" s="9" t="s">
        <v>2043</v>
      </c>
      <c r="C501" s="9" t="s">
        <v>2081</v>
      </c>
      <c r="D501" s="9" t="str">
        <f aca="false">C501&amp;" - "&amp;E501</f>
        <v>Run-Flat Tire - Rear-Left</v>
      </c>
      <c r="E501" s="9" t="s">
        <v>1360</v>
      </c>
      <c r="F501" s="9" t="s">
        <v>2045</v>
      </c>
      <c r="G501" s="10" t="n">
        <f aca="false">IF($AK501=0,"",INDEX('Part types'!$P:$P,$AK501))</f>
        <v>65</v>
      </c>
      <c r="H501" s="10" t="n">
        <f aca="false">IF($AK501=0,"",INDEX('Part types'!$Q:$Q,$AK501))</f>
        <v>65</v>
      </c>
      <c r="I501" s="10" t="n">
        <f aca="false">IF($AK501=0,"",INDEX('Part types'!$R:$R,$AK501))</f>
        <v>22</v>
      </c>
      <c r="J501" s="10" t="n">
        <f aca="false">IF($AK501=0,"",INDEX('Part types'!$S:$S,$AK501))</f>
        <v>11</v>
      </c>
      <c r="K501" s="11" t="s">
        <v>2046</v>
      </c>
      <c r="L501" s="11" t="s">
        <v>2082</v>
      </c>
      <c r="M501" s="11" t="str">
        <f aca="false">L501&amp;" - "&amp;N501</f>
        <v>إطار رن فلات - خلفي يسار</v>
      </c>
      <c r="N501" s="11" t="s">
        <v>1361</v>
      </c>
      <c r="O501" s="11" t="s">
        <v>2048</v>
      </c>
      <c r="P501" s="10" t="n">
        <f aca="false">G501</f>
        <v>65</v>
      </c>
      <c r="Q501" s="10" t="n">
        <f aca="false">H501</f>
        <v>65</v>
      </c>
      <c r="R501" s="10" t="n">
        <f aca="false">I501</f>
        <v>22</v>
      </c>
      <c r="S501" s="10" t="n">
        <f aca="false">J501</f>
        <v>11</v>
      </c>
      <c r="T501" s="12" t="s">
        <v>2049</v>
      </c>
      <c r="U501" s="12" t="s">
        <v>2083</v>
      </c>
      <c r="V501" s="9" t="str">
        <f aca="false">U501&amp;" - "&amp;W501</f>
        <v>缺气保用轮胎 - 后左</v>
      </c>
      <c r="W501" s="12" t="s">
        <v>1362</v>
      </c>
      <c r="X501" s="12" t="s">
        <v>2049</v>
      </c>
      <c r="Y501" s="10" t="n">
        <f aca="false">G501</f>
        <v>65</v>
      </c>
      <c r="Z501" s="10" t="n">
        <f aca="false">H501</f>
        <v>65</v>
      </c>
      <c r="AA501" s="10" t="n">
        <f aca="false">I501</f>
        <v>22</v>
      </c>
      <c r="AB501" s="10" t="n">
        <f aca="false">J501</f>
        <v>11</v>
      </c>
      <c r="AC501" s="9" t="s">
        <v>2051</v>
      </c>
      <c r="AD501" s="9" t="s">
        <v>2084</v>
      </c>
      <c r="AE501" s="9" t="str">
        <f aca="false">IF($AK501=0,"",INDEX('Part types'!$T:$T,$AK501)&amp;"")</f>
        <v>All vehicles</v>
      </c>
      <c r="AF501" s="9" t="str">
        <f aca="false">IF($AK501=0,"",INDEX('Part types'!$U:$U,$AK501)&amp;"")</f>
        <v/>
      </c>
      <c r="AG501" s="9" t="str">
        <f aca="false">IF($AK501=0,"",INDEX('Part types'!$V:$V,$AK501)&amp;"")</f>
        <v>Estimate: item-specific</v>
      </c>
      <c r="AH501" s="9" t="str">
        <f aca="false">IF($AK501=0,"",INDEX('Part types'!$W:$W,$AK501)&amp;"")</f>
        <v/>
      </c>
      <c r="AI501" s="11" t="str">
        <f aca="false">IF($AK501=0,"",INDEX('Part types'!$X:$X,$AK501)&amp;"")</f>
        <v>مقاوم للثقب</v>
      </c>
      <c r="AJ501" s="9" t="str">
        <f aca="false">IF($AK501=0,"",INDEX('Part types'!$Y:$Y,$AK501)&amp;"")</f>
        <v/>
      </c>
      <c r="AK501" s="9" t="n">
        <f aca="false">IFERROR(MATCH($AD501,'Part types'!$E:$E,0),0)</f>
        <v>333</v>
      </c>
    </row>
    <row r="502" customFormat="false" ht="15" hidden="false" customHeight="false" outlineLevel="0" collapsed="false">
      <c r="A502" s="9" t="s">
        <v>2087</v>
      </c>
      <c r="B502" s="9" t="s">
        <v>2043</v>
      </c>
      <c r="C502" s="9" t="s">
        <v>2081</v>
      </c>
      <c r="D502" s="9" t="str">
        <f aca="false">C502&amp;" - "&amp;E502</f>
        <v>Run-Flat Tire - Rear-Right</v>
      </c>
      <c r="E502" s="9" t="s">
        <v>1364</v>
      </c>
      <c r="F502" s="9" t="s">
        <v>2045</v>
      </c>
      <c r="G502" s="10" t="n">
        <f aca="false">IF($AK502=0,"",INDEX('Part types'!$P:$P,$AK502))</f>
        <v>65</v>
      </c>
      <c r="H502" s="10" t="n">
        <f aca="false">IF($AK502=0,"",INDEX('Part types'!$Q:$Q,$AK502))</f>
        <v>65</v>
      </c>
      <c r="I502" s="10" t="n">
        <f aca="false">IF($AK502=0,"",INDEX('Part types'!$R:$R,$AK502))</f>
        <v>22</v>
      </c>
      <c r="J502" s="10" t="n">
        <f aca="false">IF($AK502=0,"",INDEX('Part types'!$S:$S,$AK502))</f>
        <v>11</v>
      </c>
      <c r="K502" s="11" t="s">
        <v>2046</v>
      </c>
      <c r="L502" s="11" t="s">
        <v>2082</v>
      </c>
      <c r="M502" s="11" t="str">
        <f aca="false">L502&amp;" - "&amp;N502</f>
        <v>إطار رن فلات - خلفي يمين</v>
      </c>
      <c r="N502" s="11" t="s">
        <v>1365</v>
      </c>
      <c r="O502" s="11" t="s">
        <v>2048</v>
      </c>
      <c r="P502" s="10" t="n">
        <f aca="false">G502</f>
        <v>65</v>
      </c>
      <c r="Q502" s="10" t="n">
        <f aca="false">H502</f>
        <v>65</v>
      </c>
      <c r="R502" s="10" t="n">
        <f aca="false">I502</f>
        <v>22</v>
      </c>
      <c r="S502" s="10" t="n">
        <f aca="false">J502</f>
        <v>11</v>
      </c>
      <c r="T502" s="12" t="s">
        <v>2049</v>
      </c>
      <c r="U502" s="12" t="s">
        <v>2083</v>
      </c>
      <c r="V502" s="9" t="str">
        <f aca="false">U502&amp;" - "&amp;W502</f>
        <v>缺气保用轮胎 - 后右</v>
      </c>
      <c r="W502" s="12" t="s">
        <v>1366</v>
      </c>
      <c r="X502" s="12" t="s">
        <v>2049</v>
      </c>
      <c r="Y502" s="10" t="n">
        <f aca="false">G502</f>
        <v>65</v>
      </c>
      <c r="Z502" s="10" t="n">
        <f aca="false">H502</f>
        <v>65</v>
      </c>
      <c r="AA502" s="10" t="n">
        <f aca="false">I502</f>
        <v>22</v>
      </c>
      <c r="AB502" s="10" t="n">
        <f aca="false">J502</f>
        <v>11</v>
      </c>
      <c r="AC502" s="9" t="s">
        <v>2051</v>
      </c>
      <c r="AD502" s="9" t="s">
        <v>2084</v>
      </c>
      <c r="AE502" s="9" t="str">
        <f aca="false">IF($AK502=0,"",INDEX('Part types'!$T:$T,$AK502)&amp;"")</f>
        <v>All vehicles</v>
      </c>
      <c r="AF502" s="9" t="str">
        <f aca="false">IF($AK502=0,"",INDEX('Part types'!$U:$U,$AK502)&amp;"")</f>
        <v/>
      </c>
      <c r="AG502" s="9" t="str">
        <f aca="false">IF($AK502=0,"",INDEX('Part types'!$V:$V,$AK502)&amp;"")</f>
        <v>Estimate: item-specific</v>
      </c>
      <c r="AH502" s="9" t="str">
        <f aca="false">IF($AK502=0,"",INDEX('Part types'!$W:$W,$AK502)&amp;"")</f>
        <v/>
      </c>
      <c r="AI502" s="11" t="str">
        <f aca="false">IF($AK502=0,"",INDEX('Part types'!$X:$X,$AK502)&amp;"")</f>
        <v>مقاوم للثقب</v>
      </c>
      <c r="AJ502" s="9" t="str">
        <f aca="false">IF($AK502=0,"",INDEX('Part types'!$Y:$Y,$AK502)&amp;"")</f>
        <v/>
      </c>
      <c r="AK502" s="9" t="n">
        <f aca="false">IFERROR(MATCH($AD502,'Part types'!$E:$E,0),0)</f>
        <v>333</v>
      </c>
    </row>
    <row r="503" customFormat="false" ht="15" hidden="false" customHeight="false" outlineLevel="0" collapsed="false">
      <c r="A503" s="9" t="s">
        <v>2088</v>
      </c>
      <c r="B503" s="9" t="s">
        <v>2043</v>
      </c>
      <c r="C503" s="9" t="s">
        <v>2089</v>
      </c>
      <c r="D503" s="9" t="str">
        <f aca="false">C503&amp;" - "&amp;E503</f>
        <v>Tire Valve Stem - Front-Left</v>
      </c>
      <c r="E503" s="9" t="s">
        <v>1346</v>
      </c>
      <c r="F503" s="9" t="s">
        <v>1968</v>
      </c>
      <c r="G503" s="10" t="n">
        <f aca="false">IF($AK503=0,"",INDEX('Part types'!$P:$P,$AK503))</f>
        <v>6</v>
      </c>
      <c r="H503" s="10" t="n">
        <f aca="false">IF($AK503=0,"",INDEX('Part types'!$Q:$Q,$AK503))</f>
        <v>4</v>
      </c>
      <c r="I503" s="10" t="n">
        <f aca="false">IF($AK503=0,"",INDEX('Part types'!$R:$R,$AK503))</f>
        <v>3</v>
      </c>
      <c r="J503" s="10" t="n">
        <f aca="false">IF($AK503=0,"",INDEX('Part types'!$S:$S,$AK503))</f>
        <v>0.02</v>
      </c>
      <c r="K503" s="11" t="s">
        <v>2046</v>
      </c>
      <c r="L503" s="11" t="s">
        <v>2090</v>
      </c>
      <c r="M503" s="11" t="str">
        <f aca="false">L503&amp;" - "&amp;N503</f>
        <v>فتحة هواء الإطار - أمامي يسار</v>
      </c>
      <c r="N503" s="11" t="s">
        <v>1349</v>
      </c>
      <c r="O503" s="11" t="s">
        <v>1970</v>
      </c>
      <c r="P503" s="10" t="n">
        <f aca="false">G503</f>
        <v>6</v>
      </c>
      <c r="Q503" s="10" t="n">
        <f aca="false">H503</f>
        <v>4</v>
      </c>
      <c r="R503" s="10" t="n">
        <f aca="false">I503</f>
        <v>3</v>
      </c>
      <c r="S503" s="10" t="n">
        <f aca="false">J503</f>
        <v>0.02</v>
      </c>
      <c r="T503" s="12" t="s">
        <v>2049</v>
      </c>
      <c r="U503" s="12" t="s">
        <v>2091</v>
      </c>
      <c r="V503" s="9" t="str">
        <f aca="false">U503&amp;" - "&amp;W503</f>
        <v>气门嘴 - 前左</v>
      </c>
      <c r="W503" s="12" t="s">
        <v>1352</v>
      </c>
      <c r="X503" s="12" t="s">
        <v>1943</v>
      </c>
      <c r="Y503" s="10" t="n">
        <f aca="false">G503</f>
        <v>6</v>
      </c>
      <c r="Z503" s="10" t="n">
        <f aca="false">H503</f>
        <v>4</v>
      </c>
      <c r="AA503" s="10" t="n">
        <f aca="false">I503</f>
        <v>3</v>
      </c>
      <c r="AB503" s="10" t="n">
        <f aca="false">J503</f>
        <v>0.02</v>
      </c>
      <c r="AC503" s="9" t="s">
        <v>2051</v>
      </c>
      <c r="AD503" s="9" t="s">
        <v>2092</v>
      </c>
      <c r="AE503" s="9" t="str">
        <f aca="false">IF($AK503=0,"",INDEX('Part types'!$T:$T,$AK503)&amp;"")</f>
        <v>All vehicles</v>
      </c>
      <c r="AF503" s="9" t="str">
        <f aca="false">IF($AK503=0,"",INDEX('Part types'!$U:$U,$AK503)&amp;"")</f>
        <v/>
      </c>
      <c r="AG503" s="9" t="str">
        <f aca="false">IF($AK503=0,"",INDEX('Part types'!$V:$V,$AK503)&amp;"")</f>
        <v>Estimate: size class T</v>
      </c>
      <c r="AH503" s="9" t="str">
        <f aca="false">IF($AK503=0,"",INDEX('Part types'!$W:$W,$AK503)&amp;"")</f>
        <v/>
      </c>
      <c r="AI503" s="11" t="str">
        <f aca="false">IF($AK503=0,"",INDEX('Part types'!$X:$X,$AK503)&amp;"")</f>
        <v>صرة</v>
      </c>
      <c r="AJ503" s="9" t="str">
        <f aca="false">IF($AK503=0,"",INDEX('Part types'!$Y:$Y,$AK503)&amp;"")</f>
        <v/>
      </c>
      <c r="AK503" s="9" t="n">
        <f aca="false">IFERROR(MATCH($AD503,'Part types'!$E:$E,0),0)</f>
        <v>334</v>
      </c>
    </row>
    <row r="504" customFormat="false" ht="15" hidden="false" customHeight="false" outlineLevel="0" collapsed="false">
      <c r="A504" s="9" t="s">
        <v>2093</v>
      </c>
      <c r="B504" s="9" t="s">
        <v>2043</v>
      </c>
      <c r="C504" s="9" t="s">
        <v>2089</v>
      </c>
      <c r="D504" s="9" t="str">
        <f aca="false">C504&amp;" - "&amp;E504</f>
        <v>Tire Valve Stem - Front-Right</v>
      </c>
      <c r="E504" s="9" t="s">
        <v>1356</v>
      </c>
      <c r="F504" s="9" t="s">
        <v>1968</v>
      </c>
      <c r="G504" s="10" t="n">
        <f aca="false">IF($AK504=0,"",INDEX('Part types'!$P:$P,$AK504))</f>
        <v>6</v>
      </c>
      <c r="H504" s="10" t="n">
        <f aca="false">IF($AK504=0,"",INDEX('Part types'!$Q:$Q,$AK504))</f>
        <v>4</v>
      </c>
      <c r="I504" s="10" t="n">
        <f aca="false">IF($AK504=0,"",INDEX('Part types'!$R:$R,$AK504))</f>
        <v>3</v>
      </c>
      <c r="J504" s="10" t="n">
        <f aca="false">IF($AK504=0,"",INDEX('Part types'!$S:$S,$AK504))</f>
        <v>0.02</v>
      </c>
      <c r="K504" s="11" t="s">
        <v>2046</v>
      </c>
      <c r="L504" s="11" t="s">
        <v>2090</v>
      </c>
      <c r="M504" s="11" t="str">
        <f aca="false">L504&amp;" - "&amp;N504</f>
        <v>فتحة هواء الإطار - أمامي يمين</v>
      </c>
      <c r="N504" s="11" t="s">
        <v>1357</v>
      </c>
      <c r="O504" s="11" t="s">
        <v>1970</v>
      </c>
      <c r="P504" s="10" t="n">
        <f aca="false">G504</f>
        <v>6</v>
      </c>
      <c r="Q504" s="10" t="n">
        <f aca="false">H504</f>
        <v>4</v>
      </c>
      <c r="R504" s="10" t="n">
        <f aca="false">I504</f>
        <v>3</v>
      </c>
      <c r="S504" s="10" t="n">
        <f aca="false">J504</f>
        <v>0.02</v>
      </c>
      <c r="T504" s="12" t="s">
        <v>2049</v>
      </c>
      <c r="U504" s="12" t="s">
        <v>2091</v>
      </c>
      <c r="V504" s="9" t="str">
        <f aca="false">U504&amp;" - "&amp;W504</f>
        <v>气门嘴 - 前右</v>
      </c>
      <c r="W504" s="12" t="s">
        <v>1358</v>
      </c>
      <c r="X504" s="12" t="s">
        <v>1943</v>
      </c>
      <c r="Y504" s="10" t="n">
        <f aca="false">G504</f>
        <v>6</v>
      </c>
      <c r="Z504" s="10" t="n">
        <f aca="false">H504</f>
        <v>4</v>
      </c>
      <c r="AA504" s="10" t="n">
        <f aca="false">I504</f>
        <v>3</v>
      </c>
      <c r="AB504" s="10" t="n">
        <f aca="false">J504</f>
        <v>0.02</v>
      </c>
      <c r="AC504" s="9" t="s">
        <v>2051</v>
      </c>
      <c r="AD504" s="9" t="s">
        <v>2092</v>
      </c>
      <c r="AE504" s="9" t="str">
        <f aca="false">IF($AK504=0,"",INDEX('Part types'!$T:$T,$AK504)&amp;"")</f>
        <v>All vehicles</v>
      </c>
      <c r="AF504" s="9" t="str">
        <f aca="false">IF($AK504=0,"",INDEX('Part types'!$U:$U,$AK504)&amp;"")</f>
        <v/>
      </c>
      <c r="AG504" s="9" t="str">
        <f aca="false">IF($AK504=0,"",INDEX('Part types'!$V:$V,$AK504)&amp;"")</f>
        <v>Estimate: size class T</v>
      </c>
      <c r="AH504" s="9" t="str">
        <f aca="false">IF($AK504=0,"",INDEX('Part types'!$W:$W,$AK504)&amp;"")</f>
        <v/>
      </c>
      <c r="AI504" s="11" t="str">
        <f aca="false">IF($AK504=0,"",INDEX('Part types'!$X:$X,$AK504)&amp;"")</f>
        <v>صرة</v>
      </c>
      <c r="AJ504" s="9" t="str">
        <f aca="false">IF($AK504=0,"",INDEX('Part types'!$Y:$Y,$AK504)&amp;"")</f>
        <v/>
      </c>
      <c r="AK504" s="9" t="n">
        <f aca="false">IFERROR(MATCH($AD504,'Part types'!$E:$E,0),0)</f>
        <v>334</v>
      </c>
    </row>
    <row r="505" customFormat="false" ht="15" hidden="false" customHeight="false" outlineLevel="0" collapsed="false">
      <c r="A505" s="9" t="s">
        <v>2094</v>
      </c>
      <c r="B505" s="9" t="s">
        <v>2043</v>
      </c>
      <c r="C505" s="9" t="s">
        <v>2089</v>
      </c>
      <c r="D505" s="9" t="str">
        <f aca="false">C505&amp;" - "&amp;E505</f>
        <v>Tire Valve Stem - Rear-Left</v>
      </c>
      <c r="E505" s="9" t="s">
        <v>1360</v>
      </c>
      <c r="F505" s="9" t="s">
        <v>1968</v>
      </c>
      <c r="G505" s="10" t="n">
        <f aca="false">IF($AK505=0,"",INDEX('Part types'!$P:$P,$AK505))</f>
        <v>6</v>
      </c>
      <c r="H505" s="10" t="n">
        <f aca="false">IF($AK505=0,"",INDEX('Part types'!$Q:$Q,$AK505))</f>
        <v>4</v>
      </c>
      <c r="I505" s="10" t="n">
        <f aca="false">IF($AK505=0,"",INDEX('Part types'!$R:$R,$AK505))</f>
        <v>3</v>
      </c>
      <c r="J505" s="10" t="n">
        <f aca="false">IF($AK505=0,"",INDEX('Part types'!$S:$S,$AK505))</f>
        <v>0.02</v>
      </c>
      <c r="K505" s="11" t="s">
        <v>2046</v>
      </c>
      <c r="L505" s="11" t="s">
        <v>2090</v>
      </c>
      <c r="M505" s="11" t="str">
        <f aca="false">L505&amp;" - "&amp;N505</f>
        <v>فتحة هواء الإطار - خلفي يسار</v>
      </c>
      <c r="N505" s="11" t="s">
        <v>1361</v>
      </c>
      <c r="O505" s="11" t="s">
        <v>1970</v>
      </c>
      <c r="P505" s="10" t="n">
        <f aca="false">G505</f>
        <v>6</v>
      </c>
      <c r="Q505" s="10" t="n">
        <f aca="false">H505</f>
        <v>4</v>
      </c>
      <c r="R505" s="10" t="n">
        <f aca="false">I505</f>
        <v>3</v>
      </c>
      <c r="S505" s="10" t="n">
        <f aca="false">J505</f>
        <v>0.02</v>
      </c>
      <c r="T505" s="12" t="s">
        <v>2049</v>
      </c>
      <c r="U505" s="12" t="s">
        <v>2091</v>
      </c>
      <c r="V505" s="9" t="str">
        <f aca="false">U505&amp;" - "&amp;W505</f>
        <v>气门嘴 - 后左</v>
      </c>
      <c r="W505" s="12" t="s">
        <v>1362</v>
      </c>
      <c r="X505" s="12" t="s">
        <v>1943</v>
      </c>
      <c r="Y505" s="10" t="n">
        <f aca="false">G505</f>
        <v>6</v>
      </c>
      <c r="Z505" s="10" t="n">
        <f aca="false">H505</f>
        <v>4</v>
      </c>
      <c r="AA505" s="10" t="n">
        <f aca="false">I505</f>
        <v>3</v>
      </c>
      <c r="AB505" s="10" t="n">
        <f aca="false">J505</f>
        <v>0.02</v>
      </c>
      <c r="AC505" s="9" t="s">
        <v>2051</v>
      </c>
      <c r="AD505" s="9" t="s">
        <v>2092</v>
      </c>
      <c r="AE505" s="9" t="str">
        <f aca="false">IF($AK505=0,"",INDEX('Part types'!$T:$T,$AK505)&amp;"")</f>
        <v>All vehicles</v>
      </c>
      <c r="AF505" s="9" t="str">
        <f aca="false">IF($AK505=0,"",INDEX('Part types'!$U:$U,$AK505)&amp;"")</f>
        <v/>
      </c>
      <c r="AG505" s="9" t="str">
        <f aca="false">IF($AK505=0,"",INDEX('Part types'!$V:$V,$AK505)&amp;"")</f>
        <v>Estimate: size class T</v>
      </c>
      <c r="AH505" s="9" t="str">
        <f aca="false">IF($AK505=0,"",INDEX('Part types'!$W:$W,$AK505)&amp;"")</f>
        <v/>
      </c>
      <c r="AI505" s="11" t="str">
        <f aca="false">IF($AK505=0,"",INDEX('Part types'!$X:$X,$AK505)&amp;"")</f>
        <v>صرة</v>
      </c>
      <c r="AJ505" s="9" t="str">
        <f aca="false">IF($AK505=0,"",INDEX('Part types'!$Y:$Y,$AK505)&amp;"")</f>
        <v/>
      </c>
      <c r="AK505" s="9" t="n">
        <f aca="false">IFERROR(MATCH($AD505,'Part types'!$E:$E,0),0)</f>
        <v>334</v>
      </c>
    </row>
    <row r="506" customFormat="false" ht="15" hidden="false" customHeight="false" outlineLevel="0" collapsed="false">
      <c r="A506" s="9" t="s">
        <v>2095</v>
      </c>
      <c r="B506" s="9" t="s">
        <v>2043</v>
      </c>
      <c r="C506" s="9" t="s">
        <v>2089</v>
      </c>
      <c r="D506" s="9" t="str">
        <f aca="false">C506&amp;" - "&amp;E506</f>
        <v>Tire Valve Stem - Rear-Right</v>
      </c>
      <c r="E506" s="9" t="s">
        <v>1364</v>
      </c>
      <c r="F506" s="9" t="s">
        <v>1968</v>
      </c>
      <c r="G506" s="10" t="n">
        <f aca="false">IF($AK506=0,"",INDEX('Part types'!$P:$P,$AK506))</f>
        <v>6</v>
      </c>
      <c r="H506" s="10" t="n">
        <f aca="false">IF($AK506=0,"",INDEX('Part types'!$Q:$Q,$AK506))</f>
        <v>4</v>
      </c>
      <c r="I506" s="10" t="n">
        <f aca="false">IF($AK506=0,"",INDEX('Part types'!$R:$R,$AK506))</f>
        <v>3</v>
      </c>
      <c r="J506" s="10" t="n">
        <f aca="false">IF($AK506=0,"",INDEX('Part types'!$S:$S,$AK506))</f>
        <v>0.02</v>
      </c>
      <c r="K506" s="11" t="s">
        <v>2046</v>
      </c>
      <c r="L506" s="11" t="s">
        <v>2090</v>
      </c>
      <c r="M506" s="11" t="str">
        <f aca="false">L506&amp;" - "&amp;N506</f>
        <v>فتحة هواء الإطار - خلفي يمين</v>
      </c>
      <c r="N506" s="11" t="s">
        <v>1365</v>
      </c>
      <c r="O506" s="11" t="s">
        <v>1970</v>
      </c>
      <c r="P506" s="10" t="n">
        <f aca="false">G506</f>
        <v>6</v>
      </c>
      <c r="Q506" s="10" t="n">
        <f aca="false">H506</f>
        <v>4</v>
      </c>
      <c r="R506" s="10" t="n">
        <f aca="false">I506</f>
        <v>3</v>
      </c>
      <c r="S506" s="10" t="n">
        <f aca="false">J506</f>
        <v>0.02</v>
      </c>
      <c r="T506" s="12" t="s">
        <v>2049</v>
      </c>
      <c r="U506" s="12" t="s">
        <v>2091</v>
      </c>
      <c r="V506" s="9" t="str">
        <f aca="false">U506&amp;" - "&amp;W506</f>
        <v>气门嘴 - 后右</v>
      </c>
      <c r="W506" s="12" t="s">
        <v>1366</v>
      </c>
      <c r="X506" s="12" t="s">
        <v>1943</v>
      </c>
      <c r="Y506" s="10" t="n">
        <f aca="false">G506</f>
        <v>6</v>
      </c>
      <c r="Z506" s="10" t="n">
        <f aca="false">H506</f>
        <v>4</v>
      </c>
      <c r="AA506" s="10" t="n">
        <f aca="false">I506</f>
        <v>3</v>
      </c>
      <c r="AB506" s="10" t="n">
        <f aca="false">J506</f>
        <v>0.02</v>
      </c>
      <c r="AC506" s="9" t="s">
        <v>2051</v>
      </c>
      <c r="AD506" s="9" t="s">
        <v>2092</v>
      </c>
      <c r="AE506" s="9" t="str">
        <f aca="false">IF($AK506=0,"",INDEX('Part types'!$T:$T,$AK506)&amp;"")</f>
        <v>All vehicles</v>
      </c>
      <c r="AF506" s="9" t="str">
        <f aca="false">IF($AK506=0,"",INDEX('Part types'!$U:$U,$AK506)&amp;"")</f>
        <v/>
      </c>
      <c r="AG506" s="9" t="str">
        <f aca="false">IF($AK506=0,"",INDEX('Part types'!$V:$V,$AK506)&amp;"")</f>
        <v>Estimate: size class T</v>
      </c>
      <c r="AH506" s="9" t="str">
        <f aca="false">IF($AK506=0,"",INDEX('Part types'!$W:$W,$AK506)&amp;"")</f>
        <v/>
      </c>
      <c r="AI506" s="11" t="str">
        <f aca="false">IF($AK506=0,"",INDEX('Part types'!$X:$X,$AK506)&amp;"")</f>
        <v>صرة</v>
      </c>
      <c r="AJ506" s="9" t="str">
        <f aca="false">IF($AK506=0,"",INDEX('Part types'!$Y:$Y,$AK506)&amp;"")</f>
        <v/>
      </c>
      <c r="AK506" s="9" t="n">
        <f aca="false">IFERROR(MATCH($AD506,'Part types'!$E:$E,0),0)</f>
        <v>334</v>
      </c>
    </row>
    <row r="507" customFormat="false" ht="15" hidden="false" customHeight="false" outlineLevel="0" collapsed="false">
      <c r="A507" s="9" t="s">
        <v>2096</v>
      </c>
      <c r="B507" s="9" t="s">
        <v>2043</v>
      </c>
      <c r="C507" s="9" t="s">
        <v>2097</v>
      </c>
      <c r="D507" s="9" t="str">
        <f aca="false">C507&amp;" - "&amp;E507</f>
        <v>TPMS Sensor - Front-Left</v>
      </c>
      <c r="E507" s="9" t="s">
        <v>1346</v>
      </c>
      <c r="F507" s="9" t="s">
        <v>1968</v>
      </c>
      <c r="G507" s="10" t="n">
        <f aca="false">IF($AK507=0,"",INDEX('Part types'!$P:$P,$AK507))</f>
        <v>10</v>
      </c>
      <c r="H507" s="10" t="n">
        <f aca="false">IF($AK507=0,"",INDEX('Part types'!$Q:$Q,$AK507))</f>
        <v>8</v>
      </c>
      <c r="I507" s="10" t="n">
        <f aca="false">IF($AK507=0,"",INDEX('Part types'!$R:$R,$AK507))</f>
        <v>6</v>
      </c>
      <c r="J507" s="10" t="n">
        <f aca="false">IF($AK507=0,"",INDEX('Part types'!$S:$S,$AK507))</f>
        <v>0.1</v>
      </c>
      <c r="K507" s="11" t="s">
        <v>2046</v>
      </c>
      <c r="L507" s="11" t="s">
        <v>2098</v>
      </c>
      <c r="M507" s="11" t="str">
        <f aca="false">L507&amp;" - "&amp;N507</f>
        <v>حساس ضغط الإطارات - أمامي يسار</v>
      </c>
      <c r="N507" s="11" t="s">
        <v>1349</v>
      </c>
      <c r="O507" s="11" t="s">
        <v>1970</v>
      </c>
      <c r="P507" s="10" t="n">
        <f aca="false">G507</f>
        <v>10</v>
      </c>
      <c r="Q507" s="10" t="n">
        <f aca="false">H507</f>
        <v>8</v>
      </c>
      <c r="R507" s="10" t="n">
        <f aca="false">I507</f>
        <v>6</v>
      </c>
      <c r="S507" s="10" t="n">
        <f aca="false">J507</f>
        <v>0.1</v>
      </c>
      <c r="T507" s="12" t="s">
        <v>2049</v>
      </c>
      <c r="U507" s="12" t="s">
        <v>2099</v>
      </c>
      <c r="V507" s="9" t="str">
        <f aca="false">U507&amp;" - "&amp;W507</f>
        <v>胎压传感器 - 前左</v>
      </c>
      <c r="W507" s="12" t="s">
        <v>1352</v>
      </c>
      <c r="X507" s="12" t="s">
        <v>1943</v>
      </c>
      <c r="Y507" s="10" t="n">
        <f aca="false">G507</f>
        <v>10</v>
      </c>
      <c r="Z507" s="10" t="n">
        <f aca="false">H507</f>
        <v>8</v>
      </c>
      <c r="AA507" s="10" t="n">
        <f aca="false">I507</f>
        <v>6</v>
      </c>
      <c r="AB507" s="10" t="n">
        <f aca="false">J507</f>
        <v>0.1</v>
      </c>
      <c r="AC507" s="9" t="s">
        <v>2051</v>
      </c>
      <c r="AD507" s="9" t="s">
        <v>2100</v>
      </c>
      <c r="AE507" s="9" t="str">
        <f aca="false">IF($AK507=0,"",INDEX('Part types'!$T:$T,$AK507)&amp;"")</f>
        <v>All vehicles</v>
      </c>
      <c r="AF507" s="9" t="str">
        <f aca="false">IF($AK507=0,"",INDEX('Part types'!$U:$U,$AK507)&amp;"")</f>
        <v/>
      </c>
      <c r="AG507" s="9" t="str">
        <f aca="false">IF($AK507=0,"",INDEX('Part types'!$V:$V,$AK507)&amp;"")</f>
        <v>Estimate: size class XS</v>
      </c>
      <c r="AH507" s="9" t="str">
        <f aca="false">IF($AK507=0,"",INDEX('Part types'!$W:$W,$AK507)&amp;"")</f>
        <v/>
      </c>
      <c r="AI507" s="11" t="str">
        <f aca="false">IF($AK507=0,"",INDEX('Part types'!$X:$X,$AK507)&amp;"")</f>
        <v>TPMS</v>
      </c>
      <c r="AJ507" s="9" t="str">
        <f aca="false">IF($AK507=0,"",INDEX('Part types'!$Y:$Y,$AK507)&amp;"")</f>
        <v>TPMS</v>
      </c>
      <c r="AK507" s="9" t="n">
        <f aca="false">IFERROR(MATCH($AD507,'Part types'!$E:$E,0),0)</f>
        <v>335</v>
      </c>
    </row>
    <row r="508" customFormat="false" ht="15" hidden="false" customHeight="false" outlineLevel="0" collapsed="false">
      <c r="A508" s="9" t="s">
        <v>2101</v>
      </c>
      <c r="B508" s="9" t="s">
        <v>2043</v>
      </c>
      <c r="C508" s="9" t="s">
        <v>2097</v>
      </c>
      <c r="D508" s="9" t="str">
        <f aca="false">C508&amp;" - "&amp;E508</f>
        <v>TPMS Sensor - Front-Right</v>
      </c>
      <c r="E508" s="9" t="s">
        <v>1356</v>
      </c>
      <c r="F508" s="9" t="s">
        <v>1968</v>
      </c>
      <c r="G508" s="10" t="n">
        <f aca="false">IF($AK508=0,"",INDEX('Part types'!$P:$P,$AK508))</f>
        <v>10</v>
      </c>
      <c r="H508" s="10" t="n">
        <f aca="false">IF($AK508=0,"",INDEX('Part types'!$Q:$Q,$AK508))</f>
        <v>8</v>
      </c>
      <c r="I508" s="10" t="n">
        <f aca="false">IF($AK508=0,"",INDEX('Part types'!$R:$R,$AK508))</f>
        <v>6</v>
      </c>
      <c r="J508" s="10" t="n">
        <f aca="false">IF($AK508=0,"",INDEX('Part types'!$S:$S,$AK508))</f>
        <v>0.1</v>
      </c>
      <c r="K508" s="11" t="s">
        <v>2046</v>
      </c>
      <c r="L508" s="11" t="s">
        <v>2098</v>
      </c>
      <c r="M508" s="11" t="str">
        <f aca="false">L508&amp;" - "&amp;N508</f>
        <v>حساس ضغط الإطارات - أمامي يمين</v>
      </c>
      <c r="N508" s="11" t="s">
        <v>1357</v>
      </c>
      <c r="O508" s="11" t="s">
        <v>1970</v>
      </c>
      <c r="P508" s="10" t="n">
        <f aca="false">G508</f>
        <v>10</v>
      </c>
      <c r="Q508" s="10" t="n">
        <f aca="false">H508</f>
        <v>8</v>
      </c>
      <c r="R508" s="10" t="n">
        <f aca="false">I508</f>
        <v>6</v>
      </c>
      <c r="S508" s="10" t="n">
        <f aca="false">J508</f>
        <v>0.1</v>
      </c>
      <c r="T508" s="12" t="s">
        <v>2049</v>
      </c>
      <c r="U508" s="12" t="s">
        <v>2099</v>
      </c>
      <c r="V508" s="9" t="str">
        <f aca="false">U508&amp;" - "&amp;W508</f>
        <v>胎压传感器 - 前右</v>
      </c>
      <c r="W508" s="12" t="s">
        <v>1358</v>
      </c>
      <c r="X508" s="12" t="s">
        <v>1943</v>
      </c>
      <c r="Y508" s="10" t="n">
        <f aca="false">G508</f>
        <v>10</v>
      </c>
      <c r="Z508" s="10" t="n">
        <f aca="false">H508</f>
        <v>8</v>
      </c>
      <c r="AA508" s="10" t="n">
        <f aca="false">I508</f>
        <v>6</v>
      </c>
      <c r="AB508" s="10" t="n">
        <f aca="false">J508</f>
        <v>0.1</v>
      </c>
      <c r="AC508" s="9" t="s">
        <v>2051</v>
      </c>
      <c r="AD508" s="9" t="s">
        <v>2100</v>
      </c>
      <c r="AE508" s="9" t="str">
        <f aca="false">IF($AK508=0,"",INDEX('Part types'!$T:$T,$AK508)&amp;"")</f>
        <v>All vehicles</v>
      </c>
      <c r="AF508" s="9" t="str">
        <f aca="false">IF($AK508=0,"",INDEX('Part types'!$U:$U,$AK508)&amp;"")</f>
        <v/>
      </c>
      <c r="AG508" s="9" t="str">
        <f aca="false">IF($AK508=0,"",INDEX('Part types'!$V:$V,$AK508)&amp;"")</f>
        <v>Estimate: size class XS</v>
      </c>
      <c r="AH508" s="9" t="str">
        <f aca="false">IF($AK508=0,"",INDEX('Part types'!$W:$W,$AK508)&amp;"")</f>
        <v/>
      </c>
      <c r="AI508" s="11" t="str">
        <f aca="false">IF($AK508=0,"",INDEX('Part types'!$X:$X,$AK508)&amp;"")</f>
        <v>TPMS</v>
      </c>
      <c r="AJ508" s="9" t="str">
        <f aca="false">IF($AK508=0,"",INDEX('Part types'!$Y:$Y,$AK508)&amp;"")</f>
        <v>TPMS</v>
      </c>
      <c r="AK508" s="9" t="n">
        <f aca="false">IFERROR(MATCH($AD508,'Part types'!$E:$E,0),0)</f>
        <v>335</v>
      </c>
    </row>
    <row r="509" customFormat="false" ht="15" hidden="false" customHeight="false" outlineLevel="0" collapsed="false">
      <c r="A509" s="9" t="s">
        <v>2102</v>
      </c>
      <c r="B509" s="9" t="s">
        <v>2043</v>
      </c>
      <c r="C509" s="9" t="s">
        <v>2097</v>
      </c>
      <c r="D509" s="9" t="str">
        <f aca="false">C509&amp;" - "&amp;E509</f>
        <v>TPMS Sensor - Rear-Left</v>
      </c>
      <c r="E509" s="9" t="s">
        <v>1360</v>
      </c>
      <c r="F509" s="9" t="s">
        <v>1968</v>
      </c>
      <c r="G509" s="10" t="n">
        <f aca="false">IF($AK509=0,"",INDEX('Part types'!$P:$P,$AK509))</f>
        <v>10</v>
      </c>
      <c r="H509" s="10" t="n">
        <f aca="false">IF($AK509=0,"",INDEX('Part types'!$Q:$Q,$AK509))</f>
        <v>8</v>
      </c>
      <c r="I509" s="10" t="n">
        <f aca="false">IF($AK509=0,"",INDEX('Part types'!$R:$R,$AK509))</f>
        <v>6</v>
      </c>
      <c r="J509" s="10" t="n">
        <f aca="false">IF($AK509=0,"",INDEX('Part types'!$S:$S,$AK509))</f>
        <v>0.1</v>
      </c>
      <c r="K509" s="11" t="s">
        <v>2046</v>
      </c>
      <c r="L509" s="11" t="s">
        <v>2098</v>
      </c>
      <c r="M509" s="11" t="str">
        <f aca="false">L509&amp;" - "&amp;N509</f>
        <v>حساس ضغط الإطارات - خلفي يسار</v>
      </c>
      <c r="N509" s="11" t="s">
        <v>1361</v>
      </c>
      <c r="O509" s="11" t="s">
        <v>1970</v>
      </c>
      <c r="P509" s="10" t="n">
        <f aca="false">G509</f>
        <v>10</v>
      </c>
      <c r="Q509" s="10" t="n">
        <f aca="false">H509</f>
        <v>8</v>
      </c>
      <c r="R509" s="10" t="n">
        <f aca="false">I509</f>
        <v>6</v>
      </c>
      <c r="S509" s="10" t="n">
        <f aca="false">J509</f>
        <v>0.1</v>
      </c>
      <c r="T509" s="12" t="s">
        <v>2049</v>
      </c>
      <c r="U509" s="12" t="s">
        <v>2099</v>
      </c>
      <c r="V509" s="9" t="str">
        <f aca="false">U509&amp;" - "&amp;W509</f>
        <v>胎压传感器 - 后左</v>
      </c>
      <c r="W509" s="12" t="s">
        <v>1362</v>
      </c>
      <c r="X509" s="12" t="s">
        <v>1943</v>
      </c>
      <c r="Y509" s="10" t="n">
        <f aca="false">G509</f>
        <v>10</v>
      </c>
      <c r="Z509" s="10" t="n">
        <f aca="false">H509</f>
        <v>8</v>
      </c>
      <c r="AA509" s="10" t="n">
        <f aca="false">I509</f>
        <v>6</v>
      </c>
      <c r="AB509" s="10" t="n">
        <f aca="false">J509</f>
        <v>0.1</v>
      </c>
      <c r="AC509" s="9" t="s">
        <v>2051</v>
      </c>
      <c r="AD509" s="9" t="s">
        <v>2100</v>
      </c>
      <c r="AE509" s="9" t="str">
        <f aca="false">IF($AK509=0,"",INDEX('Part types'!$T:$T,$AK509)&amp;"")</f>
        <v>All vehicles</v>
      </c>
      <c r="AF509" s="9" t="str">
        <f aca="false">IF($AK509=0,"",INDEX('Part types'!$U:$U,$AK509)&amp;"")</f>
        <v/>
      </c>
      <c r="AG509" s="9" t="str">
        <f aca="false">IF($AK509=0,"",INDEX('Part types'!$V:$V,$AK509)&amp;"")</f>
        <v>Estimate: size class XS</v>
      </c>
      <c r="AH509" s="9" t="str">
        <f aca="false">IF($AK509=0,"",INDEX('Part types'!$W:$W,$AK509)&amp;"")</f>
        <v/>
      </c>
      <c r="AI509" s="11" t="str">
        <f aca="false">IF($AK509=0,"",INDEX('Part types'!$X:$X,$AK509)&amp;"")</f>
        <v>TPMS</v>
      </c>
      <c r="AJ509" s="9" t="str">
        <f aca="false">IF($AK509=0,"",INDEX('Part types'!$Y:$Y,$AK509)&amp;"")</f>
        <v>TPMS</v>
      </c>
      <c r="AK509" s="9" t="n">
        <f aca="false">IFERROR(MATCH($AD509,'Part types'!$E:$E,0),0)</f>
        <v>335</v>
      </c>
    </row>
    <row r="510" customFormat="false" ht="15" hidden="false" customHeight="false" outlineLevel="0" collapsed="false">
      <c r="A510" s="9" t="s">
        <v>2103</v>
      </c>
      <c r="B510" s="9" t="s">
        <v>2043</v>
      </c>
      <c r="C510" s="9" t="s">
        <v>2097</v>
      </c>
      <c r="D510" s="9" t="str">
        <f aca="false">C510&amp;" - "&amp;E510</f>
        <v>TPMS Sensor - Rear-Right</v>
      </c>
      <c r="E510" s="9" t="s">
        <v>1364</v>
      </c>
      <c r="F510" s="9" t="s">
        <v>1968</v>
      </c>
      <c r="G510" s="10" t="n">
        <f aca="false">IF($AK510=0,"",INDEX('Part types'!$P:$P,$AK510))</f>
        <v>10</v>
      </c>
      <c r="H510" s="10" t="n">
        <f aca="false">IF($AK510=0,"",INDEX('Part types'!$Q:$Q,$AK510))</f>
        <v>8</v>
      </c>
      <c r="I510" s="10" t="n">
        <f aca="false">IF($AK510=0,"",INDEX('Part types'!$R:$R,$AK510))</f>
        <v>6</v>
      </c>
      <c r="J510" s="10" t="n">
        <f aca="false">IF($AK510=0,"",INDEX('Part types'!$S:$S,$AK510))</f>
        <v>0.1</v>
      </c>
      <c r="K510" s="11" t="s">
        <v>2046</v>
      </c>
      <c r="L510" s="11" t="s">
        <v>2098</v>
      </c>
      <c r="M510" s="11" t="str">
        <f aca="false">L510&amp;" - "&amp;N510</f>
        <v>حساس ضغط الإطارات - خلفي يمين</v>
      </c>
      <c r="N510" s="11" t="s">
        <v>1365</v>
      </c>
      <c r="O510" s="11" t="s">
        <v>1970</v>
      </c>
      <c r="P510" s="10" t="n">
        <f aca="false">G510</f>
        <v>10</v>
      </c>
      <c r="Q510" s="10" t="n">
        <f aca="false">H510</f>
        <v>8</v>
      </c>
      <c r="R510" s="10" t="n">
        <f aca="false">I510</f>
        <v>6</v>
      </c>
      <c r="S510" s="10" t="n">
        <f aca="false">J510</f>
        <v>0.1</v>
      </c>
      <c r="T510" s="12" t="s">
        <v>2049</v>
      </c>
      <c r="U510" s="12" t="s">
        <v>2099</v>
      </c>
      <c r="V510" s="9" t="str">
        <f aca="false">U510&amp;" - "&amp;W510</f>
        <v>胎压传感器 - 后右</v>
      </c>
      <c r="W510" s="12" t="s">
        <v>1366</v>
      </c>
      <c r="X510" s="12" t="s">
        <v>1943</v>
      </c>
      <c r="Y510" s="10" t="n">
        <f aca="false">G510</f>
        <v>10</v>
      </c>
      <c r="Z510" s="10" t="n">
        <f aca="false">H510</f>
        <v>8</v>
      </c>
      <c r="AA510" s="10" t="n">
        <f aca="false">I510</f>
        <v>6</v>
      </c>
      <c r="AB510" s="10" t="n">
        <f aca="false">J510</f>
        <v>0.1</v>
      </c>
      <c r="AC510" s="9" t="s">
        <v>2051</v>
      </c>
      <c r="AD510" s="9" t="s">
        <v>2100</v>
      </c>
      <c r="AE510" s="9" t="str">
        <f aca="false">IF($AK510=0,"",INDEX('Part types'!$T:$T,$AK510)&amp;"")</f>
        <v>All vehicles</v>
      </c>
      <c r="AF510" s="9" t="str">
        <f aca="false">IF($AK510=0,"",INDEX('Part types'!$U:$U,$AK510)&amp;"")</f>
        <v/>
      </c>
      <c r="AG510" s="9" t="str">
        <f aca="false">IF($AK510=0,"",INDEX('Part types'!$V:$V,$AK510)&amp;"")</f>
        <v>Estimate: size class XS</v>
      </c>
      <c r="AH510" s="9" t="str">
        <f aca="false">IF($AK510=0,"",INDEX('Part types'!$W:$W,$AK510)&amp;"")</f>
        <v/>
      </c>
      <c r="AI510" s="11" t="str">
        <f aca="false">IF($AK510=0,"",INDEX('Part types'!$X:$X,$AK510)&amp;"")</f>
        <v>TPMS</v>
      </c>
      <c r="AJ510" s="9" t="str">
        <f aca="false">IF($AK510=0,"",INDEX('Part types'!$Y:$Y,$AK510)&amp;"")</f>
        <v>TPMS</v>
      </c>
      <c r="AK510" s="9" t="n">
        <f aca="false">IFERROR(MATCH($AD510,'Part types'!$E:$E,0),0)</f>
        <v>335</v>
      </c>
    </row>
    <row r="511" customFormat="false" ht="15" hidden="false" customHeight="false" outlineLevel="0" collapsed="false">
      <c r="A511" s="9" t="s">
        <v>2104</v>
      </c>
      <c r="B511" s="9" t="s">
        <v>2043</v>
      </c>
      <c r="C511" s="9" t="s">
        <v>2105</v>
      </c>
      <c r="D511" s="9" t="str">
        <f aca="false">C511&amp;" - "&amp;E511</f>
        <v>Spare Tire - Universal</v>
      </c>
      <c r="E511" s="9" t="s">
        <v>68</v>
      </c>
      <c r="F511" s="9" t="s">
        <v>2106</v>
      </c>
      <c r="G511" s="10" t="n">
        <f aca="false">IF($AK511=0,"",INDEX('Part types'!$P:$P,$AK511))</f>
        <v>60</v>
      </c>
      <c r="H511" s="10" t="n">
        <f aca="false">IF($AK511=0,"",INDEX('Part types'!$Q:$Q,$AK511))</f>
        <v>60</v>
      </c>
      <c r="I511" s="10" t="n">
        <f aca="false">IF($AK511=0,"",INDEX('Part types'!$R:$R,$AK511))</f>
        <v>15</v>
      </c>
      <c r="J511" s="10" t="n">
        <f aca="false">IF($AK511=0,"",INDEX('Part types'!$S:$S,$AK511))</f>
        <v>8</v>
      </c>
      <c r="K511" s="11" t="s">
        <v>2046</v>
      </c>
      <c r="L511" s="11" t="s">
        <v>2107</v>
      </c>
      <c r="M511" s="11" t="str">
        <f aca="false">L511&amp;" - "&amp;N511</f>
        <v>إطار احتياطي صغير - عام</v>
      </c>
      <c r="N511" s="11" t="s">
        <v>72</v>
      </c>
      <c r="O511" s="11" t="s">
        <v>2108</v>
      </c>
      <c r="P511" s="10" t="n">
        <f aca="false">G511</f>
        <v>60</v>
      </c>
      <c r="Q511" s="10" t="n">
        <f aca="false">H511</f>
        <v>60</v>
      </c>
      <c r="R511" s="10" t="n">
        <f aca="false">I511</f>
        <v>15</v>
      </c>
      <c r="S511" s="10" t="n">
        <f aca="false">J511</f>
        <v>8</v>
      </c>
      <c r="T511" s="12" t="s">
        <v>2049</v>
      </c>
      <c r="U511" s="12" t="s">
        <v>2109</v>
      </c>
      <c r="V511" s="9" t="str">
        <f aca="false">U511&amp;" - "&amp;W511</f>
        <v>备胎 - 通用</v>
      </c>
      <c r="W511" s="12" t="s">
        <v>76</v>
      </c>
      <c r="X511" s="12" t="s">
        <v>2110</v>
      </c>
      <c r="Y511" s="10" t="n">
        <f aca="false">G511</f>
        <v>60</v>
      </c>
      <c r="Z511" s="10" t="n">
        <f aca="false">H511</f>
        <v>60</v>
      </c>
      <c r="AA511" s="10" t="n">
        <f aca="false">I511</f>
        <v>15</v>
      </c>
      <c r="AB511" s="10" t="n">
        <f aca="false">J511</f>
        <v>8</v>
      </c>
      <c r="AC511" s="9" t="s">
        <v>2051</v>
      </c>
      <c r="AD511" s="9" t="s">
        <v>2111</v>
      </c>
      <c r="AE511" s="9" t="str">
        <f aca="false">IF($AK511=0,"",INDEX('Part types'!$T:$T,$AK511)&amp;"")</f>
        <v>All vehicles</v>
      </c>
      <c r="AF511" s="9" t="str">
        <f aca="false">IF($AK511=0,"",INDEX('Part types'!$U:$U,$AK511)&amp;"")</f>
        <v/>
      </c>
      <c r="AG511" s="9" t="str">
        <f aca="false">IF($AK511=0,"",INDEX('Part types'!$V:$V,$AK511)&amp;"")</f>
        <v>Estimate: item-specific</v>
      </c>
      <c r="AH511" s="9" t="str">
        <f aca="false">IF($AK511=0,"",INDEX('Part types'!$W:$W,$AK511)&amp;"")</f>
        <v>Compact</v>
      </c>
      <c r="AI511" s="11" t="str">
        <f aca="false">IF($AK511=0,"",INDEX('Part types'!$X:$X,$AK511)&amp;"")</f>
        <v/>
      </c>
      <c r="AJ511" s="9" t="str">
        <f aca="false">IF($AK511=0,"",INDEX('Part types'!$Y:$Y,$AK511)&amp;"")</f>
        <v>非全尺寸</v>
      </c>
      <c r="AK511" s="9" t="n">
        <f aca="false">IFERROR(MATCH($AD511,'Part types'!$E:$E,0),0)</f>
        <v>336</v>
      </c>
    </row>
    <row r="512" customFormat="false" ht="15" hidden="false" customHeight="false" outlineLevel="0" collapsed="false">
      <c r="A512" s="9" t="s">
        <v>2112</v>
      </c>
      <c r="B512" s="9" t="s">
        <v>2043</v>
      </c>
      <c r="C512" s="9" t="s">
        <v>2113</v>
      </c>
      <c r="D512" s="9" t="str">
        <f aca="false">C512&amp;" - "&amp;E512</f>
        <v>Spare Tire Carrier - Universal</v>
      </c>
      <c r="E512" s="9" t="s">
        <v>68</v>
      </c>
      <c r="F512" s="9" t="s">
        <v>237</v>
      </c>
      <c r="G512" s="10" t="n">
        <f aca="false">IF($AK512=0,"",INDEX('Part types'!$P:$P,$AK512))</f>
        <v>30</v>
      </c>
      <c r="H512" s="10" t="n">
        <f aca="false">IF($AK512=0,"",INDEX('Part types'!$Q:$Q,$AK512))</f>
        <v>20</v>
      </c>
      <c r="I512" s="10" t="n">
        <f aca="false">IF($AK512=0,"",INDEX('Part types'!$R:$R,$AK512))</f>
        <v>15</v>
      </c>
      <c r="J512" s="10" t="n">
        <f aca="false">IF($AK512=0,"",INDEX('Part types'!$S:$S,$AK512))</f>
        <v>1.8</v>
      </c>
      <c r="K512" s="11" t="s">
        <v>2046</v>
      </c>
      <c r="L512" s="11" t="s">
        <v>2114</v>
      </c>
      <c r="M512" s="11" t="str">
        <f aca="false">L512&amp;" - "&amp;N512</f>
        <v>حامل الإطار الاحتياطي - عام</v>
      </c>
      <c r="N512" s="11" t="s">
        <v>72</v>
      </c>
      <c r="O512" s="11" t="s">
        <v>239</v>
      </c>
      <c r="P512" s="10" t="n">
        <f aca="false">G512</f>
        <v>30</v>
      </c>
      <c r="Q512" s="10" t="n">
        <f aca="false">H512</f>
        <v>20</v>
      </c>
      <c r="R512" s="10" t="n">
        <f aca="false">I512</f>
        <v>15</v>
      </c>
      <c r="S512" s="10" t="n">
        <f aca="false">J512</f>
        <v>1.8</v>
      </c>
      <c r="T512" s="12" t="s">
        <v>2049</v>
      </c>
      <c r="U512" s="12" t="s">
        <v>2115</v>
      </c>
      <c r="V512" s="9" t="str">
        <f aca="false">U512&amp;" - "&amp;W512</f>
        <v>备胎架 - 通用</v>
      </c>
      <c r="W512" s="12" t="s">
        <v>76</v>
      </c>
      <c r="X512" s="12" t="s">
        <v>241</v>
      </c>
      <c r="Y512" s="10" t="n">
        <f aca="false">G512</f>
        <v>30</v>
      </c>
      <c r="Z512" s="10" t="n">
        <f aca="false">H512</f>
        <v>20</v>
      </c>
      <c r="AA512" s="10" t="n">
        <f aca="false">I512</f>
        <v>15</v>
      </c>
      <c r="AB512" s="10" t="n">
        <f aca="false">J512</f>
        <v>1.8</v>
      </c>
      <c r="AC512" s="9" t="s">
        <v>2051</v>
      </c>
      <c r="AD512" s="9" t="s">
        <v>2116</v>
      </c>
      <c r="AE512" s="9" t="str">
        <f aca="false">IF($AK512=0,"",INDEX('Part types'!$T:$T,$AK512)&amp;"")</f>
        <v>All vehicles</v>
      </c>
      <c r="AF512" s="9" t="str">
        <f aca="false">IF($AK512=0,"",INDEX('Part types'!$U:$U,$AK512)&amp;"")</f>
        <v/>
      </c>
      <c r="AG512" s="9" t="str">
        <f aca="false">IF($AK512=0,"",INDEX('Part types'!$V:$V,$AK512)&amp;"")</f>
        <v>Estimate: size class M2</v>
      </c>
      <c r="AH512" s="9" t="str">
        <f aca="false">IF($AK512=0,"",INDEX('Part types'!$W:$W,$AK512)&amp;"")</f>
        <v/>
      </c>
      <c r="AI512" s="11" t="str">
        <f aca="false">IF($AK512=0,"",INDEX('Part types'!$X:$X,$AK512)&amp;"")</f>
        <v/>
      </c>
      <c r="AJ512" s="9" t="str">
        <f aca="false">IF($AK512=0,"",INDEX('Part types'!$Y:$Y,$AK512)&amp;"")</f>
        <v/>
      </c>
      <c r="AK512" s="9" t="n">
        <f aca="false">IFERROR(MATCH($AD512,'Part types'!$E:$E,0),0)</f>
        <v>337</v>
      </c>
    </row>
    <row r="513" customFormat="false" ht="15" hidden="false" customHeight="false" outlineLevel="0" collapsed="false">
      <c r="A513" s="9" t="s">
        <v>2117</v>
      </c>
      <c r="B513" s="9" t="s">
        <v>2043</v>
      </c>
      <c r="C513" s="9" t="s">
        <v>2118</v>
      </c>
      <c r="D513" s="9" t="str">
        <f aca="false">C513&amp;" - "&amp;E513</f>
        <v>Spare Wheel Cover - Universal</v>
      </c>
      <c r="E513" s="9" t="s">
        <v>68</v>
      </c>
      <c r="F513" s="9" t="s">
        <v>2106</v>
      </c>
      <c r="G513" s="10" t="n">
        <f aca="false">IF($AK513=0,"",INDEX('Part types'!$P:$P,$AK513))</f>
        <v>30</v>
      </c>
      <c r="H513" s="10" t="n">
        <f aca="false">IF($AK513=0,"",INDEX('Part types'!$Q:$Q,$AK513))</f>
        <v>20</v>
      </c>
      <c r="I513" s="10" t="n">
        <f aca="false">IF($AK513=0,"",INDEX('Part types'!$R:$R,$AK513))</f>
        <v>15</v>
      </c>
      <c r="J513" s="10" t="n">
        <f aca="false">IF($AK513=0,"",INDEX('Part types'!$S:$S,$AK513))</f>
        <v>1.8</v>
      </c>
      <c r="K513" s="11" t="s">
        <v>2046</v>
      </c>
      <c r="L513" s="11" t="s">
        <v>2119</v>
      </c>
      <c r="M513" s="11" t="str">
        <f aca="false">L513&amp;" - "&amp;N513</f>
        <v>غطاء الإطار الاحتياطي - عام</v>
      </c>
      <c r="N513" s="11" t="s">
        <v>72</v>
      </c>
      <c r="O513" s="11" t="s">
        <v>2108</v>
      </c>
      <c r="P513" s="10" t="n">
        <f aca="false">G513</f>
        <v>30</v>
      </c>
      <c r="Q513" s="10" t="n">
        <f aca="false">H513</f>
        <v>20</v>
      </c>
      <c r="R513" s="10" t="n">
        <f aca="false">I513</f>
        <v>15</v>
      </c>
      <c r="S513" s="10" t="n">
        <f aca="false">J513</f>
        <v>1.8</v>
      </c>
      <c r="T513" s="12" t="s">
        <v>2049</v>
      </c>
      <c r="U513" s="12" t="s">
        <v>2120</v>
      </c>
      <c r="V513" s="9" t="str">
        <f aca="false">U513&amp;" - "&amp;W513</f>
        <v>备胎罩 - 通用</v>
      </c>
      <c r="W513" s="12" t="s">
        <v>76</v>
      </c>
      <c r="X513" s="12" t="s">
        <v>2110</v>
      </c>
      <c r="Y513" s="10" t="n">
        <f aca="false">G513</f>
        <v>30</v>
      </c>
      <c r="Z513" s="10" t="n">
        <f aca="false">H513</f>
        <v>20</v>
      </c>
      <c r="AA513" s="10" t="n">
        <f aca="false">I513</f>
        <v>15</v>
      </c>
      <c r="AB513" s="10" t="n">
        <f aca="false">J513</f>
        <v>1.8</v>
      </c>
      <c r="AC513" s="9" t="s">
        <v>2051</v>
      </c>
      <c r="AD513" s="9" t="s">
        <v>2121</v>
      </c>
      <c r="AE513" s="9" t="str">
        <f aca="false">IF($AK513=0,"",INDEX('Part types'!$T:$T,$AK513)&amp;"")</f>
        <v>All vehicles</v>
      </c>
      <c r="AF513" s="9" t="str">
        <f aca="false">IF($AK513=0,"",INDEX('Part types'!$U:$U,$AK513)&amp;"")</f>
        <v/>
      </c>
      <c r="AG513" s="9" t="str">
        <f aca="false">IF($AK513=0,"",INDEX('Part types'!$V:$V,$AK513)&amp;"")</f>
        <v>Estimate: size class M2</v>
      </c>
      <c r="AH513" s="9" t="str">
        <f aca="false">IF($AK513=0,"",INDEX('Part types'!$W:$W,$AK513)&amp;"")</f>
        <v/>
      </c>
      <c r="AI513" s="11" t="str">
        <f aca="false">IF($AK513=0,"",INDEX('Part types'!$X:$X,$AK513)&amp;"")</f>
        <v/>
      </c>
      <c r="AJ513" s="9" t="str">
        <f aca="false">IF($AK513=0,"",INDEX('Part types'!$Y:$Y,$AK513)&amp;"")</f>
        <v/>
      </c>
      <c r="AK513" s="9" t="n">
        <f aca="false">IFERROR(MATCH($AD513,'Part types'!$E:$E,0),0)</f>
        <v>338</v>
      </c>
    </row>
    <row r="514" customFormat="false" ht="15" hidden="false" customHeight="false" outlineLevel="0" collapsed="false">
      <c r="A514" s="9" t="s">
        <v>2122</v>
      </c>
      <c r="B514" s="9" t="s">
        <v>2043</v>
      </c>
      <c r="C514" s="9" t="s">
        <v>2123</v>
      </c>
      <c r="D514" s="9" t="str">
        <f aca="false">C514&amp;" - "&amp;E514</f>
        <v>Snow Chain Set - Universal</v>
      </c>
      <c r="E514" s="9" t="s">
        <v>68</v>
      </c>
      <c r="F514" s="9" t="s">
        <v>2045</v>
      </c>
      <c r="G514" s="10" t="n">
        <f aca="false">IF($AK514=0,"",INDEX('Part types'!$P:$P,$AK514))</f>
        <v>30</v>
      </c>
      <c r="H514" s="10" t="n">
        <f aca="false">IF($AK514=0,"",INDEX('Part types'!$Q:$Q,$AK514))</f>
        <v>20</v>
      </c>
      <c r="I514" s="10" t="n">
        <f aca="false">IF($AK514=0,"",INDEX('Part types'!$R:$R,$AK514))</f>
        <v>15</v>
      </c>
      <c r="J514" s="10" t="n">
        <f aca="false">IF($AK514=0,"",INDEX('Part types'!$S:$S,$AK514))</f>
        <v>1.8</v>
      </c>
      <c r="K514" s="11" t="s">
        <v>2046</v>
      </c>
      <c r="L514" s="11" t="s">
        <v>2124</v>
      </c>
      <c r="M514" s="11" t="str">
        <f aca="false">L514&amp;" - "&amp;N514</f>
        <v>طقم جنازير الثلج - عام</v>
      </c>
      <c r="N514" s="11" t="s">
        <v>72</v>
      </c>
      <c r="O514" s="11" t="s">
        <v>2048</v>
      </c>
      <c r="P514" s="10" t="n">
        <f aca="false">G514</f>
        <v>30</v>
      </c>
      <c r="Q514" s="10" t="n">
        <f aca="false">H514</f>
        <v>20</v>
      </c>
      <c r="R514" s="10" t="n">
        <f aca="false">I514</f>
        <v>15</v>
      </c>
      <c r="S514" s="10" t="n">
        <f aca="false">J514</f>
        <v>1.8</v>
      </c>
      <c r="T514" s="12" t="s">
        <v>2049</v>
      </c>
      <c r="U514" s="12" t="s">
        <v>2125</v>
      </c>
      <c r="V514" s="9" t="str">
        <f aca="false">U514&amp;" - "&amp;W514</f>
        <v>防滑链套装 - 通用</v>
      </c>
      <c r="W514" s="12" t="s">
        <v>76</v>
      </c>
      <c r="X514" s="12" t="s">
        <v>2049</v>
      </c>
      <c r="Y514" s="10" t="n">
        <f aca="false">G514</f>
        <v>30</v>
      </c>
      <c r="Z514" s="10" t="n">
        <f aca="false">H514</f>
        <v>20</v>
      </c>
      <c r="AA514" s="10" t="n">
        <f aca="false">I514</f>
        <v>15</v>
      </c>
      <c r="AB514" s="10" t="n">
        <f aca="false">J514</f>
        <v>1.8</v>
      </c>
      <c r="AC514" s="9" t="s">
        <v>2051</v>
      </c>
      <c r="AD514" s="9" t="s">
        <v>2126</v>
      </c>
      <c r="AE514" s="9" t="str">
        <f aca="false">IF($AK514=0,"",INDEX('Part types'!$T:$T,$AK514)&amp;"")</f>
        <v>All vehicles</v>
      </c>
      <c r="AF514" s="9" t="str">
        <f aca="false">IF($AK514=0,"",INDEX('Part types'!$U:$U,$AK514)&amp;"")</f>
        <v/>
      </c>
      <c r="AG514" s="9" t="str">
        <f aca="false">IF($AK514=0,"",INDEX('Part types'!$V:$V,$AK514)&amp;"")</f>
        <v>Estimate: size class M2</v>
      </c>
      <c r="AH514" s="9" t="str">
        <f aca="false">IF($AK514=0,"",INDEX('Part types'!$W:$W,$AK514)&amp;"")</f>
        <v/>
      </c>
      <c r="AI514" s="11" t="str">
        <f aca="false">IF($AK514=0,"",INDEX('Part types'!$X:$X,$AK514)&amp;"")</f>
        <v/>
      </c>
      <c r="AJ514" s="9" t="str">
        <f aca="false">IF($AK514=0,"",INDEX('Part types'!$Y:$Y,$AK514)&amp;"")</f>
        <v/>
      </c>
      <c r="AK514" s="9" t="n">
        <f aca="false">IFERROR(MATCH($AD514,'Part types'!$E:$E,0),0)</f>
        <v>339</v>
      </c>
    </row>
    <row r="515" customFormat="false" ht="15" hidden="false" customHeight="false" outlineLevel="0" collapsed="false">
      <c r="A515" s="9" t="s">
        <v>2127</v>
      </c>
      <c r="B515" s="9" t="s">
        <v>2043</v>
      </c>
      <c r="C515" s="9" t="s">
        <v>2128</v>
      </c>
      <c r="D515" s="9" t="str">
        <f aca="false">C515&amp;" - "&amp;E515</f>
        <v>Tire Repair Kit - Universal</v>
      </c>
      <c r="E515" s="9" t="s">
        <v>68</v>
      </c>
      <c r="F515" s="9" t="s">
        <v>956</v>
      </c>
      <c r="G515" s="10" t="n">
        <f aca="false">IF($AK515=0,"",INDEX('Part types'!$P:$P,$AK515))</f>
        <v>25</v>
      </c>
      <c r="H515" s="10" t="n">
        <f aca="false">IF($AK515=0,"",INDEX('Part types'!$Q:$Q,$AK515))</f>
        <v>15</v>
      </c>
      <c r="I515" s="10" t="n">
        <f aca="false">IF($AK515=0,"",INDEX('Part types'!$R:$R,$AK515))</f>
        <v>10</v>
      </c>
      <c r="J515" s="10" t="n">
        <f aca="false">IF($AK515=0,"",INDEX('Part types'!$S:$S,$AK515))</f>
        <v>0.9</v>
      </c>
      <c r="K515" s="11" t="s">
        <v>2046</v>
      </c>
      <c r="L515" s="11" t="s">
        <v>2129</v>
      </c>
      <c r="M515" s="11" t="str">
        <f aca="false">L515&amp;" - "&amp;N515</f>
        <v>طقم إصلاح الإطارات - عام</v>
      </c>
      <c r="N515" s="11" t="s">
        <v>72</v>
      </c>
      <c r="O515" s="11" t="s">
        <v>959</v>
      </c>
      <c r="P515" s="10" t="n">
        <f aca="false">G515</f>
        <v>25</v>
      </c>
      <c r="Q515" s="10" t="n">
        <f aca="false">H515</f>
        <v>15</v>
      </c>
      <c r="R515" s="10" t="n">
        <f aca="false">I515</f>
        <v>10</v>
      </c>
      <c r="S515" s="10" t="n">
        <f aca="false">J515</f>
        <v>0.9</v>
      </c>
      <c r="T515" s="12" t="s">
        <v>2049</v>
      </c>
      <c r="U515" s="12" t="s">
        <v>2130</v>
      </c>
      <c r="V515" s="9" t="str">
        <f aca="false">U515&amp;" - "&amp;W515</f>
        <v>补胎工具套装 - 通用</v>
      </c>
      <c r="W515" s="12" t="s">
        <v>76</v>
      </c>
      <c r="X515" s="12" t="s">
        <v>962</v>
      </c>
      <c r="Y515" s="10" t="n">
        <f aca="false">G515</f>
        <v>25</v>
      </c>
      <c r="Z515" s="10" t="n">
        <f aca="false">H515</f>
        <v>15</v>
      </c>
      <c r="AA515" s="10" t="n">
        <f aca="false">I515</f>
        <v>10</v>
      </c>
      <c r="AB515" s="10" t="n">
        <f aca="false">J515</f>
        <v>0.9</v>
      </c>
      <c r="AC515" s="9" t="s">
        <v>2051</v>
      </c>
      <c r="AD515" s="9" t="s">
        <v>2131</v>
      </c>
      <c r="AE515" s="9" t="str">
        <f aca="false">IF($AK515=0,"",INDEX('Part types'!$T:$T,$AK515)&amp;"")</f>
        <v>All vehicles</v>
      </c>
      <c r="AF515" s="9" t="str">
        <f aca="false">IF($AK515=0,"",INDEX('Part types'!$U:$U,$AK515)&amp;"")</f>
        <v/>
      </c>
      <c r="AG515" s="9" t="str">
        <f aca="false">IF($AK515=0,"",INDEX('Part types'!$V:$V,$AK515)&amp;"")</f>
        <v>Estimate: size class M</v>
      </c>
      <c r="AH515" s="9" t="str">
        <f aca="false">IF($AK515=0,"",INDEX('Part types'!$W:$W,$AK515)&amp;"")</f>
        <v/>
      </c>
      <c r="AI515" s="11" t="str">
        <f aca="false">IF($AK515=0,"",INDEX('Part types'!$X:$X,$AK515)&amp;"")</f>
        <v/>
      </c>
      <c r="AJ515" s="9" t="str">
        <f aca="false">IF($AK515=0,"",INDEX('Part types'!$Y:$Y,$AK515)&amp;"")</f>
        <v/>
      </c>
      <c r="AK515" s="9" t="n">
        <f aca="false">IFERROR(MATCH($AD515,'Part types'!$E:$E,0),0)</f>
        <v>340</v>
      </c>
    </row>
    <row r="516" customFormat="false" ht="15" hidden="false" customHeight="false" outlineLevel="0" collapsed="false">
      <c r="A516" s="9" t="s">
        <v>2132</v>
      </c>
      <c r="B516" s="9" t="s">
        <v>2043</v>
      </c>
      <c r="C516" s="9" t="s">
        <v>2133</v>
      </c>
      <c r="D516" s="9" t="str">
        <f aca="false">C516&amp;" - "&amp;E516</f>
        <v>Tire Inflator - Universal</v>
      </c>
      <c r="E516" s="9" t="s">
        <v>68</v>
      </c>
      <c r="F516" s="9" t="s">
        <v>956</v>
      </c>
      <c r="G516" s="10" t="n">
        <f aca="false">IF($AK516=0,"",INDEX('Part types'!$P:$P,$AK516))</f>
        <v>30</v>
      </c>
      <c r="H516" s="10" t="n">
        <f aca="false">IF($AK516=0,"",INDEX('Part types'!$Q:$Q,$AK516))</f>
        <v>20</v>
      </c>
      <c r="I516" s="10" t="n">
        <f aca="false">IF($AK516=0,"",INDEX('Part types'!$R:$R,$AK516))</f>
        <v>15</v>
      </c>
      <c r="J516" s="10" t="n">
        <f aca="false">IF($AK516=0,"",INDEX('Part types'!$S:$S,$AK516))</f>
        <v>1.8</v>
      </c>
      <c r="K516" s="11" t="s">
        <v>2046</v>
      </c>
      <c r="L516" s="11" t="s">
        <v>2134</v>
      </c>
      <c r="M516" s="11" t="str">
        <f aca="false">L516&amp;" - "&amp;N516</f>
        <v>منفاخ إطارات - عام</v>
      </c>
      <c r="N516" s="11" t="s">
        <v>72</v>
      </c>
      <c r="O516" s="11" t="s">
        <v>959</v>
      </c>
      <c r="P516" s="10" t="n">
        <f aca="false">G516</f>
        <v>30</v>
      </c>
      <c r="Q516" s="10" t="n">
        <f aca="false">H516</f>
        <v>20</v>
      </c>
      <c r="R516" s="10" t="n">
        <f aca="false">I516</f>
        <v>15</v>
      </c>
      <c r="S516" s="10" t="n">
        <f aca="false">J516</f>
        <v>1.8</v>
      </c>
      <c r="T516" s="12" t="s">
        <v>2049</v>
      </c>
      <c r="U516" s="12" t="s">
        <v>2135</v>
      </c>
      <c r="V516" s="9" t="str">
        <f aca="false">U516&amp;" - "&amp;W516</f>
        <v>车载充气泵 - 通用</v>
      </c>
      <c r="W516" s="12" t="s">
        <v>76</v>
      </c>
      <c r="X516" s="12" t="s">
        <v>962</v>
      </c>
      <c r="Y516" s="10" t="n">
        <f aca="false">G516</f>
        <v>30</v>
      </c>
      <c r="Z516" s="10" t="n">
        <f aca="false">H516</f>
        <v>20</v>
      </c>
      <c r="AA516" s="10" t="n">
        <f aca="false">I516</f>
        <v>15</v>
      </c>
      <c r="AB516" s="10" t="n">
        <f aca="false">J516</f>
        <v>1.8</v>
      </c>
      <c r="AC516" s="9" t="s">
        <v>2051</v>
      </c>
      <c r="AD516" s="9" t="s">
        <v>2136</v>
      </c>
      <c r="AE516" s="9" t="str">
        <f aca="false">IF($AK516=0,"",INDEX('Part types'!$T:$T,$AK516)&amp;"")</f>
        <v>All vehicles</v>
      </c>
      <c r="AF516" s="9" t="str">
        <f aca="false">IF($AK516=0,"",INDEX('Part types'!$U:$U,$AK516)&amp;"")</f>
        <v/>
      </c>
      <c r="AG516" s="9" t="str">
        <f aca="false">IF($AK516=0,"",INDEX('Part types'!$V:$V,$AK516)&amp;"")</f>
        <v>Estimate: size class M2</v>
      </c>
      <c r="AH516" s="9" t="str">
        <f aca="false">IF($AK516=0,"",INDEX('Part types'!$W:$W,$AK516)&amp;"")</f>
        <v>12 V</v>
      </c>
      <c r="AI516" s="11" t="str">
        <f aca="false">IF($AK516=0,"",INDEX('Part types'!$X:$X,$AK516)&amp;"")</f>
        <v>12 فولت</v>
      </c>
      <c r="AJ516" s="9" t="str">
        <f aca="false">IF($AK516=0,"",INDEX('Part types'!$Y:$Y,$AK516)&amp;"")</f>
        <v>12V</v>
      </c>
      <c r="AK516" s="9" t="n">
        <f aca="false">IFERROR(MATCH($AD516,'Part types'!$E:$E,0),0)</f>
        <v>341</v>
      </c>
    </row>
    <row r="517" customFormat="false" ht="15" hidden="false" customHeight="false" outlineLevel="0" collapsed="false">
      <c r="A517" s="9" t="s">
        <v>2137</v>
      </c>
      <c r="B517" s="9" t="s">
        <v>2138</v>
      </c>
      <c r="C517" s="9" t="s">
        <v>2139</v>
      </c>
      <c r="D517" s="9" t="str">
        <f aca="false">C517&amp;" - "&amp;E517</f>
        <v>Starter Battery - Universal</v>
      </c>
      <c r="E517" s="9" t="s">
        <v>68</v>
      </c>
      <c r="F517" s="9" t="s">
        <v>2140</v>
      </c>
      <c r="G517" s="10" t="n">
        <f aca="false">IF($AK517=0,"",INDEX('Part types'!$P:$P,$AK517))</f>
        <v>24</v>
      </c>
      <c r="H517" s="10" t="n">
        <f aca="false">IF($AK517=0,"",INDEX('Part types'!$Q:$Q,$AK517))</f>
        <v>17</v>
      </c>
      <c r="I517" s="10" t="n">
        <f aca="false">IF($AK517=0,"",INDEX('Part types'!$R:$R,$AK517))</f>
        <v>19</v>
      </c>
      <c r="J517" s="10" t="n">
        <f aca="false">IF($AK517=0,"",INDEX('Part types'!$S:$S,$AK517))</f>
        <v>15</v>
      </c>
      <c r="K517" s="11" t="s">
        <v>2141</v>
      </c>
      <c r="L517" s="11" t="s">
        <v>2142</v>
      </c>
      <c r="M517" s="11" t="str">
        <f aca="false">L517&amp;" - "&amp;N517</f>
        <v>بطارية سيارة 12 فولت - عام</v>
      </c>
      <c r="N517" s="11" t="s">
        <v>72</v>
      </c>
      <c r="O517" s="11" t="s">
        <v>2143</v>
      </c>
      <c r="P517" s="10" t="n">
        <f aca="false">G517</f>
        <v>24</v>
      </c>
      <c r="Q517" s="10" t="n">
        <f aca="false">H517</f>
        <v>17</v>
      </c>
      <c r="R517" s="10" t="n">
        <f aca="false">I517</f>
        <v>19</v>
      </c>
      <c r="S517" s="10" t="n">
        <f aca="false">J517</f>
        <v>15</v>
      </c>
      <c r="T517" s="12" t="s">
        <v>2144</v>
      </c>
      <c r="U517" s="9" t="s">
        <v>2145</v>
      </c>
      <c r="V517" s="9" t="str">
        <f aca="false">U517&amp;" - "&amp;W517</f>
        <v>12V铅酸蓄电池 - 通用</v>
      </c>
      <c r="W517" s="12" t="s">
        <v>76</v>
      </c>
      <c r="X517" s="12" t="s">
        <v>2146</v>
      </c>
      <c r="Y517" s="10" t="n">
        <f aca="false">G517</f>
        <v>24</v>
      </c>
      <c r="Z517" s="10" t="n">
        <f aca="false">H517</f>
        <v>17</v>
      </c>
      <c r="AA517" s="10" t="n">
        <f aca="false">I517</f>
        <v>19</v>
      </c>
      <c r="AB517" s="10" t="n">
        <f aca="false">J517</f>
        <v>15</v>
      </c>
      <c r="AC517" s="9" t="s">
        <v>2147</v>
      </c>
      <c r="AD517" s="9" t="s">
        <v>2148</v>
      </c>
      <c r="AE517" s="9" t="str">
        <f aca="false">IF($AK517=0,"",INDEX('Part types'!$T:$T,$AK517)&amp;"")</f>
        <v>All vehicles</v>
      </c>
      <c r="AF517" s="9" t="str">
        <f aca="false">IF($AK517=0,"",INDEX('Part types'!$U:$U,$AK517)&amp;"")</f>
        <v>Battery (restricted)</v>
      </c>
      <c r="AG517" s="9" t="str">
        <f aca="false">IF($AK517=0,"",INDEX('Part types'!$V:$V,$AK517)&amp;"")</f>
        <v>Estimate: item-specific</v>
      </c>
      <c r="AH517" s="9" t="str">
        <f aca="false">IF($AK517=0,"",INDEX('Part types'!$W:$W,$AK517)&amp;"")</f>
        <v>Starter Battery 12 V; Lead-Acid</v>
      </c>
      <c r="AI517" s="11" t="str">
        <f aca="false">IF($AK517=0,"",INDEX('Part types'!$X:$X,$AK517)&amp;"")</f>
        <v>رصاص حمضي</v>
      </c>
      <c r="AJ517" s="9" t="str">
        <f aca="false">IF($AK517=0,"",INDEX('Part types'!$Y:$Y,$AK517)&amp;"")</f>
        <v/>
      </c>
      <c r="AK517" s="9" t="n">
        <f aca="false">IFERROR(MATCH($AD517,'Part types'!$E:$E,0),0)</f>
        <v>342</v>
      </c>
    </row>
    <row r="518" customFormat="false" ht="15" hidden="false" customHeight="false" outlineLevel="0" collapsed="false">
      <c r="A518" s="9" t="s">
        <v>2149</v>
      </c>
      <c r="B518" s="9" t="s">
        <v>2138</v>
      </c>
      <c r="C518" s="9" t="s">
        <v>2150</v>
      </c>
      <c r="D518" s="9" t="str">
        <f aca="false">C518&amp;" - "&amp;E518</f>
        <v>AGM Battery - Universal</v>
      </c>
      <c r="E518" s="9" t="s">
        <v>68</v>
      </c>
      <c r="F518" s="9" t="s">
        <v>2140</v>
      </c>
      <c r="G518" s="10" t="n">
        <f aca="false">IF($AK518=0,"",INDEX('Part types'!$P:$P,$AK518))</f>
        <v>24</v>
      </c>
      <c r="H518" s="10" t="n">
        <f aca="false">IF($AK518=0,"",INDEX('Part types'!$Q:$Q,$AK518))</f>
        <v>17</v>
      </c>
      <c r="I518" s="10" t="n">
        <f aca="false">IF($AK518=0,"",INDEX('Part types'!$R:$R,$AK518))</f>
        <v>19</v>
      </c>
      <c r="J518" s="10" t="n">
        <f aca="false">IF($AK518=0,"",INDEX('Part types'!$S:$S,$AK518))</f>
        <v>16</v>
      </c>
      <c r="K518" s="11" t="s">
        <v>2141</v>
      </c>
      <c r="L518" s="11" t="s">
        <v>2151</v>
      </c>
      <c r="M518" s="11" t="str">
        <f aca="false">L518&amp;" - "&amp;N518</f>
        <v>بطارية AGM 12 فولت - عام</v>
      </c>
      <c r="N518" s="11" t="s">
        <v>72</v>
      </c>
      <c r="O518" s="11" t="s">
        <v>2143</v>
      </c>
      <c r="P518" s="10" t="n">
        <f aca="false">G518</f>
        <v>24</v>
      </c>
      <c r="Q518" s="10" t="n">
        <f aca="false">H518</f>
        <v>17</v>
      </c>
      <c r="R518" s="10" t="n">
        <f aca="false">I518</f>
        <v>19</v>
      </c>
      <c r="S518" s="10" t="n">
        <f aca="false">J518</f>
        <v>16</v>
      </c>
      <c r="T518" s="12" t="s">
        <v>2144</v>
      </c>
      <c r="U518" s="9" t="s">
        <v>2152</v>
      </c>
      <c r="V518" s="9" t="str">
        <f aca="false">U518&amp;" - "&amp;W518</f>
        <v>12V AGM蓄电池 - 通用</v>
      </c>
      <c r="W518" s="12" t="s">
        <v>76</v>
      </c>
      <c r="X518" s="12" t="s">
        <v>2146</v>
      </c>
      <c r="Y518" s="10" t="n">
        <f aca="false">G518</f>
        <v>24</v>
      </c>
      <c r="Z518" s="10" t="n">
        <f aca="false">H518</f>
        <v>17</v>
      </c>
      <c r="AA518" s="10" t="n">
        <f aca="false">I518</f>
        <v>19</v>
      </c>
      <c r="AB518" s="10" t="n">
        <f aca="false">J518</f>
        <v>16</v>
      </c>
      <c r="AC518" s="9" t="s">
        <v>2147</v>
      </c>
      <c r="AD518" s="9" t="s">
        <v>2153</v>
      </c>
      <c r="AE518" s="9" t="str">
        <f aca="false">IF($AK518=0,"",INDEX('Part types'!$T:$T,$AK518)&amp;"")</f>
        <v>All vehicles</v>
      </c>
      <c r="AF518" s="9" t="str">
        <f aca="false">IF($AK518=0,"",INDEX('Part types'!$U:$U,$AK518)&amp;"")</f>
        <v>Battery (restricted)</v>
      </c>
      <c r="AG518" s="9" t="str">
        <f aca="false">IF($AK518=0,"",INDEX('Part types'!$V:$V,$AK518)&amp;"")</f>
        <v>Estimate: item-specific</v>
      </c>
      <c r="AH518" s="9" t="str">
        <f aca="false">IF($AK518=0,"",INDEX('Part types'!$W:$W,$AK518)&amp;"")</f>
        <v>AGM Battery 12 V</v>
      </c>
      <c r="AI518" s="11" t="str">
        <f aca="false">IF($AK518=0,"",INDEX('Part types'!$X:$X,$AK518)&amp;"")</f>
        <v/>
      </c>
      <c r="AJ518" s="9" t="str">
        <f aca="false">IF($AK518=0,"",INDEX('Part types'!$Y:$Y,$AK518)&amp;"")</f>
        <v/>
      </c>
      <c r="AK518" s="9" t="n">
        <f aca="false">IFERROR(MATCH($AD518,'Part types'!$E:$E,0),0)</f>
        <v>343</v>
      </c>
    </row>
    <row r="519" customFormat="false" ht="15" hidden="false" customHeight="false" outlineLevel="0" collapsed="false">
      <c r="A519" s="9" t="s">
        <v>2154</v>
      </c>
      <c r="B519" s="9" t="s">
        <v>2138</v>
      </c>
      <c r="C519" s="9" t="s">
        <v>2155</v>
      </c>
      <c r="D519" s="9" t="str">
        <f aca="false">C519&amp;" - "&amp;E519</f>
        <v>Auxiliary Battery - Universal</v>
      </c>
      <c r="E519" s="9" t="s">
        <v>68</v>
      </c>
      <c r="F519" s="9" t="s">
        <v>2140</v>
      </c>
      <c r="G519" s="10" t="n">
        <f aca="false">IF($AK519=0,"",INDEX('Part types'!$P:$P,$AK519))</f>
        <v>20</v>
      </c>
      <c r="H519" s="10" t="n">
        <f aca="false">IF($AK519=0,"",INDEX('Part types'!$Q:$Q,$AK519))</f>
        <v>17</v>
      </c>
      <c r="I519" s="10" t="n">
        <f aca="false">IF($AK519=0,"",INDEX('Part types'!$R:$R,$AK519))</f>
        <v>18</v>
      </c>
      <c r="J519" s="10" t="n">
        <f aca="false">IF($AK519=0,"",INDEX('Part types'!$S:$S,$AK519))</f>
        <v>9</v>
      </c>
      <c r="K519" s="11" t="s">
        <v>2141</v>
      </c>
      <c r="L519" s="11" t="s">
        <v>2156</v>
      </c>
      <c r="M519" s="11" t="str">
        <f aca="false">L519&amp;" - "&amp;N519</f>
        <v>بطارية مساعدة 12 فولت للسيارات الكهربائية - عام</v>
      </c>
      <c r="N519" s="11" t="s">
        <v>72</v>
      </c>
      <c r="O519" s="11" t="s">
        <v>2143</v>
      </c>
      <c r="P519" s="10" t="n">
        <f aca="false">G519</f>
        <v>20</v>
      </c>
      <c r="Q519" s="10" t="n">
        <f aca="false">H519</f>
        <v>17</v>
      </c>
      <c r="R519" s="10" t="n">
        <f aca="false">I519</f>
        <v>18</v>
      </c>
      <c r="S519" s="10" t="n">
        <f aca="false">J519</f>
        <v>9</v>
      </c>
      <c r="T519" s="12" t="s">
        <v>2144</v>
      </c>
      <c r="U519" s="12" t="s">
        <v>2157</v>
      </c>
      <c r="V519" s="9" t="str">
        <f aca="false">U519&amp;" - "&amp;W519</f>
        <v>电动车12V辅助电池 - 通用</v>
      </c>
      <c r="W519" s="12" t="s">
        <v>76</v>
      </c>
      <c r="X519" s="12" t="s">
        <v>2146</v>
      </c>
      <c r="Y519" s="10" t="n">
        <f aca="false">G519</f>
        <v>20</v>
      </c>
      <c r="Z519" s="10" t="n">
        <f aca="false">H519</f>
        <v>17</v>
      </c>
      <c r="AA519" s="10" t="n">
        <f aca="false">I519</f>
        <v>18</v>
      </c>
      <c r="AB519" s="10" t="n">
        <f aca="false">J519</f>
        <v>9</v>
      </c>
      <c r="AC519" s="9" t="s">
        <v>2147</v>
      </c>
      <c r="AD519" s="9" t="s">
        <v>2158</v>
      </c>
      <c r="AE519" s="9" t="str">
        <f aca="false">IF($AK519=0,"",INDEX('Part types'!$T:$T,$AK519)&amp;"")</f>
        <v>Electrified (hybrid, plug-in, range extender, EV)</v>
      </c>
      <c r="AF519" s="9" t="str">
        <f aca="false">IF($AK519=0,"",INDEX('Part types'!$U:$U,$AK519)&amp;"")</f>
        <v>Battery (restricted)</v>
      </c>
      <c r="AG519" s="9" t="str">
        <f aca="false">IF($AK519=0,"",INDEX('Part types'!$V:$V,$AK519)&amp;"")</f>
        <v>Estimate: item-specific</v>
      </c>
      <c r="AH519" s="9" t="str">
        <f aca="false">IF($AK519=0,"",INDEX('Part types'!$W:$W,$AK519)&amp;"")</f>
        <v>Auxiliary Battery 12 V; EV</v>
      </c>
      <c r="AI519" s="11" t="str">
        <f aca="false">IF($AK519=0,"",INDEX('Part types'!$X:$X,$AK519)&amp;"")</f>
        <v/>
      </c>
      <c r="AJ519" s="9" t="str">
        <f aca="false">IF($AK519=0,"",INDEX('Part types'!$Y:$Y,$AK519)&amp;"")</f>
        <v/>
      </c>
      <c r="AK519" s="9" t="n">
        <f aca="false">IFERROR(MATCH($AD519,'Part types'!$E:$E,0),0)</f>
        <v>344</v>
      </c>
    </row>
    <row r="520" customFormat="false" ht="15" hidden="false" customHeight="false" outlineLevel="0" collapsed="false">
      <c r="A520" s="9" t="s">
        <v>2159</v>
      </c>
      <c r="B520" s="9" t="s">
        <v>2138</v>
      </c>
      <c r="C520" s="9" t="s">
        <v>2160</v>
      </c>
      <c r="D520" s="9" t="str">
        <f aca="false">C520&amp;" - "&amp;E520</f>
        <v>Terminal Clamp Set - Universal</v>
      </c>
      <c r="E520" s="9" t="s">
        <v>68</v>
      </c>
      <c r="F520" s="9" t="s">
        <v>2140</v>
      </c>
      <c r="G520" s="10" t="n">
        <f aca="false">IF($AK520=0,"",INDEX('Part types'!$P:$P,$AK520))</f>
        <v>15</v>
      </c>
      <c r="H520" s="10" t="n">
        <f aca="false">IF($AK520=0,"",INDEX('Part types'!$Q:$Q,$AK520))</f>
        <v>10</v>
      </c>
      <c r="I520" s="10" t="n">
        <f aca="false">IF($AK520=0,"",INDEX('Part types'!$R:$R,$AK520))</f>
        <v>8</v>
      </c>
      <c r="J520" s="10" t="n">
        <f aca="false">IF($AK520=0,"",INDEX('Part types'!$S:$S,$AK520))</f>
        <v>0.3</v>
      </c>
      <c r="K520" s="11" t="s">
        <v>2141</v>
      </c>
      <c r="L520" s="11" t="s">
        <v>2161</v>
      </c>
      <c r="M520" s="11" t="str">
        <f aca="false">L520&amp;" - "&amp;N520</f>
        <v>طقم أقطاب البطارية - عام</v>
      </c>
      <c r="N520" s="11" t="s">
        <v>72</v>
      </c>
      <c r="O520" s="11" t="s">
        <v>2143</v>
      </c>
      <c r="P520" s="10" t="n">
        <f aca="false">G520</f>
        <v>15</v>
      </c>
      <c r="Q520" s="10" t="n">
        <f aca="false">H520</f>
        <v>10</v>
      </c>
      <c r="R520" s="10" t="n">
        <f aca="false">I520</f>
        <v>8</v>
      </c>
      <c r="S520" s="10" t="n">
        <f aca="false">J520</f>
        <v>0.3</v>
      </c>
      <c r="T520" s="12" t="s">
        <v>2144</v>
      </c>
      <c r="U520" s="12" t="s">
        <v>2162</v>
      </c>
      <c r="V520" s="9" t="str">
        <f aca="false">U520&amp;" - "&amp;W520</f>
        <v>电瓶接线夹套装 - 通用</v>
      </c>
      <c r="W520" s="12" t="s">
        <v>76</v>
      </c>
      <c r="X520" s="12" t="s">
        <v>2146</v>
      </c>
      <c r="Y520" s="10" t="n">
        <f aca="false">G520</f>
        <v>15</v>
      </c>
      <c r="Z520" s="10" t="n">
        <f aca="false">H520</f>
        <v>10</v>
      </c>
      <c r="AA520" s="10" t="n">
        <f aca="false">I520</f>
        <v>8</v>
      </c>
      <c r="AB520" s="10" t="n">
        <f aca="false">J520</f>
        <v>0.3</v>
      </c>
      <c r="AC520" s="9" t="s">
        <v>2147</v>
      </c>
      <c r="AD520" s="9" t="s">
        <v>2163</v>
      </c>
      <c r="AE520" s="9" t="str">
        <f aca="false">IF($AK520=0,"",INDEX('Part types'!$T:$T,$AK520)&amp;"")</f>
        <v>All vehicles</v>
      </c>
      <c r="AF520" s="9" t="str">
        <f aca="false">IF($AK520=0,"",INDEX('Part types'!$U:$U,$AK520)&amp;"")</f>
        <v/>
      </c>
      <c r="AG520" s="9" t="str">
        <f aca="false">IF($AK520=0,"",INDEX('Part types'!$V:$V,$AK520)&amp;"")</f>
        <v>Estimate: size class S</v>
      </c>
      <c r="AH520" s="9" t="str">
        <f aca="false">IF($AK520=0,"",INDEX('Part types'!$W:$W,$AK520)&amp;"")</f>
        <v>Battery Terminal Clamp Set</v>
      </c>
      <c r="AI520" s="11" t="str">
        <f aca="false">IF($AK520=0,"",INDEX('Part types'!$X:$X,$AK520)&amp;"")</f>
        <v/>
      </c>
      <c r="AJ520" s="9" t="str">
        <f aca="false">IF($AK520=0,"",INDEX('Part types'!$Y:$Y,$AK520)&amp;"")</f>
        <v/>
      </c>
      <c r="AK520" s="9" t="n">
        <f aca="false">IFERROR(MATCH($AD520,'Part types'!$E:$E,0),0)</f>
        <v>345</v>
      </c>
    </row>
    <row r="521" customFormat="false" ht="15" hidden="false" customHeight="false" outlineLevel="0" collapsed="false">
      <c r="A521" s="9" t="s">
        <v>2164</v>
      </c>
      <c r="B521" s="9" t="s">
        <v>2138</v>
      </c>
      <c r="C521" s="9" t="s">
        <v>2165</v>
      </c>
      <c r="D521" s="9" t="str">
        <f aca="false">C521&amp;" - "&amp;E521</f>
        <v>Positive Battery Cable - Universal</v>
      </c>
      <c r="E521" s="9" t="s">
        <v>68</v>
      </c>
      <c r="F521" s="9" t="s">
        <v>2140</v>
      </c>
      <c r="G521" s="10" t="n">
        <f aca="false">IF($AK521=0,"",INDEX('Part types'!$P:$P,$AK521))</f>
        <v>25</v>
      </c>
      <c r="H521" s="10" t="n">
        <f aca="false">IF($AK521=0,"",INDEX('Part types'!$Q:$Q,$AK521))</f>
        <v>15</v>
      </c>
      <c r="I521" s="10" t="n">
        <f aca="false">IF($AK521=0,"",INDEX('Part types'!$R:$R,$AK521))</f>
        <v>10</v>
      </c>
      <c r="J521" s="10" t="n">
        <f aca="false">IF($AK521=0,"",INDEX('Part types'!$S:$S,$AK521))</f>
        <v>0.9</v>
      </c>
      <c r="K521" s="11" t="s">
        <v>2141</v>
      </c>
      <c r="L521" s="11" t="s">
        <v>2166</v>
      </c>
      <c r="M521" s="11" t="str">
        <f aca="false">L521&amp;" - "&amp;N521</f>
        <v>كابل البطارية الموجب - عام</v>
      </c>
      <c r="N521" s="11" t="s">
        <v>72</v>
      </c>
      <c r="O521" s="11" t="s">
        <v>2143</v>
      </c>
      <c r="P521" s="10" t="n">
        <f aca="false">G521</f>
        <v>25</v>
      </c>
      <c r="Q521" s="10" t="n">
        <f aca="false">H521</f>
        <v>15</v>
      </c>
      <c r="R521" s="10" t="n">
        <f aca="false">I521</f>
        <v>10</v>
      </c>
      <c r="S521" s="10" t="n">
        <f aca="false">J521</f>
        <v>0.9</v>
      </c>
      <c r="T521" s="12" t="s">
        <v>2144</v>
      </c>
      <c r="U521" s="12" t="s">
        <v>2167</v>
      </c>
      <c r="V521" s="9" t="str">
        <f aca="false">U521&amp;" - "&amp;W521</f>
        <v>电瓶正极线 - 通用</v>
      </c>
      <c r="W521" s="12" t="s">
        <v>76</v>
      </c>
      <c r="X521" s="12" t="s">
        <v>2146</v>
      </c>
      <c r="Y521" s="10" t="n">
        <f aca="false">G521</f>
        <v>25</v>
      </c>
      <c r="Z521" s="10" t="n">
        <f aca="false">H521</f>
        <v>15</v>
      </c>
      <c r="AA521" s="10" t="n">
        <f aca="false">I521</f>
        <v>10</v>
      </c>
      <c r="AB521" s="10" t="n">
        <f aca="false">J521</f>
        <v>0.9</v>
      </c>
      <c r="AC521" s="9" t="s">
        <v>2147</v>
      </c>
      <c r="AD521" s="9" t="s">
        <v>2168</v>
      </c>
      <c r="AE521" s="9" t="str">
        <f aca="false">IF($AK521=0,"",INDEX('Part types'!$T:$T,$AK521)&amp;"")</f>
        <v>All vehicles</v>
      </c>
      <c r="AF521" s="9" t="str">
        <f aca="false">IF($AK521=0,"",INDEX('Part types'!$U:$U,$AK521)&amp;"")</f>
        <v/>
      </c>
      <c r="AG521" s="9" t="str">
        <f aca="false">IF($AK521=0,"",INDEX('Part types'!$V:$V,$AK521)&amp;"")</f>
        <v>Estimate: size class M</v>
      </c>
      <c r="AH521" s="9" t="str">
        <f aca="false">IF($AK521=0,"",INDEX('Part types'!$W:$W,$AK521)&amp;"")</f>
        <v>Battery Cable</v>
      </c>
      <c r="AI521" s="11" t="str">
        <f aca="false">IF($AK521=0,"",INDEX('Part types'!$X:$X,$AK521)&amp;"")</f>
        <v/>
      </c>
      <c r="AJ521" s="9" t="str">
        <f aca="false">IF($AK521=0,"",INDEX('Part types'!$Y:$Y,$AK521)&amp;"")</f>
        <v/>
      </c>
      <c r="AK521" s="9" t="n">
        <f aca="false">IFERROR(MATCH($AD521,'Part types'!$E:$E,0),0)</f>
        <v>346</v>
      </c>
    </row>
    <row r="522" customFormat="false" ht="15" hidden="false" customHeight="false" outlineLevel="0" collapsed="false">
      <c r="A522" s="9" t="s">
        <v>2169</v>
      </c>
      <c r="B522" s="9" t="s">
        <v>2138</v>
      </c>
      <c r="C522" s="9" t="s">
        <v>2170</v>
      </c>
      <c r="D522" s="9" t="str">
        <f aca="false">C522&amp;" - "&amp;E522</f>
        <v>Negative Battery Cable - Universal</v>
      </c>
      <c r="E522" s="9" t="s">
        <v>68</v>
      </c>
      <c r="F522" s="9" t="s">
        <v>2140</v>
      </c>
      <c r="G522" s="10" t="n">
        <f aca="false">IF($AK522=0,"",INDEX('Part types'!$P:$P,$AK522))</f>
        <v>25</v>
      </c>
      <c r="H522" s="10" t="n">
        <f aca="false">IF($AK522=0,"",INDEX('Part types'!$Q:$Q,$AK522))</f>
        <v>15</v>
      </c>
      <c r="I522" s="10" t="n">
        <f aca="false">IF($AK522=0,"",INDEX('Part types'!$R:$R,$AK522))</f>
        <v>10</v>
      </c>
      <c r="J522" s="10" t="n">
        <f aca="false">IF($AK522=0,"",INDEX('Part types'!$S:$S,$AK522))</f>
        <v>0.9</v>
      </c>
      <c r="K522" s="11" t="s">
        <v>2141</v>
      </c>
      <c r="L522" s="11" t="s">
        <v>2171</v>
      </c>
      <c r="M522" s="11" t="str">
        <f aca="false">L522&amp;" - "&amp;N522</f>
        <v>كابل البطارية السالب - عام</v>
      </c>
      <c r="N522" s="11" t="s">
        <v>72</v>
      </c>
      <c r="O522" s="11" t="s">
        <v>2143</v>
      </c>
      <c r="P522" s="10" t="n">
        <f aca="false">G522</f>
        <v>25</v>
      </c>
      <c r="Q522" s="10" t="n">
        <f aca="false">H522</f>
        <v>15</v>
      </c>
      <c r="R522" s="10" t="n">
        <f aca="false">I522</f>
        <v>10</v>
      </c>
      <c r="S522" s="10" t="n">
        <f aca="false">J522</f>
        <v>0.9</v>
      </c>
      <c r="T522" s="12" t="s">
        <v>2144</v>
      </c>
      <c r="U522" s="12" t="s">
        <v>2172</v>
      </c>
      <c r="V522" s="9" t="str">
        <f aca="false">U522&amp;" - "&amp;W522</f>
        <v>电瓶负极线 - 通用</v>
      </c>
      <c r="W522" s="12" t="s">
        <v>76</v>
      </c>
      <c r="X522" s="12" t="s">
        <v>2146</v>
      </c>
      <c r="Y522" s="10" t="n">
        <f aca="false">G522</f>
        <v>25</v>
      </c>
      <c r="Z522" s="10" t="n">
        <f aca="false">H522</f>
        <v>15</v>
      </c>
      <c r="AA522" s="10" t="n">
        <f aca="false">I522</f>
        <v>10</v>
      </c>
      <c r="AB522" s="10" t="n">
        <f aca="false">J522</f>
        <v>0.9</v>
      </c>
      <c r="AC522" s="9" t="s">
        <v>2147</v>
      </c>
      <c r="AD522" s="9" t="s">
        <v>2173</v>
      </c>
      <c r="AE522" s="9" t="str">
        <f aca="false">IF($AK522=0,"",INDEX('Part types'!$T:$T,$AK522)&amp;"")</f>
        <v>All vehicles</v>
      </c>
      <c r="AF522" s="9" t="str">
        <f aca="false">IF($AK522=0,"",INDEX('Part types'!$U:$U,$AK522)&amp;"")</f>
        <v/>
      </c>
      <c r="AG522" s="9" t="str">
        <f aca="false">IF($AK522=0,"",INDEX('Part types'!$V:$V,$AK522)&amp;"")</f>
        <v>Estimate: size class M</v>
      </c>
      <c r="AH522" s="9" t="str">
        <f aca="false">IF($AK522=0,"",INDEX('Part types'!$W:$W,$AK522)&amp;"")</f>
        <v>Battery Cable</v>
      </c>
      <c r="AI522" s="11" t="str">
        <f aca="false">IF($AK522=0,"",INDEX('Part types'!$X:$X,$AK522)&amp;"")</f>
        <v/>
      </c>
      <c r="AJ522" s="9" t="str">
        <f aca="false">IF($AK522=0,"",INDEX('Part types'!$Y:$Y,$AK522)&amp;"")</f>
        <v/>
      </c>
      <c r="AK522" s="9" t="n">
        <f aca="false">IFERROR(MATCH($AD522,'Part types'!$E:$E,0),0)</f>
        <v>347</v>
      </c>
    </row>
    <row r="523" customFormat="false" ht="15" hidden="false" customHeight="false" outlineLevel="0" collapsed="false">
      <c r="A523" s="9" t="s">
        <v>2174</v>
      </c>
      <c r="B523" s="9" t="s">
        <v>2138</v>
      </c>
      <c r="C523" s="9" t="s">
        <v>2175</v>
      </c>
      <c r="D523" s="9" t="str">
        <f aca="false">C523&amp;" - "&amp;E523</f>
        <v>Battery Hold-Down Bracket - Universal</v>
      </c>
      <c r="E523" s="9" t="s">
        <v>68</v>
      </c>
      <c r="F523" s="9" t="s">
        <v>2140</v>
      </c>
      <c r="G523" s="10" t="n">
        <f aca="false">IF($AK523=0,"",INDEX('Part types'!$P:$P,$AK523))</f>
        <v>25</v>
      </c>
      <c r="H523" s="10" t="n">
        <f aca="false">IF($AK523=0,"",INDEX('Part types'!$Q:$Q,$AK523))</f>
        <v>15</v>
      </c>
      <c r="I523" s="10" t="n">
        <f aca="false">IF($AK523=0,"",INDEX('Part types'!$R:$R,$AK523))</f>
        <v>10</v>
      </c>
      <c r="J523" s="10" t="n">
        <f aca="false">IF($AK523=0,"",INDEX('Part types'!$S:$S,$AK523))</f>
        <v>0.9</v>
      </c>
      <c r="K523" s="11" t="s">
        <v>2141</v>
      </c>
      <c r="L523" s="11" t="s">
        <v>2176</v>
      </c>
      <c r="M523" s="11" t="str">
        <f aca="false">L523&amp;" - "&amp;N523</f>
        <v>حامل تثبيت البطارية - عام</v>
      </c>
      <c r="N523" s="11" t="s">
        <v>72</v>
      </c>
      <c r="O523" s="11" t="s">
        <v>2143</v>
      </c>
      <c r="P523" s="10" t="n">
        <f aca="false">G523</f>
        <v>25</v>
      </c>
      <c r="Q523" s="10" t="n">
        <f aca="false">H523</f>
        <v>15</v>
      </c>
      <c r="R523" s="10" t="n">
        <f aca="false">I523</f>
        <v>10</v>
      </c>
      <c r="S523" s="10" t="n">
        <f aca="false">J523</f>
        <v>0.9</v>
      </c>
      <c r="T523" s="12" t="s">
        <v>2144</v>
      </c>
      <c r="U523" s="12" t="s">
        <v>2177</v>
      </c>
      <c r="V523" s="9" t="str">
        <f aca="false">U523&amp;" - "&amp;W523</f>
        <v>电瓶固定架 - 通用</v>
      </c>
      <c r="W523" s="12" t="s">
        <v>76</v>
      </c>
      <c r="X523" s="12" t="s">
        <v>2146</v>
      </c>
      <c r="Y523" s="10" t="n">
        <f aca="false">G523</f>
        <v>25</v>
      </c>
      <c r="Z523" s="10" t="n">
        <f aca="false">H523</f>
        <v>15</v>
      </c>
      <c r="AA523" s="10" t="n">
        <f aca="false">I523</f>
        <v>10</v>
      </c>
      <c r="AB523" s="10" t="n">
        <f aca="false">J523</f>
        <v>0.9</v>
      </c>
      <c r="AC523" s="9" t="s">
        <v>2147</v>
      </c>
      <c r="AD523" s="9" t="s">
        <v>2178</v>
      </c>
      <c r="AE523" s="9" t="str">
        <f aca="false">IF($AK523=0,"",INDEX('Part types'!$T:$T,$AK523)&amp;"")</f>
        <v>All vehicles</v>
      </c>
      <c r="AF523" s="9" t="str">
        <f aca="false">IF($AK523=0,"",INDEX('Part types'!$U:$U,$AK523)&amp;"")</f>
        <v/>
      </c>
      <c r="AG523" s="9" t="str">
        <f aca="false">IF($AK523=0,"",INDEX('Part types'!$V:$V,$AK523)&amp;"")</f>
        <v>Estimate: size class M</v>
      </c>
      <c r="AH523" s="9" t="str">
        <f aca="false">IF($AK523=0,"",INDEX('Part types'!$W:$W,$AK523)&amp;"")</f>
        <v/>
      </c>
      <c r="AI523" s="11" t="str">
        <f aca="false">IF($AK523=0,"",INDEX('Part types'!$X:$X,$AK523)&amp;"")</f>
        <v/>
      </c>
      <c r="AJ523" s="9" t="str">
        <f aca="false">IF($AK523=0,"",INDEX('Part types'!$Y:$Y,$AK523)&amp;"")</f>
        <v/>
      </c>
      <c r="AK523" s="9" t="n">
        <f aca="false">IFERROR(MATCH($AD523,'Part types'!$E:$E,0),0)</f>
        <v>348</v>
      </c>
    </row>
    <row r="524" customFormat="false" ht="15" hidden="false" customHeight="false" outlineLevel="0" collapsed="false">
      <c r="A524" s="9" t="s">
        <v>2179</v>
      </c>
      <c r="B524" s="9" t="s">
        <v>2138</v>
      </c>
      <c r="C524" s="9" t="s">
        <v>2180</v>
      </c>
      <c r="D524" s="9" t="str">
        <f aca="false">C524&amp;" - "&amp;E524</f>
        <v>Battery Tray - Universal</v>
      </c>
      <c r="E524" s="9" t="s">
        <v>68</v>
      </c>
      <c r="F524" s="9" t="s">
        <v>2140</v>
      </c>
      <c r="G524" s="10" t="n">
        <f aca="false">IF($AK524=0,"",INDEX('Part types'!$P:$P,$AK524))</f>
        <v>30</v>
      </c>
      <c r="H524" s="10" t="n">
        <f aca="false">IF($AK524=0,"",INDEX('Part types'!$Q:$Q,$AK524))</f>
        <v>20</v>
      </c>
      <c r="I524" s="10" t="n">
        <f aca="false">IF($AK524=0,"",INDEX('Part types'!$R:$R,$AK524))</f>
        <v>15</v>
      </c>
      <c r="J524" s="10" t="n">
        <f aca="false">IF($AK524=0,"",INDEX('Part types'!$S:$S,$AK524))</f>
        <v>1.8</v>
      </c>
      <c r="K524" s="11" t="s">
        <v>2141</v>
      </c>
      <c r="L524" s="11" t="s">
        <v>2181</v>
      </c>
      <c r="M524" s="11" t="str">
        <f aca="false">L524&amp;" - "&amp;N524</f>
        <v>صينية البطارية - عام</v>
      </c>
      <c r="N524" s="11" t="s">
        <v>72</v>
      </c>
      <c r="O524" s="11" t="s">
        <v>2143</v>
      </c>
      <c r="P524" s="10" t="n">
        <f aca="false">G524</f>
        <v>30</v>
      </c>
      <c r="Q524" s="10" t="n">
        <f aca="false">H524</f>
        <v>20</v>
      </c>
      <c r="R524" s="10" t="n">
        <f aca="false">I524</f>
        <v>15</v>
      </c>
      <c r="S524" s="10" t="n">
        <f aca="false">J524</f>
        <v>1.8</v>
      </c>
      <c r="T524" s="12" t="s">
        <v>2144</v>
      </c>
      <c r="U524" s="12" t="s">
        <v>2182</v>
      </c>
      <c r="V524" s="9" t="str">
        <f aca="false">U524&amp;" - "&amp;W524</f>
        <v>电瓶托盘 - 通用</v>
      </c>
      <c r="W524" s="12" t="s">
        <v>76</v>
      </c>
      <c r="X524" s="12" t="s">
        <v>2146</v>
      </c>
      <c r="Y524" s="10" t="n">
        <f aca="false">G524</f>
        <v>30</v>
      </c>
      <c r="Z524" s="10" t="n">
        <f aca="false">H524</f>
        <v>20</v>
      </c>
      <c r="AA524" s="10" t="n">
        <f aca="false">I524</f>
        <v>15</v>
      </c>
      <c r="AB524" s="10" t="n">
        <f aca="false">J524</f>
        <v>1.8</v>
      </c>
      <c r="AC524" s="9" t="s">
        <v>2147</v>
      </c>
      <c r="AD524" s="9" t="s">
        <v>2183</v>
      </c>
      <c r="AE524" s="9" t="str">
        <f aca="false">IF($AK524=0,"",INDEX('Part types'!$T:$T,$AK524)&amp;"")</f>
        <v>All vehicles</v>
      </c>
      <c r="AF524" s="9" t="str">
        <f aca="false">IF($AK524=0,"",INDEX('Part types'!$U:$U,$AK524)&amp;"")</f>
        <v/>
      </c>
      <c r="AG524" s="9" t="str">
        <f aca="false">IF($AK524=0,"",INDEX('Part types'!$V:$V,$AK524)&amp;"")</f>
        <v>Estimate: size class M2</v>
      </c>
      <c r="AH524" s="9" t="str">
        <f aca="false">IF($AK524=0,"",INDEX('Part types'!$W:$W,$AK524)&amp;"")</f>
        <v/>
      </c>
      <c r="AI524" s="11" t="str">
        <f aca="false">IF($AK524=0,"",INDEX('Part types'!$X:$X,$AK524)&amp;"")</f>
        <v/>
      </c>
      <c r="AJ524" s="9" t="str">
        <f aca="false">IF($AK524=0,"",INDEX('Part types'!$Y:$Y,$AK524)&amp;"")</f>
        <v/>
      </c>
      <c r="AK524" s="9" t="n">
        <f aca="false">IFERROR(MATCH($AD524,'Part types'!$E:$E,0),0)</f>
        <v>349</v>
      </c>
    </row>
    <row r="525" customFormat="false" ht="15" hidden="false" customHeight="false" outlineLevel="0" collapsed="false">
      <c r="A525" s="9" t="s">
        <v>2184</v>
      </c>
      <c r="B525" s="9" t="s">
        <v>2185</v>
      </c>
      <c r="C525" s="9" t="s">
        <v>2186</v>
      </c>
      <c r="D525" s="9" t="str">
        <f aca="false">C525&amp;" - "&amp;E525</f>
        <v>Starter Motor - Universal</v>
      </c>
      <c r="E525" s="9" t="s">
        <v>68</v>
      </c>
      <c r="F525" s="9" t="s">
        <v>369</v>
      </c>
      <c r="G525" s="10" t="n">
        <f aca="false">IF($AK525=0,"",INDEX('Part types'!$P:$P,$AK525))</f>
        <v>25</v>
      </c>
      <c r="H525" s="10" t="n">
        <f aca="false">IF($AK525=0,"",INDEX('Part types'!$Q:$Q,$AK525))</f>
        <v>15</v>
      </c>
      <c r="I525" s="10" t="n">
        <f aca="false">IF($AK525=0,"",INDEX('Part types'!$R:$R,$AK525))</f>
        <v>15</v>
      </c>
      <c r="J525" s="10" t="n">
        <f aca="false">IF($AK525=0,"",INDEX('Part types'!$S:$S,$AK525))</f>
        <v>4</v>
      </c>
      <c r="K525" s="11" t="s">
        <v>2187</v>
      </c>
      <c r="L525" s="11" t="s">
        <v>2188</v>
      </c>
      <c r="M525" s="11" t="str">
        <f aca="false">L525&amp;" - "&amp;N525</f>
        <v>سلف - عام</v>
      </c>
      <c r="N525" s="11" t="s">
        <v>72</v>
      </c>
      <c r="O525" s="11" t="s">
        <v>371</v>
      </c>
      <c r="P525" s="10" t="n">
        <f aca="false">G525</f>
        <v>25</v>
      </c>
      <c r="Q525" s="10" t="n">
        <f aca="false">H525</f>
        <v>15</v>
      </c>
      <c r="R525" s="10" t="n">
        <f aca="false">I525</f>
        <v>15</v>
      </c>
      <c r="S525" s="10" t="n">
        <f aca="false">J525</f>
        <v>4</v>
      </c>
      <c r="T525" s="12" t="s">
        <v>2189</v>
      </c>
      <c r="U525" s="12" t="s">
        <v>2190</v>
      </c>
      <c r="V525" s="9" t="str">
        <f aca="false">U525&amp;" - "&amp;W525</f>
        <v>起动机 - 通用</v>
      </c>
      <c r="W525" s="12" t="s">
        <v>76</v>
      </c>
      <c r="X525" s="12" t="s">
        <v>373</v>
      </c>
      <c r="Y525" s="10" t="n">
        <f aca="false">G525</f>
        <v>25</v>
      </c>
      <c r="Z525" s="10" t="n">
        <f aca="false">H525</f>
        <v>15</v>
      </c>
      <c r="AA525" s="10" t="n">
        <f aca="false">I525</f>
        <v>15</v>
      </c>
      <c r="AB525" s="10" t="n">
        <f aca="false">J525</f>
        <v>4</v>
      </c>
      <c r="AC525" s="9" t="s">
        <v>2191</v>
      </c>
      <c r="AD525" s="9" t="s">
        <v>2192</v>
      </c>
      <c r="AE525" s="9" t="str">
        <f aca="false">IF($AK525=0,"",INDEX('Part types'!$T:$T,$AK525)&amp;"")</f>
        <v>Combustion engine (petrol, diesel, hybrid, range extender)</v>
      </c>
      <c r="AF525" s="9" t="str">
        <f aca="false">IF($AK525=0,"",INDEX('Part types'!$U:$U,$AK525)&amp;"")</f>
        <v/>
      </c>
      <c r="AG525" s="9" t="str">
        <f aca="false">IF($AK525=0,"",INDEX('Part types'!$V:$V,$AK525)&amp;"")</f>
        <v>Estimate: item-specific</v>
      </c>
      <c r="AH525" s="9" t="str">
        <f aca="false">IF($AK525=0,"",INDEX('Part types'!$W:$W,$AK525)&amp;"")</f>
        <v/>
      </c>
      <c r="AI525" s="11" t="str">
        <f aca="false">IF($AK525=0,"",INDEX('Part types'!$X:$X,$AK525)&amp;"")</f>
        <v>مارش</v>
      </c>
      <c r="AJ525" s="9" t="str">
        <f aca="false">IF($AK525=0,"",INDEX('Part types'!$Y:$Y,$AK525)&amp;"")</f>
        <v/>
      </c>
      <c r="AK525" s="9" t="n">
        <f aca="false">IFERROR(MATCH($AD525,'Part types'!$E:$E,0),0)</f>
        <v>350</v>
      </c>
    </row>
    <row r="526" customFormat="false" ht="15" hidden="false" customHeight="false" outlineLevel="0" collapsed="false">
      <c r="A526" s="9" t="s">
        <v>2193</v>
      </c>
      <c r="B526" s="9" t="s">
        <v>2185</v>
      </c>
      <c r="C526" s="9" t="s">
        <v>2194</v>
      </c>
      <c r="D526" s="9" t="str">
        <f aca="false">C526&amp;" - "&amp;E526</f>
        <v>Starter Solenoid - Universal</v>
      </c>
      <c r="E526" s="9" t="s">
        <v>68</v>
      </c>
      <c r="F526" s="9" t="s">
        <v>369</v>
      </c>
      <c r="G526" s="10" t="n">
        <f aca="false">IF($AK526=0,"",INDEX('Part types'!$P:$P,$AK526))</f>
        <v>15</v>
      </c>
      <c r="H526" s="10" t="n">
        <f aca="false">IF($AK526=0,"",INDEX('Part types'!$Q:$Q,$AK526))</f>
        <v>10</v>
      </c>
      <c r="I526" s="10" t="n">
        <f aca="false">IF($AK526=0,"",INDEX('Part types'!$R:$R,$AK526))</f>
        <v>8</v>
      </c>
      <c r="J526" s="10" t="n">
        <f aca="false">IF($AK526=0,"",INDEX('Part types'!$S:$S,$AK526))</f>
        <v>0.3</v>
      </c>
      <c r="K526" s="11" t="s">
        <v>2187</v>
      </c>
      <c r="L526" s="11" t="s">
        <v>2195</v>
      </c>
      <c r="M526" s="11" t="str">
        <f aca="false">L526&amp;" - "&amp;N526</f>
        <v>سولينويد السلف - عام</v>
      </c>
      <c r="N526" s="11" t="s">
        <v>72</v>
      </c>
      <c r="O526" s="11" t="s">
        <v>371</v>
      </c>
      <c r="P526" s="10" t="n">
        <f aca="false">G526</f>
        <v>15</v>
      </c>
      <c r="Q526" s="10" t="n">
        <f aca="false">H526</f>
        <v>10</v>
      </c>
      <c r="R526" s="10" t="n">
        <f aca="false">I526</f>
        <v>8</v>
      </c>
      <c r="S526" s="10" t="n">
        <f aca="false">J526</f>
        <v>0.3</v>
      </c>
      <c r="T526" s="12" t="s">
        <v>2189</v>
      </c>
      <c r="U526" s="12" t="s">
        <v>2196</v>
      </c>
      <c r="V526" s="9" t="str">
        <f aca="false">U526&amp;" - "&amp;W526</f>
        <v>起动机电磁开关 - 通用</v>
      </c>
      <c r="W526" s="12" t="s">
        <v>76</v>
      </c>
      <c r="X526" s="12" t="s">
        <v>373</v>
      </c>
      <c r="Y526" s="10" t="n">
        <f aca="false">G526</f>
        <v>15</v>
      </c>
      <c r="Z526" s="10" t="n">
        <f aca="false">H526</f>
        <v>10</v>
      </c>
      <c r="AA526" s="10" t="n">
        <f aca="false">I526</f>
        <v>8</v>
      </c>
      <c r="AB526" s="10" t="n">
        <f aca="false">J526</f>
        <v>0.3</v>
      </c>
      <c r="AC526" s="9" t="s">
        <v>2191</v>
      </c>
      <c r="AD526" s="9" t="s">
        <v>2197</v>
      </c>
      <c r="AE526" s="9" t="str">
        <f aca="false">IF($AK526=0,"",INDEX('Part types'!$T:$T,$AK526)&amp;"")</f>
        <v>Combustion engine (petrol, diesel, hybrid, range extender)</v>
      </c>
      <c r="AF526" s="9" t="str">
        <f aca="false">IF($AK526=0,"",INDEX('Part types'!$U:$U,$AK526)&amp;"")</f>
        <v/>
      </c>
      <c r="AG526" s="9" t="str">
        <f aca="false">IF($AK526=0,"",INDEX('Part types'!$V:$V,$AK526)&amp;"")</f>
        <v>Estimate: size class S</v>
      </c>
      <c r="AH526" s="9" t="str">
        <f aca="false">IF($AK526=0,"",INDEX('Part types'!$W:$W,$AK526)&amp;"")</f>
        <v/>
      </c>
      <c r="AI526" s="11" t="str">
        <f aca="false">IF($AK526=0,"",INDEX('Part types'!$X:$X,$AK526)&amp;"")</f>
        <v/>
      </c>
      <c r="AJ526" s="9" t="str">
        <f aca="false">IF($AK526=0,"",INDEX('Part types'!$Y:$Y,$AK526)&amp;"")</f>
        <v/>
      </c>
      <c r="AK526" s="9" t="n">
        <f aca="false">IFERROR(MATCH($AD526,'Part types'!$E:$E,0),0)</f>
        <v>351</v>
      </c>
    </row>
    <row r="527" customFormat="false" ht="15" hidden="false" customHeight="false" outlineLevel="0" collapsed="false">
      <c r="A527" s="9" t="s">
        <v>2198</v>
      </c>
      <c r="B527" s="9" t="s">
        <v>2185</v>
      </c>
      <c r="C527" s="9" t="s">
        <v>2199</v>
      </c>
      <c r="D527" s="9" t="str">
        <f aca="false">C527&amp;" - "&amp;E527</f>
        <v>Starter Drive Gear - Universal</v>
      </c>
      <c r="E527" s="9" t="s">
        <v>68</v>
      </c>
      <c r="F527" s="9" t="s">
        <v>369</v>
      </c>
      <c r="G527" s="10" t="n">
        <f aca="false">IF($AK527=0,"",INDEX('Part types'!$P:$P,$AK527))</f>
        <v>10</v>
      </c>
      <c r="H527" s="10" t="n">
        <f aca="false">IF($AK527=0,"",INDEX('Part types'!$Q:$Q,$AK527))</f>
        <v>8</v>
      </c>
      <c r="I527" s="10" t="n">
        <f aca="false">IF($AK527=0,"",INDEX('Part types'!$R:$R,$AK527))</f>
        <v>6</v>
      </c>
      <c r="J527" s="10" t="n">
        <f aca="false">IF($AK527=0,"",INDEX('Part types'!$S:$S,$AK527))</f>
        <v>0.1</v>
      </c>
      <c r="K527" s="11" t="s">
        <v>2187</v>
      </c>
      <c r="L527" s="11" t="s">
        <v>2200</v>
      </c>
      <c r="M527" s="11" t="str">
        <f aca="false">L527&amp;" - "&amp;N527</f>
        <v>بندكس السلف - عام</v>
      </c>
      <c r="N527" s="11" t="s">
        <v>72</v>
      </c>
      <c r="O527" s="11" t="s">
        <v>371</v>
      </c>
      <c r="P527" s="10" t="n">
        <f aca="false">G527</f>
        <v>10</v>
      </c>
      <c r="Q527" s="10" t="n">
        <f aca="false">H527</f>
        <v>8</v>
      </c>
      <c r="R527" s="10" t="n">
        <f aca="false">I527</f>
        <v>6</v>
      </c>
      <c r="S527" s="10" t="n">
        <f aca="false">J527</f>
        <v>0.1</v>
      </c>
      <c r="T527" s="12" t="s">
        <v>2189</v>
      </c>
      <c r="U527" s="12" t="s">
        <v>2201</v>
      </c>
      <c r="V527" s="9" t="str">
        <f aca="false">U527&amp;" - "&amp;W527</f>
        <v>起动机齿轮 - 通用</v>
      </c>
      <c r="W527" s="12" t="s">
        <v>76</v>
      </c>
      <c r="X527" s="12" t="s">
        <v>373</v>
      </c>
      <c r="Y527" s="10" t="n">
        <f aca="false">G527</f>
        <v>10</v>
      </c>
      <c r="Z527" s="10" t="n">
        <f aca="false">H527</f>
        <v>8</v>
      </c>
      <c r="AA527" s="10" t="n">
        <f aca="false">I527</f>
        <v>6</v>
      </c>
      <c r="AB527" s="10" t="n">
        <f aca="false">J527</f>
        <v>0.1</v>
      </c>
      <c r="AC527" s="9" t="s">
        <v>2191</v>
      </c>
      <c r="AD527" s="9" t="s">
        <v>2202</v>
      </c>
      <c r="AE527" s="9" t="str">
        <f aca="false">IF($AK527=0,"",INDEX('Part types'!$T:$T,$AK527)&amp;"")</f>
        <v>Combustion engine (petrol, diesel, hybrid, range extender)</v>
      </c>
      <c r="AF527" s="9" t="str">
        <f aca="false">IF($AK527=0,"",INDEX('Part types'!$U:$U,$AK527)&amp;"")</f>
        <v/>
      </c>
      <c r="AG527" s="9" t="str">
        <f aca="false">IF($AK527=0,"",INDEX('Part types'!$V:$V,$AK527)&amp;"")</f>
        <v>Estimate: size class XS</v>
      </c>
      <c r="AH527" s="9" t="str">
        <f aca="false">IF($AK527=0,"",INDEX('Part types'!$W:$W,$AK527)&amp;"")</f>
        <v/>
      </c>
      <c r="AI527" s="11" t="str">
        <f aca="false">IF($AK527=0,"",INDEX('Part types'!$X:$X,$AK527)&amp;"")</f>
        <v/>
      </c>
      <c r="AJ527" s="9" t="str">
        <f aca="false">IF($AK527=0,"",INDEX('Part types'!$Y:$Y,$AK527)&amp;"")</f>
        <v/>
      </c>
      <c r="AK527" s="9" t="n">
        <f aca="false">IFERROR(MATCH($AD527,'Part types'!$E:$E,0),0)</f>
        <v>352</v>
      </c>
    </row>
    <row r="528" customFormat="false" ht="15" hidden="false" customHeight="false" outlineLevel="0" collapsed="false">
      <c r="A528" s="9" t="s">
        <v>2203</v>
      </c>
      <c r="B528" s="9" t="s">
        <v>2185</v>
      </c>
      <c r="C528" s="9" t="s">
        <v>2204</v>
      </c>
      <c r="D528" s="9" t="str">
        <f aca="false">C528&amp;" - "&amp;E528</f>
        <v>Ignition Coil - Universal</v>
      </c>
      <c r="E528" s="9" t="s">
        <v>68</v>
      </c>
      <c r="F528" s="9" t="s">
        <v>110</v>
      </c>
      <c r="G528" s="10" t="n">
        <f aca="false">IF($AK528=0,"",INDEX('Part types'!$P:$P,$AK528))</f>
        <v>10</v>
      </c>
      <c r="H528" s="10" t="n">
        <f aca="false">IF($AK528=0,"",INDEX('Part types'!$Q:$Q,$AK528))</f>
        <v>8</v>
      </c>
      <c r="I528" s="10" t="n">
        <f aca="false">IF($AK528=0,"",INDEX('Part types'!$R:$R,$AK528))</f>
        <v>6</v>
      </c>
      <c r="J528" s="10" t="n">
        <f aca="false">IF($AK528=0,"",INDEX('Part types'!$S:$S,$AK528))</f>
        <v>0.1</v>
      </c>
      <c r="K528" s="11" t="s">
        <v>2187</v>
      </c>
      <c r="L528" s="11" t="s">
        <v>2205</v>
      </c>
      <c r="M528" s="11" t="str">
        <f aca="false">L528&amp;" - "&amp;N528</f>
        <v>كويل الإشعال - عام</v>
      </c>
      <c r="N528" s="11" t="s">
        <v>72</v>
      </c>
      <c r="O528" s="11" t="s">
        <v>112</v>
      </c>
      <c r="P528" s="10" t="n">
        <f aca="false">G528</f>
        <v>10</v>
      </c>
      <c r="Q528" s="10" t="n">
        <f aca="false">H528</f>
        <v>8</v>
      </c>
      <c r="R528" s="10" t="n">
        <f aca="false">I528</f>
        <v>6</v>
      </c>
      <c r="S528" s="10" t="n">
        <f aca="false">J528</f>
        <v>0.1</v>
      </c>
      <c r="T528" s="12" t="s">
        <v>2189</v>
      </c>
      <c r="U528" s="12" t="s">
        <v>2206</v>
      </c>
      <c r="V528" s="9" t="str">
        <f aca="false">U528&amp;" - "&amp;W528</f>
        <v>点火线圈 - 通用</v>
      </c>
      <c r="W528" s="12" t="s">
        <v>76</v>
      </c>
      <c r="X528" s="12" t="s">
        <v>114</v>
      </c>
      <c r="Y528" s="10" t="n">
        <f aca="false">G528</f>
        <v>10</v>
      </c>
      <c r="Z528" s="10" t="n">
        <f aca="false">H528</f>
        <v>8</v>
      </c>
      <c r="AA528" s="10" t="n">
        <f aca="false">I528</f>
        <v>6</v>
      </c>
      <c r="AB528" s="10" t="n">
        <f aca="false">J528</f>
        <v>0.1</v>
      </c>
      <c r="AC528" s="9" t="s">
        <v>2191</v>
      </c>
      <c r="AD528" s="9" t="s">
        <v>2207</v>
      </c>
      <c r="AE528" s="9" t="str">
        <f aca="false">IF($AK528=0,"",INDEX('Part types'!$T:$T,$AK528)&amp;"")</f>
        <v>Combustion engine (petrol, diesel, hybrid, range extender)</v>
      </c>
      <c r="AF528" s="9" t="str">
        <f aca="false">IF($AK528=0,"",INDEX('Part types'!$U:$U,$AK528)&amp;"")</f>
        <v/>
      </c>
      <c r="AG528" s="9" t="str">
        <f aca="false">IF($AK528=0,"",INDEX('Part types'!$V:$V,$AK528)&amp;"")</f>
        <v>Estimate: size class XS</v>
      </c>
      <c r="AH528" s="9" t="str">
        <f aca="false">IF($AK528=0,"",INDEX('Part types'!$W:$W,$AK528)&amp;"")</f>
        <v/>
      </c>
      <c r="AI528" s="11" t="str">
        <f aca="false">IF($AK528=0,"",INDEX('Part types'!$X:$X,$AK528)&amp;"")</f>
        <v>ملف</v>
      </c>
      <c r="AJ528" s="9" t="str">
        <f aca="false">IF($AK528=0,"",INDEX('Part types'!$Y:$Y,$AK528)&amp;"")</f>
        <v/>
      </c>
      <c r="AK528" s="9" t="n">
        <f aca="false">IFERROR(MATCH($AD528,'Part types'!$E:$E,0),0)</f>
        <v>353</v>
      </c>
    </row>
    <row r="529" customFormat="false" ht="15" hidden="false" customHeight="false" outlineLevel="0" collapsed="false">
      <c r="A529" s="9" t="s">
        <v>2208</v>
      </c>
      <c r="B529" s="9" t="s">
        <v>2185</v>
      </c>
      <c r="C529" s="9" t="s">
        <v>2209</v>
      </c>
      <c r="D529" s="9" t="str">
        <f aca="false">C529&amp;" - "&amp;E529</f>
        <v>Ignition Coil Set - Universal</v>
      </c>
      <c r="E529" s="9" t="s">
        <v>68</v>
      </c>
      <c r="F529" s="9" t="s">
        <v>110</v>
      </c>
      <c r="G529" s="10" t="n">
        <f aca="false">IF($AK529=0,"",INDEX('Part types'!$P:$P,$AK529))</f>
        <v>25</v>
      </c>
      <c r="H529" s="10" t="n">
        <f aca="false">IF($AK529=0,"",INDEX('Part types'!$Q:$Q,$AK529))</f>
        <v>15</v>
      </c>
      <c r="I529" s="10" t="n">
        <f aca="false">IF($AK529=0,"",INDEX('Part types'!$R:$R,$AK529))</f>
        <v>10</v>
      </c>
      <c r="J529" s="10" t="n">
        <f aca="false">IF($AK529=0,"",INDEX('Part types'!$S:$S,$AK529))</f>
        <v>0.9</v>
      </c>
      <c r="K529" s="11" t="s">
        <v>2187</v>
      </c>
      <c r="L529" s="11" t="s">
        <v>2210</v>
      </c>
      <c r="M529" s="11" t="str">
        <f aca="false">L529&amp;" - "&amp;N529</f>
        <v>طقم كويلات الإشعال - عام</v>
      </c>
      <c r="N529" s="11" t="s">
        <v>72</v>
      </c>
      <c r="O529" s="11" t="s">
        <v>112</v>
      </c>
      <c r="P529" s="10" t="n">
        <f aca="false">G529</f>
        <v>25</v>
      </c>
      <c r="Q529" s="10" t="n">
        <f aca="false">H529</f>
        <v>15</v>
      </c>
      <c r="R529" s="10" t="n">
        <f aca="false">I529</f>
        <v>10</v>
      </c>
      <c r="S529" s="10" t="n">
        <f aca="false">J529</f>
        <v>0.9</v>
      </c>
      <c r="T529" s="12" t="s">
        <v>2189</v>
      </c>
      <c r="U529" s="12" t="s">
        <v>2211</v>
      </c>
      <c r="V529" s="9" t="str">
        <f aca="false">U529&amp;" - "&amp;W529</f>
        <v>点火线圈套装 - 通用</v>
      </c>
      <c r="W529" s="12" t="s">
        <v>76</v>
      </c>
      <c r="X529" s="12" t="s">
        <v>114</v>
      </c>
      <c r="Y529" s="10" t="n">
        <f aca="false">G529</f>
        <v>25</v>
      </c>
      <c r="Z529" s="10" t="n">
        <f aca="false">H529</f>
        <v>15</v>
      </c>
      <c r="AA529" s="10" t="n">
        <f aca="false">I529</f>
        <v>10</v>
      </c>
      <c r="AB529" s="10" t="n">
        <f aca="false">J529</f>
        <v>0.9</v>
      </c>
      <c r="AC529" s="9" t="s">
        <v>2191</v>
      </c>
      <c r="AD529" s="9" t="s">
        <v>2212</v>
      </c>
      <c r="AE529" s="9" t="str">
        <f aca="false">IF($AK529=0,"",INDEX('Part types'!$T:$T,$AK529)&amp;"")</f>
        <v>Combustion engine (petrol, diesel, hybrid, range extender)</v>
      </c>
      <c r="AF529" s="9" t="str">
        <f aca="false">IF($AK529=0,"",INDEX('Part types'!$U:$U,$AK529)&amp;"")</f>
        <v/>
      </c>
      <c r="AG529" s="9" t="str">
        <f aca="false">IF($AK529=0,"",INDEX('Part types'!$V:$V,$AK529)&amp;"")</f>
        <v>Estimate: size class M</v>
      </c>
      <c r="AH529" s="9" t="str">
        <f aca="false">IF($AK529=0,"",INDEX('Part types'!$W:$W,$AK529)&amp;"")</f>
        <v/>
      </c>
      <c r="AI529" s="11" t="str">
        <f aca="false">IF($AK529=0,"",INDEX('Part types'!$X:$X,$AK529)&amp;"")</f>
        <v/>
      </c>
      <c r="AJ529" s="9" t="str">
        <f aca="false">IF($AK529=0,"",INDEX('Part types'!$Y:$Y,$AK529)&amp;"")</f>
        <v/>
      </c>
      <c r="AK529" s="9" t="n">
        <f aca="false">IFERROR(MATCH($AD529,'Part types'!$E:$E,0),0)</f>
        <v>354</v>
      </c>
    </row>
    <row r="530" customFormat="false" ht="15" hidden="false" customHeight="false" outlineLevel="0" collapsed="false">
      <c r="A530" s="9" t="s">
        <v>2213</v>
      </c>
      <c r="B530" s="9" t="s">
        <v>2185</v>
      </c>
      <c r="C530" s="9" t="s">
        <v>2214</v>
      </c>
      <c r="D530" s="9" t="str">
        <f aca="false">C530&amp;" - "&amp;E530</f>
        <v>Spark Plug - Universal</v>
      </c>
      <c r="E530" s="9" t="s">
        <v>68</v>
      </c>
      <c r="F530" s="9" t="s">
        <v>94</v>
      </c>
      <c r="G530" s="10" t="n">
        <f aca="false">IF($AK530=0,"",INDEX('Part types'!$P:$P,$AK530))</f>
        <v>6</v>
      </c>
      <c r="H530" s="10" t="n">
        <f aca="false">IF($AK530=0,"",INDEX('Part types'!$Q:$Q,$AK530))</f>
        <v>4</v>
      </c>
      <c r="I530" s="10" t="n">
        <f aca="false">IF($AK530=0,"",INDEX('Part types'!$R:$R,$AK530))</f>
        <v>3</v>
      </c>
      <c r="J530" s="10" t="n">
        <f aca="false">IF($AK530=0,"",INDEX('Part types'!$S:$S,$AK530))</f>
        <v>0.02</v>
      </c>
      <c r="K530" s="11" t="s">
        <v>2187</v>
      </c>
      <c r="L530" s="11" t="s">
        <v>2215</v>
      </c>
      <c r="M530" s="11" t="str">
        <f aca="false">L530&amp;" - "&amp;N530</f>
        <v>شمعة إشعال - عام</v>
      </c>
      <c r="N530" s="11" t="s">
        <v>72</v>
      </c>
      <c r="O530" s="11" t="s">
        <v>95</v>
      </c>
      <c r="P530" s="10" t="n">
        <f aca="false">G530</f>
        <v>6</v>
      </c>
      <c r="Q530" s="10" t="n">
        <f aca="false">H530</f>
        <v>4</v>
      </c>
      <c r="R530" s="10" t="n">
        <f aca="false">I530</f>
        <v>3</v>
      </c>
      <c r="S530" s="10" t="n">
        <f aca="false">J530</f>
        <v>0.02</v>
      </c>
      <c r="T530" s="12" t="s">
        <v>2189</v>
      </c>
      <c r="U530" s="12" t="s">
        <v>2216</v>
      </c>
      <c r="V530" s="9" t="str">
        <f aca="false">U530&amp;" - "&amp;W530</f>
        <v>火花塞 - 通用</v>
      </c>
      <c r="W530" s="12" t="s">
        <v>76</v>
      </c>
      <c r="X530" s="12" t="s">
        <v>96</v>
      </c>
      <c r="Y530" s="10" t="n">
        <f aca="false">G530</f>
        <v>6</v>
      </c>
      <c r="Z530" s="10" t="n">
        <f aca="false">H530</f>
        <v>4</v>
      </c>
      <c r="AA530" s="10" t="n">
        <f aca="false">I530</f>
        <v>3</v>
      </c>
      <c r="AB530" s="10" t="n">
        <f aca="false">J530</f>
        <v>0.02</v>
      </c>
      <c r="AC530" s="9" t="s">
        <v>2191</v>
      </c>
      <c r="AD530" s="9" t="s">
        <v>2217</v>
      </c>
      <c r="AE530" s="9" t="str">
        <f aca="false">IF($AK530=0,"",INDEX('Part types'!$T:$T,$AK530)&amp;"")</f>
        <v>Combustion engine (petrol, diesel, hybrid, range extender)</v>
      </c>
      <c r="AF530" s="9" t="str">
        <f aca="false">IF($AK530=0,"",INDEX('Part types'!$U:$U,$AK530)&amp;"")</f>
        <v/>
      </c>
      <c r="AG530" s="9" t="str">
        <f aca="false">IF($AK530=0,"",INDEX('Part types'!$V:$V,$AK530)&amp;"")</f>
        <v>Estimate: size class T</v>
      </c>
      <c r="AH530" s="9" t="str">
        <f aca="false">IF($AK530=0,"",INDEX('Part types'!$W:$W,$AK530)&amp;"")</f>
        <v/>
      </c>
      <c r="AI530" s="11" t="str">
        <f aca="false">IF($AK530=0,"",INDEX('Part types'!$X:$X,$AK530)&amp;"")</f>
        <v>بوجيه</v>
      </c>
      <c r="AJ530" s="9" t="str">
        <f aca="false">IF($AK530=0,"",INDEX('Part types'!$Y:$Y,$AK530)&amp;"")</f>
        <v/>
      </c>
      <c r="AK530" s="9" t="n">
        <f aca="false">IFERROR(MATCH($AD530,'Part types'!$E:$E,0),0)</f>
        <v>355</v>
      </c>
    </row>
    <row r="531" customFormat="false" ht="15" hidden="false" customHeight="false" outlineLevel="0" collapsed="false">
      <c r="A531" s="9" t="s">
        <v>2218</v>
      </c>
      <c r="B531" s="9" t="s">
        <v>2185</v>
      </c>
      <c r="C531" s="9" t="s">
        <v>2219</v>
      </c>
      <c r="D531" s="9" t="str">
        <f aca="false">C531&amp;" - "&amp;E531</f>
        <v>Spark Plug Set - Universal</v>
      </c>
      <c r="E531" s="9" t="s">
        <v>68</v>
      </c>
      <c r="F531" s="9" t="s">
        <v>94</v>
      </c>
      <c r="G531" s="10" t="n">
        <f aca="false">IF($AK531=0,"",INDEX('Part types'!$P:$P,$AK531))</f>
        <v>15</v>
      </c>
      <c r="H531" s="10" t="n">
        <f aca="false">IF($AK531=0,"",INDEX('Part types'!$Q:$Q,$AK531))</f>
        <v>10</v>
      </c>
      <c r="I531" s="10" t="n">
        <f aca="false">IF($AK531=0,"",INDEX('Part types'!$R:$R,$AK531))</f>
        <v>8</v>
      </c>
      <c r="J531" s="10" t="n">
        <f aca="false">IF($AK531=0,"",INDEX('Part types'!$S:$S,$AK531))</f>
        <v>0.3</v>
      </c>
      <c r="K531" s="11" t="s">
        <v>2187</v>
      </c>
      <c r="L531" s="11" t="s">
        <v>2220</v>
      </c>
      <c r="M531" s="11" t="str">
        <f aca="false">L531&amp;" - "&amp;N531</f>
        <v>طقم شمعات إشعال - عام</v>
      </c>
      <c r="N531" s="11" t="s">
        <v>72</v>
      </c>
      <c r="O531" s="11" t="s">
        <v>95</v>
      </c>
      <c r="P531" s="10" t="n">
        <f aca="false">G531</f>
        <v>15</v>
      </c>
      <c r="Q531" s="10" t="n">
        <f aca="false">H531</f>
        <v>10</v>
      </c>
      <c r="R531" s="10" t="n">
        <f aca="false">I531</f>
        <v>8</v>
      </c>
      <c r="S531" s="10" t="n">
        <f aca="false">J531</f>
        <v>0.3</v>
      </c>
      <c r="T531" s="12" t="s">
        <v>2189</v>
      </c>
      <c r="U531" s="12" t="s">
        <v>2221</v>
      </c>
      <c r="V531" s="9" t="str">
        <f aca="false">U531&amp;" - "&amp;W531</f>
        <v>火花塞套装 - 通用</v>
      </c>
      <c r="W531" s="12" t="s">
        <v>76</v>
      </c>
      <c r="X531" s="12" t="s">
        <v>96</v>
      </c>
      <c r="Y531" s="10" t="n">
        <f aca="false">G531</f>
        <v>15</v>
      </c>
      <c r="Z531" s="10" t="n">
        <f aca="false">H531</f>
        <v>10</v>
      </c>
      <c r="AA531" s="10" t="n">
        <f aca="false">I531</f>
        <v>8</v>
      </c>
      <c r="AB531" s="10" t="n">
        <f aca="false">J531</f>
        <v>0.3</v>
      </c>
      <c r="AC531" s="9" t="s">
        <v>2191</v>
      </c>
      <c r="AD531" s="9" t="s">
        <v>2222</v>
      </c>
      <c r="AE531" s="9" t="str">
        <f aca="false">IF($AK531=0,"",INDEX('Part types'!$T:$T,$AK531)&amp;"")</f>
        <v>Combustion engine (petrol, diesel, hybrid, range extender)</v>
      </c>
      <c r="AF531" s="9" t="str">
        <f aca="false">IF($AK531=0,"",INDEX('Part types'!$U:$U,$AK531)&amp;"")</f>
        <v/>
      </c>
      <c r="AG531" s="9" t="str">
        <f aca="false">IF($AK531=0,"",INDEX('Part types'!$V:$V,$AK531)&amp;"")</f>
        <v>Estimate: size class S</v>
      </c>
      <c r="AH531" s="9" t="str">
        <f aca="false">IF($AK531=0,"",INDEX('Part types'!$W:$W,$AK531)&amp;"")</f>
        <v/>
      </c>
      <c r="AI531" s="11" t="str">
        <f aca="false">IF($AK531=0,"",INDEX('Part types'!$X:$X,$AK531)&amp;"")</f>
        <v/>
      </c>
      <c r="AJ531" s="9" t="str">
        <f aca="false">IF($AK531=0,"",INDEX('Part types'!$Y:$Y,$AK531)&amp;"")</f>
        <v/>
      </c>
      <c r="AK531" s="9" t="n">
        <f aca="false">IFERROR(MATCH($AD531,'Part types'!$E:$E,0),0)</f>
        <v>356</v>
      </c>
    </row>
    <row r="532" customFormat="false" ht="15" hidden="false" customHeight="false" outlineLevel="0" collapsed="false">
      <c r="A532" s="9" t="s">
        <v>2223</v>
      </c>
      <c r="B532" s="9" t="s">
        <v>2185</v>
      </c>
      <c r="C532" s="9" t="s">
        <v>2224</v>
      </c>
      <c r="D532" s="9" t="str">
        <f aca="false">C532&amp;" - "&amp;E532</f>
        <v>Plug Wire Set - Universal</v>
      </c>
      <c r="E532" s="9" t="s">
        <v>68</v>
      </c>
      <c r="F532" s="9" t="s">
        <v>110</v>
      </c>
      <c r="G532" s="10" t="n">
        <f aca="false">IF($AK532=0,"",INDEX('Part types'!$P:$P,$AK532))</f>
        <v>15</v>
      </c>
      <c r="H532" s="10" t="n">
        <f aca="false">IF($AK532=0,"",INDEX('Part types'!$Q:$Q,$AK532))</f>
        <v>10</v>
      </c>
      <c r="I532" s="10" t="n">
        <f aca="false">IF($AK532=0,"",INDEX('Part types'!$R:$R,$AK532))</f>
        <v>8</v>
      </c>
      <c r="J532" s="10" t="n">
        <f aca="false">IF($AK532=0,"",INDEX('Part types'!$S:$S,$AK532))</f>
        <v>0.3</v>
      </c>
      <c r="K532" s="11" t="s">
        <v>2187</v>
      </c>
      <c r="L532" s="11" t="s">
        <v>2225</v>
      </c>
      <c r="M532" s="11" t="str">
        <f aca="false">L532&amp;" - "&amp;N532</f>
        <v>طقم أسلاك الشمعات - عام</v>
      </c>
      <c r="N532" s="11" t="s">
        <v>72</v>
      </c>
      <c r="O532" s="11" t="s">
        <v>112</v>
      </c>
      <c r="P532" s="10" t="n">
        <f aca="false">G532</f>
        <v>15</v>
      </c>
      <c r="Q532" s="10" t="n">
        <f aca="false">H532</f>
        <v>10</v>
      </c>
      <c r="R532" s="10" t="n">
        <f aca="false">I532</f>
        <v>8</v>
      </c>
      <c r="S532" s="10" t="n">
        <f aca="false">J532</f>
        <v>0.3</v>
      </c>
      <c r="T532" s="12" t="s">
        <v>2189</v>
      </c>
      <c r="U532" s="12" t="s">
        <v>2226</v>
      </c>
      <c r="V532" s="9" t="str">
        <f aca="false">U532&amp;" - "&amp;W532</f>
        <v>火花塞高压线套装 - 通用</v>
      </c>
      <c r="W532" s="12" t="s">
        <v>76</v>
      </c>
      <c r="X532" s="12" t="s">
        <v>114</v>
      </c>
      <c r="Y532" s="10" t="n">
        <f aca="false">G532</f>
        <v>15</v>
      </c>
      <c r="Z532" s="10" t="n">
        <f aca="false">H532</f>
        <v>10</v>
      </c>
      <c r="AA532" s="10" t="n">
        <f aca="false">I532</f>
        <v>8</v>
      </c>
      <c r="AB532" s="10" t="n">
        <f aca="false">J532</f>
        <v>0.3</v>
      </c>
      <c r="AC532" s="9" t="s">
        <v>2191</v>
      </c>
      <c r="AD532" s="9" t="s">
        <v>2227</v>
      </c>
      <c r="AE532" s="9" t="str">
        <f aca="false">IF($AK532=0,"",INDEX('Part types'!$T:$T,$AK532)&amp;"")</f>
        <v>Combustion engine (petrol, diesel, hybrid, range extender)</v>
      </c>
      <c r="AF532" s="9" t="str">
        <f aca="false">IF($AK532=0,"",INDEX('Part types'!$U:$U,$AK532)&amp;"")</f>
        <v/>
      </c>
      <c r="AG532" s="9" t="str">
        <f aca="false">IF($AK532=0,"",INDEX('Part types'!$V:$V,$AK532)&amp;"")</f>
        <v>Estimate: size class S</v>
      </c>
      <c r="AH532" s="9" t="str">
        <f aca="false">IF($AK532=0,"",INDEX('Part types'!$W:$W,$AK532)&amp;"")</f>
        <v>Spark Plug Wire Set</v>
      </c>
      <c r="AI532" s="11" t="str">
        <f aca="false">IF($AK532=0,"",INDEX('Part types'!$X:$X,$AK532)&amp;"")</f>
        <v/>
      </c>
      <c r="AJ532" s="9" t="str">
        <f aca="false">IF($AK532=0,"",INDEX('Part types'!$Y:$Y,$AK532)&amp;"")</f>
        <v/>
      </c>
      <c r="AK532" s="9" t="n">
        <f aca="false">IFERROR(MATCH($AD532,'Part types'!$E:$E,0),0)</f>
        <v>357</v>
      </c>
    </row>
    <row r="533" customFormat="false" ht="15" hidden="false" customHeight="false" outlineLevel="0" collapsed="false">
      <c r="A533" s="9" t="s">
        <v>2228</v>
      </c>
      <c r="B533" s="9" t="s">
        <v>2185</v>
      </c>
      <c r="C533" s="9" t="s">
        <v>2229</v>
      </c>
      <c r="D533" s="9" t="str">
        <f aca="false">C533&amp;" - "&amp;E533</f>
        <v>Distributor - Universal</v>
      </c>
      <c r="E533" s="9" t="s">
        <v>68</v>
      </c>
      <c r="F533" s="9" t="s">
        <v>369</v>
      </c>
      <c r="G533" s="10" t="n">
        <f aca="false">IF($AK533=0,"",INDEX('Part types'!$P:$P,$AK533))</f>
        <v>25</v>
      </c>
      <c r="H533" s="10" t="n">
        <f aca="false">IF($AK533=0,"",INDEX('Part types'!$Q:$Q,$AK533))</f>
        <v>15</v>
      </c>
      <c r="I533" s="10" t="n">
        <f aca="false">IF($AK533=0,"",INDEX('Part types'!$R:$R,$AK533))</f>
        <v>10</v>
      </c>
      <c r="J533" s="10" t="n">
        <f aca="false">IF($AK533=0,"",INDEX('Part types'!$S:$S,$AK533))</f>
        <v>0.9</v>
      </c>
      <c r="K533" s="11" t="s">
        <v>2187</v>
      </c>
      <c r="L533" s="11" t="s">
        <v>2230</v>
      </c>
      <c r="M533" s="11" t="str">
        <f aca="false">L533&amp;" - "&amp;N533</f>
        <v>موزع الشرارة - عام</v>
      </c>
      <c r="N533" s="11" t="s">
        <v>72</v>
      </c>
      <c r="O533" s="11" t="s">
        <v>371</v>
      </c>
      <c r="P533" s="10" t="n">
        <f aca="false">G533</f>
        <v>25</v>
      </c>
      <c r="Q533" s="10" t="n">
        <f aca="false">H533</f>
        <v>15</v>
      </c>
      <c r="R533" s="10" t="n">
        <f aca="false">I533</f>
        <v>10</v>
      </c>
      <c r="S533" s="10" t="n">
        <f aca="false">J533</f>
        <v>0.9</v>
      </c>
      <c r="T533" s="12" t="s">
        <v>2189</v>
      </c>
      <c r="U533" s="12" t="s">
        <v>2231</v>
      </c>
      <c r="V533" s="9" t="str">
        <f aca="false">U533&amp;" - "&amp;W533</f>
        <v>分电器 - 通用</v>
      </c>
      <c r="W533" s="12" t="s">
        <v>76</v>
      </c>
      <c r="X533" s="12" t="s">
        <v>373</v>
      </c>
      <c r="Y533" s="10" t="n">
        <f aca="false">G533</f>
        <v>25</v>
      </c>
      <c r="Z533" s="10" t="n">
        <f aca="false">H533</f>
        <v>15</v>
      </c>
      <c r="AA533" s="10" t="n">
        <f aca="false">I533</f>
        <v>10</v>
      </c>
      <c r="AB533" s="10" t="n">
        <f aca="false">J533</f>
        <v>0.9</v>
      </c>
      <c r="AC533" s="9" t="s">
        <v>2191</v>
      </c>
      <c r="AD533" s="9" t="s">
        <v>2232</v>
      </c>
      <c r="AE533" s="9" t="str">
        <f aca="false">IF($AK533=0,"",INDEX('Part types'!$T:$T,$AK533)&amp;"")</f>
        <v>Combustion engine (petrol, diesel, hybrid, range extender)</v>
      </c>
      <c r="AF533" s="9" t="str">
        <f aca="false">IF($AK533=0,"",INDEX('Part types'!$U:$U,$AK533)&amp;"")</f>
        <v/>
      </c>
      <c r="AG533" s="9" t="str">
        <f aca="false">IF($AK533=0,"",INDEX('Part types'!$V:$V,$AK533)&amp;"")</f>
        <v>Estimate: size class M</v>
      </c>
      <c r="AH533" s="9" t="str">
        <f aca="false">IF($AK533=0,"",INDEX('Part types'!$W:$W,$AK533)&amp;"")</f>
        <v/>
      </c>
      <c r="AI533" s="11" t="str">
        <f aca="false">IF($AK533=0,"",INDEX('Part types'!$X:$X,$AK533)&amp;"")</f>
        <v>دستربيوتر</v>
      </c>
      <c r="AJ533" s="9" t="str">
        <f aca="false">IF($AK533=0,"",INDEX('Part types'!$Y:$Y,$AK533)&amp;"")</f>
        <v/>
      </c>
      <c r="AK533" s="9" t="n">
        <f aca="false">IFERROR(MATCH($AD533,'Part types'!$E:$E,0),0)</f>
        <v>358</v>
      </c>
    </row>
    <row r="534" customFormat="false" ht="15" hidden="false" customHeight="false" outlineLevel="0" collapsed="false">
      <c r="A534" s="9" t="s">
        <v>2233</v>
      </c>
      <c r="B534" s="9" t="s">
        <v>2185</v>
      </c>
      <c r="C534" s="9" t="s">
        <v>2234</v>
      </c>
      <c r="D534" s="9" t="str">
        <f aca="false">C534&amp;" - "&amp;E534</f>
        <v>Distributor Cap - Universal</v>
      </c>
      <c r="E534" s="9" t="s">
        <v>68</v>
      </c>
      <c r="F534" s="9" t="s">
        <v>369</v>
      </c>
      <c r="G534" s="10" t="n">
        <f aca="false">IF($AK534=0,"",INDEX('Part types'!$P:$P,$AK534))</f>
        <v>10</v>
      </c>
      <c r="H534" s="10" t="n">
        <f aca="false">IF($AK534=0,"",INDEX('Part types'!$Q:$Q,$AK534))</f>
        <v>8</v>
      </c>
      <c r="I534" s="10" t="n">
        <f aca="false">IF($AK534=0,"",INDEX('Part types'!$R:$R,$AK534))</f>
        <v>6</v>
      </c>
      <c r="J534" s="10" t="n">
        <f aca="false">IF($AK534=0,"",INDEX('Part types'!$S:$S,$AK534))</f>
        <v>0.1</v>
      </c>
      <c r="K534" s="11" t="s">
        <v>2187</v>
      </c>
      <c r="L534" s="11" t="s">
        <v>2235</v>
      </c>
      <c r="M534" s="11" t="str">
        <f aca="false">L534&amp;" - "&amp;N534</f>
        <v>غطاء الموزع - عام</v>
      </c>
      <c r="N534" s="11" t="s">
        <v>72</v>
      </c>
      <c r="O534" s="11" t="s">
        <v>371</v>
      </c>
      <c r="P534" s="10" t="n">
        <f aca="false">G534</f>
        <v>10</v>
      </c>
      <c r="Q534" s="10" t="n">
        <f aca="false">H534</f>
        <v>8</v>
      </c>
      <c r="R534" s="10" t="n">
        <f aca="false">I534</f>
        <v>6</v>
      </c>
      <c r="S534" s="10" t="n">
        <f aca="false">J534</f>
        <v>0.1</v>
      </c>
      <c r="T534" s="12" t="s">
        <v>2189</v>
      </c>
      <c r="U534" s="12" t="s">
        <v>2236</v>
      </c>
      <c r="V534" s="9" t="str">
        <f aca="false">U534&amp;" - "&amp;W534</f>
        <v>分电器盖 - 通用</v>
      </c>
      <c r="W534" s="12" t="s">
        <v>76</v>
      </c>
      <c r="X534" s="12" t="s">
        <v>373</v>
      </c>
      <c r="Y534" s="10" t="n">
        <f aca="false">G534</f>
        <v>10</v>
      </c>
      <c r="Z534" s="10" t="n">
        <f aca="false">H534</f>
        <v>8</v>
      </c>
      <c r="AA534" s="10" t="n">
        <f aca="false">I534</f>
        <v>6</v>
      </c>
      <c r="AB534" s="10" t="n">
        <f aca="false">J534</f>
        <v>0.1</v>
      </c>
      <c r="AC534" s="9" t="s">
        <v>2191</v>
      </c>
      <c r="AD534" s="9" t="s">
        <v>2237</v>
      </c>
      <c r="AE534" s="9" t="str">
        <f aca="false">IF($AK534=0,"",INDEX('Part types'!$T:$T,$AK534)&amp;"")</f>
        <v>Combustion engine (petrol, diesel, hybrid, range extender)</v>
      </c>
      <c r="AF534" s="9" t="str">
        <f aca="false">IF($AK534=0,"",INDEX('Part types'!$U:$U,$AK534)&amp;"")</f>
        <v/>
      </c>
      <c r="AG534" s="9" t="str">
        <f aca="false">IF($AK534=0,"",INDEX('Part types'!$V:$V,$AK534)&amp;"")</f>
        <v>Estimate: size class XS</v>
      </c>
      <c r="AH534" s="9" t="str">
        <f aca="false">IF($AK534=0,"",INDEX('Part types'!$W:$W,$AK534)&amp;"")</f>
        <v/>
      </c>
      <c r="AI534" s="11" t="str">
        <f aca="false">IF($AK534=0,"",INDEX('Part types'!$X:$X,$AK534)&amp;"")</f>
        <v/>
      </c>
      <c r="AJ534" s="9" t="str">
        <f aca="false">IF($AK534=0,"",INDEX('Part types'!$Y:$Y,$AK534)&amp;"")</f>
        <v/>
      </c>
      <c r="AK534" s="9" t="n">
        <f aca="false">IFERROR(MATCH($AD534,'Part types'!$E:$E,0),0)</f>
        <v>359</v>
      </c>
    </row>
    <row r="535" customFormat="false" ht="15" hidden="false" customHeight="false" outlineLevel="0" collapsed="false">
      <c r="A535" s="9" t="s">
        <v>2238</v>
      </c>
      <c r="B535" s="9" t="s">
        <v>2185</v>
      </c>
      <c r="C535" s="9" t="s">
        <v>2239</v>
      </c>
      <c r="D535" s="9" t="str">
        <f aca="false">C535&amp;" - "&amp;E535</f>
        <v>Ignition Rotor - Universal</v>
      </c>
      <c r="E535" s="9" t="s">
        <v>68</v>
      </c>
      <c r="F535" s="9" t="s">
        <v>369</v>
      </c>
      <c r="G535" s="10" t="n">
        <f aca="false">IF($AK535=0,"",INDEX('Part types'!$P:$P,$AK535))</f>
        <v>10</v>
      </c>
      <c r="H535" s="10" t="n">
        <f aca="false">IF($AK535=0,"",INDEX('Part types'!$Q:$Q,$AK535))</f>
        <v>8</v>
      </c>
      <c r="I535" s="10" t="n">
        <f aca="false">IF($AK535=0,"",INDEX('Part types'!$R:$R,$AK535))</f>
        <v>6</v>
      </c>
      <c r="J535" s="10" t="n">
        <f aca="false">IF($AK535=0,"",INDEX('Part types'!$S:$S,$AK535))</f>
        <v>0.1</v>
      </c>
      <c r="K535" s="11" t="s">
        <v>2187</v>
      </c>
      <c r="L535" s="11" t="s">
        <v>2240</v>
      </c>
      <c r="M535" s="11" t="str">
        <f aca="false">L535&amp;" - "&amp;N535</f>
        <v>دوار الموزع - عام</v>
      </c>
      <c r="N535" s="11" t="s">
        <v>72</v>
      </c>
      <c r="O535" s="11" t="s">
        <v>371</v>
      </c>
      <c r="P535" s="10" t="n">
        <f aca="false">G535</f>
        <v>10</v>
      </c>
      <c r="Q535" s="10" t="n">
        <f aca="false">H535</f>
        <v>8</v>
      </c>
      <c r="R535" s="10" t="n">
        <f aca="false">I535</f>
        <v>6</v>
      </c>
      <c r="S535" s="10" t="n">
        <f aca="false">J535</f>
        <v>0.1</v>
      </c>
      <c r="T535" s="12" t="s">
        <v>2189</v>
      </c>
      <c r="U535" s="12" t="s">
        <v>2241</v>
      </c>
      <c r="V535" s="9" t="str">
        <f aca="false">U535&amp;" - "&amp;W535</f>
        <v>分火头 - 通用</v>
      </c>
      <c r="W535" s="12" t="s">
        <v>76</v>
      </c>
      <c r="X535" s="12" t="s">
        <v>373</v>
      </c>
      <c r="Y535" s="10" t="n">
        <f aca="false">G535</f>
        <v>10</v>
      </c>
      <c r="Z535" s="10" t="n">
        <f aca="false">H535</f>
        <v>8</v>
      </c>
      <c r="AA535" s="10" t="n">
        <f aca="false">I535</f>
        <v>6</v>
      </c>
      <c r="AB535" s="10" t="n">
        <f aca="false">J535</f>
        <v>0.1</v>
      </c>
      <c r="AC535" s="9" t="s">
        <v>2191</v>
      </c>
      <c r="AD535" s="9" t="s">
        <v>2242</v>
      </c>
      <c r="AE535" s="9" t="str">
        <f aca="false">IF($AK535=0,"",INDEX('Part types'!$T:$T,$AK535)&amp;"")</f>
        <v>Combustion engine (petrol, diesel, hybrid, range extender)</v>
      </c>
      <c r="AF535" s="9" t="str">
        <f aca="false">IF($AK535=0,"",INDEX('Part types'!$U:$U,$AK535)&amp;"")</f>
        <v/>
      </c>
      <c r="AG535" s="9" t="str">
        <f aca="false">IF($AK535=0,"",INDEX('Part types'!$V:$V,$AK535)&amp;"")</f>
        <v>Estimate: size class XS</v>
      </c>
      <c r="AH535" s="9" t="str">
        <f aca="false">IF($AK535=0,"",INDEX('Part types'!$W:$W,$AK535)&amp;"")</f>
        <v/>
      </c>
      <c r="AI535" s="11" t="str">
        <f aca="false">IF($AK535=0,"",INDEX('Part types'!$X:$X,$AK535)&amp;"")</f>
        <v>روتر</v>
      </c>
      <c r="AJ535" s="9" t="str">
        <f aca="false">IF($AK535=0,"",INDEX('Part types'!$Y:$Y,$AK535)&amp;"")</f>
        <v/>
      </c>
      <c r="AK535" s="9" t="n">
        <f aca="false">IFERROR(MATCH($AD535,'Part types'!$E:$E,0),0)</f>
        <v>360</v>
      </c>
    </row>
    <row r="536" customFormat="false" ht="15" hidden="false" customHeight="false" outlineLevel="0" collapsed="false">
      <c r="A536" s="9" t="s">
        <v>2243</v>
      </c>
      <c r="B536" s="9" t="s">
        <v>2185</v>
      </c>
      <c r="C536" s="9" t="s">
        <v>2244</v>
      </c>
      <c r="D536" s="9" t="str">
        <f aca="false">C536&amp;" - "&amp;E536</f>
        <v>Ignition Module - Universal</v>
      </c>
      <c r="E536" s="9" t="s">
        <v>68</v>
      </c>
      <c r="F536" s="9" t="s">
        <v>69</v>
      </c>
      <c r="G536" s="10" t="n">
        <f aca="false">IF($AK536=0,"",INDEX('Part types'!$P:$P,$AK536))</f>
        <v>15</v>
      </c>
      <c r="H536" s="10" t="n">
        <f aca="false">IF($AK536=0,"",INDEX('Part types'!$Q:$Q,$AK536))</f>
        <v>10</v>
      </c>
      <c r="I536" s="10" t="n">
        <f aca="false">IF($AK536=0,"",INDEX('Part types'!$R:$R,$AK536))</f>
        <v>8</v>
      </c>
      <c r="J536" s="10" t="n">
        <f aca="false">IF($AK536=0,"",INDEX('Part types'!$S:$S,$AK536))</f>
        <v>0.3</v>
      </c>
      <c r="K536" s="11" t="s">
        <v>2187</v>
      </c>
      <c r="L536" s="11" t="s">
        <v>2245</v>
      </c>
      <c r="M536" s="11" t="str">
        <f aca="false">L536&amp;" - "&amp;N536</f>
        <v>وحدة الإشعال - عام</v>
      </c>
      <c r="N536" s="11" t="s">
        <v>72</v>
      </c>
      <c r="O536" s="11" t="s">
        <v>73</v>
      </c>
      <c r="P536" s="10" t="n">
        <f aca="false">G536</f>
        <v>15</v>
      </c>
      <c r="Q536" s="10" t="n">
        <f aca="false">H536</f>
        <v>10</v>
      </c>
      <c r="R536" s="10" t="n">
        <f aca="false">I536</f>
        <v>8</v>
      </c>
      <c r="S536" s="10" t="n">
        <f aca="false">J536</f>
        <v>0.3</v>
      </c>
      <c r="T536" s="12" t="s">
        <v>2189</v>
      </c>
      <c r="U536" s="12" t="s">
        <v>2246</v>
      </c>
      <c r="V536" s="9" t="str">
        <f aca="false">U536&amp;" - "&amp;W536</f>
        <v>点火模块 - 通用</v>
      </c>
      <c r="W536" s="12" t="s">
        <v>76</v>
      </c>
      <c r="X536" s="12" t="s">
        <v>77</v>
      </c>
      <c r="Y536" s="10" t="n">
        <f aca="false">G536</f>
        <v>15</v>
      </c>
      <c r="Z536" s="10" t="n">
        <f aca="false">H536</f>
        <v>10</v>
      </c>
      <c r="AA536" s="10" t="n">
        <f aca="false">I536</f>
        <v>8</v>
      </c>
      <c r="AB536" s="10" t="n">
        <f aca="false">J536</f>
        <v>0.3</v>
      </c>
      <c r="AC536" s="9" t="s">
        <v>2191</v>
      </c>
      <c r="AD536" s="9" t="s">
        <v>2247</v>
      </c>
      <c r="AE536" s="9" t="str">
        <f aca="false">IF($AK536=0,"",INDEX('Part types'!$T:$T,$AK536)&amp;"")</f>
        <v>Combustion engine (petrol, diesel, hybrid, range extender)</v>
      </c>
      <c r="AF536" s="9" t="str">
        <f aca="false">IF($AK536=0,"",INDEX('Part types'!$U:$U,$AK536)&amp;"")</f>
        <v/>
      </c>
      <c r="AG536" s="9" t="str">
        <f aca="false">IF($AK536=0,"",INDEX('Part types'!$V:$V,$AK536)&amp;"")</f>
        <v>Estimate: size class S</v>
      </c>
      <c r="AH536" s="9" t="str">
        <f aca="false">IF($AK536=0,"",INDEX('Part types'!$W:$W,$AK536)&amp;"")</f>
        <v/>
      </c>
      <c r="AI536" s="11" t="str">
        <f aca="false">IF($AK536=0,"",INDEX('Part types'!$X:$X,$AK536)&amp;"")</f>
        <v/>
      </c>
      <c r="AJ536" s="9" t="str">
        <f aca="false">IF($AK536=0,"",INDEX('Part types'!$Y:$Y,$AK536)&amp;"")</f>
        <v/>
      </c>
      <c r="AK536" s="9" t="n">
        <f aca="false">IFERROR(MATCH($AD536,'Part types'!$E:$E,0),0)</f>
        <v>361</v>
      </c>
    </row>
    <row r="537" customFormat="false" ht="15" hidden="false" customHeight="false" outlineLevel="0" collapsed="false">
      <c r="A537" s="9" t="s">
        <v>2248</v>
      </c>
      <c r="B537" s="9" t="s">
        <v>2185</v>
      </c>
      <c r="C537" s="9" t="s">
        <v>2249</v>
      </c>
      <c r="D537" s="9" t="str">
        <f aca="false">C537&amp;" - "&amp;E537</f>
        <v>Ignition Switch - Universal</v>
      </c>
      <c r="E537" s="9" t="s">
        <v>68</v>
      </c>
      <c r="F537" s="9" t="s">
        <v>1863</v>
      </c>
      <c r="G537" s="10" t="n">
        <f aca="false">IF($AK537=0,"",INDEX('Part types'!$P:$P,$AK537))</f>
        <v>15</v>
      </c>
      <c r="H537" s="10" t="n">
        <f aca="false">IF($AK537=0,"",INDEX('Part types'!$Q:$Q,$AK537))</f>
        <v>10</v>
      </c>
      <c r="I537" s="10" t="n">
        <f aca="false">IF($AK537=0,"",INDEX('Part types'!$R:$R,$AK537))</f>
        <v>8</v>
      </c>
      <c r="J537" s="10" t="n">
        <f aca="false">IF($AK537=0,"",INDEX('Part types'!$S:$S,$AK537))</f>
        <v>0.3</v>
      </c>
      <c r="K537" s="11" t="s">
        <v>2187</v>
      </c>
      <c r="L537" s="11" t="s">
        <v>2250</v>
      </c>
      <c r="M537" s="11" t="str">
        <f aca="false">L537&amp;" - "&amp;N537</f>
        <v>مفتاح الإشعال - عام</v>
      </c>
      <c r="N537" s="11" t="s">
        <v>72</v>
      </c>
      <c r="O537" s="11" t="s">
        <v>1864</v>
      </c>
      <c r="P537" s="10" t="n">
        <f aca="false">G537</f>
        <v>15</v>
      </c>
      <c r="Q537" s="10" t="n">
        <f aca="false">H537</f>
        <v>10</v>
      </c>
      <c r="R537" s="10" t="n">
        <f aca="false">I537</f>
        <v>8</v>
      </c>
      <c r="S537" s="10" t="n">
        <f aca="false">J537</f>
        <v>0.3</v>
      </c>
      <c r="T537" s="12" t="s">
        <v>2189</v>
      </c>
      <c r="U537" s="12" t="s">
        <v>2251</v>
      </c>
      <c r="V537" s="9" t="str">
        <f aca="false">U537&amp;" - "&amp;W537</f>
        <v>点火开关 - 通用</v>
      </c>
      <c r="W537" s="12" t="s">
        <v>76</v>
      </c>
      <c r="X537" s="12" t="s">
        <v>1865</v>
      </c>
      <c r="Y537" s="10" t="n">
        <f aca="false">G537</f>
        <v>15</v>
      </c>
      <c r="Z537" s="10" t="n">
        <f aca="false">H537</f>
        <v>10</v>
      </c>
      <c r="AA537" s="10" t="n">
        <f aca="false">I537</f>
        <v>8</v>
      </c>
      <c r="AB537" s="10" t="n">
        <f aca="false">J537</f>
        <v>0.3</v>
      </c>
      <c r="AC537" s="9" t="s">
        <v>2191</v>
      </c>
      <c r="AD537" s="9" t="s">
        <v>2252</v>
      </c>
      <c r="AE537" s="9" t="str">
        <f aca="false">IF($AK537=0,"",INDEX('Part types'!$T:$T,$AK537)&amp;"")</f>
        <v>All vehicles</v>
      </c>
      <c r="AF537" s="9" t="str">
        <f aca="false">IF($AK537=0,"",INDEX('Part types'!$U:$U,$AK537)&amp;"")</f>
        <v/>
      </c>
      <c r="AG537" s="9" t="str">
        <f aca="false">IF($AK537=0,"",INDEX('Part types'!$V:$V,$AK537)&amp;"")</f>
        <v>Estimate: size class S</v>
      </c>
      <c r="AH537" s="9" t="str">
        <f aca="false">IF($AK537=0,"",INDEX('Part types'!$W:$W,$AK537)&amp;"")</f>
        <v/>
      </c>
      <c r="AI537" s="11" t="str">
        <f aca="false">IF($AK537=0,"",INDEX('Part types'!$X:$X,$AK537)&amp;"")</f>
        <v/>
      </c>
      <c r="AJ537" s="9" t="str">
        <f aca="false">IF($AK537=0,"",INDEX('Part types'!$Y:$Y,$AK537)&amp;"")</f>
        <v/>
      </c>
      <c r="AK537" s="9" t="n">
        <f aca="false">IFERROR(MATCH($AD537,'Part types'!$E:$E,0),0)</f>
        <v>362</v>
      </c>
    </row>
    <row r="538" customFormat="false" ht="15" hidden="false" customHeight="false" outlineLevel="0" collapsed="false">
      <c r="A538" s="9" t="s">
        <v>2253</v>
      </c>
      <c r="B538" s="9" t="s">
        <v>2185</v>
      </c>
      <c r="C538" s="9" t="s">
        <v>2254</v>
      </c>
      <c r="D538" s="9" t="str">
        <f aca="false">C538&amp;" - "&amp;E538</f>
        <v>Ignition Lock Cylinder - Universal</v>
      </c>
      <c r="E538" s="9" t="s">
        <v>68</v>
      </c>
      <c r="F538" s="9" t="s">
        <v>1863</v>
      </c>
      <c r="G538" s="10" t="n">
        <f aca="false">IF($AK538=0,"",INDEX('Part types'!$P:$P,$AK538))</f>
        <v>15</v>
      </c>
      <c r="H538" s="10" t="n">
        <f aca="false">IF($AK538=0,"",INDEX('Part types'!$Q:$Q,$AK538))</f>
        <v>10</v>
      </c>
      <c r="I538" s="10" t="n">
        <f aca="false">IF($AK538=0,"",INDEX('Part types'!$R:$R,$AK538))</f>
        <v>8</v>
      </c>
      <c r="J538" s="10" t="n">
        <f aca="false">IF($AK538=0,"",INDEX('Part types'!$S:$S,$AK538))</f>
        <v>0.3</v>
      </c>
      <c r="K538" s="11" t="s">
        <v>2187</v>
      </c>
      <c r="L538" s="11" t="s">
        <v>2255</v>
      </c>
      <c r="M538" s="11" t="str">
        <f aca="false">L538&amp;" - "&amp;N538</f>
        <v>اسطوانة قفل الإشعال - عام</v>
      </c>
      <c r="N538" s="11" t="s">
        <v>72</v>
      </c>
      <c r="O538" s="11" t="s">
        <v>1864</v>
      </c>
      <c r="P538" s="10" t="n">
        <f aca="false">G538</f>
        <v>15</v>
      </c>
      <c r="Q538" s="10" t="n">
        <f aca="false">H538</f>
        <v>10</v>
      </c>
      <c r="R538" s="10" t="n">
        <f aca="false">I538</f>
        <v>8</v>
      </c>
      <c r="S538" s="10" t="n">
        <f aca="false">J538</f>
        <v>0.3</v>
      </c>
      <c r="T538" s="12" t="s">
        <v>2189</v>
      </c>
      <c r="U538" s="12" t="s">
        <v>2256</v>
      </c>
      <c r="V538" s="9" t="str">
        <f aca="false">U538&amp;" - "&amp;W538</f>
        <v>点火锁芯 - 通用</v>
      </c>
      <c r="W538" s="12" t="s">
        <v>76</v>
      </c>
      <c r="X538" s="12" t="s">
        <v>1865</v>
      </c>
      <c r="Y538" s="10" t="n">
        <f aca="false">G538</f>
        <v>15</v>
      </c>
      <c r="Z538" s="10" t="n">
        <f aca="false">H538</f>
        <v>10</v>
      </c>
      <c r="AA538" s="10" t="n">
        <f aca="false">I538</f>
        <v>8</v>
      </c>
      <c r="AB538" s="10" t="n">
        <f aca="false">J538</f>
        <v>0.3</v>
      </c>
      <c r="AC538" s="9" t="s">
        <v>2191</v>
      </c>
      <c r="AD538" s="9" t="s">
        <v>2257</v>
      </c>
      <c r="AE538" s="9" t="str">
        <f aca="false">IF($AK538=0,"",INDEX('Part types'!$T:$T,$AK538)&amp;"")</f>
        <v>All vehicles</v>
      </c>
      <c r="AF538" s="9" t="str">
        <f aca="false">IF($AK538=0,"",INDEX('Part types'!$U:$U,$AK538)&amp;"")</f>
        <v/>
      </c>
      <c r="AG538" s="9" t="str">
        <f aca="false">IF($AK538=0,"",INDEX('Part types'!$V:$V,$AK538)&amp;"")</f>
        <v>Estimate: size class S</v>
      </c>
      <c r="AH538" s="9" t="str">
        <f aca="false">IF($AK538=0,"",INDEX('Part types'!$W:$W,$AK538)&amp;"")</f>
        <v/>
      </c>
      <c r="AI538" s="11" t="str">
        <f aca="false">IF($AK538=0,"",INDEX('Part types'!$X:$X,$AK538)&amp;"")</f>
        <v/>
      </c>
      <c r="AJ538" s="9" t="str">
        <f aca="false">IF($AK538=0,"",INDEX('Part types'!$Y:$Y,$AK538)&amp;"")</f>
        <v/>
      </c>
      <c r="AK538" s="9" t="n">
        <f aca="false">IFERROR(MATCH($AD538,'Part types'!$E:$E,0),0)</f>
        <v>363</v>
      </c>
    </row>
    <row r="539" customFormat="false" ht="15" hidden="false" customHeight="false" outlineLevel="0" collapsed="false">
      <c r="A539" s="9" t="s">
        <v>2258</v>
      </c>
      <c r="B539" s="9" t="s">
        <v>2185</v>
      </c>
      <c r="C539" s="9" t="s">
        <v>2259</v>
      </c>
      <c r="D539" s="9" t="str">
        <f aca="false">C539&amp;" - "&amp;E539</f>
        <v>Key Fob - Universal</v>
      </c>
      <c r="E539" s="9" t="s">
        <v>68</v>
      </c>
      <c r="F539" s="9" t="s">
        <v>2260</v>
      </c>
      <c r="G539" s="10" t="n">
        <f aca="false">IF($AK539=0,"",INDEX('Part types'!$P:$P,$AK539))</f>
        <v>10</v>
      </c>
      <c r="H539" s="10" t="n">
        <f aca="false">IF($AK539=0,"",INDEX('Part types'!$Q:$Q,$AK539))</f>
        <v>8</v>
      </c>
      <c r="I539" s="10" t="n">
        <f aca="false">IF($AK539=0,"",INDEX('Part types'!$R:$R,$AK539))</f>
        <v>6</v>
      </c>
      <c r="J539" s="10" t="n">
        <f aca="false">IF($AK539=0,"",INDEX('Part types'!$S:$S,$AK539))</f>
        <v>0.1</v>
      </c>
      <c r="K539" s="11" t="s">
        <v>2187</v>
      </c>
      <c r="L539" s="11" t="s">
        <v>2261</v>
      </c>
      <c r="M539" s="11" t="str">
        <f aca="false">L539&amp;" - "&amp;N539</f>
        <v>ريموت المفتاح - عام</v>
      </c>
      <c r="N539" s="11" t="s">
        <v>72</v>
      </c>
      <c r="O539" s="11" t="s">
        <v>2262</v>
      </c>
      <c r="P539" s="10" t="n">
        <f aca="false">G539</f>
        <v>10</v>
      </c>
      <c r="Q539" s="10" t="n">
        <f aca="false">H539</f>
        <v>8</v>
      </c>
      <c r="R539" s="10" t="n">
        <f aca="false">I539</f>
        <v>6</v>
      </c>
      <c r="S539" s="10" t="n">
        <f aca="false">J539</f>
        <v>0.1</v>
      </c>
      <c r="T539" s="12" t="s">
        <v>2189</v>
      </c>
      <c r="U539" s="12" t="s">
        <v>2263</v>
      </c>
      <c r="V539" s="9" t="str">
        <f aca="false">U539&amp;" - "&amp;W539</f>
        <v>遥控钥匙 - 通用</v>
      </c>
      <c r="W539" s="12" t="s">
        <v>76</v>
      </c>
      <c r="X539" s="12" t="s">
        <v>2264</v>
      </c>
      <c r="Y539" s="10" t="n">
        <f aca="false">G539</f>
        <v>10</v>
      </c>
      <c r="Z539" s="10" t="n">
        <f aca="false">H539</f>
        <v>8</v>
      </c>
      <c r="AA539" s="10" t="n">
        <f aca="false">I539</f>
        <v>6</v>
      </c>
      <c r="AB539" s="10" t="n">
        <f aca="false">J539</f>
        <v>0.1</v>
      </c>
      <c r="AC539" s="9" t="s">
        <v>2191</v>
      </c>
      <c r="AD539" s="9" t="s">
        <v>2265</v>
      </c>
      <c r="AE539" s="9" t="str">
        <f aca="false">IF($AK539=0,"",INDEX('Part types'!$T:$T,$AK539)&amp;"")</f>
        <v>All vehicles</v>
      </c>
      <c r="AF539" s="9" t="str">
        <f aca="false">IF($AK539=0,"",INDEX('Part types'!$U:$U,$AK539)&amp;"")</f>
        <v/>
      </c>
      <c r="AG539" s="9" t="str">
        <f aca="false">IF($AK539=0,"",INDEX('Part types'!$V:$V,$AK539)&amp;"")</f>
        <v>Estimate: size class XS</v>
      </c>
      <c r="AH539" s="9" t="str">
        <f aca="false">IF($AK539=0,"",INDEX('Part types'!$W:$W,$AK539)&amp;"")</f>
        <v>Remote</v>
      </c>
      <c r="AI539" s="11" t="str">
        <f aca="false">IF($AK539=0,"",INDEX('Part types'!$X:$X,$AK539)&amp;"")</f>
        <v/>
      </c>
      <c r="AJ539" s="9" t="str">
        <f aca="false">IF($AK539=0,"",INDEX('Part types'!$Y:$Y,$AK539)&amp;"")</f>
        <v/>
      </c>
      <c r="AK539" s="9" t="n">
        <f aca="false">IFERROR(MATCH($AD539,'Part types'!$E:$E,0),0)</f>
        <v>364</v>
      </c>
    </row>
    <row r="540" customFormat="false" ht="15" hidden="false" customHeight="false" outlineLevel="0" collapsed="false">
      <c r="A540" s="9" t="s">
        <v>2266</v>
      </c>
      <c r="B540" s="9" t="s">
        <v>2185</v>
      </c>
      <c r="C540" s="9" t="s">
        <v>2267</v>
      </c>
      <c r="D540" s="9" t="str">
        <f aca="false">C540&amp;" - "&amp;E540</f>
        <v>Key Blank - Universal</v>
      </c>
      <c r="E540" s="9" t="s">
        <v>68</v>
      </c>
      <c r="F540" s="9" t="s">
        <v>2260</v>
      </c>
      <c r="G540" s="10" t="n">
        <f aca="false">IF($AK540=0,"",INDEX('Part types'!$P:$P,$AK540))</f>
        <v>6</v>
      </c>
      <c r="H540" s="10" t="n">
        <f aca="false">IF($AK540=0,"",INDEX('Part types'!$Q:$Q,$AK540))</f>
        <v>4</v>
      </c>
      <c r="I540" s="10" t="n">
        <f aca="false">IF($AK540=0,"",INDEX('Part types'!$R:$R,$AK540))</f>
        <v>3</v>
      </c>
      <c r="J540" s="10" t="n">
        <f aca="false">IF($AK540=0,"",INDEX('Part types'!$S:$S,$AK540))</f>
        <v>0.02</v>
      </c>
      <c r="K540" s="11" t="s">
        <v>2187</v>
      </c>
      <c r="L540" s="11" t="s">
        <v>2268</v>
      </c>
      <c r="M540" s="11" t="str">
        <f aca="false">L540&amp;" - "&amp;N540</f>
        <v>مفتاح خام - عام</v>
      </c>
      <c r="N540" s="11" t="s">
        <v>72</v>
      </c>
      <c r="O540" s="11" t="s">
        <v>2262</v>
      </c>
      <c r="P540" s="10" t="n">
        <f aca="false">G540</f>
        <v>6</v>
      </c>
      <c r="Q540" s="10" t="n">
        <f aca="false">H540</f>
        <v>4</v>
      </c>
      <c r="R540" s="10" t="n">
        <f aca="false">I540</f>
        <v>3</v>
      </c>
      <c r="S540" s="10" t="n">
        <f aca="false">J540</f>
        <v>0.02</v>
      </c>
      <c r="T540" s="12" t="s">
        <v>2189</v>
      </c>
      <c r="U540" s="12" t="s">
        <v>2269</v>
      </c>
      <c r="V540" s="9" t="str">
        <f aca="false">U540&amp;" - "&amp;W540</f>
        <v>钥匙胚 - 通用</v>
      </c>
      <c r="W540" s="12" t="s">
        <v>76</v>
      </c>
      <c r="X540" s="12" t="s">
        <v>2264</v>
      </c>
      <c r="Y540" s="10" t="n">
        <f aca="false">G540</f>
        <v>6</v>
      </c>
      <c r="Z540" s="10" t="n">
        <f aca="false">H540</f>
        <v>4</v>
      </c>
      <c r="AA540" s="10" t="n">
        <f aca="false">I540</f>
        <v>3</v>
      </c>
      <c r="AB540" s="10" t="n">
        <f aca="false">J540</f>
        <v>0.02</v>
      </c>
      <c r="AC540" s="9" t="s">
        <v>2191</v>
      </c>
      <c r="AD540" s="9" t="s">
        <v>2270</v>
      </c>
      <c r="AE540" s="9" t="str">
        <f aca="false">IF($AK540=0,"",INDEX('Part types'!$T:$T,$AK540)&amp;"")</f>
        <v>All vehicles</v>
      </c>
      <c r="AF540" s="9" t="str">
        <f aca="false">IF($AK540=0,"",INDEX('Part types'!$U:$U,$AK540)&amp;"")</f>
        <v/>
      </c>
      <c r="AG540" s="9" t="str">
        <f aca="false">IF($AK540=0,"",INDEX('Part types'!$V:$V,$AK540)&amp;"")</f>
        <v>Estimate: size class T</v>
      </c>
      <c r="AH540" s="9" t="str">
        <f aca="false">IF($AK540=0,"",INDEX('Part types'!$W:$W,$AK540)&amp;"")</f>
        <v/>
      </c>
      <c r="AI540" s="11" t="str">
        <f aca="false">IF($AK540=0,"",INDEX('Part types'!$X:$X,$AK540)&amp;"")</f>
        <v/>
      </c>
      <c r="AJ540" s="9" t="str">
        <f aca="false">IF($AK540=0,"",INDEX('Part types'!$Y:$Y,$AK540)&amp;"")</f>
        <v/>
      </c>
      <c r="AK540" s="9" t="n">
        <f aca="false">IFERROR(MATCH($AD540,'Part types'!$E:$E,0),0)</f>
        <v>365</v>
      </c>
    </row>
    <row r="541" customFormat="false" ht="15" hidden="false" customHeight="false" outlineLevel="0" collapsed="false">
      <c r="A541" s="9" t="s">
        <v>2271</v>
      </c>
      <c r="B541" s="9" t="s">
        <v>2185</v>
      </c>
      <c r="C541" s="9" t="s">
        <v>2272</v>
      </c>
      <c r="D541" s="9" t="str">
        <f aca="false">C541&amp;" - "&amp;E541</f>
        <v>Immobilizer Antenna Ring - Universal</v>
      </c>
      <c r="E541" s="9" t="s">
        <v>68</v>
      </c>
      <c r="F541" s="9" t="s">
        <v>1863</v>
      </c>
      <c r="G541" s="10" t="n">
        <f aca="false">IF($AK541=0,"",INDEX('Part types'!$P:$P,$AK541))</f>
        <v>10</v>
      </c>
      <c r="H541" s="10" t="n">
        <f aca="false">IF($AK541=0,"",INDEX('Part types'!$Q:$Q,$AK541))</f>
        <v>8</v>
      </c>
      <c r="I541" s="10" t="n">
        <f aca="false">IF($AK541=0,"",INDEX('Part types'!$R:$R,$AK541))</f>
        <v>6</v>
      </c>
      <c r="J541" s="10" t="n">
        <f aca="false">IF($AK541=0,"",INDEX('Part types'!$S:$S,$AK541))</f>
        <v>0.1</v>
      </c>
      <c r="K541" s="11" t="s">
        <v>2187</v>
      </c>
      <c r="L541" s="11" t="s">
        <v>2273</v>
      </c>
      <c r="M541" s="11" t="str">
        <f aca="false">L541&amp;" - "&amp;N541</f>
        <v>حلقة هوائي الإمميوبيلايزر - عام</v>
      </c>
      <c r="N541" s="11" t="s">
        <v>72</v>
      </c>
      <c r="O541" s="11" t="s">
        <v>1864</v>
      </c>
      <c r="P541" s="10" t="n">
        <f aca="false">G541</f>
        <v>10</v>
      </c>
      <c r="Q541" s="10" t="n">
        <f aca="false">H541</f>
        <v>8</v>
      </c>
      <c r="R541" s="10" t="n">
        <f aca="false">I541</f>
        <v>6</v>
      </c>
      <c r="S541" s="10" t="n">
        <f aca="false">J541</f>
        <v>0.1</v>
      </c>
      <c r="T541" s="12" t="s">
        <v>2189</v>
      </c>
      <c r="U541" s="12" t="s">
        <v>2274</v>
      </c>
      <c r="V541" s="9" t="str">
        <f aca="false">U541&amp;" - "&amp;W541</f>
        <v>防盗天线线圈 - 通用</v>
      </c>
      <c r="W541" s="12" t="s">
        <v>76</v>
      </c>
      <c r="X541" s="12" t="s">
        <v>1865</v>
      </c>
      <c r="Y541" s="10" t="n">
        <f aca="false">G541</f>
        <v>10</v>
      </c>
      <c r="Z541" s="10" t="n">
        <f aca="false">H541</f>
        <v>8</v>
      </c>
      <c r="AA541" s="10" t="n">
        <f aca="false">I541</f>
        <v>6</v>
      </c>
      <c r="AB541" s="10" t="n">
        <f aca="false">J541</f>
        <v>0.1</v>
      </c>
      <c r="AC541" s="9" t="s">
        <v>2191</v>
      </c>
      <c r="AD541" s="9" t="s">
        <v>2275</v>
      </c>
      <c r="AE541" s="9" t="str">
        <f aca="false">IF($AK541=0,"",INDEX('Part types'!$T:$T,$AK541)&amp;"")</f>
        <v>All vehicles</v>
      </c>
      <c r="AF541" s="9" t="str">
        <f aca="false">IF($AK541=0,"",INDEX('Part types'!$U:$U,$AK541)&amp;"")</f>
        <v/>
      </c>
      <c r="AG541" s="9" t="str">
        <f aca="false">IF($AK541=0,"",INDEX('Part types'!$V:$V,$AK541)&amp;"")</f>
        <v>Estimate: size class XS</v>
      </c>
      <c r="AH541" s="9" t="str">
        <f aca="false">IF($AK541=0,"",INDEX('Part types'!$W:$W,$AK541)&amp;"")</f>
        <v/>
      </c>
      <c r="AI541" s="11" t="str">
        <f aca="false">IF($AK541=0,"",INDEX('Part types'!$X:$X,$AK541)&amp;"")</f>
        <v/>
      </c>
      <c r="AJ541" s="9" t="str">
        <f aca="false">IF($AK541=0,"",INDEX('Part types'!$Y:$Y,$AK541)&amp;"")</f>
        <v/>
      </c>
      <c r="AK541" s="9" t="n">
        <f aca="false">IFERROR(MATCH($AD541,'Part types'!$E:$E,0),0)</f>
        <v>366</v>
      </c>
    </row>
    <row r="542" customFormat="false" ht="15" hidden="false" customHeight="false" outlineLevel="0" collapsed="false">
      <c r="A542" s="9" t="s">
        <v>2276</v>
      </c>
      <c r="B542" s="9" t="s">
        <v>2277</v>
      </c>
      <c r="C542" s="9" t="s">
        <v>2278</v>
      </c>
      <c r="D542" s="9" t="str">
        <f aca="false">C542&amp;" - "&amp;E542</f>
        <v>Alternator - Universal</v>
      </c>
      <c r="E542" s="9" t="s">
        <v>68</v>
      </c>
      <c r="F542" s="9" t="s">
        <v>266</v>
      </c>
      <c r="G542" s="10" t="n">
        <f aca="false">IF($AK542=0,"",INDEX('Part types'!$P:$P,$AK542))</f>
        <v>25</v>
      </c>
      <c r="H542" s="10" t="n">
        <f aca="false">IF($AK542=0,"",INDEX('Part types'!$Q:$Q,$AK542))</f>
        <v>20</v>
      </c>
      <c r="I542" s="10" t="n">
        <f aca="false">IF($AK542=0,"",INDEX('Part types'!$R:$R,$AK542))</f>
        <v>20</v>
      </c>
      <c r="J542" s="10" t="n">
        <f aca="false">IF($AK542=0,"",INDEX('Part types'!$S:$S,$AK542))</f>
        <v>6</v>
      </c>
      <c r="K542" s="11" t="s">
        <v>2279</v>
      </c>
      <c r="L542" s="11" t="s">
        <v>2280</v>
      </c>
      <c r="M542" s="11" t="str">
        <f aca="false">L542&amp;" - "&amp;N542</f>
        <v>دينمو - عام</v>
      </c>
      <c r="N542" s="11" t="s">
        <v>72</v>
      </c>
      <c r="O542" s="11" t="s">
        <v>269</v>
      </c>
      <c r="P542" s="10" t="n">
        <f aca="false">G542</f>
        <v>25</v>
      </c>
      <c r="Q542" s="10" t="n">
        <f aca="false">H542</f>
        <v>20</v>
      </c>
      <c r="R542" s="10" t="n">
        <f aca="false">I542</f>
        <v>20</v>
      </c>
      <c r="S542" s="10" t="n">
        <f aca="false">J542</f>
        <v>6</v>
      </c>
      <c r="T542" s="12" t="s">
        <v>2281</v>
      </c>
      <c r="U542" s="12" t="s">
        <v>2282</v>
      </c>
      <c r="V542" s="9" t="str">
        <f aca="false">U542&amp;" - "&amp;W542</f>
        <v>发电机 - 通用</v>
      </c>
      <c r="W542" s="12" t="s">
        <v>76</v>
      </c>
      <c r="X542" s="12" t="s">
        <v>272</v>
      </c>
      <c r="Y542" s="10" t="n">
        <f aca="false">G542</f>
        <v>25</v>
      </c>
      <c r="Z542" s="10" t="n">
        <f aca="false">H542</f>
        <v>20</v>
      </c>
      <c r="AA542" s="10" t="n">
        <f aca="false">I542</f>
        <v>20</v>
      </c>
      <c r="AB542" s="10" t="n">
        <f aca="false">J542</f>
        <v>6</v>
      </c>
      <c r="AC542" s="9" t="s">
        <v>2283</v>
      </c>
      <c r="AD542" s="9" t="s">
        <v>2284</v>
      </c>
      <c r="AE542" s="9" t="str">
        <f aca="false">IF($AK542=0,"",INDEX('Part types'!$T:$T,$AK542)&amp;"")</f>
        <v>Combustion engine (petrol, diesel, hybrid, range extender)</v>
      </c>
      <c r="AF542" s="9" t="str">
        <f aca="false">IF($AK542=0,"",INDEX('Part types'!$U:$U,$AK542)&amp;"")</f>
        <v/>
      </c>
      <c r="AG542" s="9" t="str">
        <f aca="false">IF($AK542=0,"",INDEX('Part types'!$V:$V,$AK542)&amp;"")</f>
        <v>Estimate: item-specific</v>
      </c>
      <c r="AH542" s="9" t="str">
        <f aca="false">IF($AK542=0,"",INDEX('Part types'!$W:$W,$AK542)&amp;"")</f>
        <v/>
      </c>
      <c r="AI542" s="11" t="str">
        <f aca="false">IF($AK542=0,"",INDEX('Part types'!$X:$X,$AK542)&amp;"")</f>
        <v>ألترنيتر</v>
      </c>
      <c r="AJ542" s="9" t="str">
        <f aca="false">IF($AK542=0,"",INDEX('Part types'!$Y:$Y,$AK542)&amp;"")</f>
        <v/>
      </c>
      <c r="AK542" s="9" t="n">
        <f aca="false">IFERROR(MATCH($AD542,'Part types'!$E:$E,0),0)</f>
        <v>367</v>
      </c>
    </row>
    <row r="543" customFormat="false" ht="15" hidden="false" customHeight="false" outlineLevel="0" collapsed="false">
      <c r="A543" s="9" t="s">
        <v>2285</v>
      </c>
      <c r="B543" s="9" t="s">
        <v>2277</v>
      </c>
      <c r="C543" s="9" t="s">
        <v>2286</v>
      </c>
      <c r="D543" s="9" t="str">
        <f aca="false">C543&amp;" - "&amp;E543</f>
        <v>Alternator Pulley - Universal</v>
      </c>
      <c r="E543" s="9" t="s">
        <v>68</v>
      </c>
      <c r="F543" s="9" t="s">
        <v>266</v>
      </c>
      <c r="G543" s="10" t="n">
        <f aca="false">IF($AK543=0,"",INDEX('Part types'!$P:$P,$AK543))</f>
        <v>10</v>
      </c>
      <c r="H543" s="10" t="n">
        <f aca="false">IF($AK543=0,"",INDEX('Part types'!$Q:$Q,$AK543))</f>
        <v>8</v>
      </c>
      <c r="I543" s="10" t="n">
        <f aca="false">IF($AK543=0,"",INDEX('Part types'!$R:$R,$AK543))</f>
        <v>6</v>
      </c>
      <c r="J543" s="10" t="n">
        <f aca="false">IF($AK543=0,"",INDEX('Part types'!$S:$S,$AK543))</f>
        <v>0.1</v>
      </c>
      <c r="K543" s="11" t="s">
        <v>2279</v>
      </c>
      <c r="L543" s="11" t="s">
        <v>2287</v>
      </c>
      <c r="M543" s="11" t="str">
        <f aca="false">L543&amp;" - "&amp;N543</f>
        <v>بكرة الدينمو - عام</v>
      </c>
      <c r="N543" s="11" t="s">
        <v>72</v>
      </c>
      <c r="O543" s="11" t="s">
        <v>269</v>
      </c>
      <c r="P543" s="10" t="n">
        <f aca="false">G543</f>
        <v>10</v>
      </c>
      <c r="Q543" s="10" t="n">
        <f aca="false">H543</f>
        <v>8</v>
      </c>
      <c r="R543" s="10" t="n">
        <f aca="false">I543</f>
        <v>6</v>
      </c>
      <c r="S543" s="10" t="n">
        <f aca="false">J543</f>
        <v>0.1</v>
      </c>
      <c r="T543" s="12" t="s">
        <v>2281</v>
      </c>
      <c r="U543" s="12" t="s">
        <v>2288</v>
      </c>
      <c r="V543" s="9" t="str">
        <f aca="false">U543&amp;" - "&amp;W543</f>
        <v>发电机皮带轮 - 通用</v>
      </c>
      <c r="W543" s="12" t="s">
        <v>76</v>
      </c>
      <c r="X543" s="12" t="s">
        <v>272</v>
      </c>
      <c r="Y543" s="10" t="n">
        <f aca="false">G543</f>
        <v>10</v>
      </c>
      <c r="Z543" s="10" t="n">
        <f aca="false">H543</f>
        <v>8</v>
      </c>
      <c r="AA543" s="10" t="n">
        <f aca="false">I543</f>
        <v>6</v>
      </c>
      <c r="AB543" s="10" t="n">
        <f aca="false">J543</f>
        <v>0.1</v>
      </c>
      <c r="AC543" s="9" t="s">
        <v>2283</v>
      </c>
      <c r="AD543" s="9" t="s">
        <v>2289</v>
      </c>
      <c r="AE543" s="9" t="str">
        <f aca="false">IF($AK543=0,"",INDEX('Part types'!$T:$T,$AK543)&amp;"")</f>
        <v>Combustion engine (petrol, diesel, hybrid, range extender)</v>
      </c>
      <c r="AF543" s="9" t="str">
        <f aca="false">IF($AK543=0,"",INDEX('Part types'!$U:$U,$AK543)&amp;"")</f>
        <v/>
      </c>
      <c r="AG543" s="9" t="str">
        <f aca="false">IF($AK543=0,"",INDEX('Part types'!$V:$V,$AK543)&amp;"")</f>
        <v>Estimate: size class XS</v>
      </c>
      <c r="AH543" s="9" t="str">
        <f aca="false">IF($AK543=0,"",INDEX('Part types'!$W:$W,$AK543)&amp;"")</f>
        <v/>
      </c>
      <c r="AI543" s="11" t="str">
        <f aca="false">IF($AK543=0,"",INDEX('Part types'!$X:$X,$AK543)&amp;"")</f>
        <v/>
      </c>
      <c r="AJ543" s="9" t="str">
        <f aca="false">IF($AK543=0,"",INDEX('Part types'!$Y:$Y,$AK543)&amp;"")</f>
        <v/>
      </c>
      <c r="AK543" s="9" t="n">
        <f aca="false">IFERROR(MATCH($AD543,'Part types'!$E:$E,0),0)</f>
        <v>368</v>
      </c>
    </row>
    <row r="544" customFormat="false" ht="15" hidden="false" customHeight="false" outlineLevel="0" collapsed="false">
      <c r="A544" s="9" t="s">
        <v>2290</v>
      </c>
      <c r="B544" s="9" t="s">
        <v>2277</v>
      </c>
      <c r="C544" s="9" t="s">
        <v>2291</v>
      </c>
      <c r="D544" s="9" t="str">
        <f aca="false">C544&amp;" - "&amp;E544</f>
        <v>Alternator Voltage Regulator - Universal</v>
      </c>
      <c r="E544" s="9" t="s">
        <v>68</v>
      </c>
      <c r="F544" s="9" t="s">
        <v>266</v>
      </c>
      <c r="G544" s="10" t="n">
        <f aca="false">IF($AK544=0,"",INDEX('Part types'!$P:$P,$AK544))</f>
        <v>10</v>
      </c>
      <c r="H544" s="10" t="n">
        <f aca="false">IF($AK544=0,"",INDEX('Part types'!$Q:$Q,$AK544))</f>
        <v>8</v>
      </c>
      <c r="I544" s="10" t="n">
        <f aca="false">IF($AK544=0,"",INDEX('Part types'!$R:$R,$AK544))</f>
        <v>6</v>
      </c>
      <c r="J544" s="10" t="n">
        <f aca="false">IF($AK544=0,"",INDEX('Part types'!$S:$S,$AK544))</f>
        <v>0.1</v>
      </c>
      <c r="K544" s="11" t="s">
        <v>2279</v>
      </c>
      <c r="L544" s="11" t="s">
        <v>2292</v>
      </c>
      <c r="M544" s="11" t="str">
        <f aca="false">L544&amp;" - "&amp;N544</f>
        <v>منظم شحن الدينمو - عام</v>
      </c>
      <c r="N544" s="11" t="s">
        <v>72</v>
      </c>
      <c r="O544" s="11" t="s">
        <v>269</v>
      </c>
      <c r="P544" s="10" t="n">
        <f aca="false">G544</f>
        <v>10</v>
      </c>
      <c r="Q544" s="10" t="n">
        <f aca="false">H544</f>
        <v>8</v>
      </c>
      <c r="R544" s="10" t="n">
        <f aca="false">I544</f>
        <v>6</v>
      </c>
      <c r="S544" s="10" t="n">
        <f aca="false">J544</f>
        <v>0.1</v>
      </c>
      <c r="T544" s="12" t="s">
        <v>2281</v>
      </c>
      <c r="U544" s="12" t="s">
        <v>2293</v>
      </c>
      <c r="V544" s="9" t="str">
        <f aca="false">U544&amp;" - "&amp;W544</f>
        <v>发电机调节器 - 通用</v>
      </c>
      <c r="W544" s="12" t="s">
        <v>76</v>
      </c>
      <c r="X544" s="12" t="s">
        <v>272</v>
      </c>
      <c r="Y544" s="10" t="n">
        <f aca="false">G544</f>
        <v>10</v>
      </c>
      <c r="Z544" s="10" t="n">
        <f aca="false">H544</f>
        <v>8</v>
      </c>
      <c r="AA544" s="10" t="n">
        <f aca="false">I544</f>
        <v>6</v>
      </c>
      <c r="AB544" s="10" t="n">
        <f aca="false">J544</f>
        <v>0.1</v>
      </c>
      <c r="AC544" s="9" t="s">
        <v>2283</v>
      </c>
      <c r="AD544" s="9" t="s">
        <v>2294</v>
      </c>
      <c r="AE544" s="9" t="str">
        <f aca="false">IF($AK544=0,"",INDEX('Part types'!$T:$T,$AK544)&amp;"")</f>
        <v>Combustion engine (petrol, diesel, hybrid, range extender)</v>
      </c>
      <c r="AF544" s="9" t="str">
        <f aca="false">IF($AK544=0,"",INDEX('Part types'!$U:$U,$AK544)&amp;"")</f>
        <v/>
      </c>
      <c r="AG544" s="9" t="str">
        <f aca="false">IF($AK544=0,"",INDEX('Part types'!$V:$V,$AK544)&amp;"")</f>
        <v>Estimate: size class XS</v>
      </c>
      <c r="AH544" s="9" t="str">
        <f aca="false">IF($AK544=0,"",INDEX('Part types'!$W:$W,$AK544)&amp;"")</f>
        <v/>
      </c>
      <c r="AI544" s="11" t="str">
        <f aca="false">IF($AK544=0,"",INDEX('Part types'!$X:$X,$AK544)&amp;"")</f>
        <v/>
      </c>
      <c r="AJ544" s="9" t="str">
        <f aca="false">IF($AK544=0,"",INDEX('Part types'!$Y:$Y,$AK544)&amp;"")</f>
        <v/>
      </c>
      <c r="AK544" s="9" t="n">
        <f aca="false">IFERROR(MATCH($AD544,'Part types'!$E:$E,0),0)</f>
        <v>369</v>
      </c>
    </row>
    <row r="545" customFormat="false" ht="15" hidden="false" customHeight="false" outlineLevel="0" collapsed="false">
      <c r="A545" s="9" t="s">
        <v>2295</v>
      </c>
      <c r="B545" s="9" t="s">
        <v>2277</v>
      </c>
      <c r="C545" s="9" t="s">
        <v>2296</v>
      </c>
      <c r="D545" s="9" t="str">
        <f aca="false">C545&amp;" - "&amp;E545</f>
        <v>AC Charging Port - Universal</v>
      </c>
      <c r="E545" s="9" t="s">
        <v>68</v>
      </c>
      <c r="F545" s="9" t="s">
        <v>2297</v>
      </c>
      <c r="G545" s="10" t="n">
        <f aca="false">IF($AK545=0,"",INDEX('Part types'!$P:$P,$AK545))</f>
        <v>25</v>
      </c>
      <c r="H545" s="10" t="n">
        <f aca="false">IF($AK545=0,"",INDEX('Part types'!$Q:$Q,$AK545))</f>
        <v>15</v>
      </c>
      <c r="I545" s="10" t="n">
        <f aca="false">IF($AK545=0,"",INDEX('Part types'!$R:$R,$AK545))</f>
        <v>10</v>
      </c>
      <c r="J545" s="10" t="n">
        <f aca="false">IF($AK545=0,"",INDEX('Part types'!$S:$S,$AK545))</f>
        <v>0.9</v>
      </c>
      <c r="K545" s="11" t="s">
        <v>2279</v>
      </c>
      <c r="L545" s="11" t="s">
        <v>2298</v>
      </c>
      <c r="M545" s="11" t="str">
        <f aca="false">L545&amp;" - "&amp;N545</f>
        <v>منفذ شحن AC - عام</v>
      </c>
      <c r="N545" s="11" t="s">
        <v>72</v>
      </c>
      <c r="O545" s="11" t="s">
        <v>2299</v>
      </c>
      <c r="P545" s="10" t="n">
        <f aca="false">G545</f>
        <v>25</v>
      </c>
      <c r="Q545" s="10" t="n">
        <f aca="false">H545</f>
        <v>15</v>
      </c>
      <c r="R545" s="10" t="n">
        <f aca="false">I545</f>
        <v>10</v>
      </c>
      <c r="S545" s="10" t="n">
        <f aca="false">J545</f>
        <v>0.9</v>
      </c>
      <c r="T545" s="12" t="s">
        <v>2281</v>
      </c>
      <c r="U545" s="12" t="s">
        <v>2300</v>
      </c>
      <c r="V545" s="9" t="str">
        <f aca="false">U545&amp;" - "&amp;W545</f>
        <v>交流充电口 - 通用</v>
      </c>
      <c r="W545" s="12" t="s">
        <v>76</v>
      </c>
      <c r="X545" s="12" t="s">
        <v>2301</v>
      </c>
      <c r="Y545" s="10" t="n">
        <f aca="false">G545</f>
        <v>25</v>
      </c>
      <c r="Z545" s="10" t="n">
        <f aca="false">H545</f>
        <v>15</v>
      </c>
      <c r="AA545" s="10" t="n">
        <f aca="false">I545</f>
        <v>10</v>
      </c>
      <c r="AB545" s="10" t="n">
        <f aca="false">J545</f>
        <v>0.9</v>
      </c>
      <c r="AC545" s="9" t="s">
        <v>2283</v>
      </c>
      <c r="AD545" s="9" t="s">
        <v>2302</v>
      </c>
      <c r="AE545" s="9" t="str">
        <f aca="false">IF($AK545=0,"",INDEX('Part types'!$T:$T,$AK545)&amp;"")</f>
        <v>Electrified (hybrid, plug-in, range extender, EV)</v>
      </c>
      <c r="AF545" s="9" t="str">
        <f aca="false">IF($AK545=0,"",INDEX('Part types'!$U:$U,$AK545)&amp;"")</f>
        <v/>
      </c>
      <c r="AG545" s="9" t="str">
        <f aca="false">IF($AK545=0,"",INDEX('Part types'!$V:$V,$AK545)&amp;"")</f>
        <v>Estimate: size class M</v>
      </c>
      <c r="AH545" s="9" t="str">
        <f aca="false">IF($AK545=0,"",INDEX('Part types'!$W:$W,$AK545)&amp;"")</f>
        <v/>
      </c>
      <c r="AI545" s="11" t="str">
        <f aca="false">IF($AK545=0,"",INDEX('Part types'!$X:$X,$AK545)&amp;"")</f>
        <v/>
      </c>
      <c r="AJ545" s="9" t="str">
        <f aca="false">IF($AK545=0,"",INDEX('Part types'!$Y:$Y,$AK545)&amp;"")</f>
        <v/>
      </c>
      <c r="AK545" s="9" t="n">
        <f aca="false">IFERROR(MATCH($AD545,'Part types'!$E:$E,0),0)</f>
        <v>370</v>
      </c>
    </row>
    <row r="546" customFormat="false" ht="15" hidden="false" customHeight="false" outlineLevel="0" collapsed="false">
      <c r="A546" s="9" t="s">
        <v>2303</v>
      </c>
      <c r="B546" s="9" t="s">
        <v>2277</v>
      </c>
      <c r="C546" s="9" t="s">
        <v>2304</v>
      </c>
      <c r="D546" s="9" t="str">
        <f aca="false">C546&amp;" - "&amp;E546</f>
        <v>DC Charging Port - Universal</v>
      </c>
      <c r="E546" s="9" t="s">
        <v>68</v>
      </c>
      <c r="F546" s="9" t="s">
        <v>2297</v>
      </c>
      <c r="G546" s="10" t="n">
        <f aca="false">IF($AK546=0,"",INDEX('Part types'!$P:$P,$AK546))</f>
        <v>25</v>
      </c>
      <c r="H546" s="10" t="n">
        <f aca="false">IF($AK546=0,"",INDEX('Part types'!$Q:$Q,$AK546))</f>
        <v>15</v>
      </c>
      <c r="I546" s="10" t="n">
        <f aca="false">IF($AK546=0,"",INDEX('Part types'!$R:$R,$AK546))</f>
        <v>10</v>
      </c>
      <c r="J546" s="10" t="n">
        <f aca="false">IF($AK546=0,"",INDEX('Part types'!$S:$S,$AK546))</f>
        <v>0.9</v>
      </c>
      <c r="K546" s="11" t="s">
        <v>2279</v>
      </c>
      <c r="L546" s="11" t="s">
        <v>2305</v>
      </c>
      <c r="M546" s="11" t="str">
        <f aca="false">L546&amp;" - "&amp;N546</f>
        <v>منفذ شحن سريع DC - عام</v>
      </c>
      <c r="N546" s="11" t="s">
        <v>72</v>
      </c>
      <c r="O546" s="11" t="s">
        <v>2299</v>
      </c>
      <c r="P546" s="10" t="n">
        <f aca="false">G546</f>
        <v>25</v>
      </c>
      <c r="Q546" s="10" t="n">
        <f aca="false">H546</f>
        <v>15</v>
      </c>
      <c r="R546" s="10" t="n">
        <f aca="false">I546</f>
        <v>10</v>
      </c>
      <c r="S546" s="10" t="n">
        <f aca="false">J546</f>
        <v>0.9</v>
      </c>
      <c r="T546" s="12" t="s">
        <v>2281</v>
      </c>
      <c r="U546" s="12" t="s">
        <v>2306</v>
      </c>
      <c r="V546" s="9" t="str">
        <f aca="false">U546&amp;" - "&amp;W546</f>
        <v>直流快充口 - 通用</v>
      </c>
      <c r="W546" s="12" t="s">
        <v>76</v>
      </c>
      <c r="X546" s="12" t="s">
        <v>2301</v>
      </c>
      <c r="Y546" s="10" t="n">
        <f aca="false">G546</f>
        <v>25</v>
      </c>
      <c r="Z546" s="10" t="n">
        <f aca="false">H546</f>
        <v>15</v>
      </c>
      <c r="AA546" s="10" t="n">
        <f aca="false">I546</f>
        <v>10</v>
      </c>
      <c r="AB546" s="10" t="n">
        <f aca="false">J546</f>
        <v>0.9</v>
      </c>
      <c r="AC546" s="9" t="s">
        <v>2283</v>
      </c>
      <c r="AD546" s="9" t="s">
        <v>2307</v>
      </c>
      <c r="AE546" s="9" t="str">
        <f aca="false">IF($AK546=0,"",INDEX('Part types'!$T:$T,$AK546)&amp;"")</f>
        <v>Electrified (hybrid, plug-in, range extender, EV)</v>
      </c>
      <c r="AF546" s="9" t="str">
        <f aca="false">IF($AK546=0,"",INDEX('Part types'!$U:$U,$AK546)&amp;"")</f>
        <v/>
      </c>
      <c r="AG546" s="9" t="str">
        <f aca="false">IF($AK546=0,"",INDEX('Part types'!$V:$V,$AK546)&amp;"")</f>
        <v>Estimate: size class M</v>
      </c>
      <c r="AH546" s="9" t="str">
        <f aca="false">IF($AK546=0,"",INDEX('Part types'!$W:$W,$AK546)&amp;"")</f>
        <v>DC Fast Charging Port</v>
      </c>
      <c r="AI546" s="11" t="str">
        <f aca="false">IF($AK546=0,"",INDEX('Part types'!$X:$X,$AK546)&amp;"")</f>
        <v/>
      </c>
      <c r="AJ546" s="9" t="str">
        <f aca="false">IF($AK546=0,"",INDEX('Part types'!$Y:$Y,$AK546)&amp;"")</f>
        <v/>
      </c>
      <c r="AK546" s="9" t="n">
        <f aca="false">IFERROR(MATCH($AD546,'Part types'!$E:$E,0),0)</f>
        <v>371</v>
      </c>
    </row>
    <row r="547" customFormat="false" ht="15" hidden="false" customHeight="false" outlineLevel="0" collapsed="false">
      <c r="A547" s="9" t="s">
        <v>2308</v>
      </c>
      <c r="B547" s="9" t="s">
        <v>2277</v>
      </c>
      <c r="C547" s="9" t="s">
        <v>2309</v>
      </c>
      <c r="D547" s="9" t="str">
        <f aca="false">C547&amp;" - "&amp;E547</f>
        <v>Charging Port Door - Universal</v>
      </c>
      <c r="E547" s="9" t="s">
        <v>68</v>
      </c>
      <c r="F547" s="9" t="s">
        <v>2297</v>
      </c>
      <c r="G547" s="10" t="n">
        <f aca="false">IF($AK547=0,"",INDEX('Part types'!$P:$P,$AK547))</f>
        <v>15</v>
      </c>
      <c r="H547" s="10" t="n">
        <f aca="false">IF($AK547=0,"",INDEX('Part types'!$Q:$Q,$AK547))</f>
        <v>10</v>
      </c>
      <c r="I547" s="10" t="n">
        <f aca="false">IF($AK547=0,"",INDEX('Part types'!$R:$R,$AK547))</f>
        <v>8</v>
      </c>
      <c r="J547" s="10" t="n">
        <f aca="false">IF($AK547=0,"",INDEX('Part types'!$S:$S,$AK547))</f>
        <v>0.3</v>
      </c>
      <c r="K547" s="11" t="s">
        <v>2279</v>
      </c>
      <c r="L547" s="11" t="s">
        <v>2310</v>
      </c>
      <c r="M547" s="11" t="str">
        <f aca="false">L547&amp;" - "&amp;N547</f>
        <v>غطاء منفذ الشحن - عام</v>
      </c>
      <c r="N547" s="11" t="s">
        <v>72</v>
      </c>
      <c r="O547" s="11" t="s">
        <v>2299</v>
      </c>
      <c r="P547" s="10" t="n">
        <f aca="false">G547</f>
        <v>15</v>
      </c>
      <c r="Q547" s="10" t="n">
        <f aca="false">H547</f>
        <v>10</v>
      </c>
      <c r="R547" s="10" t="n">
        <f aca="false">I547</f>
        <v>8</v>
      </c>
      <c r="S547" s="10" t="n">
        <f aca="false">J547</f>
        <v>0.3</v>
      </c>
      <c r="T547" s="12" t="s">
        <v>2281</v>
      </c>
      <c r="U547" s="12" t="s">
        <v>2311</v>
      </c>
      <c r="V547" s="9" t="str">
        <f aca="false">U547&amp;" - "&amp;W547</f>
        <v>充电口盖板 - 通用</v>
      </c>
      <c r="W547" s="12" t="s">
        <v>76</v>
      </c>
      <c r="X547" s="12" t="s">
        <v>2301</v>
      </c>
      <c r="Y547" s="10" t="n">
        <f aca="false">G547</f>
        <v>15</v>
      </c>
      <c r="Z547" s="10" t="n">
        <f aca="false">H547</f>
        <v>10</v>
      </c>
      <c r="AA547" s="10" t="n">
        <f aca="false">I547</f>
        <v>8</v>
      </c>
      <c r="AB547" s="10" t="n">
        <f aca="false">J547</f>
        <v>0.3</v>
      </c>
      <c r="AC547" s="9" t="s">
        <v>2283</v>
      </c>
      <c r="AD547" s="9" t="s">
        <v>2312</v>
      </c>
      <c r="AE547" s="9" t="str">
        <f aca="false">IF($AK547=0,"",INDEX('Part types'!$T:$T,$AK547)&amp;"")</f>
        <v>Electrified (hybrid, plug-in, range extender, EV)</v>
      </c>
      <c r="AF547" s="9" t="str">
        <f aca="false">IF($AK547=0,"",INDEX('Part types'!$U:$U,$AK547)&amp;"")</f>
        <v/>
      </c>
      <c r="AG547" s="9" t="str">
        <f aca="false">IF($AK547=0,"",INDEX('Part types'!$V:$V,$AK547)&amp;"")</f>
        <v>Estimate: size class S</v>
      </c>
      <c r="AH547" s="9" t="str">
        <f aca="false">IF($AK547=0,"",INDEX('Part types'!$W:$W,$AK547)&amp;"")</f>
        <v/>
      </c>
      <c r="AI547" s="11" t="str">
        <f aca="false">IF($AK547=0,"",INDEX('Part types'!$X:$X,$AK547)&amp;"")</f>
        <v/>
      </c>
      <c r="AJ547" s="9" t="str">
        <f aca="false">IF($AK547=0,"",INDEX('Part types'!$Y:$Y,$AK547)&amp;"")</f>
        <v/>
      </c>
      <c r="AK547" s="9" t="n">
        <f aca="false">IFERROR(MATCH($AD547,'Part types'!$E:$E,0),0)</f>
        <v>372</v>
      </c>
    </row>
    <row r="548" customFormat="false" ht="15" hidden="false" customHeight="false" outlineLevel="0" collapsed="false">
      <c r="A548" s="9" t="s">
        <v>2313</v>
      </c>
      <c r="B548" s="9" t="s">
        <v>2277</v>
      </c>
      <c r="C548" s="9" t="s">
        <v>2314</v>
      </c>
      <c r="D548" s="9" t="str">
        <f aca="false">C548&amp;" - "&amp;E548</f>
        <v>Port Lock Actuator - Universal</v>
      </c>
      <c r="E548" s="9" t="s">
        <v>68</v>
      </c>
      <c r="F548" s="9" t="s">
        <v>2297</v>
      </c>
      <c r="G548" s="10" t="n">
        <f aca="false">IF($AK548=0,"",INDEX('Part types'!$P:$P,$AK548))</f>
        <v>15</v>
      </c>
      <c r="H548" s="10" t="n">
        <f aca="false">IF($AK548=0,"",INDEX('Part types'!$Q:$Q,$AK548))</f>
        <v>10</v>
      </c>
      <c r="I548" s="10" t="n">
        <f aca="false">IF($AK548=0,"",INDEX('Part types'!$R:$R,$AK548))</f>
        <v>8</v>
      </c>
      <c r="J548" s="10" t="n">
        <f aca="false">IF($AK548=0,"",INDEX('Part types'!$S:$S,$AK548))</f>
        <v>0.3</v>
      </c>
      <c r="K548" s="11" t="s">
        <v>2279</v>
      </c>
      <c r="L548" s="11" t="s">
        <v>2315</v>
      </c>
      <c r="M548" s="11" t="str">
        <f aca="false">L548&amp;" - "&amp;N548</f>
        <v>مشغل قفل منفذ الشحن - عام</v>
      </c>
      <c r="N548" s="11" t="s">
        <v>72</v>
      </c>
      <c r="O548" s="11" t="s">
        <v>2299</v>
      </c>
      <c r="P548" s="10" t="n">
        <f aca="false">G548</f>
        <v>15</v>
      </c>
      <c r="Q548" s="10" t="n">
        <f aca="false">H548</f>
        <v>10</v>
      </c>
      <c r="R548" s="10" t="n">
        <f aca="false">I548</f>
        <v>8</v>
      </c>
      <c r="S548" s="10" t="n">
        <f aca="false">J548</f>
        <v>0.3</v>
      </c>
      <c r="T548" s="12" t="s">
        <v>2281</v>
      </c>
      <c r="U548" s="12" t="s">
        <v>2316</v>
      </c>
      <c r="V548" s="9" t="str">
        <f aca="false">U548&amp;" - "&amp;W548</f>
        <v>充电口锁止执行器 - 通用</v>
      </c>
      <c r="W548" s="12" t="s">
        <v>76</v>
      </c>
      <c r="X548" s="12" t="s">
        <v>2301</v>
      </c>
      <c r="Y548" s="10" t="n">
        <f aca="false">G548</f>
        <v>15</v>
      </c>
      <c r="Z548" s="10" t="n">
        <f aca="false">H548</f>
        <v>10</v>
      </c>
      <c r="AA548" s="10" t="n">
        <f aca="false">I548</f>
        <v>8</v>
      </c>
      <c r="AB548" s="10" t="n">
        <f aca="false">J548</f>
        <v>0.3</v>
      </c>
      <c r="AC548" s="9" t="s">
        <v>2283</v>
      </c>
      <c r="AD548" s="9" t="s">
        <v>2317</v>
      </c>
      <c r="AE548" s="9" t="str">
        <f aca="false">IF($AK548=0,"",INDEX('Part types'!$T:$T,$AK548)&amp;"")</f>
        <v>Electrified (hybrid, plug-in, range extender, EV)</v>
      </c>
      <c r="AF548" s="9" t="str">
        <f aca="false">IF($AK548=0,"",INDEX('Part types'!$U:$U,$AK548)&amp;"")</f>
        <v/>
      </c>
      <c r="AG548" s="9" t="str">
        <f aca="false">IF($AK548=0,"",INDEX('Part types'!$V:$V,$AK548)&amp;"")</f>
        <v>Estimate: size class S</v>
      </c>
      <c r="AH548" s="9" t="str">
        <f aca="false">IF($AK548=0,"",INDEX('Part types'!$W:$W,$AK548)&amp;"")</f>
        <v>Charging Port Lock Actuator</v>
      </c>
      <c r="AI548" s="11" t="str">
        <f aca="false">IF($AK548=0,"",INDEX('Part types'!$X:$X,$AK548)&amp;"")</f>
        <v/>
      </c>
      <c r="AJ548" s="9" t="str">
        <f aca="false">IF($AK548=0,"",INDEX('Part types'!$Y:$Y,$AK548)&amp;"")</f>
        <v/>
      </c>
      <c r="AK548" s="9" t="n">
        <f aca="false">IFERROR(MATCH($AD548,'Part types'!$E:$E,0),0)</f>
        <v>373</v>
      </c>
    </row>
    <row r="549" customFormat="false" ht="15" hidden="false" customHeight="false" outlineLevel="0" collapsed="false">
      <c r="A549" s="9" t="s">
        <v>2318</v>
      </c>
      <c r="B549" s="9" t="s">
        <v>2277</v>
      </c>
      <c r="C549" s="9" t="s">
        <v>2319</v>
      </c>
      <c r="D549" s="9" t="str">
        <f aca="false">C549&amp;" - "&amp;E549</f>
        <v>Portable Charging Cable - Universal</v>
      </c>
      <c r="E549" s="9" t="s">
        <v>68</v>
      </c>
      <c r="F549" s="9" t="s">
        <v>2320</v>
      </c>
      <c r="G549" s="10" t="n">
        <f aca="false">IF($AK549=0,"",INDEX('Part types'!$P:$P,$AK549))</f>
        <v>30</v>
      </c>
      <c r="H549" s="10" t="n">
        <f aca="false">IF($AK549=0,"",INDEX('Part types'!$Q:$Q,$AK549))</f>
        <v>25</v>
      </c>
      <c r="I549" s="10" t="n">
        <f aca="false">IF($AK549=0,"",INDEX('Part types'!$R:$R,$AK549))</f>
        <v>10</v>
      </c>
      <c r="J549" s="10" t="n">
        <f aca="false">IF($AK549=0,"",INDEX('Part types'!$S:$S,$AK549))</f>
        <v>3.5</v>
      </c>
      <c r="K549" s="11" t="s">
        <v>2279</v>
      </c>
      <c r="L549" s="11" t="s">
        <v>2321</v>
      </c>
      <c r="M549" s="11" t="str">
        <f aca="false">L549&amp;" - "&amp;N549</f>
        <v>كابل شحن محمول - عام</v>
      </c>
      <c r="N549" s="11" t="s">
        <v>72</v>
      </c>
      <c r="O549" s="11" t="s">
        <v>2322</v>
      </c>
      <c r="P549" s="10" t="n">
        <f aca="false">G549</f>
        <v>30</v>
      </c>
      <c r="Q549" s="10" t="n">
        <f aca="false">H549</f>
        <v>25</v>
      </c>
      <c r="R549" s="10" t="n">
        <f aca="false">I549</f>
        <v>10</v>
      </c>
      <c r="S549" s="10" t="n">
        <f aca="false">J549</f>
        <v>3.5</v>
      </c>
      <c r="T549" s="12" t="s">
        <v>2281</v>
      </c>
      <c r="U549" s="12" t="s">
        <v>2323</v>
      </c>
      <c r="V549" s="9" t="str">
        <f aca="false">U549&amp;" - "&amp;W549</f>
        <v>便携式充电线 - 通用</v>
      </c>
      <c r="W549" s="12" t="s">
        <v>76</v>
      </c>
      <c r="X549" s="12" t="s">
        <v>2324</v>
      </c>
      <c r="Y549" s="10" t="n">
        <f aca="false">G549</f>
        <v>30</v>
      </c>
      <c r="Z549" s="10" t="n">
        <f aca="false">H549</f>
        <v>25</v>
      </c>
      <c r="AA549" s="10" t="n">
        <f aca="false">I549</f>
        <v>10</v>
      </c>
      <c r="AB549" s="10" t="n">
        <f aca="false">J549</f>
        <v>3.5</v>
      </c>
      <c r="AC549" s="9" t="s">
        <v>2283</v>
      </c>
      <c r="AD549" s="9" t="s">
        <v>2325</v>
      </c>
      <c r="AE549" s="9" t="str">
        <f aca="false">IF($AK549=0,"",INDEX('Part types'!$T:$T,$AK549)&amp;"")</f>
        <v>Electrified (hybrid, plug-in, range extender, EV)</v>
      </c>
      <c r="AF549" s="9" t="str">
        <f aca="false">IF($AK549=0,"",INDEX('Part types'!$U:$U,$AK549)&amp;"")</f>
        <v/>
      </c>
      <c r="AG549" s="9" t="str">
        <f aca="false">IF($AK549=0,"",INDEX('Part types'!$V:$V,$AK549)&amp;"")</f>
        <v>Estimate: item-specific</v>
      </c>
      <c r="AH549" s="9" t="str">
        <f aca="false">IF($AK549=0,"",INDEX('Part types'!$W:$W,$AK549)&amp;"")</f>
        <v>Mode 2</v>
      </c>
      <c r="AI549" s="11" t="str">
        <f aca="false">IF($AK549=0,"",INDEX('Part types'!$X:$X,$AK549)&amp;"")</f>
        <v>Mode 2</v>
      </c>
      <c r="AJ549" s="9" t="str">
        <f aca="false">IF($AK549=0,"",INDEX('Part types'!$Y:$Y,$AK549)&amp;"")</f>
        <v>Mode 2</v>
      </c>
      <c r="AK549" s="9" t="n">
        <f aca="false">IFERROR(MATCH($AD549,'Part types'!$E:$E,0),0)</f>
        <v>374</v>
      </c>
    </row>
    <row r="550" customFormat="false" ht="15" hidden="false" customHeight="false" outlineLevel="0" collapsed="false">
      <c r="A550" s="9" t="s">
        <v>2326</v>
      </c>
      <c r="B550" s="9" t="s">
        <v>2277</v>
      </c>
      <c r="C550" s="9" t="s">
        <v>2320</v>
      </c>
      <c r="D550" s="9" t="str">
        <f aca="false">C550&amp;" - "&amp;E550</f>
        <v>Charging Cable - Universal</v>
      </c>
      <c r="E550" s="9" t="s">
        <v>68</v>
      </c>
      <c r="F550" s="9" t="s">
        <v>2320</v>
      </c>
      <c r="G550" s="10" t="n">
        <f aca="false">IF($AK550=0,"",INDEX('Part types'!$P:$P,$AK550))</f>
        <v>35</v>
      </c>
      <c r="H550" s="10" t="n">
        <f aca="false">IF($AK550=0,"",INDEX('Part types'!$Q:$Q,$AK550))</f>
        <v>30</v>
      </c>
      <c r="I550" s="10" t="n">
        <f aca="false">IF($AK550=0,"",INDEX('Part types'!$R:$R,$AK550))</f>
        <v>12</v>
      </c>
      <c r="J550" s="10" t="n">
        <f aca="false">IF($AK550=0,"",INDEX('Part types'!$S:$S,$AK550))</f>
        <v>5</v>
      </c>
      <c r="K550" s="11" t="s">
        <v>2279</v>
      </c>
      <c r="L550" s="11" t="s">
        <v>2327</v>
      </c>
      <c r="M550" s="11" t="str">
        <f aca="false">L550&amp;" - "&amp;N550</f>
        <v>كابل شحن - عام</v>
      </c>
      <c r="N550" s="11" t="s">
        <v>72</v>
      </c>
      <c r="O550" s="11" t="s">
        <v>2322</v>
      </c>
      <c r="P550" s="10" t="n">
        <f aca="false">G550</f>
        <v>35</v>
      </c>
      <c r="Q550" s="10" t="n">
        <f aca="false">H550</f>
        <v>30</v>
      </c>
      <c r="R550" s="10" t="n">
        <f aca="false">I550</f>
        <v>12</v>
      </c>
      <c r="S550" s="10" t="n">
        <f aca="false">J550</f>
        <v>5</v>
      </c>
      <c r="T550" s="12" t="s">
        <v>2281</v>
      </c>
      <c r="U550" s="12" t="s">
        <v>2328</v>
      </c>
      <c r="V550" s="9" t="str">
        <f aca="false">U550&amp;" - "&amp;W550</f>
        <v>充电桩连接线 - 通用</v>
      </c>
      <c r="W550" s="12" t="s">
        <v>76</v>
      </c>
      <c r="X550" s="12" t="s">
        <v>2324</v>
      </c>
      <c r="Y550" s="10" t="n">
        <f aca="false">G550</f>
        <v>35</v>
      </c>
      <c r="Z550" s="10" t="n">
        <f aca="false">H550</f>
        <v>30</v>
      </c>
      <c r="AA550" s="10" t="n">
        <f aca="false">I550</f>
        <v>12</v>
      </c>
      <c r="AB550" s="10" t="n">
        <f aca="false">J550</f>
        <v>5</v>
      </c>
      <c r="AC550" s="9" t="s">
        <v>2283</v>
      </c>
      <c r="AD550" s="9" t="s">
        <v>2329</v>
      </c>
      <c r="AE550" s="9" t="str">
        <f aca="false">IF($AK550=0,"",INDEX('Part types'!$T:$T,$AK550)&amp;"")</f>
        <v>Electrified (hybrid, plug-in, range extender, EV)</v>
      </c>
      <c r="AF550" s="9" t="str">
        <f aca="false">IF($AK550=0,"",INDEX('Part types'!$U:$U,$AK550)&amp;"")</f>
        <v/>
      </c>
      <c r="AG550" s="9" t="str">
        <f aca="false">IF($AK550=0,"",INDEX('Part types'!$V:$V,$AK550)&amp;"")</f>
        <v>Estimate: item-specific</v>
      </c>
      <c r="AH550" s="9" t="str">
        <f aca="false">IF($AK550=0,"",INDEX('Part types'!$W:$W,$AK550)&amp;"")</f>
        <v>Mode 3</v>
      </c>
      <c r="AI550" s="11" t="str">
        <f aca="false">IF($AK550=0,"",INDEX('Part types'!$X:$X,$AK550)&amp;"")</f>
        <v>Mode 3</v>
      </c>
      <c r="AJ550" s="9" t="str">
        <f aca="false">IF($AK550=0,"",INDEX('Part types'!$Y:$Y,$AK550)&amp;"")</f>
        <v>Mode 3</v>
      </c>
      <c r="AK550" s="9" t="n">
        <f aca="false">IFERROR(MATCH($AD550,'Part types'!$E:$E,0),0)</f>
        <v>375</v>
      </c>
    </row>
    <row r="551" customFormat="false" ht="15" hidden="false" customHeight="false" outlineLevel="0" collapsed="false">
      <c r="A551" s="9" t="s">
        <v>2330</v>
      </c>
      <c r="B551" s="9" t="s">
        <v>2277</v>
      </c>
      <c r="C551" s="9" t="s">
        <v>2331</v>
      </c>
      <c r="D551" s="9" t="str">
        <f aca="false">C551&amp;" - "&amp;E551</f>
        <v>Wall Charger - Universal</v>
      </c>
      <c r="E551" s="9" t="s">
        <v>68</v>
      </c>
      <c r="F551" s="9" t="s">
        <v>2320</v>
      </c>
      <c r="G551" s="10" t="n">
        <f aca="false">IF($AK551=0,"",INDEX('Part types'!$P:$P,$AK551))</f>
        <v>35</v>
      </c>
      <c r="H551" s="10" t="n">
        <f aca="false">IF($AK551=0,"",INDEX('Part types'!$Q:$Q,$AK551))</f>
        <v>25</v>
      </c>
      <c r="I551" s="10" t="n">
        <f aca="false">IF($AK551=0,"",INDEX('Part types'!$R:$R,$AK551))</f>
        <v>15</v>
      </c>
      <c r="J551" s="10" t="n">
        <f aca="false">IF($AK551=0,"",INDEX('Part types'!$S:$S,$AK551))</f>
        <v>6</v>
      </c>
      <c r="K551" s="11" t="s">
        <v>2279</v>
      </c>
      <c r="L551" s="11" t="s">
        <v>2332</v>
      </c>
      <c r="M551" s="11" t="str">
        <f aca="false">L551&amp;" - "&amp;N551</f>
        <v>شاحن جداري - عام</v>
      </c>
      <c r="N551" s="11" t="s">
        <v>72</v>
      </c>
      <c r="O551" s="11" t="s">
        <v>2322</v>
      </c>
      <c r="P551" s="10" t="n">
        <f aca="false">G551</f>
        <v>35</v>
      </c>
      <c r="Q551" s="10" t="n">
        <f aca="false">H551</f>
        <v>25</v>
      </c>
      <c r="R551" s="10" t="n">
        <f aca="false">I551</f>
        <v>15</v>
      </c>
      <c r="S551" s="10" t="n">
        <f aca="false">J551</f>
        <v>6</v>
      </c>
      <c r="T551" s="12" t="s">
        <v>2281</v>
      </c>
      <c r="U551" s="12" t="s">
        <v>2333</v>
      </c>
      <c r="V551" s="9" t="str">
        <f aca="false">U551&amp;" - "&amp;W551</f>
        <v>壁挂式充电桩 - 通用</v>
      </c>
      <c r="W551" s="12" t="s">
        <v>76</v>
      </c>
      <c r="X551" s="12" t="s">
        <v>2324</v>
      </c>
      <c r="Y551" s="10" t="n">
        <f aca="false">G551</f>
        <v>35</v>
      </c>
      <c r="Z551" s="10" t="n">
        <f aca="false">H551</f>
        <v>25</v>
      </c>
      <c r="AA551" s="10" t="n">
        <f aca="false">I551</f>
        <v>15</v>
      </c>
      <c r="AB551" s="10" t="n">
        <f aca="false">J551</f>
        <v>6</v>
      </c>
      <c r="AC551" s="9" t="s">
        <v>2283</v>
      </c>
      <c r="AD551" s="9" t="s">
        <v>2334</v>
      </c>
      <c r="AE551" s="9" t="str">
        <f aca="false">IF($AK551=0,"",INDEX('Part types'!$T:$T,$AK551)&amp;"")</f>
        <v>Electrified (hybrid, plug-in, range extender, EV)</v>
      </c>
      <c r="AF551" s="9" t="str">
        <f aca="false">IF($AK551=0,"",INDEX('Part types'!$U:$U,$AK551)&amp;"")</f>
        <v/>
      </c>
      <c r="AG551" s="9" t="str">
        <f aca="false">IF($AK551=0,"",INDEX('Part types'!$V:$V,$AK551)&amp;"")</f>
        <v>Estimate: item-specific</v>
      </c>
      <c r="AH551" s="9" t="str">
        <f aca="false">IF($AK551=0,"",INDEX('Part types'!$W:$W,$AK551)&amp;"")</f>
        <v>7 kW</v>
      </c>
      <c r="AI551" s="11" t="str">
        <f aca="false">IF($AK551=0,"",INDEX('Part types'!$X:$X,$AK551)&amp;"")</f>
        <v>7 كيلوواط</v>
      </c>
      <c r="AJ551" s="9" t="str">
        <f aca="false">IF($AK551=0,"",INDEX('Part types'!$Y:$Y,$AK551)&amp;"")</f>
        <v>7kW</v>
      </c>
      <c r="AK551" s="9" t="n">
        <f aca="false">IFERROR(MATCH($AD551,'Part types'!$E:$E,0),0)</f>
        <v>376</v>
      </c>
    </row>
    <row r="552" customFormat="false" ht="15" hidden="false" customHeight="false" outlineLevel="0" collapsed="false">
      <c r="A552" s="9" t="s">
        <v>2335</v>
      </c>
      <c r="B552" s="9" t="s">
        <v>2336</v>
      </c>
      <c r="C552" s="9" t="s">
        <v>2337</v>
      </c>
      <c r="D552" s="9" t="str">
        <f aca="false">C552&amp;" - "&amp;E552</f>
        <v>Fuse - Universal</v>
      </c>
      <c r="E552" s="9" t="s">
        <v>68</v>
      </c>
      <c r="F552" s="9" t="s">
        <v>2338</v>
      </c>
      <c r="G552" s="10" t="n">
        <f aca="false">IF($AK552=0,"",INDEX('Part types'!$P:$P,$AK552))</f>
        <v>6</v>
      </c>
      <c r="H552" s="10" t="n">
        <f aca="false">IF($AK552=0,"",INDEX('Part types'!$Q:$Q,$AK552))</f>
        <v>4</v>
      </c>
      <c r="I552" s="10" t="n">
        <f aca="false">IF($AK552=0,"",INDEX('Part types'!$R:$R,$AK552))</f>
        <v>3</v>
      </c>
      <c r="J552" s="10" t="n">
        <f aca="false">IF($AK552=0,"",INDEX('Part types'!$S:$S,$AK552))</f>
        <v>0.02</v>
      </c>
      <c r="K552" s="11" t="s">
        <v>2339</v>
      </c>
      <c r="L552" s="11" t="s">
        <v>2340</v>
      </c>
      <c r="M552" s="11" t="str">
        <f aca="false">L552&amp;" - "&amp;N552</f>
        <v>فيوز - عام</v>
      </c>
      <c r="N552" s="11" t="s">
        <v>72</v>
      </c>
      <c r="O552" s="11" t="s">
        <v>2341</v>
      </c>
      <c r="P552" s="10" t="n">
        <f aca="false">G552</f>
        <v>6</v>
      </c>
      <c r="Q552" s="10" t="n">
        <f aca="false">H552</f>
        <v>4</v>
      </c>
      <c r="R552" s="10" t="n">
        <f aca="false">I552</f>
        <v>3</v>
      </c>
      <c r="S552" s="10" t="n">
        <f aca="false">J552</f>
        <v>0.02</v>
      </c>
      <c r="T552" s="12" t="s">
        <v>2342</v>
      </c>
      <c r="U552" s="12" t="s">
        <v>2343</v>
      </c>
      <c r="V552" s="9" t="str">
        <f aca="false">U552&amp;" - "&amp;W552</f>
        <v>保险丝 - 通用</v>
      </c>
      <c r="W552" s="12" t="s">
        <v>76</v>
      </c>
      <c r="X552" s="12" t="s">
        <v>2344</v>
      </c>
      <c r="Y552" s="10" t="n">
        <f aca="false">G552</f>
        <v>6</v>
      </c>
      <c r="Z552" s="10" t="n">
        <f aca="false">H552</f>
        <v>4</v>
      </c>
      <c r="AA552" s="10" t="n">
        <f aca="false">I552</f>
        <v>3</v>
      </c>
      <c r="AB552" s="10" t="n">
        <f aca="false">J552</f>
        <v>0.02</v>
      </c>
      <c r="AC552" s="9" t="s">
        <v>2345</v>
      </c>
      <c r="AD552" s="9" t="s">
        <v>2346</v>
      </c>
      <c r="AE552" s="9" t="str">
        <f aca="false">IF($AK552=0,"",INDEX('Part types'!$T:$T,$AK552)&amp;"")</f>
        <v>All vehicles</v>
      </c>
      <c r="AF552" s="9" t="str">
        <f aca="false">IF($AK552=0,"",INDEX('Part types'!$U:$U,$AK552)&amp;"")</f>
        <v/>
      </c>
      <c r="AG552" s="9" t="str">
        <f aca="false">IF($AK552=0,"",INDEX('Part types'!$V:$V,$AK552)&amp;"")</f>
        <v>Estimate: size class T</v>
      </c>
      <c r="AH552" s="9" t="str">
        <f aca="false">IF($AK552=0,"",INDEX('Part types'!$W:$W,$AK552)&amp;"")</f>
        <v/>
      </c>
      <c r="AI552" s="11" t="str">
        <f aca="false">IF($AK552=0,"",INDEX('Part types'!$X:$X,$AK552)&amp;"")</f>
        <v/>
      </c>
      <c r="AJ552" s="9" t="str">
        <f aca="false">IF($AK552=0,"",INDEX('Part types'!$Y:$Y,$AK552)&amp;"")</f>
        <v/>
      </c>
      <c r="AK552" s="9" t="n">
        <f aca="false">IFERROR(MATCH($AD552,'Part types'!$E:$E,0),0)</f>
        <v>377</v>
      </c>
    </row>
    <row r="553" customFormat="false" ht="15" hidden="false" customHeight="false" outlineLevel="0" collapsed="false">
      <c r="A553" s="9" t="s">
        <v>2347</v>
      </c>
      <c r="B553" s="9" t="s">
        <v>2336</v>
      </c>
      <c r="C553" s="9" t="s">
        <v>2348</v>
      </c>
      <c r="D553" s="9" t="str">
        <f aca="false">C553&amp;" - "&amp;E553</f>
        <v>Fuse Assortment Kit - Universal</v>
      </c>
      <c r="E553" s="9" t="s">
        <v>68</v>
      </c>
      <c r="F553" s="9" t="s">
        <v>2338</v>
      </c>
      <c r="G553" s="10" t="n">
        <f aca="false">IF($AK553=0,"",INDEX('Part types'!$P:$P,$AK553))</f>
        <v>10</v>
      </c>
      <c r="H553" s="10" t="n">
        <f aca="false">IF($AK553=0,"",INDEX('Part types'!$Q:$Q,$AK553))</f>
        <v>8</v>
      </c>
      <c r="I553" s="10" t="n">
        <f aca="false">IF($AK553=0,"",INDEX('Part types'!$R:$R,$AK553))</f>
        <v>6</v>
      </c>
      <c r="J553" s="10" t="n">
        <f aca="false">IF($AK553=0,"",INDEX('Part types'!$S:$S,$AK553))</f>
        <v>0.1</v>
      </c>
      <c r="K553" s="11" t="s">
        <v>2339</v>
      </c>
      <c r="L553" s="11" t="s">
        <v>2349</v>
      </c>
      <c r="M553" s="11" t="str">
        <f aca="false">L553&amp;" - "&amp;N553</f>
        <v>طقم فيوزات متنوعة - عام</v>
      </c>
      <c r="N553" s="11" t="s">
        <v>72</v>
      </c>
      <c r="O553" s="11" t="s">
        <v>2341</v>
      </c>
      <c r="P553" s="10" t="n">
        <f aca="false">G553</f>
        <v>10</v>
      </c>
      <c r="Q553" s="10" t="n">
        <f aca="false">H553</f>
        <v>8</v>
      </c>
      <c r="R553" s="10" t="n">
        <f aca="false">I553</f>
        <v>6</v>
      </c>
      <c r="S553" s="10" t="n">
        <f aca="false">J553</f>
        <v>0.1</v>
      </c>
      <c r="T553" s="12" t="s">
        <v>2342</v>
      </c>
      <c r="U553" s="12" t="s">
        <v>2350</v>
      </c>
      <c r="V553" s="9" t="str">
        <f aca="false">U553&amp;" - "&amp;W553</f>
        <v>保险丝套装 - 通用</v>
      </c>
      <c r="W553" s="12" t="s">
        <v>76</v>
      </c>
      <c r="X553" s="12" t="s">
        <v>2344</v>
      </c>
      <c r="Y553" s="10" t="n">
        <f aca="false">G553</f>
        <v>10</v>
      </c>
      <c r="Z553" s="10" t="n">
        <f aca="false">H553</f>
        <v>8</v>
      </c>
      <c r="AA553" s="10" t="n">
        <f aca="false">I553</f>
        <v>6</v>
      </c>
      <c r="AB553" s="10" t="n">
        <f aca="false">J553</f>
        <v>0.1</v>
      </c>
      <c r="AC553" s="9" t="s">
        <v>2345</v>
      </c>
      <c r="AD553" s="9" t="s">
        <v>2351</v>
      </c>
      <c r="AE553" s="9" t="str">
        <f aca="false">IF($AK553=0,"",INDEX('Part types'!$T:$T,$AK553)&amp;"")</f>
        <v>All vehicles</v>
      </c>
      <c r="AF553" s="9" t="str">
        <f aca="false">IF($AK553=0,"",INDEX('Part types'!$U:$U,$AK553)&amp;"")</f>
        <v/>
      </c>
      <c r="AG553" s="9" t="str">
        <f aca="false">IF($AK553=0,"",INDEX('Part types'!$V:$V,$AK553)&amp;"")</f>
        <v>Estimate: size class XS</v>
      </c>
      <c r="AH553" s="9" t="str">
        <f aca="false">IF($AK553=0,"",INDEX('Part types'!$W:$W,$AK553)&amp;"")</f>
        <v/>
      </c>
      <c r="AI553" s="11" t="str">
        <f aca="false">IF($AK553=0,"",INDEX('Part types'!$X:$X,$AK553)&amp;"")</f>
        <v/>
      </c>
      <c r="AJ553" s="9" t="str">
        <f aca="false">IF($AK553=0,"",INDEX('Part types'!$Y:$Y,$AK553)&amp;"")</f>
        <v/>
      </c>
      <c r="AK553" s="9" t="n">
        <f aca="false">IFERROR(MATCH($AD553,'Part types'!$E:$E,0),0)</f>
        <v>378</v>
      </c>
    </row>
    <row r="554" customFormat="false" ht="15" hidden="false" customHeight="false" outlineLevel="0" collapsed="false">
      <c r="A554" s="9" t="s">
        <v>2352</v>
      </c>
      <c r="B554" s="9" t="s">
        <v>2336</v>
      </c>
      <c r="C554" s="9" t="s">
        <v>2353</v>
      </c>
      <c r="D554" s="9" t="str">
        <f aca="false">C554&amp;" - "&amp;E554</f>
        <v>Fuse Box - Universal</v>
      </c>
      <c r="E554" s="9" t="s">
        <v>68</v>
      </c>
      <c r="F554" s="9" t="s">
        <v>2338</v>
      </c>
      <c r="G554" s="10" t="n">
        <f aca="false">IF($AK554=0,"",INDEX('Part types'!$P:$P,$AK554))</f>
        <v>25</v>
      </c>
      <c r="H554" s="10" t="n">
        <f aca="false">IF($AK554=0,"",INDEX('Part types'!$Q:$Q,$AK554))</f>
        <v>15</v>
      </c>
      <c r="I554" s="10" t="n">
        <f aca="false">IF($AK554=0,"",INDEX('Part types'!$R:$R,$AK554))</f>
        <v>8</v>
      </c>
      <c r="J554" s="10" t="n">
        <f aca="false">IF($AK554=0,"",INDEX('Part types'!$S:$S,$AK554))</f>
        <v>1</v>
      </c>
      <c r="K554" s="11" t="s">
        <v>2339</v>
      </c>
      <c r="L554" s="11" t="s">
        <v>2354</v>
      </c>
      <c r="M554" s="11" t="str">
        <f aca="false">L554&amp;" - "&amp;N554</f>
        <v>صندوق الفيوزات - عام</v>
      </c>
      <c r="N554" s="11" t="s">
        <v>72</v>
      </c>
      <c r="O554" s="11" t="s">
        <v>2341</v>
      </c>
      <c r="P554" s="10" t="n">
        <f aca="false">G554</f>
        <v>25</v>
      </c>
      <c r="Q554" s="10" t="n">
        <f aca="false">H554</f>
        <v>15</v>
      </c>
      <c r="R554" s="10" t="n">
        <f aca="false">I554</f>
        <v>8</v>
      </c>
      <c r="S554" s="10" t="n">
        <f aca="false">J554</f>
        <v>1</v>
      </c>
      <c r="T554" s="12" t="s">
        <v>2342</v>
      </c>
      <c r="U554" s="12" t="s">
        <v>2355</v>
      </c>
      <c r="V554" s="9" t="str">
        <f aca="false">U554&amp;" - "&amp;W554</f>
        <v>保险丝盒 - 通用</v>
      </c>
      <c r="W554" s="12" t="s">
        <v>76</v>
      </c>
      <c r="X554" s="12" t="s">
        <v>2344</v>
      </c>
      <c r="Y554" s="10" t="n">
        <f aca="false">G554</f>
        <v>25</v>
      </c>
      <c r="Z554" s="10" t="n">
        <f aca="false">H554</f>
        <v>15</v>
      </c>
      <c r="AA554" s="10" t="n">
        <f aca="false">I554</f>
        <v>8</v>
      </c>
      <c r="AB554" s="10" t="n">
        <f aca="false">J554</f>
        <v>1</v>
      </c>
      <c r="AC554" s="9" t="s">
        <v>2345</v>
      </c>
      <c r="AD554" s="9" t="s">
        <v>2356</v>
      </c>
      <c r="AE554" s="9" t="str">
        <f aca="false">IF($AK554=0,"",INDEX('Part types'!$T:$T,$AK554)&amp;"")</f>
        <v>All vehicles</v>
      </c>
      <c r="AF554" s="9" t="str">
        <f aca="false">IF($AK554=0,"",INDEX('Part types'!$U:$U,$AK554)&amp;"")</f>
        <v/>
      </c>
      <c r="AG554" s="9" t="str">
        <f aca="false">IF($AK554=0,"",INDEX('Part types'!$V:$V,$AK554)&amp;"")</f>
        <v>Estimate: item-specific</v>
      </c>
      <c r="AH554" s="9" t="str">
        <f aca="false">IF($AK554=0,"",INDEX('Part types'!$W:$W,$AK554)&amp;"")</f>
        <v/>
      </c>
      <c r="AI554" s="11" t="str">
        <f aca="false">IF($AK554=0,"",INDEX('Part types'!$X:$X,$AK554)&amp;"")</f>
        <v/>
      </c>
      <c r="AJ554" s="9" t="str">
        <f aca="false">IF($AK554=0,"",INDEX('Part types'!$Y:$Y,$AK554)&amp;"")</f>
        <v/>
      </c>
      <c r="AK554" s="9" t="n">
        <f aca="false">IFERROR(MATCH($AD554,'Part types'!$E:$E,0),0)</f>
        <v>379</v>
      </c>
    </row>
    <row r="555" customFormat="false" ht="15" hidden="false" customHeight="false" outlineLevel="0" collapsed="false">
      <c r="A555" s="9" t="s">
        <v>2357</v>
      </c>
      <c r="B555" s="9" t="s">
        <v>2336</v>
      </c>
      <c r="C555" s="9" t="s">
        <v>2358</v>
      </c>
      <c r="D555" s="9" t="str">
        <f aca="false">C555&amp;" - "&amp;E555</f>
        <v>Relay - Universal</v>
      </c>
      <c r="E555" s="9" t="s">
        <v>68</v>
      </c>
      <c r="F555" s="9" t="s">
        <v>2338</v>
      </c>
      <c r="G555" s="10" t="n">
        <f aca="false">IF($AK555=0,"",INDEX('Part types'!$P:$P,$AK555))</f>
        <v>6</v>
      </c>
      <c r="H555" s="10" t="n">
        <f aca="false">IF($AK555=0,"",INDEX('Part types'!$Q:$Q,$AK555))</f>
        <v>4</v>
      </c>
      <c r="I555" s="10" t="n">
        <f aca="false">IF($AK555=0,"",INDEX('Part types'!$R:$R,$AK555))</f>
        <v>3</v>
      </c>
      <c r="J555" s="10" t="n">
        <f aca="false">IF($AK555=0,"",INDEX('Part types'!$S:$S,$AK555))</f>
        <v>0.02</v>
      </c>
      <c r="K555" s="11" t="s">
        <v>2339</v>
      </c>
      <c r="L555" s="11" t="s">
        <v>2359</v>
      </c>
      <c r="M555" s="11" t="str">
        <f aca="false">L555&amp;" - "&amp;N555</f>
        <v>ريليه - عام</v>
      </c>
      <c r="N555" s="11" t="s">
        <v>72</v>
      </c>
      <c r="O555" s="11" t="s">
        <v>2341</v>
      </c>
      <c r="P555" s="10" t="n">
        <f aca="false">G555</f>
        <v>6</v>
      </c>
      <c r="Q555" s="10" t="n">
        <f aca="false">H555</f>
        <v>4</v>
      </c>
      <c r="R555" s="10" t="n">
        <f aca="false">I555</f>
        <v>3</v>
      </c>
      <c r="S555" s="10" t="n">
        <f aca="false">J555</f>
        <v>0.02</v>
      </c>
      <c r="T555" s="12" t="s">
        <v>2342</v>
      </c>
      <c r="U555" s="12" t="s">
        <v>2360</v>
      </c>
      <c r="V555" s="9" t="str">
        <f aca="false">U555&amp;" - "&amp;W555</f>
        <v>继电器 - 通用</v>
      </c>
      <c r="W555" s="12" t="s">
        <v>76</v>
      </c>
      <c r="X555" s="12" t="s">
        <v>2344</v>
      </c>
      <c r="Y555" s="10" t="n">
        <f aca="false">G555</f>
        <v>6</v>
      </c>
      <c r="Z555" s="10" t="n">
        <f aca="false">H555</f>
        <v>4</v>
      </c>
      <c r="AA555" s="10" t="n">
        <f aca="false">I555</f>
        <v>3</v>
      </c>
      <c r="AB555" s="10" t="n">
        <f aca="false">J555</f>
        <v>0.02</v>
      </c>
      <c r="AC555" s="9" t="s">
        <v>2345</v>
      </c>
      <c r="AD555" s="9" t="s">
        <v>2361</v>
      </c>
      <c r="AE555" s="9" t="str">
        <f aca="false">IF($AK555=0,"",INDEX('Part types'!$T:$T,$AK555)&amp;"")</f>
        <v>All vehicles</v>
      </c>
      <c r="AF555" s="9" t="str">
        <f aca="false">IF($AK555=0,"",INDEX('Part types'!$U:$U,$AK555)&amp;"")</f>
        <v/>
      </c>
      <c r="AG555" s="9" t="str">
        <f aca="false">IF($AK555=0,"",INDEX('Part types'!$V:$V,$AK555)&amp;"")</f>
        <v>Estimate: size class T</v>
      </c>
      <c r="AH555" s="9" t="str">
        <f aca="false">IF($AK555=0,"",INDEX('Part types'!$W:$W,$AK555)&amp;"")</f>
        <v/>
      </c>
      <c r="AI555" s="11" t="str">
        <f aca="false">IF($AK555=0,"",INDEX('Part types'!$X:$X,$AK555)&amp;"")</f>
        <v/>
      </c>
      <c r="AJ555" s="9" t="str">
        <f aca="false">IF($AK555=0,"",INDEX('Part types'!$Y:$Y,$AK555)&amp;"")</f>
        <v/>
      </c>
      <c r="AK555" s="9" t="n">
        <f aca="false">IFERROR(MATCH($AD555,'Part types'!$E:$E,0),0)</f>
        <v>380</v>
      </c>
    </row>
    <row r="556" customFormat="false" ht="15" hidden="false" customHeight="false" outlineLevel="0" collapsed="false">
      <c r="A556" s="9" t="s">
        <v>2362</v>
      </c>
      <c r="B556" s="9" t="s">
        <v>2336</v>
      </c>
      <c r="C556" s="9" t="s">
        <v>2363</v>
      </c>
      <c r="D556" s="9" t="str">
        <f aca="false">C556&amp;" - "&amp;E556</f>
        <v>Relay Socket - Universal</v>
      </c>
      <c r="E556" s="9" t="s">
        <v>68</v>
      </c>
      <c r="F556" s="9" t="s">
        <v>2338</v>
      </c>
      <c r="G556" s="10" t="n">
        <f aca="false">IF($AK556=0,"",INDEX('Part types'!$P:$P,$AK556))</f>
        <v>10</v>
      </c>
      <c r="H556" s="10" t="n">
        <f aca="false">IF($AK556=0,"",INDEX('Part types'!$Q:$Q,$AK556))</f>
        <v>8</v>
      </c>
      <c r="I556" s="10" t="n">
        <f aca="false">IF($AK556=0,"",INDEX('Part types'!$R:$R,$AK556))</f>
        <v>6</v>
      </c>
      <c r="J556" s="10" t="n">
        <f aca="false">IF($AK556=0,"",INDEX('Part types'!$S:$S,$AK556))</f>
        <v>0.1</v>
      </c>
      <c r="K556" s="11" t="s">
        <v>2339</v>
      </c>
      <c r="L556" s="11" t="s">
        <v>2364</v>
      </c>
      <c r="M556" s="11" t="str">
        <f aca="false">L556&amp;" - "&amp;N556</f>
        <v>قاعدة الريليه - عام</v>
      </c>
      <c r="N556" s="11" t="s">
        <v>72</v>
      </c>
      <c r="O556" s="11" t="s">
        <v>2341</v>
      </c>
      <c r="P556" s="10" t="n">
        <f aca="false">G556</f>
        <v>10</v>
      </c>
      <c r="Q556" s="10" t="n">
        <f aca="false">H556</f>
        <v>8</v>
      </c>
      <c r="R556" s="10" t="n">
        <f aca="false">I556</f>
        <v>6</v>
      </c>
      <c r="S556" s="10" t="n">
        <f aca="false">J556</f>
        <v>0.1</v>
      </c>
      <c r="T556" s="12" t="s">
        <v>2342</v>
      </c>
      <c r="U556" s="12" t="s">
        <v>2365</v>
      </c>
      <c r="V556" s="9" t="str">
        <f aca="false">U556&amp;" - "&amp;W556</f>
        <v>继电器底座 - 通用</v>
      </c>
      <c r="W556" s="12" t="s">
        <v>76</v>
      </c>
      <c r="X556" s="12" t="s">
        <v>2344</v>
      </c>
      <c r="Y556" s="10" t="n">
        <f aca="false">G556</f>
        <v>10</v>
      </c>
      <c r="Z556" s="10" t="n">
        <f aca="false">H556</f>
        <v>8</v>
      </c>
      <c r="AA556" s="10" t="n">
        <f aca="false">I556</f>
        <v>6</v>
      </c>
      <c r="AB556" s="10" t="n">
        <f aca="false">J556</f>
        <v>0.1</v>
      </c>
      <c r="AC556" s="9" t="s">
        <v>2345</v>
      </c>
      <c r="AD556" s="9" t="s">
        <v>2366</v>
      </c>
      <c r="AE556" s="9" t="str">
        <f aca="false">IF($AK556=0,"",INDEX('Part types'!$T:$T,$AK556)&amp;"")</f>
        <v>All vehicles</v>
      </c>
      <c r="AF556" s="9" t="str">
        <f aca="false">IF($AK556=0,"",INDEX('Part types'!$U:$U,$AK556)&amp;"")</f>
        <v/>
      </c>
      <c r="AG556" s="9" t="str">
        <f aca="false">IF($AK556=0,"",INDEX('Part types'!$V:$V,$AK556)&amp;"")</f>
        <v>Estimate: size class XS</v>
      </c>
      <c r="AH556" s="9" t="str">
        <f aca="false">IF($AK556=0,"",INDEX('Part types'!$W:$W,$AK556)&amp;"")</f>
        <v/>
      </c>
      <c r="AI556" s="11" t="str">
        <f aca="false">IF($AK556=0,"",INDEX('Part types'!$X:$X,$AK556)&amp;"")</f>
        <v/>
      </c>
      <c r="AJ556" s="9" t="str">
        <f aca="false">IF($AK556=0,"",INDEX('Part types'!$Y:$Y,$AK556)&amp;"")</f>
        <v/>
      </c>
      <c r="AK556" s="9" t="n">
        <f aca="false">IFERROR(MATCH($AD556,'Part types'!$E:$E,0),0)</f>
        <v>381</v>
      </c>
    </row>
    <row r="557" customFormat="false" ht="15" hidden="false" customHeight="false" outlineLevel="0" collapsed="false">
      <c r="A557" s="9" t="s">
        <v>2367</v>
      </c>
      <c r="B557" s="9" t="s">
        <v>2336</v>
      </c>
      <c r="C557" s="9" t="s">
        <v>2368</v>
      </c>
      <c r="D557" s="9" t="str">
        <f aca="false">C557&amp;" - "&amp;E557</f>
        <v>Flasher Relay - Universal</v>
      </c>
      <c r="E557" s="9" t="s">
        <v>68</v>
      </c>
      <c r="F557" s="9" t="s">
        <v>2338</v>
      </c>
      <c r="G557" s="10" t="n">
        <f aca="false">IF($AK557=0,"",INDEX('Part types'!$P:$P,$AK557))</f>
        <v>10</v>
      </c>
      <c r="H557" s="10" t="n">
        <f aca="false">IF($AK557=0,"",INDEX('Part types'!$Q:$Q,$AK557))</f>
        <v>8</v>
      </c>
      <c r="I557" s="10" t="n">
        <f aca="false">IF($AK557=0,"",INDEX('Part types'!$R:$R,$AK557))</f>
        <v>6</v>
      </c>
      <c r="J557" s="10" t="n">
        <f aca="false">IF($AK557=0,"",INDEX('Part types'!$S:$S,$AK557))</f>
        <v>0.1</v>
      </c>
      <c r="K557" s="11" t="s">
        <v>2339</v>
      </c>
      <c r="L557" s="11" t="s">
        <v>2369</v>
      </c>
      <c r="M557" s="11" t="str">
        <f aca="false">L557&amp;" - "&amp;N557</f>
        <v>فلاشر الإشارات - عام</v>
      </c>
      <c r="N557" s="11" t="s">
        <v>72</v>
      </c>
      <c r="O557" s="11" t="s">
        <v>2341</v>
      </c>
      <c r="P557" s="10" t="n">
        <f aca="false">G557</f>
        <v>10</v>
      </c>
      <c r="Q557" s="10" t="n">
        <f aca="false">H557</f>
        <v>8</v>
      </c>
      <c r="R557" s="10" t="n">
        <f aca="false">I557</f>
        <v>6</v>
      </c>
      <c r="S557" s="10" t="n">
        <f aca="false">J557</f>
        <v>0.1</v>
      </c>
      <c r="T557" s="12" t="s">
        <v>2342</v>
      </c>
      <c r="U557" s="12" t="s">
        <v>2370</v>
      </c>
      <c r="V557" s="9" t="str">
        <f aca="false">U557&amp;" - "&amp;W557</f>
        <v>闪光继电器 - 通用</v>
      </c>
      <c r="W557" s="12" t="s">
        <v>76</v>
      </c>
      <c r="X557" s="12" t="s">
        <v>2344</v>
      </c>
      <c r="Y557" s="10" t="n">
        <f aca="false">G557</f>
        <v>10</v>
      </c>
      <c r="Z557" s="10" t="n">
        <f aca="false">H557</f>
        <v>8</v>
      </c>
      <c r="AA557" s="10" t="n">
        <f aca="false">I557</f>
        <v>6</v>
      </c>
      <c r="AB557" s="10" t="n">
        <f aca="false">J557</f>
        <v>0.1</v>
      </c>
      <c r="AC557" s="9" t="s">
        <v>2345</v>
      </c>
      <c r="AD557" s="9" t="s">
        <v>2371</v>
      </c>
      <c r="AE557" s="9" t="str">
        <f aca="false">IF($AK557=0,"",INDEX('Part types'!$T:$T,$AK557)&amp;"")</f>
        <v>All vehicles</v>
      </c>
      <c r="AF557" s="9" t="str">
        <f aca="false">IF($AK557=0,"",INDEX('Part types'!$U:$U,$AK557)&amp;"")</f>
        <v/>
      </c>
      <c r="AG557" s="9" t="str">
        <f aca="false">IF($AK557=0,"",INDEX('Part types'!$V:$V,$AK557)&amp;"")</f>
        <v>Estimate: size class XS</v>
      </c>
      <c r="AH557" s="9" t="str">
        <f aca="false">IF($AK557=0,"",INDEX('Part types'!$W:$W,$AK557)&amp;"")</f>
        <v/>
      </c>
      <c r="AI557" s="11" t="str">
        <f aca="false">IF($AK557=0,"",INDEX('Part types'!$X:$X,$AK557)&amp;"")</f>
        <v/>
      </c>
      <c r="AJ557" s="9" t="str">
        <f aca="false">IF($AK557=0,"",INDEX('Part types'!$Y:$Y,$AK557)&amp;"")</f>
        <v/>
      </c>
      <c r="AK557" s="9" t="n">
        <f aca="false">IFERROR(MATCH($AD557,'Part types'!$E:$E,0),0)</f>
        <v>382</v>
      </c>
    </row>
    <row r="558" customFormat="false" ht="15" hidden="false" customHeight="false" outlineLevel="0" collapsed="false">
      <c r="A558" s="9" t="s">
        <v>2372</v>
      </c>
      <c r="B558" s="9" t="s">
        <v>2336</v>
      </c>
      <c r="C558" s="9" t="s">
        <v>2373</v>
      </c>
      <c r="D558" s="9" t="str">
        <f aca="false">C558&amp;" - "&amp;E558</f>
        <v>Engine Wiring Harness - Universal</v>
      </c>
      <c r="E558" s="9" t="s">
        <v>68</v>
      </c>
      <c r="F558" s="9" t="s">
        <v>2336</v>
      </c>
      <c r="G558" s="10" t="n">
        <f aca="false">IF($AK558=0,"",INDEX('Part types'!$P:$P,$AK558))</f>
        <v>50</v>
      </c>
      <c r="H558" s="10" t="n">
        <f aca="false">IF($AK558=0,"",INDEX('Part types'!$Q:$Q,$AK558))</f>
        <v>40</v>
      </c>
      <c r="I558" s="10" t="n">
        <f aca="false">IF($AK558=0,"",INDEX('Part types'!$R:$R,$AK558))</f>
        <v>10</v>
      </c>
      <c r="J558" s="10" t="n">
        <f aca="false">IF($AK558=0,"",INDEX('Part types'!$S:$S,$AK558))</f>
        <v>3.5</v>
      </c>
      <c r="K558" s="11" t="s">
        <v>2339</v>
      </c>
      <c r="L558" s="11" t="s">
        <v>2374</v>
      </c>
      <c r="M558" s="11" t="str">
        <f aca="false">L558&amp;" - "&amp;N558</f>
        <v>ضفيرة أسلاك المحرك - عام</v>
      </c>
      <c r="N558" s="11" t="s">
        <v>72</v>
      </c>
      <c r="O558" s="11" t="s">
        <v>2375</v>
      </c>
      <c r="P558" s="10" t="n">
        <f aca="false">G558</f>
        <v>50</v>
      </c>
      <c r="Q558" s="10" t="n">
        <f aca="false">H558</f>
        <v>40</v>
      </c>
      <c r="R558" s="10" t="n">
        <f aca="false">I558</f>
        <v>10</v>
      </c>
      <c r="S558" s="10" t="n">
        <f aca="false">J558</f>
        <v>3.5</v>
      </c>
      <c r="T558" s="12" t="s">
        <v>2342</v>
      </c>
      <c r="U558" s="12" t="s">
        <v>2376</v>
      </c>
      <c r="V558" s="9" t="str">
        <f aca="false">U558&amp;" - "&amp;W558</f>
        <v>发动机线束 - 通用</v>
      </c>
      <c r="W558" s="12" t="s">
        <v>76</v>
      </c>
      <c r="X558" s="12" t="s">
        <v>2377</v>
      </c>
      <c r="Y558" s="10" t="n">
        <f aca="false">G558</f>
        <v>50</v>
      </c>
      <c r="Z558" s="10" t="n">
        <f aca="false">H558</f>
        <v>40</v>
      </c>
      <c r="AA558" s="10" t="n">
        <f aca="false">I558</f>
        <v>10</v>
      </c>
      <c r="AB558" s="10" t="n">
        <f aca="false">J558</f>
        <v>3.5</v>
      </c>
      <c r="AC558" s="9" t="s">
        <v>2345</v>
      </c>
      <c r="AD558" s="9" t="s">
        <v>2378</v>
      </c>
      <c r="AE558" s="9" t="str">
        <f aca="false">IF($AK558=0,"",INDEX('Part types'!$T:$T,$AK558)&amp;"")</f>
        <v>Combustion engine (petrol, diesel, hybrid, range extender)</v>
      </c>
      <c r="AF558" s="9" t="str">
        <f aca="false">IF($AK558=0,"",INDEX('Part types'!$U:$U,$AK558)&amp;"")</f>
        <v/>
      </c>
      <c r="AG558" s="9" t="str">
        <f aca="false">IF($AK558=0,"",INDEX('Part types'!$V:$V,$AK558)&amp;"")</f>
        <v>Estimate: item-specific</v>
      </c>
      <c r="AH558" s="9" t="str">
        <f aca="false">IF($AK558=0,"",INDEX('Part types'!$W:$W,$AK558)&amp;"")</f>
        <v/>
      </c>
      <c r="AI558" s="11" t="str">
        <f aca="false">IF($AK558=0,"",INDEX('Part types'!$X:$X,$AK558)&amp;"")</f>
        <v/>
      </c>
      <c r="AJ558" s="9" t="str">
        <f aca="false">IF($AK558=0,"",INDEX('Part types'!$Y:$Y,$AK558)&amp;"")</f>
        <v/>
      </c>
      <c r="AK558" s="9" t="n">
        <f aca="false">IFERROR(MATCH($AD558,'Part types'!$E:$E,0),0)</f>
        <v>383</v>
      </c>
    </row>
    <row r="559" customFormat="false" ht="15" hidden="false" customHeight="false" outlineLevel="0" collapsed="false">
      <c r="A559" s="9" t="s">
        <v>2379</v>
      </c>
      <c r="B559" s="9" t="s">
        <v>2336</v>
      </c>
      <c r="C559" s="9" t="s">
        <v>2380</v>
      </c>
      <c r="D559" s="9" t="str">
        <f aca="false">C559&amp;" - "&amp;E559</f>
        <v>Dashboard Wiring Harness - Universal</v>
      </c>
      <c r="E559" s="9" t="s">
        <v>68</v>
      </c>
      <c r="F559" s="9" t="s">
        <v>2336</v>
      </c>
      <c r="G559" s="10" t="n">
        <f aca="false">IF($AK559=0,"",INDEX('Part types'!$P:$P,$AK559))</f>
        <v>80</v>
      </c>
      <c r="H559" s="10" t="n">
        <f aca="false">IF($AK559=0,"",INDEX('Part types'!$Q:$Q,$AK559))</f>
        <v>40</v>
      </c>
      <c r="I559" s="10" t="n">
        <f aca="false">IF($AK559=0,"",INDEX('Part types'!$R:$R,$AK559))</f>
        <v>15</v>
      </c>
      <c r="J559" s="10" t="n">
        <f aca="false">IF($AK559=0,"",INDEX('Part types'!$S:$S,$AK559))</f>
        <v>5</v>
      </c>
      <c r="K559" s="11" t="s">
        <v>2339</v>
      </c>
      <c r="L559" s="11" t="s">
        <v>2381</v>
      </c>
      <c r="M559" s="11" t="str">
        <f aca="false">L559&amp;" - "&amp;N559</f>
        <v>ضفيرة أسلاك لوحة القيادة - عام</v>
      </c>
      <c r="N559" s="11" t="s">
        <v>72</v>
      </c>
      <c r="O559" s="11" t="s">
        <v>2375</v>
      </c>
      <c r="P559" s="10" t="n">
        <f aca="false">G559</f>
        <v>80</v>
      </c>
      <c r="Q559" s="10" t="n">
        <f aca="false">H559</f>
        <v>40</v>
      </c>
      <c r="R559" s="10" t="n">
        <f aca="false">I559</f>
        <v>15</v>
      </c>
      <c r="S559" s="10" t="n">
        <f aca="false">J559</f>
        <v>5</v>
      </c>
      <c r="T559" s="12" t="s">
        <v>2342</v>
      </c>
      <c r="U559" s="12" t="s">
        <v>2382</v>
      </c>
      <c r="V559" s="9" t="str">
        <f aca="false">U559&amp;" - "&amp;W559</f>
        <v>仪表台线束 - 通用</v>
      </c>
      <c r="W559" s="12" t="s">
        <v>76</v>
      </c>
      <c r="X559" s="12" t="s">
        <v>2377</v>
      </c>
      <c r="Y559" s="10" t="n">
        <f aca="false">G559</f>
        <v>80</v>
      </c>
      <c r="Z559" s="10" t="n">
        <f aca="false">H559</f>
        <v>40</v>
      </c>
      <c r="AA559" s="10" t="n">
        <f aca="false">I559</f>
        <v>15</v>
      </c>
      <c r="AB559" s="10" t="n">
        <f aca="false">J559</f>
        <v>5</v>
      </c>
      <c r="AC559" s="9" t="s">
        <v>2345</v>
      </c>
      <c r="AD559" s="9" t="s">
        <v>2383</v>
      </c>
      <c r="AE559" s="9" t="str">
        <f aca="false">IF($AK559=0,"",INDEX('Part types'!$T:$T,$AK559)&amp;"")</f>
        <v>All vehicles</v>
      </c>
      <c r="AF559" s="9" t="str">
        <f aca="false">IF($AK559=0,"",INDEX('Part types'!$U:$U,$AK559)&amp;"")</f>
        <v/>
      </c>
      <c r="AG559" s="9" t="str">
        <f aca="false">IF($AK559=0,"",INDEX('Part types'!$V:$V,$AK559)&amp;"")</f>
        <v>Estimate: item-specific</v>
      </c>
      <c r="AH559" s="9" t="str">
        <f aca="false">IF($AK559=0,"",INDEX('Part types'!$W:$W,$AK559)&amp;"")</f>
        <v/>
      </c>
      <c r="AI559" s="11" t="str">
        <f aca="false">IF($AK559=0,"",INDEX('Part types'!$X:$X,$AK559)&amp;"")</f>
        <v/>
      </c>
      <c r="AJ559" s="9" t="str">
        <f aca="false">IF($AK559=0,"",INDEX('Part types'!$Y:$Y,$AK559)&amp;"")</f>
        <v/>
      </c>
      <c r="AK559" s="9" t="n">
        <f aca="false">IFERROR(MATCH($AD559,'Part types'!$E:$E,0),0)</f>
        <v>384</v>
      </c>
    </row>
    <row r="560" customFormat="false" ht="15" hidden="false" customHeight="false" outlineLevel="0" collapsed="false">
      <c r="A560" s="9" t="s">
        <v>2384</v>
      </c>
      <c r="B560" s="9" t="s">
        <v>2336</v>
      </c>
      <c r="C560" s="9" t="s">
        <v>2385</v>
      </c>
      <c r="D560" s="9" t="str">
        <f aca="false">C560&amp;" - "&amp;E560</f>
        <v>Door Wiring Harness - Front-Left</v>
      </c>
      <c r="E560" s="9" t="s">
        <v>1346</v>
      </c>
      <c r="F560" s="9" t="s">
        <v>2336</v>
      </c>
      <c r="G560" s="10" t="n">
        <f aca="false">IF($AK560=0,"",INDEX('Part types'!$P:$P,$AK560))</f>
        <v>30</v>
      </c>
      <c r="H560" s="10" t="n">
        <f aca="false">IF($AK560=0,"",INDEX('Part types'!$Q:$Q,$AK560))</f>
        <v>20</v>
      </c>
      <c r="I560" s="10" t="n">
        <f aca="false">IF($AK560=0,"",INDEX('Part types'!$R:$R,$AK560))</f>
        <v>15</v>
      </c>
      <c r="J560" s="10" t="n">
        <f aca="false">IF($AK560=0,"",INDEX('Part types'!$S:$S,$AK560))</f>
        <v>1.8</v>
      </c>
      <c r="K560" s="11" t="s">
        <v>2339</v>
      </c>
      <c r="L560" s="11" t="s">
        <v>2386</v>
      </c>
      <c r="M560" s="11" t="str">
        <f aca="false">L560&amp;" - "&amp;N560</f>
        <v>ضفيرة أسلاك الباب - أمامي يسار</v>
      </c>
      <c r="N560" s="11" t="s">
        <v>1349</v>
      </c>
      <c r="O560" s="11" t="s">
        <v>2375</v>
      </c>
      <c r="P560" s="10" t="n">
        <f aca="false">G560</f>
        <v>30</v>
      </c>
      <c r="Q560" s="10" t="n">
        <f aca="false">H560</f>
        <v>20</v>
      </c>
      <c r="R560" s="10" t="n">
        <f aca="false">I560</f>
        <v>15</v>
      </c>
      <c r="S560" s="10" t="n">
        <f aca="false">J560</f>
        <v>1.8</v>
      </c>
      <c r="T560" s="12" t="s">
        <v>2342</v>
      </c>
      <c r="U560" s="12" t="s">
        <v>2387</v>
      </c>
      <c r="V560" s="9" t="str">
        <f aca="false">U560&amp;" - "&amp;W560</f>
        <v>车门线束 - 前左</v>
      </c>
      <c r="W560" s="12" t="s">
        <v>1352</v>
      </c>
      <c r="X560" s="12" t="s">
        <v>2377</v>
      </c>
      <c r="Y560" s="10" t="n">
        <f aca="false">G560</f>
        <v>30</v>
      </c>
      <c r="Z560" s="10" t="n">
        <f aca="false">H560</f>
        <v>20</v>
      </c>
      <c r="AA560" s="10" t="n">
        <f aca="false">I560</f>
        <v>15</v>
      </c>
      <c r="AB560" s="10" t="n">
        <f aca="false">J560</f>
        <v>1.8</v>
      </c>
      <c r="AC560" s="9" t="s">
        <v>2345</v>
      </c>
      <c r="AD560" s="9" t="s">
        <v>2388</v>
      </c>
      <c r="AE560" s="9" t="str">
        <f aca="false">IF($AK560=0,"",INDEX('Part types'!$T:$T,$AK560)&amp;"")</f>
        <v>All vehicles</v>
      </c>
      <c r="AF560" s="9" t="str">
        <f aca="false">IF($AK560=0,"",INDEX('Part types'!$U:$U,$AK560)&amp;"")</f>
        <v/>
      </c>
      <c r="AG560" s="9" t="str">
        <f aca="false">IF($AK560=0,"",INDEX('Part types'!$V:$V,$AK560)&amp;"")</f>
        <v>Estimate: size class M2</v>
      </c>
      <c r="AH560" s="9" t="str">
        <f aca="false">IF($AK560=0,"",INDEX('Part types'!$W:$W,$AK560)&amp;"")</f>
        <v/>
      </c>
      <c r="AI560" s="11" t="str">
        <f aca="false">IF($AK560=0,"",INDEX('Part types'!$X:$X,$AK560)&amp;"")</f>
        <v/>
      </c>
      <c r="AJ560" s="9" t="str">
        <f aca="false">IF($AK560=0,"",INDEX('Part types'!$Y:$Y,$AK560)&amp;"")</f>
        <v/>
      </c>
      <c r="AK560" s="9" t="n">
        <f aca="false">IFERROR(MATCH($AD560,'Part types'!$E:$E,0),0)</f>
        <v>385</v>
      </c>
    </row>
    <row r="561" customFormat="false" ht="15" hidden="false" customHeight="false" outlineLevel="0" collapsed="false">
      <c r="A561" s="9" t="s">
        <v>2389</v>
      </c>
      <c r="B561" s="9" t="s">
        <v>2336</v>
      </c>
      <c r="C561" s="9" t="s">
        <v>2385</v>
      </c>
      <c r="D561" s="9" t="str">
        <f aca="false">C561&amp;" - "&amp;E561</f>
        <v>Door Wiring Harness - Front-Right</v>
      </c>
      <c r="E561" s="9" t="s">
        <v>1356</v>
      </c>
      <c r="F561" s="9" t="s">
        <v>2336</v>
      </c>
      <c r="G561" s="10" t="n">
        <f aca="false">IF($AK561=0,"",INDEX('Part types'!$P:$P,$AK561))</f>
        <v>30</v>
      </c>
      <c r="H561" s="10" t="n">
        <f aca="false">IF($AK561=0,"",INDEX('Part types'!$Q:$Q,$AK561))</f>
        <v>20</v>
      </c>
      <c r="I561" s="10" t="n">
        <f aca="false">IF($AK561=0,"",INDEX('Part types'!$R:$R,$AK561))</f>
        <v>15</v>
      </c>
      <c r="J561" s="10" t="n">
        <f aca="false">IF($AK561=0,"",INDEX('Part types'!$S:$S,$AK561))</f>
        <v>1.8</v>
      </c>
      <c r="K561" s="11" t="s">
        <v>2339</v>
      </c>
      <c r="L561" s="11" t="s">
        <v>2386</v>
      </c>
      <c r="M561" s="11" t="str">
        <f aca="false">L561&amp;" - "&amp;N561</f>
        <v>ضفيرة أسلاك الباب - أمامي يمين</v>
      </c>
      <c r="N561" s="11" t="s">
        <v>1357</v>
      </c>
      <c r="O561" s="11" t="s">
        <v>2375</v>
      </c>
      <c r="P561" s="10" t="n">
        <f aca="false">G561</f>
        <v>30</v>
      </c>
      <c r="Q561" s="10" t="n">
        <f aca="false">H561</f>
        <v>20</v>
      </c>
      <c r="R561" s="10" t="n">
        <f aca="false">I561</f>
        <v>15</v>
      </c>
      <c r="S561" s="10" t="n">
        <f aca="false">J561</f>
        <v>1.8</v>
      </c>
      <c r="T561" s="12" t="s">
        <v>2342</v>
      </c>
      <c r="U561" s="12" t="s">
        <v>2387</v>
      </c>
      <c r="V561" s="9" t="str">
        <f aca="false">U561&amp;" - "&amp;W561</f>
        <v>车门线束 - 前右</v>
      </c>
      <c r="W561" s="12" t="s">
        <v>1358</v>
      </c>
      <c r="X561" s="12" t="s">
        <v>2377</v>
      </c>
      <c r="Y561" s="10" t="n">
        <f aca="false">G561</f>
        <v>30</v>
      </c>
      <c r="Z561" s="10" t="n">
        <f aca="false">H561</f>
        <v>20</v>
      </c>
      <c r="AA561" s="10" t="n">
        <f aca="false">I561</f>
        <v>15</v>
      </c>
      <c r="AB561" s="10" t="n">
        <f aca="false">J561</f>
        <v>1.8</v>
      </c>
      <c r="AC561" s="9" t="s">
        <v>2345</v>
      </c>
      <c r="AD561" s="9" t="s">
        <v>2388</v>
      </c>
      <c r="AE561" s="9" t="str">
        <f aca="false">IF($AK561=0,"",INDEX('Part types'!$T:$T,$AK561)&amp;"")</f>
        <v>All vehicles</v>
      </c>
      <c r="AF561" s="9" t="str">
        <f aca="false">IF($AK561=0,"",INDEX('Part types'!$U:$U,$AK561)&amp;"")</f>
        <v/>
      </c>
      <c r="AG561" s="9" t="str">
        <f aca="false">IF($AK561=0,"",INDEX('Part types'!$V:$V,$AK561)&amp;"")</f>
        <v>Estimate: size class M2</v>
      </c>
      <c r="AH561" s="9" t="str">
        <f aca="false">IF($AK561=0,"",INDEX('Part types'!$W:$W,$AK561)&amp;"")</f>
        <v/>
      </c>
      <c r="AI561" s="11" t="str">
        <f aca="false">IF($AK561=0,"",INDEX('Part types'!$X:$X,$AK561)&amp;"")</f>
        <v/>
      </c>
      <c r="AJ561" s="9" t="str">
        <f aca="false">IF($AK561=0,"",INDEX('Part types'!$Y:$Y,$AK561)&amp;"")</f>
        <v/>
      </c>
      <c r="AK561" s="9" t="n">
        <f aca="false">IFERROR(MATCH($AD561,'Part types'!$E:$E,0),0)</f>
        <v>385</v>
      </c>
    </row>
    <row r="562" customFormat="false" ht="15" hidden="false" customHeight="false" outlineLevel="0" collapsed="false">
      <c r="A562" s="9" t="s">
        <v>2390</v>
      </c>
      <c r="B562" s="9" t="s">
        <v>2336</v>
      </c>
      <c r="C562" s="9" t="s">
        <v>2385</v>
      </c>
      <c r="D562" s="9" t="str">
        <f aca="false">C562&amp;" - "&amp;E562</f>
        <v>Door Wiring Harness - Rear-Left</v>
      </c>
      <c r="E562" s="9" t="s">
        <v>1360</v>
      </c>
      <c r="F562" s="9" t="s">
        <v>2336</v>
      </c>
      <c r="G562" s="10" t="n">
        <f aca="false">IF($AK562=0,"",INDEX('Part types'!$P:$P,$AK562))</f>
        <v>30</v>
      </c>
      <c r="H562" s="10" t="n">
        <f aca="false">IF($AK562=0,"",INDEX('Part types'!$Q:$Q,$AK562))</f>
        <v>20</v>
      </c>
      <c r="I562" s="10" t="n">
        <f aca="false">IF($AK562=0,"",INDEX('Part types'!$R:$R,$AK562))</f>
        <v>15</v>
      </c>
      <c r="J562" s="10" t="n">
        <f aca="false">IF($AK562=0,"",INDEX('Part types'!$S:$S,$AK562))</f>
        <v>1.8</v>
      </c>
      <c r="K562" s="11" t="s">
        <v>2339</v>
      </c>
      <c r="L562" s="11" t="s">
        <v>2386</v>
      </c>
      <c r="M562" s="11" t="str">
        <f aca="false">L562&amp;" - "&amp;N562</f>
        <v>ضفيرة أسلاك الباب - خلفي يسار</v>
      </c>
      <c r="N562" s="11" t="s">
        <v>1361</v>
      </c>
      <c r="O562" s="11" t="s">
        <v>2375</v>
      </c>
      <c r="P562" s="10" t="n">
        <f aca="false">G562</f>
        <v>30</v>
      </c>
      <c r="Q562" s="10" t="n">
        <f aca="false">H562</f>
        <v>20</v>
      </c>
      <c r="R562" s="10" t="n">
        <f aca="false">I562</f>
        <v>15</v>
      </c>
      <c r="S562" s="10" t="n">
        <f aca="false">J562</f>
        <v>1.8</v>
      </c>
      <c r="T562" s="12" t="s">
        <v>2342</v>
      </c>
      <c r="U562" s="12" t="s">
        <v>2387</v>
      </c>
      <c r="V562" s="9" t="str">
        <f aca="false">U562&amp;" - "&amp;W562</f>
        <v>车门线束 - 后左</v>
      </c>
      <c r="W562" s="12" t="s">
        <v>1362</v>
      </c>
      <c r="X562" s="12" t="s">
        <v>2377</v>
      </c>
      <c r="Y562" s="10" t="n">
        <f aca="false">G562</f>
        <v>30</v>
      </c>
      <c r="Z562" s="10" t="n">
        <f aca="false">H562</f>
        <v>20</v>
      </c>
      <c r="AA562" s="10" t="n">
        <f aca="false">I562</f>
        <v>15</v>
      </c>
      <c r="AB562" s="10" t="n">
        <f aca="false">J562</f>
        <v>1.8</v>
      </c>
      <c r="AC562" s="9" t="s">
        <v>2345</v>
      </c>
      <c r="AD562" s="9" t="s">
        <v>2388</v>
      </c>
      <c r="AE562" s="9" t="str">
        <f aca="false">IF($AK562=0,"",INDEX('Part types'!$T:$T,$AK562)&amp;"")</f>
        <v>All vehicles</v>
      </c>
      <c r="AF562" s="9" t="str">
        <f aca="false">IF($AK562=0,"",INDEX('Part types'!$U:$U,$AK562)&amp;"")</f>
        <v/>
      </c>
      <c r="AG562" s="9" t="str">
        <f aca="false">IF($AK562=0,"",INDEX('Part types'!$V:$V,$AK562)&amp;"")</f>
        <v>Estimate: size class M2</v>
      </c>
      <c r="AH562" s="9" t="str">
        <f aca="false">IF($AK562=0,"",INDEX('Part types'!$W:$W,$AK562)&amp;"")</f>
        <v/>
      </c>
      <c r="AI562" s="11" t="str">
        <f aca="false">IF($AK562=0,"",INDEX('Part types'!$X:$X,$AK562)&amp;"")</f>
        <v/>
      </c>
      <c r="AJ562" s="9" t="str">
        <f aca="false">IF($AK562=0,"",INDEX('Part types'!$Y:$Y,$AK562)&amp;"")</f>
        <v/>
      </c>
      <c r="AK562" s="9" t="n">
        <f aca="false">IFERROR(MATCH($AD562,'Part types'!$E:$E,0),0)</f>
        <v>385</v>
      </c>
    </row>
    <row r="563" customFormat="false" ht="15" hidden="false" customHeight="false" outlineLevel="0" collapsed="false">
      <c r="A563" s="9" t="s">
        <v>2391</v>
      </c>
      <c r="B563" s="9" t="s">
        <v>2336</v>
      </c>
      <c r="C563" s="9" t="s">
        <v>2385</v>
      </c>
      <c r="D563" s="9" t="str">
        <f aca="false">C563&amp;" - "&amp;E563</f>
        <v>Door Wiring Harness - Rear-Right</v>
      </c>
      <c r="E563" s="9" t="s">
        <v>1364</v>
      </c>
      <c r="F563" s="9" t="s">
        <v>2336</v>
      </c>
      <c r="G563" s="10" t="n">
        <f aca="false">IF($AK563=0,"",INDEX('Part types'!$P:$P,$AK563))</f>
        <v>30</v>
      </c>
      <c r="H563" s="10" t="n">
        <f aca="false">IF($AK563=0,"",INDEX('Part types'!$Q:$Q,$AK563))</f>
        <v>20</v>
      </c>
      <c r="I563" s="10" t="n">
        <f aca="false">IF($AK563=0,"",INDEX('Part types'!$R:$R,$AK563))</f>
        <v>15</v>
      </c>
      <c r="J563" s="10" t="n">
        <f aca="false">IF($AK563=0,"",INDEX('Part types'!$S:$S,$AK563))</f>
        <v>1.8</v>
      </c>
      <c r="K563" s="11" t="s">
        <v>2339</v>
      </c>
      <c r="L563" s="11" t="s">
        <v>2386</v>
      </c>
      <c r="M563" s="11" t="str">
        <f aca="false">L563&amp;" - "&amp;N563</f>
        <v>ضفيرة أسلاك الباب - خلفي يمين</v>
      </c>
      <c r="N563" s="11" t="s">
        <v>1365</v>
      </c>
      <c r="O563" s="11" t="s">
        <v>2375</v>
      </c>
      <c r="P563" s="10" t="n">
        <f aca="false">G563</f>
        <v>30</v>
      </c>
      <c r="Q563" s="10" t="n">
        <f aca="false">H563</f>
        <v>20</v>
      </c>
      <c r="R563" s="10" t="n">
        <f aca="false">I563</f>
        <v>15</v>
      </c>
      <c r="S563" s="10" t="n">
        <f aca="false">J563</f>
        <v>1.8</v>
      </c>
      <c r="T563" s="12" t="s">
        <v>2342</v>
      </c>
      <c r="U563" s="12" t="s">
        <v>2387</v>
      </c>
      <c r="V563" s="9" t="str">
        <f aca="false">U563&amp;" - "&amp;W563</f>
        <v>车门线束 - 后右</v>
      </c>
      <c r="W563" s="12" t="s">
        <v>1366</v>
      </c>
      <c r="X563" s="12" t="s">
        <v>2377</v>
      </c>
      <c r="Y563" s="10" t="n">
        <f aca="false">G563</f>
        <v>30</v>
      </c>
      <c r="Z563" s="10" t="n">
        <f aca="false">H563</f>
        <v>20</v>
      </c>
      <c r="AA563" s="10" t="n">
        <f aca="false">I563</f>
        <v>15</v>
      </c>
      <c r="AB563" s="10" t="n">
        <f aca="false">J563</f>
        <v>1.8</v>
      </c>
      <c r="AC563" s="9" t="s">
        <v>2345</v>
      </c>
      <c r="AD563" s="9" t="s">
        <v>2388</v>
      </c>
      <c r="AE563" s="9" t="str">
        <f aca="false">IF($AK563=0,"",INDEX('Part types'!$T:$T,$AK563)&amp;"")</f>
        <v>All vehicles</v>
      </c>
      <c r="AF563" s="9" t="str">
        <f aca="false">IF($AK563=0,"",INDEX('Part types'!$U:$U,$AK563)&amp;"")</f>
        <v/>
      </c>
      <c r="AG563" s="9" t="str">
        <f aca="false">IF($AK563=0,"",INDEX('Part types'!$V:$V,$AK563)&amp;"")</f>
        <v>Estimate: size class M2</v>
      </c>
      <c r="AH563" s="9" t="str">
        <f aca="false">IF($AK563=0,"",INDEX('Part types'!$W:$W,$AK563)&amp;"")</f>
        <v/>
      </c>
      <c r="AI563" s="11" t="str">
        <f aca="false">IF($AK563=0,"",INDEX('Part types'!$X:$X,$AK563)&amp;"")</f>
        <v/>
      </c>
      <c r="AJ563" s="9" t="str">
        <f aca="false">IF($AK563=0,"",INDEX('Part types'!$Y:$Y,$AK563)&amp;"")</f>
        <v/>
      </c>
      <c r="AK563" s="9" t="n">
        <f aca="false">IFERROR(MATCH($AD563,'Part types'!$E:$E,0),0)</f>
        <v>385</v>
      </c>
    </row>
    <row r="564" customFormat="false" ht="15" hidden="false" customHeight="false" outlineLevel="0" collapsed="false">
      <c r="A564" s="9" t="s">
        <v>2392</v>
      </c>
      <c r="B564" s="9" t="s">
        <v>2336</v>
      </c>
      <c r="C564" s="9" t="s">
        <v>2393</v>
      </c>
      <c r="D564" s="9" t="str">
        <f aca="false">C564&amp;" - "&amp;E564</f>
        <v>Body Wiring Harness - Universal</v>
      </c>
      <c r="E564" s="9" t="s">
        <v>68</v>
      </c>
      <c r="F564" s="9" t="s">
        <v>2336</v>
      </c>
      <c r="G564" s="10" t="n">
        <f aca="false">IF($AK564=0,"",INDEX('Part types'!$P:$P,$AK564))</f>
        <v>80</v>
      </c>
      <c r="H564" s="10" t="n">
        <f aca="false">IF($AK564=0,"",INDEX('Part types'!$Q:$Q,$AK564))</f>
        <v>40</v>
      </c>
      <c r="I564" s="10" t="n">
        <f aca="false">IF($AK564=0,"",INDEX('Part types'!$R:$R,$AK564))</f>
        <v>15</v>
      </c>
      <c r="J564" s="10" t="n">
        <f aca="false">IF($AK564=0,"",INDEX('Part types'!$S:$S,$AK564))</f>
        <v>6</v>
      </c>
      <c r="K564" s="11" t="s">
        <v>2339</v>
      </c>
      <c r="L564" s="11" t="s">
        <v>2394</v>
      </c>
      <c r="M564" s="11" t="str">
        <f aca="false">L564&amp;" - "&amp;N564</f>
        <v>ضفيرة أسلاك الهيكل - عام</v>
      </c>
      <c r="N564" s="11" t="s">
        <v>72</v>
      </c>
      <c r="O564" s="11" t="s">
        <v>2375</v>
      </c>
      <c r="P564" s="10" t="n">
        <f aca="false">G564</f>
        <v>80</v>
      </c>
      <c r="Q564" s="10" t="n">
        <f aca="false">H564</f>
        <v>40</v>
      </c>
      <c r="R564" s="10" t="n">
        <f aca="false">I564</f>
        <v>15</v>
      </c>
      <c r="S564" s="10" t="n">
        <f aca="false">J564</f>
        <v>6</v>
      </c>
      <c r="T564" s="12" t="s">
        <v>2342</v>
      </c>
      <c r="U564" s="12" t="s">
        <v>2395</v>
      </c>
      <c r="V564" s="9" t="str">
        <f aca="false">U564&amp;" - "&amp;W564</f>
        <v>车身线束 - 通用</v>
      </c>
      <c r="W564" s="12" t="s">
        <v>76</v>
      </c>
      <c r="X564" s="12" t="s">
        <v>2377</v>
      </c>
      <c r="Y564" s="10" t="n">
        <f aca="false">G564</f>
        <v>80</v>
      </c>
      <c r="Z564" s="10" t="n">
        <f aca="false">H564</f>
        <v>40</v>
      </c>
      <c r="AA564" s="10" t="n">
        <f aca="false">I564</f>
        <v>15</v>
      </c>
      <c r="AB564" s="10" t="n">
        <f aca="false">J564</f>
        <v>6</v>
      </c>
      <c r="AC564" s="9" t="s">
        <v>2345</v>
      </c>
      <c r="AD564" s="9" t="s">
        <v>2396</v>
      </c>
      <c r="AE564" s="9" t="str">
        <f aca="false">IF($AK564=0,"",INDEX('Part types'!$T:$T,$AK564)&amp;"")</f>
        <v>All vehicles</v>
      </c>
      <c r="AF564" s="9" t="str">
        <f aca="false">IF($AK564=0,"",INDEX('Part types'!$U:$U,$AK564)&amp;"")</f>
        <v/>
      </c>
      <c r="AG564" s="9" t="str">
        <f aca="false">IF($AK564=0,"",INDEX('Part types'!$V:$V,$AK564)&amp;"")</f>
        <v>Estimate: item-specific</v>
      </c>
      <c r="AH564" s="9" t="str">
        <f aca="false">IF($AK564=0,"",INDEX('Part types'!$W:$W,$AK564)&amp;"")</f>
        <v/>
      </c>
      <c r="AI564" s="11" t="str">
        <f aca="false">IF($AK564=0,"",INDEX('Part types'!$X:$X,$AK564)&amp;"")</f>
        <v/>
      </c>
      <c r="AJ564" s="9" t="str">
        <f aca="false">IF($AK564=0,"",INDEX('Part types'!$Y:$Y,$AK564)&amp;"")</f>
        <v/>
      </c>
      <c r="AK564" s="9" t="n">
        <f aca="false">IFERROR(MATCH($AD564,'Part types'!$E:$E,0),0)</f>
        <v>386</v>
      </c>
    </row>
    <row r="565" customFormat="false" ht="15" hidden="false" customHeight="false" outlineLevel="0" collapsed="false">
      <c r="A565" s="9" t="s">
        <v>2397</v>
      </c>
      <c r="B565" s="9" t="s">
        <v>2336</v>
      </c>
      <c r="C565" s="9" t="s">
        <v>2398</v>
      </c>
      <c r="D565" s="9" t="str">
        <f aca="false">C565&amp;" - "&amp;E565</f>
        <v>Wiring Connector Kit - Universal</v>
      </c>
      <c r="E565" s="9" t="s">
        <v>68</v>
      </c>
      <c r="F565" s="9" t="s">
        <v>2336</v>
      </c>
      <c r="G565" s="10" t="n">
        <f aca="false">IF($AK565=0,"",INDEX('Part types'!$P:$P,$AK565))</f>
        <v>15</v>
      </c>
      <c r="H565" s="10" t="n">
        <f aca="false">IF($AK565=0,"",INDEX('Part types'!$Q:$Q,$AK565))</f>
        <v>10</v>
      </c>
      <c r="I565" s="10" t="n">
        <f aca="false">IF($AK565=0,"",INDEX('Part types'!$R:$R,$AK565))</f>
        <v>8</v>
      </c>
      <c r="J565" s="10" t="n">
        <f aca="false">IF($AK565=0,"",INDEX('Part types'!$S:$S,$AK565))</f>
        <v>0.3</v>
      </c>
      <c r="K565" s="11" t="s">
        <v>2339</v>
      </c>
      <c r="L565" s="11" t="s">
        <v>2399</v>
      </c>
      <c r="M565" s="11" t="str">
        <f aca="false">L565&amp;" - "&amp;N565</f>
        <v>طقم وصلات كهربائية - عام</v>
      </c>
      <c r="N565" s="11" t="s">
        <v>72</v>
      </c>
      <c r="O565" s="11" t="s">
        <v>2375</v>
      </c>
      <c r="P565" s="10" t="n">
        <f aca="false">G565</f>
        <v>15</v>
      </c>
      <c r="Q565" s="10" t="n">
        <f aca="false">H565</f>
        <v>10</v>
      </c>
      <c r="R565" s="10" t="n">
        <f aca="false">I565</f>
        <v>8</v>
      </c>
      <c r="S565" s="10" t="n">
        <f aca="false">J565</f>
        <v>0.3</v>
      </c>
      <c r="T565" s="12" t="s">
        <v>2342</v>
      </c>
      <c r="U565" s="12" t="s">
        <v>2400</v>
      </c>
      <c r="V565" s="9" t="str">
        <f aca="false">U565&amp;" - "&amp;W565</f>
        <v>线束连接器套装 - 通用</v>
      </c>
      <c r="W565" s="12" t="s">
        <v>76</v>
      </c>
      <c r="X565" s="12" t="s">
        <v>2377</v>
      </c>
      <c r="Y565" s="10" t="n">
        <f aca="false">G565</f>
        <v>15</v>
      </c>
      <c r="Z565" s="10" t="n">
        <f aca="false">H565</f>
        <v>10</v>
      </c>
      <c r="AA565" s="10" t="n">
        <f aca="false">I565</f>
        <v>8</v>
      </c>
      <c r="AB565" s="10" t="n">
        <f aca="false">J565</f>
        <v>0.3</v>
      </c>
      <c r="AC565" s="9" t="s">
        <v>2345</v>
      </c>
      <c r="AD565" s="9" t="s">
        <v>2401</v>
      </c>
      <c r="AE565" s="9" t="str">
        <f aca="false">IF($AK565=0,"",INDEX('Part types'!$T:$T,$AK565)&amp;"")</f>
        <v>All vehicles</v>
      </c>
      <c r="AF565" s="9" t="str">
        <f aca="false">IF($AK565=0,"",INDEX('Part types'!$U:$U,$AK565)&amp;"")</f>
        <v/>
      </c>
      <c r="AG565" s="9" t="str">
        <f aca="false">IF($AK565=0,"",INDEX('Part types'!$V:$V,$AK565)&amp;"")</f>
        <v>Estimate: size class S</v>
      </c>
      <c r="AH565" s="9" t="str">
        <f aca="false">IF($AK565=0,"",INDEX('Part types'!$W:$W,$AK565)&amp;"")</f>
        <v/>
      </c>
      <c r="AI565" s="11" t="str">
        <f aca="false">IF($AK565=0,"",INDEX('Part types'!$X:$X,$AK565)&amp;"")</f>
        <v/>
      </c>
      <c r="AJ565" s="9" t="str">
        <f aca="false">IF($AK565=0,"",INDEX('Part types'!$Y:$Y,$AK565)&amp;"")</f>
        <v/>
      </c>
      <c r="AK565" s="9" t="n">
        <f aca="false">IFERROR(MATCH($AD565,'Part types'!$E:$E,0),0)</f>
        <v>387</v>
      </c>
    </row>
    <row r="566" customFormat="false" ht="15" hidden="false" customHeight="false" outlineLevel="0" collapsed="false">
      <c r="A566" s="9" t="s">
        <v>2402</v>
      </c>
      <c r="B566" s="9" t="s">
        <v>2403</v>
      </c>
      <c r="C566" s="9" t="s">
        <v>2404</v>
      </c>
      <c r="D566" s="9" t="str">
        <f aca="false">C566&amp;" - "&amp;E566</f>
        <v>Power Window Switch - Front-Left</v>
      </c>
      <c r="E566" s="9" t="s">
        <v>1346</v>
      </c>
      <c r="F566" s="9" t="s">
        <v>2405</v>
      </c>
      <c r="G566" s="10" t="n">
        <f aca="false">IF($AK566=0,"",INDEX('Part types'!$P:$P,$AK566))</f>
        <v>10</v>
      </c>
      <c r="H566" s="10" t="n">
        <f aca="false">IF($AK566=0,"",INDEX('Part types'!$Q:$Q,$AK566))</f>
        <v>8</v>
      </c>
      <c r="I566" s="10" t="n">
        <f aca="false">IF($AK566=0,"",INDEX('Part types'!$R:$R,$AK566))</f>
        <v>6</v>
      </c>
      <c r="J566" s="10" t="n">
        <f aca="false">IF($AK566=0,"",INDEX('Part types'!$S:$S,$AK566))</f>
        <v>0.1</v>
      </c>
      <c r="K566" s="11" t="s">
        <v>2406</v>
      </c>
      <c r="L566" s="11" t="s">
        <v>2407</v>
      </c>
      <c r="M566" s="11" t="str">
        <f aca="false">L566&amp;" - "&amp;N566</f>
        <v>مفتاح رافع الزجاج - أمامي يسار</v>
      </c>
      <c r="N566" s="11" t="s">
        <v>1349</v>
      </c>
      <c r="O566" s="11" t="s">
        <v>2408</v>
      </c>
      <c r="P566" s="10" t="n">
        <f aca="false">G566</f>
        <v>10</v>
      </c>
      <c r="Q566" s="10" t="n">
        <f aca="false">H566</f>
        <v>8</v>
      </c>
      <c r="R566" s="10" t="n">
        <f aca="false">I566</f>
        <v>6</v>
      </c>
      <c r="S566" s="10" t="n">
        <f aca="false">J566</f>
        <v>0.1</v>
      </c>
      <c r="T566" s="12" t="s">
        <v>2409</v>
      </c>
      <c r="U566" s="12" t="s">
        <v>2410</v>
      </c>
      <c r="V566" s="9" t="str">
        <f aca="false">U566&amp;" - "&amp;W566</f>
        <v>玻璃升降开关 - 前左</v>
      </c>
      <c r="W566" s="12" t="s">
        <v>1352</v>
      </c>
      <c r="X566" s="12" t="s">
        <v>2411</v>
      </c>
      <c r="Y566" s="10" t="n">
        <f aca="false">G566</f>
        <v>10</v>
      </c>
      <c r="Z566" s="10" t="n">
        <f aca="false">H566</f>
        <v>8</v>
      </c>
      <c r="AA566" s="10" t="n">
        <f aca="false">I566</f>
        <v>6</v>
      </c>
      <c r="AB566" s="10" t="n">
        <f aca="false">J566</f>
        <v>0.1</v>
      </c>
      <c r="AC566" s="9" t="s">
        <v>2412</v>
      </c>
      <c r="AD566" s="9" t="s">
        <v>2413</v>
      </c>
      <c r="AE566" s="9" t="str">
        <f aca="false">IF($AK566=0,"",INDEX('Part types'!$T:$T,$AK566)&amp;"")</f>
        <v>All vehicles</v>
      </c>
      <c r="AF566" s="9" t="str">
        <f aca="false">IF($AK566=0,"",INDEX('Part types'!$U:$U,$AK566)&amp;"")</f>
        <v/>
      </c>
      <c r="AG566" s="9" t="str">
        <f aca="false">IF($AK566=0,"",INDEX('Part types'!$V:$V,$AK566)&amp;"")</f>
        <v>Estimate: size class XS</v>
      </c>
      <c r="AH566" s="9" t="str">
        <f aca="false">IF($AK566=0,"",INDEX('Part types'!$W:$W,$AK566)&amp;"")</f>
        <v/>
      </c>
      <c r="AI566" s="11" t="str">
        <f aca="false">IF($AK566=0,"",INDEX('Part types'!$X:$X,$AK566)&amp;"")</f>
        <v/>
      </c>
      <c r="AJ566" s="9" t="str">
        <f aca="false">IF($AK566=0,"",INDEX('Part types'!$Y:$Y,$AK566)&amp;"")</f>
        <v/>
      </c>
      <c r="AK566" s="9" t="n">
        <f aca="false">IFERROR(MATCH($AD566,'Part types'!$E:$E,0),0)</f>
        <v>388</v>
      </c>
    </row>
    <row r="567" customFormat="false" ht="15" hidden="false" customHeight="false" outlineLevel="0" collapsed="false">
      <c r="A567" s="9" t="s">
        <v>2414</v>
      </c>
      <c r="B567" s="9" t="s">
        <v>2403</v>
      </c>
      <c r="C567" s="9" t="s">
        <v>2404</v>
      </c>
      <c r="D567" s="9" t="str">
        <f aca="false">C567&amp;" - "&amp;E567</f>
        <v>Power Window Switch - Front-Right</v>
      </c>
      <c r="E567" s="9" t="s">
        <v>1356</v>
      </c>
      <c r="F567" s="9" t="s">
        <v>2405</v>
      </c>
      <c r="G567" s="10" t="n">
        <f aca="false">IF($AK567=0,"",INDEX('Part types'!$P:$P,$AK567))</f>
        <v>10</v>
      </c>
      <c r="H567" s="10" t="n">
        <f aca="false">IF($AK567=0,"",INDEX('Part types'!$Q:$Q,$AK567))</f>
        <v>8</v>
      </c>
      <c r="I567" s="10" t="n">
        <f aca="false">IF($AK567=0,"",INDEX('Part types'!$R:$R,$AK567))</f>
        <v>6</v>
      </c>
      <c r="J567" s="10" t="n">
        <f aca="false">IF($AK567=0,"",INDEX('Part types'!$S:$S,$AK567))</f>
        <v>0.1</v>
      </c>
      <c r="K567" s="11" t="s">
        <v>2406</v>
      </c>
      <c r="L567" s="11" t="s">
        <v>2407</v>
      </c>
      <c r="M567" s="11" t="str">
        <f aca="false">L567&amp;" - "&amp;N567</f>
        <v>مفتاح رافع الزجاج - أمامي يمين</v>
      </c>
      <c r="N567" s="11" t="s">
        <v>1357</v>
      </c>
      <c r="O567" s="11" t="s">
        <v>2408</v>
      </c>
      <c r="P567" s="10" t="n">
        <f aca="false">G567</f>
        <v>10</v>
      </c>
      <c r="Q567" s="10" t="n">
        <f aca="false">H567</f>
        <v>8</v>
      </c>
      <c r="R567" s="10" t="n">
        <f aca="false">I567</f>
        <v>6</v>
      </c>
      <c r="S567" s="10" t="n">
        <f aca="false">J567</f>
        <v>0.1</v>
      </c>
      <c r="T567" s="12" t="s">
        <v>2409</v>
      </c>
      <c r="U567" s="12" t="s">
        <v>2410</v>
      </c>
      <c r="V567" s="9" t="str">
        <f aca="false">U567&amp;" - "&amp;W567</f>
        <v>玻璃升降开关 - 前右</v>
      </c>
      <c r="W567" s="12" t="s">
        <v>1358</v>
      </c>
      <c r="X567" s="12" t="s">
        <v>2411</v>
      </c>
      <c r="Y567" s="10" t="n">
        <f aca="false">G567</f>
        <v>10</v>
      </c>
      <c r="Z567" s="10" t="n">
        <f aca="false">H567</f>
        <v>8</v>
      </c>
      <c r="AA567" s="10" t="n">
        <f aca="false">I567</f>
        <v>6</v>
      </c>
      <c r="AB567" s="10" t="n">
        <f aca="false">J567</f>
        <v>0.1</v>
      </c>
      <c r="AC567" s="9" t="s">
        <v>2412</v>
      </c>
      <c r="AD567" s="9" t="s">
        <v>2413</v>
      </c>
      <c r="AE567" s="9" t="str">
        <f aca="false">IF($AK567=0,"",INDEX('Part types'!$T:$T,$AK567)&amp;"")</f>
        <v>All vehicles</v>
      </c>
      <c r="AF567" s="9" t="str">
        <f aca="false">IF($AK567=0,"",INDEX('Part types'!$U:$U,$AK567)&amp;"")</f>
        <v/>
      </c>
      <c r="AG567" s="9" t="str">
        <f aca="false">IF($AK567=0,"",INDEX('Part types'!$V:$V,$AK567)&amp;"")</f>
        <v>Estimate: size class XS</v>
      </c>
      <c r="AH567" s="9" t="str">
        <f aca="false">IF($AK567=0,"",INDEX('Part types'!$W:$W,$AK567)&amp;"")</f>
        <v/>
      </c>
      <c r="AI567" s="11" t="str">
        <f aca="false">IF($AK567=0,"",INDEX('Part types'!$X:$X,$AK567)&amp;"")</f>
        <v/>
      </c>
      <c r="AJ567" s="9" t="str">
        <f aca="false">IF($AK567=0,"",INDEX('Part types'!$Y:$Y,$AK567)&amp;"")</f>
        <v/>
      </c>
      <c r="AK567" s="9" t="n">
        <f aca="false">IFERROR(MATCH($AD567,'Part types'!$E:$E,0),0)</f>
        <v>388</v>
      </c>
    </row>
    <row r="568" customFormat="false" ht="15" hidden="false" customHeight="false" outlineLevel="0" collapsed="false">
      <c r="A568" s="9" t="s">
        <v>2415</v>
      </c>
      <c r="B568" s="9" t="s">
        <v>2403</v>
      </c>
      <c r="C568" s="9" t="s">
        <v>2404</v>
      </c>
      <c r="D568" s="9" t="str">
        <f aca="false">C568&amp;" - "&amp;E568</f>
        <v>Power Window Switch - Rear-Left</v>
      </c>
      <c r="E568" s="9" t="s">
        <v>1360</v>
      </c>
      <c r="F568" s="9" t="s">
        <v>2405</v>
      </c>
      <c r="G568" s="10" t="n">
        <f aca="false">IF($AK568=0,"",INDEX('Part types'!$P:$P,$AK568))</f>
        <v>10</v>
      </c>
      <c r="H568" s="10" t="n">
        <f aca="false">IF($AK568=0,"",INDEX('Part types'!$Q:$Q,$AK568))</f>
        <v>8</v>
      </c>
      <c r="I568" s="10" t="n">
        <f aca="false">IF($AK568=0,"",INDEX('Part types'!$R:$R,$AK568))</f>
        <v>6</v>
      </c>
      <c r="J568" s="10" t="n">
        <f aca="false">IF($AK568=0,"",INDEX('Part types'!$S:$S,$AK568))</f>
        <v>0.1</v>
      </c>
      <c r="K568" s="11" t="s">
        <v>2406</v>
      </c>
      <c r="L568" s="11" t="s">
        <v>2407</v>
      </c>
      <c r="M568" s="11" t="str">
        <f aca="false">L568&amp;" - "&amp;N568</f>
        <v>مفتاح رافع الزجاج - خلفي يسار</v>
      </c>
      <c r="N568" s="11" t="s">
        <v>1361</v>
      </c>
      <c r="O568" s="11" t="s">
        <v>2408</v>
      </c>
      <c r="P568" s="10" t="n">
        <f aca="false">G568</f>
        <v>10</v>
      </c>
      <c r="Q568" s="10" t="n">
        <f aca="false">H568</f>
        <v>8</v>
      </c>
      <c r="R568" s="10" t="n">
        <f aca="false">I568</f>
        <v>6</v>
      </c>
      <c r="S568" s="10" t="n">
        <f aca="false">J568</f>
        <v>0.1</v>
      </c>
      <c r="T568" s="12" t="s">
        <v>2409</v>
      </c>
      <c r="U568" s="12" t="s">
        <v>2410</v>
      </c>
      <c r="V568" s="9" t="str">
        <f aca="false">U568&amp;" - "&amp;W568</f>
        <v>玻璃升降开关 - 后左</v>
      </c>
      <c r="W568" s="12" t="s">
        <v>1362</v>
      </c>
      <c r="X568" s="12" t="s">
        <v>2411</v>
      </c>
      <c r="Y568" s="10" t="n">
        <f aca="false">G568</f>
        <v>10</v>
      </c>
      <c r="Z568" s="10" t="n">
        <f aca="false">H568</f>
        <v>8</v>
      </c>
      <c r="AA568" s="10" t="n">
        <f aca="false">I568</f>
        <v>6</v>
      </c>
      <c r="AB568" s="10" t="n">
        <f aca="false">J568</f>
        <v>0.1</v>
      </c>
      <c r="AC568" s="9" t="s">
        <v>2412</v>
      </c>
      <c r="AD568" s="9" t="s">
        <v>2413</v>
      </c>
      <c r="AE568" s="9" t="str">
        <f aca="false">IF($AK568=0,"",INDEX('Part types'!$T:$T,$AK568)&amp;"")</f>
        <v>All vehicles</v>
      </c>
      <c r="AF568" s="9" t="str">
        <f aca="false">IF($AK568=0,"",INDEX('Part types'!$U:$U,$AK568)&amp;"")</f>
        <v/>
      </c>
      <c r="AG568" s="9" t="str">
        <f aca="false">IF($AK568=0,"",INDEX('Part types'!$V:$V,$AK568)&amp;"")</f>
        <v>Estimate: size class XS</v>
      </c>
      <c r="AH568" s="9" t="str">
        <f aca="false">IF($AK568=0,"",INDEX('Part types'!$W:$W,$AK568)&amp;"")</f>
        <v/>
      </c>
      <c r="AI568" s="11" t="str">
        <f aca="false">IF($AK568=0,"",INDEX('Part types'!$X:$X,$AK568)&amp;"")</f>
        <v/>
      </c>
      <c r="AJ568" s="9" t="str">
        <f aca="false">IF($AK568=0,"",INDEX('Part types'!$Y:$Y,$AK568)&amp;"")</f>
        <v/>
      </c>
      <c r="AK568" s="9" t="n">
        <f aca="false">IFERROR(MATCH($AD568,'Part types'!$E:$E,0),0)</f>
        <v>388</v>
      </c>
    </row>
    <row r="569" customFormat="false" ht="15" hidden="false" customHeight="false" outlineLevel="0" collapsed="false">
      <c r="A569" s="9" t="s">
        <v>2416</v>
      </c>
      <c r="B569" s="9" t="s">
        <v>2403</v>
      </c>
      <c r="C569" s="9" t="s">
        <v>2404</v>
      </c>
      <c r="D569" s="9" t="str">
        <f aca="false">C569&amp;" - "&amp;E569</f>
        <v>Power Window Switch - Rear-Right</v>
      </c>
      <c r="E569" s="9" t="s">
        <v>1364</v>
      </c>
      <c r="F569" s="9" t="s">
        <v>2405</v>
      </c>
      <c r="G569" s="10" t="n">
        <f aca="false">IF($AK569=0,"",INDEX('Part types'!$P:$P,$AK569))</f>
        <v>10</v>
      </c>
      <c r="H569" s="10" t="n">
        <f aca="false">IF($AK569=0,"",INDEX('Part types'!$Q:$Q,$AK569))</f>
        <v>8</v>
      </c>
      <c r="I569" s="10" t="n">
        <f aca="false">IF($AK569=0,"",INDEX('Part types'!$R:$R,$AK569))</f>
        <v>6</v>
      </c>
      <c r="J569" s="10" t="n">
        <f aca="false">IF($AK569=0,"",INDEX('Part types'!$S:$S,$AK569))</f>
        <v>0.1</v>
      </c>
      <c r="K569" s="11" t="s">
        <v>2406</v>
      </c>
      <c r="L569" s="11" t="s">
        <v>2407</v>
      </c>
      <c r="M569" s="11" t="str">
        <f aca="false">L569&amp;" - "&amp;N569</f>
        <v>مفتاح رافع الزجاج - خلفي يمين</v>
      </c>
      <c r="N569" s="11" t="s">
        <v>1365</v>
      </c>
      <c r="O569" s="11" t="s">
        <v>2408</v>
      </c>
      <c r="P569" s="10" t="n">
        <f aca="false">G569</f>
        <v>10</v>
      </c>
      <c r="Q569" s="10" t="n">
        <f aca="false">H569</f>
        <v>8</v>
      </c>
      <c r="R569" s="10" t="n">
        <f aca="false">I569</f>
        <v>6</v>
      </c>
      <c r="S569" s="10" t="n">
        <f aca="false">J569</f>
        <v>0.1</v>
      </c>
      <c r="T569" s="12" t="s">
        <v>2409</v>
      </c>
      <c r="U569" s="12" t="s">
        <v>2410</v>
      </c>
      <c r="V569" s="9" t="str">
        <f aca="false">U569&amp;" - "&amp;W569</f>
        <v>玻璃升降开关 - 后右</v>
      </c>
      <c r="W569" s="12" t="s">
        <v>1366</v>
      </c>
      <c r="X569" s="12" t="s">
        <v>2411</v>
      </c>
      <c r="Y569" s="10" t="n">
        <f aca="false">G569</f>
        <v>10</v>
      </c>
      <c r="Z569" s="10" t="n">
        <f aca="false">H569</f>
        <v>8</v>
      </c>
      <c r="AA569" s="10" t="n">
        <f aca="false">I569</f>
        <v>6</v>
      </c>
      <c r="AB569" s="10" t="n">
        <f aca="false">J569</f>
        <v>0.1</v>
      </c>
      <c r="AC569" s="9" t="s">
        <v>2412</v>
      </c>
      <c r="AD569" s="9" t="s">
        <v>2413</v>
      </c>
      <c r="AE569" s="9" t="str">
        <f aca="false">IF($AK569=0,"",INDEX('Part types'!$T:$T,$AK569)&amp;"")</f>
        <v>All vehicles</v>
      </c>
      <c r="AF569" s="9" t="str">
        <f aca="false">IF($AK569=0,"",INDEX('Part types'!$U:$U,$AK569)&amp;"")</f>
        <v/>
      </c>
      <c r="AG569" s="9" t="str">
        <f aca="false">IF($AK569=0,"",INDEX('Part types'!$V:$V,$AK569)&amp;"")</f>
        <v>Estimate: size class XS</v>
      </c>
      <c r="AH569" s="9" t="str">
        <f aca="false">IF($AK569=0,"",INDEX('Part types'!$W:$W,$AK569)&amp;"")</f>
        <v/>
      </c>
      <c r="AI569" s="11" t="str">
        <f aca="false">IF($AK569=0,"",INDEX('Part types'!$X:$X,$AK569)&amp;"")</f>
        <v/>
      </c>
      <c r="AJ569" s="9" t="str">
        <f aca="false">IF($AK569=0,"",INDEX('Part types'!$Y:$Y,$AK569)&amp;"")</f>
        <v/>
      </c>
      <c r="AK569" s="9" t="n">
        <f aca="false">IFERROR(MATCH($AD569,'Part types'!$E:$E,0),0)</f>
        <v>388</v>
      </c>
    </row>
    <row r="570" customFormat="false" ht="15" hidden="false" customHeight="false" outlineLevel="0" collapsed="false">
      <c r="A570" s="9" t="s">
        <v>2417</v>
      </c>
      <c r="B570" s="9" t="s">
        <v>2403</v>
      </c>
      <c r="C570" s="9" t="s">
        <v>2418</v>
      </c>
      <c r="D570" s="9" t="str">
        <f aca="false">C570&amp;" - "&amp;E570</f>
        <v>Central Locking Switch - Universal</v>
      </c>
      <c r="E570" s="9" t="s">
        <v>68</v>
      </c>
      <c r="F570" s="9" t="s">
        <v>2405</v>
      </c>
      <c r="G570" s="10" t="n">
        <f aca="false">IF($AK570=0,"",INDEX('Part types'!$P:$P,$AK570))</f>
        <v>10</v>
      </c>
      <c r="H570" s="10" t="n">
        <f aca="false">IF($AK570=0,"",INDEX('Part types'!$Q:$Q,$AK570))</f>
        <v>8</v>
      </c>
      <c r="I570" s="10" t="n">
        <f aca="false">IF($AK570=0,"",INDEX('Part types'!$R:$R,$AK570))</f>
        <v>6</v>
      </c>
      <c r="J570" s="10" t="n">
        <f aca="false">IF($AK570=0,"",INDEX('Part types'!$S:$S,$AK570))</f>
        <v>0.1</v>
      </c>
      <c r="K570" s="11" t="s">
        <v>2406</v>
      </c>
      <c r="L570" s="11" t="s">
        <v>2419</v>
      </c>
      <c r="M570" s="11" t="str">
        <f aca="false">L570&amp;" - "&amp;N570</f>
        <v>مفتاح القفل المركزي - عام</v>
      </c>
      <c r="N570" s="11" t="s">
        <v>72</v>
      </c>
      <c r="O570" s="11" t="s">
        <v>2408</v>
      </c>
      <c r="P570" s="10" t="n">
        <f aca="false">G570</f>
        <v>10</v>
      </c>
      <c r="Q570" s="10" t="n">
        <f aca="false">H570</f>
        <v>8</v>
      </c>
      <c r="R570" s="10" t="n">
        <f aca="false">I570</f>
        <v>6</v>
      </c>
      <c r="S570" s="10" t="n">
        <f aca="false">J570</f>
        <v>0.1</v>
      </c>
      <c r="T570" s="12" t="s">
        <v>2409</v>
      </c>
      <c r="U570" s="12" t="s">
        <v>2420</v>
      </c>
      <c r="V570" s="9" t="str">
        <f aca="false">U570&amp;" - "&amp;W570</f>
        <v>中控锁开关 - 通用</v>
      </c>
      <c r="W570" s="12" t="s">
        <v>76</v>
      </c>
      <c r="X570" s="12" t="s">
        <v>2411</v>
      </c>
      <c r="Y570" s="10" t="n">
        <f aca="false">G570</f>
        <v>10</v>
      </c>
      <c r="Z570" s="10" t="n">
        <f aca="false">H570</f>
        <v>8</v>
      </c>
      <c r="AA570" s="10" t="n">
        <f aca="false">I570</f>
        <v>6</v>
      </c>
      <c r="AB570" s="10" t="n">
        <f aca="false">J570</f>
        <v>0.1</v>
      </c>
      <c r="AC570" s="9" t="s">
        <v>2412</v>
      </c>
      <c r="AD570" s="9" t="s">
        <v>2421</v>
      </c>
      <c r="AE570" s="9" t="str">
        <f aca="false">IF($AK570=0,"",INDEX('Part types'!$T:$T,$AK570)&amp;"")</f>
        <v>All vehicles</v>
      </c>
      <c r="AF570" s="9" t="str">
        <f aca="false">IF($AK570=0,"",INDEX('Part types'!$U:$U,$AK570)&amp;"")</f>
        <v/>
      </c>
      <c r="AG570" s="9" t="str">
        <f aca="false">IF($AK570=0,"",INDEX('Part types'!$V:$V,$AK570)&amp;"")</f>
        <v>Estimate: size class XS</v>
      </c>
      <c r="AH570" s="9" t="str">
        <f aca="false">IF($AK570=0,"",INDEX('Part types'!$W:$W,$AK570)&amp;"")</f>
        <v/>
      </c>
      <c r="AI570" s="11" t="str">
        <f aca="false">IF($AK570=0,"",INDEX('Part types'!$X:$X,$AK570)&amp;"")</f>
        <v/>
      </c>
      <c r="AJ570" s="9" t="str">
        <f aca="false">IF($AK570=0,"",INDEX('Part types'!$Y:$Y,$AK570)&amp;"")</f>
        <v/>
      </c>
      <c r="AK570" s="9" t="n">
        <f aca="false">IFERROR(MATCH($AD570,'Part types'!$E:$E,0),0)</f>
        <v>389</v>
      </c>
    </row>
    <row r="571" customFormat="false" ht="15" hidden="false" customHeight="false" outlineLevel="0" collapsed="false">
      <c r="A571" s="9" t="s">
        <v>2422</v>
      </c>
      <c r="B571" s="9" t="s">
        <v>2403</v>
      </c>
      <c r="C571" s="9" t="s">
        <v>2423</v>
      </c>
      <c r="D571" s="9" t="str">
        <f aca="false">C571&amp;" - "&amp;E571</f>
        <v>Power Socket - Universal</v>
      </c>
      <c r="E571" s="9" t="s">
        <v>68</v>
      </c>
      <c r="F571" s="9" t="s">
        <v>1162</v>
      </c>
      <c r="G571" s="10" t="n">
        <f aca="false">IF($AK571=0,"",INDEX('Part types'!$P:$P,$AK571))</f>
        <v>10</v>
      </c>
      <c r="H571" s="10" t="n">
        <f aca="false">IF($AK571=0,"",INDEX('Part types'!$Q:$Q,$AK571))</f>
        <v>8</v>
      </c>
      <c r="I571" s="10" t="n">
        <f aca="false">IF($AK571=0,"",INDEX('Part types'!$R:$R,$AK571))</f>
        <v>6</v>
      </c>
      <c r="J571" s="10" t="n">
        <f aca="false">IF($AK571=0,"",INDEX('Part types'!$S:$S,$AK571))</f>
        <v>0.1</v>
      </c>
      <c r="K571" s="11" t="s">
        <v>2406</v>
      </c>
      <c r="L571" s="11" t="s">
        <v>2424</v>
      </c>
      <c r="M571" s="11" t="str">
        <f aca="false">L571&amp;" - "&amp;N571</f>
        <v>مقبس ولاعة السيارة - عام</v>
      </c>
      <c r="N571" s="11" t="s">
        <v>72</v>
      </c>
      <c r="O571" s="11" t="s">
        <v>1164</v>
      </c>
      <c r="P571" s="10" t="n">
        <f aca="false">G571</f>
        <v>10</v>
      </c>
      <c r="Q571" s="10" t="n">
        <f aca="false">H571</f>
        <v>8</v>
      </c>
      <c r="R571" s="10" t="n">
        <f aca="false">I571</f>
        <v>6</v>
      </c>
      <c r="S571" s="10" t="n">
        <f aca="false">J571</f>
        <v>0.1</v>
      </c>
      <c r="T571" s="12" t="s">
        <v>2409</v>
      </c>
      <c r="U571" s="9" t="s">
        <v>2425</v>
      </c>
      <c r="V571" s="9" t="str">
        <f aca="false">U571&amp;" - "&amp;W571</f>
        <v>12V点烟器插座 - 通用</v>
      </c>
      <c r="W571" s="12" t="s">
        <v>76</v>
      </c>
      <c r="X571" s="12" t="s">
        <v>1166</v>
      </c>
      <c r="Y571" s="10" t="n">
        <f aca="false">G571</f>
        <v>10</v>
      </c>
      <c r="Z571" s="10" t="n">
        <f aca="false">H571</f>
        <v>8</v>
      </c>
      <c r="AA571" s="10" t="n">
        <f aca="false">I571</f>
        <v>6</v>
      </c>
      <c r="AB571" s="10" t="n">
        <f aca="false">J571</f>
        <v>0.1</v>
      </c>
      <c r="AC571" s="9" t="s">
        <v>2412</v>
      </c>
      <c r="AD571" s="9" t="s">
        <v>2426</v>
      </c>
      <c r="AE571" s="9" t="str">
        <f aca="false">IF($AK571=0,"",INDEX('Part types'!$T:$T,$AK571)&amp;"")</f>
        <v>All vehicles</v>
      </c>
      <c r="AF571" s="9" t="str">
        <f aca="false">IF($AK571=0,"",INDEX('Part types'!$U:$U,$AK571)&amp;"")</f>
        <v/>
      </c>
      <c r="AG571" s="9" t="str">
        <f aca="false">IF($AK571=0,"",INDEX('Part types'!$V:$V,$AK571)&amp;"")</f>
        <v>Estimate: size class XS</v>
      </c>
      <c r="AH571" s="9" t="str">
        <f aca="false">IF($AK571=0,"",INDEX('Part types'!$W:$W,$AK571)&amp;"")</f>
        <v>12 V Power Socket</v>
      </c>
      <c r="AI571" s="11" t="str">
        <f aca="false">IF($AK571=0,"",INDEX('Part types'!$X:$X,$AK571)&amp;"")</f>
        <v>12 فولت</v>
      </c>
      <c r="AJ571" s="9" t="str">
        <f aca="false">IF($AK571=0,"",INDEX('Part types'!$Y:$Y,$AK571)&amp;"")</f>
        <v/>
      </c>
      <c r="AK571" s="9" t="n">
        <f aca="false">IFERROR(MATCH($AD571,'Part types'!$E:$E,0),0)</f>
        <v>390</v>
      </c>
    </row>
    <row r="572" customFormat="false" ht="15" hidden="false" customHeight="false" outlineLevel="0" collapsed="false">
      <c r="A572" s="9" t="s">
        <v>2427</v>
      </c>
      <c r="B572" s="9" t="s">
        <v>2403</v>
      </c>
      <c r="C572" s="9" t="s">
        <v>2428</v>
      </c>
      <c r="D572" s="9" t="str">
        <f aca="false">C572&amp;" - "&amp;E572</f>
        <v>USB Charging Socket - Universal</v>
      </c>
      <c r="E572" s="9" t="s">
        <v>68</v>
      </c>
      <c r="F572" s="9" t="s">
        <v>1162</v>
      </c>
      <c r="G572" s="10" t="n">
        <f aca="false">IF($AK572=0,"",INDEX('Part types'!$P:$P,$AK572))</f>
        <v>10</v>
      </c>
      <c r="H572" s="10" t="n">
        <f aca="false">IF($AK572=0,"",INDEX('Part types'!$Q:$Q,$AK572))</f>
        <v>8</v>
      </c>
      <c r="I572" s="10" t="n">
        <f aca="false">IF($AK572=0,"",INDEX('Part types'!$R:$R,$AK572))</f>
        <v>6</v>
      </c>
      <c r="J572" s="10" t="n">
        <f aca="false">IF($AK572=0,"",INDEX('Part types'!$S:$S,$AK572))</f>
        <v>0.1</v>
      </c>
      <c r="K572" s="11" t="s">
        <v>2406</v>
      </c>
      <c r="L572" s="11" t="s">
        <v>2429</v>
      </c>
      <c r="M572" s="11" t="str">
        <f aca="false">L572&amp;" - "&amp;N572</f>
        <v>مقبس شحن USB - عام</v>
      </c>
      <c r="N572" s="11" t="s">
        <v>72</v>
      </c>
      <c r="O572" s="11" t="s">
        <v>1164</v>
      </c>
      <c r="P572" s="10" t="n">
        <f aca="false">G572</f>
        <v>10</v>
      </c>
      <c r="Q572" s="10" t="n">
        <f aca="false">H572</f>
        <v>8</v>
      </c>
      <c r="R572" s="10" t="n">
        <f aca="false">I572</f>
        <v>6</v>
      </c>
      <c r="S572" s="10" t="n">
        <f aca="false">J572</f>
        <v>0.1</v>
      </c>
      <c r="T572" s="12" t="s">
        <v>2409</v>
      </c>
      <c r="U572" s="9" t="s">
        <v>2430</v>
      </c>
      <c r="V572" s="9" t="str">
        <f aca="false">U572&amp;" - "&amp;W572</f>
        <v>USB充电接口 - 通用</v>
      </c>
      <c r="W572" s="12" t="s">
        <v>76</v>
      </c>
      <c r="X572" s="12" t="s">
        <v>1166</v>
      </c>
      <c r="Y572" s="10" t="n">
        <f aca="false">G572</f>
        <v>10</v>
      </c>
      <c r="Z572" s="10" t="n">
        <f aca="false">H572</f>
        <v>8</v>
      </c>
      <c r="AA572" s="10" t="n">
        <f aca="false">I572</f>
        <v>6</v>
      </c>
      <c r="AB572" s="10" t="n">
        <f aca="false">J572</f>
        <v>0.1</v>
      </c>
      <c r="AC572" s="9" t="s">
        <v>2412</v>
      </c>
      <c r="AD572" s="9" t="s">
        <v>2431</v>
      </c>
      <c r="AE572" s="9" t="str">
        <f aca="false">IF($AK572=0,"",INDEX('Part types'!$T:$T,$AK572)&amp;"")</f>
        <v>All vehicles</v>
      </c>
      <c r="AF572" s="9" t="str">
        <f aca="false">IF($AK572=0,"",INDEX('Part types'!$U:$U,$AK572)&amp;"")</f>
        <v/>
      </c>
      <c r="AG572" s="9" t="str">
        <f aca="false">IF($AK572=0,"",INDEX('Part types'!$V:$V,$AK572)&amp;"")</f>
        <v>Estimate: size class XS</v>
      </c>
      <c r="AH572" s="9" t="str">
        <f aca="false">IF($AK572=0,"",INDEX('Part types'!$W:$W,$AK572)&amp;"")</f>
        <v/>
      </c>
      <c r="AI572" s="11" t="str">
        <f aca="false">IF($AK572=0,"",INDEX('Part types'!$X:$X,$AK572)&amp;"")</f>
        <v/>
      </c>
      <c r="AJ572" s="9" t="str">
        <f aca="false">IF($AK572=0,"",INDEX('Part types'!$Y:$Y,$AK572)&amp;"")</f>
        <v/>
      </c>
      <c r="AK572" s="9" t="n">
        <f aca="false">IFERROR(MATCH($AD572,'Part types'!$E:$E,0),0)</f>
        <v>391</v>
      </c>
    </row>
    <row r="573" customFormat="false" ht="15" hidden="false" customHeight="false" outlineLevel="0" collapsed="false">
      <c r="A573" s="9" t="s">
        <v>2432</v>
      </c>
      <c r="B573" s="9" t="s">
        <v>2403</v>
      </c>
      <c r="C573" s="9" t="s">
        <v>2433</v>
      </c>
      <c r="D573" s="9" t="str">
        <f aca="false">C573&amp;" - "&amp;E573</f>
        <v>Combination Switch - Universal</v>
      </c>
      <c r="E573" s="9" t="s">
        <v>68</v>
      </c>
      <c r="F573" s="9" t="s">
        <v>1863</v>
      </c>
      <c r="G573" s="10" t="n">
        <f aca="false">IF($AK573=0,"",INDEX('Part types'!$P:$P,$AK573))</f>
        <v>15</v>
      </c>
      <c r="H573" s="10" t="n">
        <f aca="false">IF($AK573=0,"",INDEX('Part types'!$Q:$Q,$AK573))</f>
        <v>10</v>
      </c>
      <c r="I573" s="10" t="n">
        <f aca="false">IF($AK573=0,"",INDEX('Part types'!$R:$R,$AK573))</f>
        <v>8</v>
      </c>
      <c r="J573" s="10" t="n">
        <f aca="false">IF($AK573=0,"",INDEX('Part types'!$S:$S,$AK573))</f>
        <v>0.3</v>
      </c>
      <c r="K573" s="11" t="s">
        <v>2406</v>
      </c>
      <c r="L573" s="11" t="s">
        <v>2434</v>
      </c>
      <c r="M573" s="11" t="str">
        <f aca="false">L573&amp;" - "&amp;N573</f>
        <v>مفتاح الإشارات - عام</v>
      </c>
      <c r="N573" s="11" t="s">
        <v>72</v>
      </c>
      <c r="O573" s="11" t="s">
        <v>1864</v>
      </c>
      <c r="P573" s="10" t="n">
        <f aca="false">G573</f>
        <v>15</v>
      </c>
      <c r="Q573" s="10" t="n">
        <f aca="false">H573</f>
        <v>10</v>
      </c>
      <c r="R573" s="10" t="n">
        <f aca="false">I573</f>
        <v>8</v>
      </c>
      <c r="S573" s="10" t="n">
        <f aca="false">J573</f>
        <v>0.3</v>
      </c>
      <c r="T573" s="12" t="s">
        <v>2409</v>
      </c>
      <c r="U573" s="12" t="s">
        <v>2435</v>
      </c>
      <c r="V573" s="9" t="str">
        <f aca="false">U573&amp;" - "&amp;W573</f>
        <v>转向灯组合开关 - 通用</v>
      </c>
      <c r="W573" s="12" t="s">
        <v>76</v>
      </c>
      <c r="X573" s="12" t="s">
        <v>1865</v>
      </c>
      <c r="Y573" s="10" t="n">
        <f aca="false">G573</f>
        <v>15</v>
      </c>
      <c r="Z573" s="10" t="n">
        <f aca="false">H573</f>
        <v>10</v>
      </c>
      <c r="AA573" s="10" t="n">
        <f aca="false">I573</f>
        <v>8</v>
      </c>
      <c r="AB573" s="10" t="n">
        <f aca="false">J573</f>
        <v>0.3</v>
      </c>
      <c r="AC573" s="9" t="s">
        <v>2412</v>
      </c>
      <c r="AD573" s="9" t="s">
        <v>2436</v>
      </c>
      <c r="AE573" s="9" t="str">
        <f aca="false">IF($AK573=0,"",INDEX('Part types'!$T:$T,$AK573)&amp;"")</f>
        <v>All vehicles</v>
      </c>
      <c r="AF573" s="9" t="str">
        <f aca="false">IF($AK573=0,"",INDEX('Part types'!$U:$U,$AK573)&amp;"")</f>
        <v/>
      </c>
      <c r="AG573" s="9" t="str">
        <f aca="false">IF($AK573=0,"",INDEX('Part types'!$V:$V,$AK573)&amp;"")</f>
        <v>Estimate: size class S</v>
      </c>
      <c r="AH573" s="9" t="str">
        <f aca="false">IF($AK573=0,"",INDEX('Part types'!$W:$W,$AK573)&amp;"")</f>
        <v>Turn Signal</v>
      </c>
      <c r="AI573" s="11" t="str">
        <f aca="false">IF($AK573=0,"",INDEX('Part types'!$X:$X,$AK573)&amp;"")</f>
        <v>كومبي سويتش</v>
      </c>
      <c r="AJ573" s="9" t="str">
        <f aca="false">IF($AK573=0,"",INDEX('Part types'!$Y:$Y,$AK573)&amp;"")</f>
        <v/>
      </c>
      <c r="AK573" s="9" t="n">
        <f aca="false">IFERROR(MATCH($AD573,'Part types'!$E:$E,0),0)</f>
        <v>392</v>
      </c>
    </row>
    <row r="574" customFormat="false" ht="15" hidden="false" customHeight="false" outlineLevel="0" collapsed="false">
      <c r="A574" s="9" t="s">
        <v>2437</v>
      </c>
      <c r="B574" s="9" t="s">
        <v>2403</v>
      </c>
      <c r="C574" s="9" t="s">
        <v>2438</v>
      </c>
      <c r="D574" s="9" t="str">
        <f aca="false">C574&amp;" - "&amp;E574</f>
        <v>Headlight Switch - Universal</v>
      </c>
      <c r="E574" s="9" t="s">
        <v>68</v>
      </c>
      <c r="F574" s="9" t="s">
        <v>2439</v>
      </c>
      <c r="G574" s="10" t="n">
        <f aca="false">IF($AK574=0,"",INDEX('Part types'!$P:$P,$AK574))</f>
        <v>15</v>
      </c>
      <c r="H574" s="10" t="n">
        <f aca="false">IF($AK574=0,"",INDEX('Part types'!$Q:$Q,$AK574))</f>
        <v>10</v>
      </c>
      <c r="I574" s="10" t="n">
        <f aca="false">IF($AK574=0,"",INDEX('Part types'!$R:$R,$AK574))</f>
        <v>8</v>
      </c>
      <c r="J574" s="10" t="n">
        <f aca="false">IF($AK574=0,"",INDEX('Part types'!$S:$S,$AK574))</f>
        <v>0.3</v>
      </c>
      <c r="K574" s="11" t="s">
        <v>2406</v>
      </c>
      <c r="L574" s="11" t="s">
        <v>2440</v>
      </c>
      <c r="M574" s="11" t="str">
        <f aca="false">L574&amp;" - "&amp;N574</f>
        <v>مفتاح الأنوار - عام</v>
      </c>
      <c r="N574" s="11" t="s">
        <v>72</v>
      </c>
      <c r="O574" s="11" t="s">
        <v>2441</v>
      </c>
      <c r="P574" s="10" t="n">
        <f aca="false">G574</f>
        <v>15</v>
      </c>
      <c r="Q574" s="10" t="n">
        <f aca="false">H574</f>
        <v>10</v>
      </c>
      <c r="R574" s="10" t="n">
        <f aca="false">I574</f>
        <v>8</v>
      </c>
      <c r="S574" s="10" t="n">
        <f aca="false">J574</f>
        <v>0.3</v>
      </c>
      <c r="T574" s="12" t="s">
        <v>2409</v>
      </c>
      <c r="U574" s="12" t="s">
        <v>2442</v>
      </c>
      <c r="V574" s="9" t="str">
        <f aca="false">U574&amp;" - "&amp;W574</f>
        <v>大灯开关 - 通用</v>
      </c>
      <c r="W574" s="12" t="s">
        <v>76</v>
      </c>
      <c r="X574" s="12" t="s">
        <v>2443</v>
      </c>
      <c r="Y574" s="10" t="n">
        <f aca="false">G574</f>
        <v>15</v>
      </c>
      <c r="Z574" s="10" t="n">
        <f aca="false">H574</f>
        <v>10</v>
      </c>
      <c r="AA574" s="10" t="n">
        <f aca="false">I574</f>
        <v>8</v>
      </c>
      <c r="AB574" s="10" t="n">
        <f aca="false">J574</f>
        <v>0.3</v>
      </c>
      <c r="AC574" s="9" t="s">
        <v>2412</v>
      </c>
      <c r="AD574" s="9" t="s">
        <v>2444</v>
      </c>
      <c r="AE574" s="9" t="str">
        <f aca="false">IF($AK574=0,"",INDEX('Part types'!$T:$T,$AK574)&amp;"")</f>
        <v>All vehicles</v>
      </c>
      <c r="AF574" s="9" t="str">
        <f aca="false">IF($AK574=0,"",INDEX('Part types'!$U:$U,$AK574)&amp;"")</f>
        <v/>
      </c>
      <c r="AG574" s="9" t="str">
        <f aca="false">IF($AK574=0,"",INDEX('Part types'!$V:$V,$AK574)&amp;"")</f>
        <v>Estimate: size class S</v>
      </c>
      <c r="AH574" s="9" t="str">
        <f aca="false">IF($AK574=0,"",INDEX('Part types'!$W:$W,$AK574)&amp;"")</f>
        <v/>
      </c>
      <c r="AI574" s="11" t="str">
        <f aca="false">IF($AK574=0,"",INDEX('Part types'!$X:$X,$AK574)&amp;"")</f>
        <v/>
      </c>
      <c r="AJ574" s="9" t="str">
        <f aca="false">IF($AK574=0,"",INDEX('Part types'!$Y:$Y,$AK574)&amp;"")</f>
        <v/>
      </c>
      <c r="AK574" s="9" t="n">
        <f aca="false">IFERROR(MATCH($AD574,'Part types'!$E:$E,0),0)</f>
        <v>393</v>
      </c>
    </row>
    <row r="575" customFormat="false" ht="15" hidden="false" customHeight="false" outlineLevel="0" collapsed="false">
      <c r="A575" s="9" t="s">
        <v>2445</v>
      </c>
      <c r="B575" s="9" t="s">
        <v>2403</v>
      </c>
      <c r="C575" s="9" t="s">
        <v>2446</v>
      </c>
      <c r="D575" s="9" t="str">
        <f aca="false">C575&amp;" - "&amp;E575</f>
        <v>Hazard Warning Switch - Universal</v>
      </c>
      <c r="E575" s="9" t="s">
        <v>68</v>
      </c>
      <c r="F575" s="9" t="s">
        <v>2439</v>
      </c>
      <c r="G575" s="10" t="n">
        <f aca="false">IF($AK575=0,"",INDEX('Part types'!$P:$P,$AK575))</f>
        <v>10</v>
      </c>
      <c r="H575" s="10" t="n">
        <f aca="false">IF($AK575=0,"",INDEX('Part types'!$Q:$Q,$AK575))</f>
        <v>8</v>
      </c>
      <c r="I575" s="10" t="n">
        <f aca="false">IF($AK575=0,"",INDEX('Part types'!$R:$R,$AK575))</f>
        <v>6</v>
      </c>
      <c r="J575" s="10" t="n">
        <f aca="false">IF($AK575=0,"",INDEX('Part types'!$S:$S,$AK575))</f>
        <v>0.1</v>
      </c>
      <c r="K575" s="11" t="s">
        <v>2406</v>
      </c>
      <c r="L575" s="11" t="s">
        <v>2447</v>
      </c>
      <c r="M575" s="11" t="str">
        <f aca="false">L575&amp;" - "&amp;N575</f>
        <v>مفتاح الطوارئ - عام</v>
      </c>
      <c r="N575" s="11" t="s">
        <v>72</v>
      </c>
      <c r="O575" s="11" t="s">
        <v>2441</v>
      </c>
      <c r="P575" s="10" t="n">
        <f aca="false">G575</f>
        <v>10</v>
      </c>
      <c r="Q575" s="10" t="n">
        <f aca="false">H575</f>
        <v>8</v>
      </c>
      <c r="R575" s="10" t="n">
        <f aca="false">I575</f>
        <v>6</v>
      </c>
      <c r="S575" s="10" t="n">
        <f aca="false">J575</f>
        <v>0.1</v>
      </c>
      <c r="T575" s="12" t="s">
        <v>2409</v>
      </c>
      <c r="U575" s="12" t="s">
        <v>2448</v>
      </c>
      <c r="V575" s="9" t="str">
        <f aca="false">U575&amp;" - "&amp;W575</f>
        <v>双闪警示开关 - 通用</v>
      </c>
      <c r="W575" s="12" t="s">
        <v>76</v>
      </c>
      <c r="X575" s="12" t="s">
        <v>2443</v>
      </c>
      <c r="Y575" s="10" t="n">
        <f aca="false">G575</f>
        <v>10</v>
      </c>
      <c r="Z575" s="10" t="n">
        <f aca="false">H575</f>
        <v>8</v>
      </c>
      <c r="AA575" s="10" t="n">
        <f aca="false">I575</f>
        <v>6</v>
      </c>
      <c r="AB575" s="10" t="n">
        <f aca="false">J575</f>
        <v>0.1</v>
      </c>
      <c r="AC575" s="9" t="s">
        <v>2412</v>
      </c>
      <c r="AD575" s="9" t="s">
        <v>2449</v>
      </c>
      <c r="AE575" s="9" t="str">
        <f aca="false">IF($AK575=0,"",INDEX('Part types'!$T:$T,$AK575)&amp;"")</f>
        <v>All vehicles</v>
      </c>
      <c r="AF575" s="9" t="str">
        <f aca="false">IF($AK575=0,"",INDEX('Part types'!$U:$U,$AK575)&amp;"")</f>
        <v/>
      </c>
      <c r="AG575" s="9" t="str">
        <f aca="false">IF($AK575=0,"",INDEX('Part types'!$V:$V,$AK575)&amp;"")</f>
        <v>Estimate: size class XS</v>
      </c>
      <c r="AH575" s="9" t="str">
        <f aca="false">IF($AK575=0,"",INDEX('Part types'!$W:$W,$AK575)&amp;"")</f>
        <v/>
      </c>
      <c r="AI575" s="11" t="str">
        <f aca="false">IF($AK575=0,"",INDEX('Part types'!$X:$X,$AK575)&amp;"")</f>
        <v/>
      </c>
      <c r="AJ575" s="9" t="str">
        <f aca="false">IF($AK575=0,"",INDEX('Part types'!$Y:$Y,$AK575)&amp;"")</f>
        <v/>
      </c>
      <c r="AK575" s="9" t="n">
        <f aca="false">IFERROR(MATCH($AD575,'Part types'!$E:$E,0),0)</f>
        <v>394</v>
      </c>
    </row>
    <row r="576" customFormat="false" ht="15" hidden="false" customHeight="false" outlineLevel="0" collapsed="false">
      <c r="A576" s="9" t="s">
        <v>2450</v>
      </c>
      <c r="B576" s="9" t="s">
        <v>2451</v>
      </c>
      <c r="C576" s="9" t="s">
        <v>2452</v>
      </c>
      <c r="D576" s="9" t="str">
        <f aca="false">C576&amp;" - "&amp;E576</f>
        <v>Upstream Oxygen Sensor - Universal</v>
      </c>
      <c r="E576" s="9" t="s">
        <v>68</v>
      </c>
      <c r="F576" s="9" t="s">
        <v>651</v>
      </c>
      <c r="G576" s="10" t="n">
        <f aca="false">IF($AK576=0,"",INDEX('Part types'!$P:$P,$AK576))</f>
        <v>10</v>
      </c>
      <c r="H576" s="10" t="n">
        <f aca="false">IF($AK576=0,"",INDEX('Part types'!$Q:$Q,$AK576))</f>
        <v>8</v>
      </c>
      <c r="I576" s="10" t="n">
        <f aca="false">IF($AK576=0,"",INDEX('Part types'!$R:$R,$AK576))</f>
        <v>6</v>
      </c>
      <c r="J576" s="10" t="n">
        <f aca="false">IF($AK576=0,"",INDEX('Part types'!$S:$S,$AK576))</f>
        <v>0.1</v>
      </c>
      <c r="K576" s="11" t="s">
        <v>2453</v>
      </c>
      <c r="L576" s="11" t="s">
        <v>2454</v>
      </c>
      <c r="M576" s="11" t="str">
        <f aca="false">L576&amp;" - "&amp;N576</f>
        <v>حساس أكسجين قبل الكتاليزر - عام</v>
      </c>
      <c r="N576" s="11" t="s">
        <v>72</v>
      </c>
      <c r="O576" s="11" t="s">
        <v>653</v>
      </c>
      <c r="P576" s="10" t="n">
        <f aca="false">G576</f>
        <v>10</v>
      </c>
      <c r="Q576" s="10" t="n">
        <f aca="false">H576</f>
        <v>8</v>
      </c>
      <c r="R576" s="10" t="n">
        <f aca="false">I576</f>
        <v>6</v>
      </c>
      <c r="S576" s="10" t="n">
        <f aca="false">J576</f>
        <v>0.1</v>
      </c>
      <c r="T576" s="12" t="s">
        <v>2455</v>
      </c>
      <c r="U576" s="12" t="s">
        <v>2456</v>
      </c>
      <c r="V576" s="9" t="str">
        <f aca="false">U576&amp;" - "&amp;W576</f>
        <v>前氧传感器 - 通用</v>
      </c>
      <c r="W576" s="12" t="s">
        <v>76</v>
      </c>
      <c r="X576" s="12" t="s">
        <v>655</v>
      </c>
      <c r="Y576" s="10" t="n">
        <f aca="false">G576</f>
        <v>10</v>
      </c>
      <c r="Z576" s="10" t="n">
        <f aca="false">H576</f>
        <v>8</v>
      </c>
      <c r="AA576" s="10" t="n">
        <f aca="false">I576</f>
        <v>6</v>
      </c>
      <c r="AB576" s="10" t="n">
        <f aca="false">J576</f>
        <v>0.1</v>
      </c>
      <c r="AC576" s="9" t="s">
        <v>2457</v>
      </c>
      <c r="AD576" s="9" t="s">
        <v>2458</v>
      </c>
      <c r="AE576" s="9" t="str">
        <f aca="false">IF($AK576=0,"",INDEX('Part types'!$T:$T,$AK576)&amp;"")</f>
        <v>Combustion engine (petrol, diesel, hybrid, range extender)</v>
      </c>
      <c r="AF576" s="9" t="str">
        <f aca="false">IF($AK576=0,"",INDEX('Part types'!$U:$U,$AK576)&amp;"")</f>
        <v/>
      </c>
      <c r="AG576" s="9" t="str">
        <f aca="false">IF($AK576=0,"",INDEX('Part types'!$V:$V,$AK576)&amp;"")</f>
        <v>Estimate: size class XS</v>
      </c>
      <c r="AH576" s="9" t="str">
        <f aca="false">IF($AK576=0,"",INDEX('Part types'!$W:$W,$AK576)&amp;"")</f>
        <v>Oxygen Sensor</v>
      </c>
      <c r="AI576" s="11" t="str">
        <f aca="false">IF($AK576=0,"",INDEX('Part types'!$X:$X,$AK576)&amp;"")</f>
        <v/>
      </c>
      <c r="AJ576" s="9" t="str">
        <f aca="false">IF($AK576=0,"",INDEX('Part types'!$Y:$Y,$AK576)&amp;"")</f>
        <v/>
      </c>
      <c r="AK576" s="9" t="n">
        <f aca="false">IFERROR(MATCH($AD576,'Part types'!$E:$E,0),0)</f>
        <v>395</v>
      </c>
    </row>
    <row r="577" customFormat="false" ht="15" hidden="false" customHeight="false" outlineLevel="0" collapsed="false">
      <c r="A577" s="9" t="s">
        <v>2459</v>
      </c>
      <c r="B577" s="9" t="s">
        <v>2451</v>
      </c>
      <c r="C577" s="9" t="s">
        <v>2460</v>
      </c>
      <c r="D577" s="9" t="str">
        <f aca="false">C577&amp;" - "&amp;E577</f>
        <v>Downstream Oxygen Sensor - Universal</v>
      </c>
      <c r="E577" s="9" t="s">
        <v>68</v>
      </c>
      <c r="F577" s="9" t="s">
        <v>651</v>
      </c>
      <c r="G577" s="10" t="n">
        <f aca="false">IF($AK577=0,"",INDEX('Part types'!$P:$P,$AK577))</f>
        <v>10</v>
      </c>
      <c r="H577" s="10" t="n">
        <f aca="false">IF($AK577=0,"",INDEX('Part types'!$Q:$Q,$AK577))</f>
        <v>8</v>
      </c>
      <c r="I577" s="10" t="n">
        <f aca="false">IF($AK577=0,"",INDEX('Part types'!$R:$R,$AK577))</f>
        <v>6</v>
      </c>
      <c r="J577" s="10" t="n">
        <f aca="false">IF($AK577=0,"",INDEX('Part types'!$S:$S,$AK577))</f>
        <v>0.1</v>
      </c>
      <c r="K577" s="11" t="s">
        <v>2453</v>
      </c>
      <c r="L577" s="11" t="s">
        <v>2461</v>
      </c>
      <c r="M577" s="11" t="str">
        <f aca="false">L577&amp;" - "&amp;N577</f>
        <v>حساس أكسجين بعد الكتاليزر - عام</v>
      </c>
      <c r="N577" s="11" t="s">
        <v>72</v>
      </c>
      <c r="O577" s="11" t="s">
        <v>653</v>
      </c>
      <c r="P577" s="10" t="n">
        <f aca="false">G577</f>
        <v>10</v>
      </c>
      <c r="Q577" s="10" t="n">
        <f aca="false">H577</f>
        <v>8</v>
      </c>
      <c r="R577" s="10" t="n">
        <f aca="false">I577</f>
        <v>6</v>
      </c>
      <c r="S577" s="10" t="n">
        <f aca="false">J577</f>
        <v>0.1</v>
      </c>
      <c r="T577" s="12" t="s">
        <v>2455</v>
      </c>
      <c r="U577" s="12" t="s">
        <v>2462</v>
      </c>
      <c r="V577" s="9" t="str">
        <f aca="false">U577&amp;" - "&amp;W577</f>
        <v>后氧传感器 - 通用</v>
      </c>
      <c r="W577" s="12" t="s">
        <v>76</v>
      </c>
      <c r="X577" s="12" t="s">
        <v>655</v>
      </c>
      <c r="Y577" s="10" t="n">
        <f aca="false">G577</f>
        <v>10</v>
      </c>
      <c r="Z577" s="10" t="n">
        <f aca="false">H577</f>
        <v>8</v>
      </c>
      <c r="AA577" s="10" t="n">
        <f aca="false">I577</f>
        <v>6</v>
      </c>
      <c r="AB577" s="10" t="n">
        <f aca="false">J577</f>
        <v>0.1</v>
      </c>
      <c r="AC577" s="9" t="s">
        <v>2457</v>
      </c>
      <c r="AD577" s="9" t="s">
        <v>2463</v>
      </c>
      <c r="AE577" s="9" t="str">
        <f aca="false">IF($AK577=0,"",INDEX('Part types'!$T:$T,$AK577)&amp;"")</f>
        <v>Combustion engine (petrol, diesel, hybrid, range extender)</v>
      </c>
      <c r="AF577" s="9" t="str">
        <f aca="false">IF($AK577=0,"",INDEX('Part types'!$U:$U,$AK577)&amp;"")</f>
        <v/>
      </c>
      <c r="AG577" s="9" t="str">
        <f aca="false">IF($AK577=0,"",INDEX('Part types'!$V:$V,$AK577)&amp;"")</f>
        <v>Estimate: size class XS</v>
      </c>
      <c r="AH577" s="9" t="str">
        <f aca="false">IF($AK577=0,"",INDEX('Part types'!$W:$W,$AK577)&amp;"")</f>
        <v>Oxygen Sensor</v>
      </c>
      <c r="AI577" s="11" t="str">
        <f aca="false">IF($AK577=0,"",INDEX('Part types'!$X:$X,$AK577)&amp;"")</f>
        <v/>
      </c>
      <c r="AJ577" s="9" t="str">
        <f aca="false">IF($AK577=0,"",INDEX('Part types'!$Y:$Y,$AK577)&amp;"")</f>
        <v/>
      </c>
      <c r="AK577" s="9" t="n">
        <f aca="false">IFERROR(MATCH($AD577,'Part types'!$E:$E,0),0)</f>
        <v>396</v>
      </c>
    </row>
    <row r="578" customFormat="false" ht="15" hidden="false" customHeight="false" outlineLevel="0" collapsed="false">
      <c r="A578" s="9" t="s">
        <v>2464</v>
      </c>
      <c r="B578" s="9" t="s">
        <v>2451</v>
      </c>
      <c r="C578" s="9" t="s">
        <v>2465</v>
      </c>
      <c r="D578" s="9" t="str">
        <f aca="false">C578&amp;" - "&amp;E578</f>
        <v>Air-Fuel Ratio Sensor - Universal</v>
      </c>
      <c r="E578" s="9" t="s">
        <v>68</v>
      </c>
      <c r="F578" s="9" t="s">
        <v>651</v>
      </c>
      <c r="G578" s="10" t="n">
        <f aca="false">IF($AK578=0,"",INDEX('Part types'!$P:$P,$AK578))</f>
        <v>10</v>
      </c>
      <c r="H578" s="10" t="n">
        <f aca="false">IF($AK578=0,"",INDEX('Part types'!$Q:$Q,$AK578))</f>
        <v>8</v>
      </c>
      <c r="I578" s="10" t="n">
        <f aca="false">IF($AK578=0,"",INDEX('Part types'!$R:$R,$AK578))</f>
        <v>6</v>
      </c>
      <c r="J578" s="10" t="n">
        <f aca="false">IF($AK578=0,"",INDEX('Part types'!$S:$S,$AK578))</f>
        <v>0.1</v>
      </c>
      <c r="K578" s="11" t="s">
        <v>2453</v>
      </c>
      <c r="L578" s="11" t="s">
        <v>2466</v>
      </c>
      <c r="M578" s="11" t="str">
        <f aca="false">L578&amp;" - "&amp;N578</f>
        <v>حساس نسبة الهواء والوقود - عام</v>
      </c>
      <c r="N578" s="11" t="s">
        <v>72</v>
      </c>
      <c r="O578" s="11" t="s">
        <v>653</v>
      </c>
      <c r="P578" s="10" t="n">
        <f aca="false">G578</f>
        <v>10</v>
      </c>
      <c r="Q578" s="10" t="n">
        <f aca="false">H578</f>
        <v>8</v>
      </c>
      <c r="R578" s="10" t="n">
        <f aca="false">I578</f>
        <v>6</v>
      </c>
      <c r="S578" s="10" t="n">
        <f aca="false">J578</f>
        <v>0.1</v>
      </c>
      <c r="T578" s="12" t="s">
        <v>2455</v>
      </c>
      <c r="U578" s="12" t="s">
        <v>2467</v>
      </c>
      <c r="V578" s="9" t="str">
        <f aca="false">U578&amp;" - "&amp;W578</f>
        <v>空燃比传感器 - 通用</v>
      </c>
      <c r="W578" s="12" t="s">
        <v>76</v>
      </c>
      <c r="X578" s="12" t="s">
        <v>655</v>
      </c>
      <c r="Y578" s="10" t="n">
        <f aca="false">G578</f>
        <v>10</v>
      </c>
      <c r="Z578" s="10" t="n">
        <f aca="false">H578</f>
        <v>8</v>
      </c>
      <c r="AA578" s="10" t="n">
        <f aca="false">I578</f>
        <v>6</v>
      </c>
      <c r="AB578" s="10" t="n">
        <f aca="false">J578</f>
        <v>0.1</v>
      </c>
      <c r="AC578" s="9" t="s">
        <v>2457</v>
      </c>
      <c r="AD578" s="9" t="s">
        <v>2468</v>
      </c>
      <c r="AE578" s="9" t="str">
        <f aca="false">IF($AK578=0,"",INDEX('Part types'!$T:$T,$AK578)&amp;"")</f>
        <v>Combustion engine (petrol, diesel, hybrid, range extender)</v>
      </c>
      <c r="AF578" s="9" t="str">
        <f aca="false">IF($AK578=0,"",INDEX('Part types'!$U:$U,$AK578)&amp;"")</f>
        <v/>
      </c>
      <c r="AG578" s="9" t="str">
        <f aca="false">IF($AK578=0,"",INDEX('Part types'!$V:$V,$AK578)&amp;"")</f>
        <v>Estimate: size class XS</v>
      </c>
      <c r="AH578" s="9" t="str">
        <f aca="false">IF($AK578=0,"",INDEX('Part types'!$W:$W,$AK578)&amp;"")</f>
        <v/>
      </c>
      <c r="AI578" s="11" t="str">
        <f aca="false">IF($AK578=0,"",INDEX('Part types'!$X:$X,$AK578)&amp;"")</f>
        <v/>
      </c>
      <c r="AJ578" s="9" t="str">
        <f aca="false">IF($AK578=0,"",INDEX('Part types'!$Y:$Y,$AK578)&amp;"")</f>
        <v/>
      </c>
      <c r="AK578" s="9" t="n">
        <f aca="false">IFERROR(MATCH($AD578,'Part types'!$E:$E,0),0)</f>
        <v>397</v>
      </c>
    </row>
    <row r="579" customFormat="false" ht="15" hidden="false" customHeight="false" outlineLevel="0" collapsed="false">
      <c r="A579" s="9" t="s">
        <v>2469</v>
      </c>
      <c r="B579" s="9" t="s">
        <v>2451</v>
      </c>
      <c r="C579" s="9" t="s">
        <v>2470</v>
      </c>
      <c r="D579" s="9" t="str">
        <f aca="false">C579&amp;" - "&amp;E579</f>
        <v>NOx Sensor - Universal</v>
      </c>
      <c r="E579" s="9" t="s">
        <v>68</v>
      </c>
      <c r="F579" s="9" t="s">
        <v>651</v>
      </c>
      <c r="G579" s="10" t="n">
        <f aca="false">IF($AK579=0,"",INDEX('Part types'!$P:$P,$AK579))</f>
        <v>15</v>
      </c>
      <c r="H579" s="10" t="n">
        <f aca="false">IF($AK579=0,"",INDEX('Part types'!$Q:$Q,$AK579))</f>
        <v>10</v>
      </c>
      <c r="I579" s="10" t="n">
        <f aca="false">IF($AK579=0,"",INDEX('Part types'!$R:$R,$AK579))</f>
        <v>8</v>
      </c>
      <c r="J579" s="10" t="n">
        <f aca="false">IF($AK579=0,"",INDEX('Part types'!$S:$S,$AK579))</f>
        <v>0.3</v>
      </c>
      <c r="K579" s="11" t="s">
        <v>2453</v>
      </c>
      <c r="L579" s="11" t="s">
        <v>2471</v>
      </c>
      <c r="M579" s="11" t="str">
        <f aca="false">L579&amp;" - "&amp;N579</f>
        <v>حساس أكاسيد النيتروجين - عام</v>
      </c>
      <c r="N579" s="11" t="s">
        <v>72</v>
      </c>
      <c r="O579" s="11" t="s">
        <v>653</v>
      </c>
      <c r="P579" s="10" t="n">
        <f aca="false">G579</f>
        <v>15</v>
      </c>
      <c r="Q579" s="10" t="n">
        <f aca="false">H579</f>
        <v>10</v>
      </c>
      <c r="R579" s="10" t="n">
        <f aca="false">I579</f>
        <v>8</v>
      </c>
      <c r="S579" s="10" t="n">
        <f aca="false">J579</f>
        <v>0.3</v>
      </c>
      <c r="T579" s="12" t="s">
        <v>2455</v>
      </c>
      <c r="U579" s="12" t="s">
        <v>2472</v>
      </c>
      <c r="V579" s="9" t="str">
        <f aca="false">U579&amp;" - "&amp;W579</f>
        <v>氮氧化物传感器 - 通用</v>
      </c>
      <c r="W579" s="12" t="s">
        <v>76</v>
      </c>
      <c r="X579" s="12" t="s">
        <v>655</v>
      </c>
      <c r="Y579" s="10" t="n">
        <f aca="false">G579</f>
        <v>15</v>
      </c>
      <c r="Z579" s="10" t="n">
        <f aca="false">H579</f>
        <v>10</v>
      </c>
      <c r="AA579" s="10" t="n">
        <f aca="false">I579</f>
        <v>8</v>
      </c>
      <c r="AB579" s="10" t="n">
        <f aca="false">J579</f>
        <v>0.3</v>
      </c>
      <c r="AC579" s="9" t="s">
        <v>2457</v>
      </c>
      <c r="AD579" s="9" t="s">
        <v>2473</v>
      </c>
      <c r="AE579" s="9" t="str">
        <f aca="false">IF($AK579=0,"",INDEX('Part types'!$T:$T,$AK579)&amp;"")</f>
        <v>Combustion engine (petrol, diesel, hybrid, range extender)</v>
      </c>
      <c r="AF579" s="9" t="str">
        <f aca="false">IF($AK579=0,"",INDEX('Part types'!$U:$U,$AK579)&amp;"")</f>
        <v/>
      </c>
      <c r="AG579" s="9" t="str">
        <f aca="false">IF($AK579=0,"",INDEX('Part types'!$V:$V,$AK579)&amp;"")</f>
        <v>Estimate: size class S</v>
      </c>
      <c r="AH579" s="9" t="str">
        <f aca="false">IF($AK579=0,"",INDEX('Part types'!$W:$W,$AK579)&amp;"")</f>
        <v/>
      </c>
      <c r="AI579" s="11" t="str">
        <f aca="false">IF($AK579=0,"",INDEX('Part types'!$X:$X,$AK579)&amp;"")</f>
        <v>NOx</v>
      </c>
      <c r="AJ579" s="9" t="str">
        <f aca="false">IF($AK579=0,"",INDEX('Part types'!$Y:$Y,$AK579)&amp;"")</f>
        <v/>
      </c>
      <c r="AK579" s="9" t="n">
        <f aca="false">IFERROR(MATCH($AD579,'Part types'!$E:$E,0),0)</f>
        <v>398</v>
      </c>
    </row>
    <row r="580" customFormat="false" ht="15" hidden="false" customHeight="false" outlineLevel="0" collapsed="false">
      <c r="A580" s="9" t="s">
        <v>2474</v>
      </c>
      <c r="B580" s="9" t="s">
        <v>2451</v>
      </c>
      <c r="C580" s="9" t="s">
        <v>2475</v>
      </c>
      <c r="D580" s="9" t="str">
        <f aca="false">C580&amp;" - "&amp;E580</f>
        <v>Mass Airflow Sensor - Universal</v>
      </c>
      <c r="E580" s="9" t="s">
        <v>68</v>
      </c>
      <c r="F580" s="9" t="s">
        <v>403</v>
      </c>
      <c r="G580" s="10" t="n">
        <f aca="false">IF($AK580=0,"",INDEX('Part types'!$P:$P,$AK580))</f>
        <v>15</v>
      </c>
      <c r="H580" s="10" t="n">
        <f aca="false">IF($AK580=0,"",INDEX('Part types'!$Q:$Q,$AK580))</f>
        <v>10</v>
      </c>
      <c r="I580" s="10" t="n">
        <f aca="false">IF($AK580=0,"",INDEX('Part types'!$R:$R,$AK580))</f>
        <v>8</v>
      </c>
      <c r="J580" s="10" t="n">
        <f aca="false">IF($AK580=0,"",INDEX('Part types'!$S:$S,$AK580))</f>
        <v>0.3</v>
      </c>
      <c r="K580" s="11" t="s">
        <v>2453</v>
      </c>
      <c r="L580" s="11" t="s">
        <v>2476</v>
      </c>
      <c r="M580" s="11" t="str">
        <f aca="false">L580&amp;" - "&amp;N580</f>
        <v>حساس كمية الهواء - عام</v>
      </c>
      <c r="N580" s="11" t="s">
        <v>72</v>
      </c>
      <c r="O580" s="11" t="s">
        <v>406</v>
      </c>
      <c r="P580" s="10" t="n">
        <f aca="false">G580</f>
        <v>15</v>
      </c>
      <c r="Q580" s="10" t="n">
        <f aca="false">H580</f>
        <v>10</v>
      </c>
      <c r="R580" s="10" t="n">
        <f aca="false">I580</f>
        <v>8</v>
      </c>
      <c r="S580" s="10" t="n">
        <f aca="false">J580</f>
        <v>0.3</v>
      </c>
      <c r="T580" s="12" t="s">
        <v>2455</v>
      </c>
      <c r="U580" s="12" t="s">
        <v>2477</v>
      </c>
      <c r="V580" s="9" t="str">
        <f aca="false">U580&amp;" - "&amp;W580</f>
        <v>空气流量传感器 - 通用</v>
      </c>
      <c r="W580" s="12" t="s">
        <v>76</v>
      </c>
      <c r="X580" s="12" t="s">
        <v>409</v>
      </c>
      <c r="Y580" s="10" t="n">
        <f aca="false">G580</f>
        <v>15</v>
      </c>
      <c r="Z580" s="10" t="n">
        <f aca="false">H580</f>
        <v>10</v>
      </c>
      <c r="AA580" s="10" t="n">
        <f aca="false">I580</f>
        <v>8</v>
      </c>
      <c r="AB580" s="10" t="n">
        <f aca="false">J580</f>
        <v>0.3</v>
      </c>
      <c r="AC580" s="9" t="s">
        <v>2457</v>
      </c>
      <c r="AD580" s="9" t="s">
        <v>2478</v>
      </c>
      <c r="AE580" s="9" t="str">
        <f aca="false">IF($AK580=0,"",INDEX('Part types'!$T:$T,$AK580)&amp;"")</f>
        <v>Combustion engine (petrol, diesel, hybrid, range extender)</v>
      </c>
      <c r="AF580" s="9" t="str">
        <f aca="false">IF($AK580=0,"",INDEX('Part types'!$U:$U,$AK580)&amp;"")</f>
        <v/>
      </c>
      <c r="AG580" s="9" t="str">
        <f aca="false">IF($AK580=0,"",INDEX('Part types'!$V:$V,$AK580)&amp;"")</f>
        <v>Estimate: size class S</v>
      </c>
      <c r="AH580" s="9" t="str">
        <f aca="false">IF($AK580=0,"",INDEX('Part types'!$W:$W,$AK580)&amp;"")</f>
        <v>Mass Air Flow Sensor; MAF</v>
      </c>
      <c r="AI580" s="11" t="str">
        <f aca="false">IF($AK580=0,"",INDEX('Part types'!$X:$X,$AK580)&amp;"")</f>
        <v>MAF</v>
      </c>
      <c r="AJ580" s="9" t="str">
        <f aca="false">IF($AK580=0,"",INDEX('Part types'!$Y:$Y,$AK580)&amp;"")</f>
        <v>MAF</v>
      </c>
      <c r="AK580" s="9" t="n">
        <f aca="false">IFERROR(MATCH($AD580,'Part types'!$E:$E,0),0)</f>
        <v>399</v>
      </c>
    </row>
    <row r="581" customFormat="false" ht="15" hidden="false" customHeight="false" outlineLevel="0" collapsed="false">
      <c r="A581" s="9" t="s">
        <v>2479</v>
      </c>
      <c r="B581" s="9" t="s">
        <v>2451</v>
      </c>
      <c r="C581" s="9" t="s">
        <v>2480</v>
      </c>
      <c r="D581" s="9" t="str">
        <f aca="false">C581&amp;" - "&amp;E581</f>
        <v>Manifold Pressure Sensor - Universal</v>
      </c>
      <c r="E581" s="9" t="s">
        <v>68</v>
      </c>
      <c r="F581" s="9" t="s">
        <v>403</v>
      </c>
      <c r="G581" s="10" t="n">
        <f aca="false">IF($AK581=0,"",INDEX('Part types'!$P:$P,$AK581))</f>
        <v>10</v>
      </c>
      <c r="H581" s="10" t="n">
        <f aca="false">IF($AK581=0,"",INDEX('Part types'!$Q:$Q,$AK581))</f>
        <v>8</v>
      </c>
      <c r="I581" s="10" t="n">
        <f aca="false">IF($AK581=0,"",INDEX('Part types'!$R:$R,$AK581))</f>
        <v>6</v>
      </c>
      <c r="J581" s="10" t="n">
        <f aca="false">IF($AK581=0,"",INDEX('Part types'!$S:$S,$AK581))</f>
        <v>0.1</v>
      </c>
      <c r="K581" s="11" t="s">
        <v>2453</v>
      </c>
      <c r="L581" s="11" t="s">
        <v>2481</v>
      </c>
      <c r="M581" s="11" t="str">
        <f aca="false">L581&amp;" - "&amp;N581</f>
        <v>حساس ضغط المشعب - عام</v>
      </c>
      <c r="N581" s="11" t="s">
        <v>72</v>
      </c>
      <c r="O581" s="11" t="s">
        <v>406</v>
      </c>
      <c r="P581" s="10" t="n">
        <f aca="false">G581</f>
        <v>10</v>
      </c>
      <c r="Q581" s="10" t="n">
        <f aca="false">H581</f>
        <v>8</v>
      </c>
      <c r="R581" s="10" t="n">
        <f aca="false">I581</f>
        <v>6</v>
      </c>
      <c r="S581" s="10" t="n">
        <f aca="false">J581</f>
        <v>0.1</v>
      </c>
      <c r="T581" s="12" t="s">
        <v>2455</v>
      </c>
      <c r="U581" s="12" t="s">
        <v>2482</v>
      </c>
      <c r="V581" s="9" t="str">
        <f aca="false">U581&amp;" - "&amp;W581</f>
        <v>进气歧管压力传感器 - 通用</v>
      </c>
      <c r="W581" s="12" t="s">
        <v>76</v>
      </c>
      <c r="X581" s="12" t="s">
        <v>409</v>
      </c>
      <c r="Y581" s="10" t="n">
        <f aca="false">G581</f>
        <v>10</v>
      </c>
      <c r="Z581" s="10" t="n">
        <f aca="false">H581</f>
        <v>8</v>
      </c>
      <c r="AA581" s="10" t="n">
        <f aca="false">I581</f>
        <v>6</v>
      </c>
      <c r="AB581" s="10" t="n">
        <f aca="false">J581</f>
        <v>0.1</v>
      </c>
      <c r="AC581" s="9" t="s">
        <v>2457</v>
      </c>
      <c r="AD581" s="9" t="s">
        <v>2483</v>
      </c>
      <c r="AE581" s="9" t="str">
        <f aca="false">IF($AK581=0,"",INDEX('Part types'!$T:$T,$AK581)&amp;"")</f>
        <v>Combustion engine (petrol, diesel, hybrid, range extender)</v>
      </c>
      <c r="AF581" s="9" t="str">
        <f aca="false">IF($AK581=0,"",INDEX('Part types'!$U:$U,$AK581)&amp;"")</f>
        <v/>
      </c>
      <c r="AG581" s="9" t="str">
        <f aca="false">IF($AK581=0,"",INDEX('Part types'!$V:$V,$AK581)&amp;"")</f>
        <v>Estimate: size class XS</v>
      </c>
      <c r="AH581" s="9" t="str">
        <f aca="false">IF($AK581=0,"",INDEX('Part types'!$W:$W,$AK581)&amp;"")</f>
        <v>MAP</v>
      </c>
      <c r="AI581" s="11" t="str">
        <f aca="false">IF($AK581=0,"",INDEX('Part types'!$X:$X,$AK581)&amp;"")</f>
        <v>MAP</v>
      </c>
      <c r="AJ581" s="9" t="str">
        <f aca="false">IF($AK581=0,"",INDEX('Part types'!$Y:$Y,$AK581)&amp;"")</f>
        <v>MAP</v>
      </c>
      <c r="AK581" s="9" t="n">
        <f aca="false">IFERROR(MATCH($AD581,'Part types'!$E:$E,0),0)</f>
        <v>400</v>
      </c>
    </row>
    <row r="582" customFormat="false" ht="15" hidden="false" customHeight="false" outlineLevel="0" collapsed="false">
      <c r="A582" s="9" t="s">
        <v>2484</v>
      </c>
      <c r="B582" s="9" t="s">
        <v>2451</v>
      </c>
      <c r="C582" s="9" t="s">
        <v>2485</v>
      </c>
      <c r="D582" s="9" t="str">
        <f aca="false">C582&amp;" - "&amp;E582</f>
        <v>Intake Temperature Sensor - Universal</v>
      </c>
      <c r="E582" s="9" t="s">
        <v>68</v>
      </c>
      <c r="F582" s="9" t="s">
        <v>403</v>
      </c>
      <c r="G582" s="10" t="n">
        <f aca="false">IF($AK582=0,"",INDEX('Part types'!$P:$P,$AK582))</f>
        <v>10</v>
      </c>
      <c r="H582" s="10" t="n">
        <f aca="false">IF($AK582=0,"",INDEX('Part types'!$Q:$Q,$AK582))</f>
        <v>8</v>
      </c>
      <c r="I582" s="10" t="n">
        <f aca="false">IF($AK582=0,"",INDEX('Part types'!$R:$R,$AK582))</f>
        <v>6</v>
      </c>
      <c r="J582" s="10" t="n">
        <f aca="false">IF($AK582=0,"",INDEX('Part types'!$S:$S,$AK582))</f>
        <v>0.1</v>
      </c>
      <c r="K582" s="11" t="s">
        <v>2453</v>
      </c>
      <c r="L582" s="11" t="s">
        <v>2486</v>
      </c>
      <c r="M582" s="11" t="str">
        <f aca="false">L582&amp;" - "&amp;N582</f>
        <v>حساس حرارة هواء السحب - عام</v>
      </c>
      <c r="N582" s="11" t="s">
        <v>72</v>
      </c>
      <c r="O582" s="11" t="s">
        <v>406</v>
      </c>
      <c r="P582" s="10" t="n">
        <f aca="false">G582</f>
        <v>10</v>
      </c>
      <c r="Q582" s="10" t="n">
        <f aca="false">H582</f>
        <v>8</v>
      </c>
      <c r="R582" s="10" t="n">
        <f aca="false">I582</f>
        <v>6</v>
      </c>
      <c r="S582" s="10" t="n">
        <f aca="false">J582</f>
        <v>0.1</v>
      </c>
      <c r="T582" s="12" t="s">
        <v>2455</v>
      </c>
      <c r="U582" s="12" t="s">
        <v>2487</v>
      </c>
      <c r="V582" s="9" t="str">
        <f aca="false">U582&amp;" - "&amp;W582</f>
        <v>进气温度传感器 - 通用</v>
      </c>
      <c r="W582" s="12" t="s">
        <v>76</v>
      </c>
      <c r="X582" s="12" t="s">
        <v>409</v>
      </c>
      <c r="Y582" s="10" t="n">
        <f aca="false">G582</f>
        <v>10</v>
      </c>
      <c r="Z582" s="10" t="n">
        <f aca="false">H582</f>
        <v>8</v>
      </c>
      <c r="AA582" s="10" t="n">
        <f aca="false">I582</f>
        <v>6</v>
      </c>
      <c r="AB582" s="10" t="n">
        <f aca="false">J582</f>
        <v>0.1</v>
      </c>
      <c r="AC582" s="9" t="s">
        <v>2457</v>
      </c>
      <c r="AD582" s="9" t="s">
        <v>2488</v>
      </c>
      <c r="AE582" s="9" t="str">
        <f aca="false">IF($AK582=0,"",INDEX('Part types'!$T:$T,$AK582)&amp;"")</f>
        <v>Combustion engine (petrol, diesel, hybrid, range extender)</v>
      </c>
      <c r="AF582" s="9" t="str">
        <f aca="false">IF($AK582=0,"",INDEX('Part types'!$U:$U,$AK582)&amp;"")</f>
        <v/>
      </c>
      <c r="AG582" s="9" t="str">
        <f aca="false">IF($AK582=0,"",INDEX('Part types'!$V:$V,$AK582)&amp;"")</f>
        <v>Estimate: size class XS</v>
      </c>
      <c r="AH582" s="9" t="str">
        <f aca="false">IF($AK582=0,"",INDEX('Part types'!$W:$W,$AK582)&amp;"")</f>
        <v>Intake Air Temperature Sensor</v>
      </c>
      <c r="AI582" s="11" t="str">
        <f aca="false">IF($AK582=0,"",INDEX('Part types'!$X:$X,$AK582)&amp;"")</f>
        <v/>
      </c>
      <c r="AJ582" s="9" t="str">
        <f aca="false">IF($AK582=0,"",INDEX('Part types'!$Y:$Y,$AK582)&amp;"")</f>
        <v/>
      </c>
      <c r="AK582" s="9" t="n">
        <f aca="false">IFERROR(MATCH($AD582,'Part types'!$E:$E,0),0)</f>
        <v>401</v>
      </c>
    </row>
    <row r="583" customFormat="false" ht="15" hidden="false" customHeight="false" outlineLevel="0" collapsed="false">
      <c r="A583" s="9" t="s">
        <v>2489</v>
      </c>
      <c r="B583" s="9" t="s">
        <v>2451</v>
      </c>
      <c r="C583" s="9" t="s">
        <v>2490</v>
      </c>
      <c r="D583" s="9" t="str">
        <f aca="false">C583&amp;" - "&amp;E583</f>
        <v>Throttle Position Sensor - Universal</v>
      </c>
      <c r="E583" s="9" t="s">
        <v>68</v>
      </c>
      <c r="F583" s="9" t="s">
        <v>403</v>
      </c>
      <c r="G583" s="10" t="n">
        <f aca="false">IF($AK583=0,"",INDEX('Part types'!$P:$P,$AK583))</f>
        <v>10</v>
      </c>
      <c r="H583" s="10" t="n">
        <f aca="false">IF($AK583=0,"",INDEX('Part types'!$Q:$Q,$AK583))</f>
        <v>8</v>
      </c>
      <c r="I583" s="10" t="n">
        <f aca="false">IF($AK583=0,"",INDEX('Part types'!$R:$R,$AK583))</f>
        <v>6</v>
      </c>
      <c r="J583" s="10" t="n">
        <f aca="false">IF($AK583=0,"",INDEX('Part types'!$S:$S,$AK583))</f>
        <v>0.1</v>
      </c>
      <c r="K583" s="11" t="s">
        <v>2453</v>
      </c>
      <c r="L583" s="11" t="s">
        <v>2491</v>
      </c>
      <c r="M583" s="11" t="str">
        <f aca="false">L583&amp;" - "&amp;N583</f>
        <v>حساس وضع الخانق - عام</v>
      </c>
      <c r="N583" s="11" t="s">
        <v>72</v>
      </c>
      <c r="O583" s="11" t="s">
        <v>406</v>
      </c>
      <c r="P583" s="10" t="n">
        <f aca="false">G583</f>
        <v>10</v>
      </c>
      <c r="Q583" s="10" t="n">
        <f aca="false">H583</f>
        <v>8</v>
      </c>
      <c r="R583" s="10" t="n">
        <f aca="false">I583</f>
        <v>6</v>
      </c>
      <c r="S583" s="10" t="n">
        <f aca="false">J583</f>
        <v>0.1</v>
      </c>
      <c r="T583" s="12" t="s">
        <v>2455</v>
      </c>
      <c r="U583" s="12" t="s">
        <v>2492</v>
      </c>
      <c r="V583" s="9" t="str">
        <f aca="false">U583&amp;" - "&amp;W583</f>
        <v>节气门位置传感器 - 通用</v>
      </c>
      <c r="W583" s="12" t="s">
        <v>76</v>
      </c>
      <c r="X583" s="12" t="s">
        <v>409</v>
      </c>
      <c r="Y583" s="10" t="n">
        <f aca="false">G583</f>
        <v>10</v>
      </c>
      <c r="Z583" s="10" t="n">
        <f aca="false">H583</f>
        <v>8</v>
      </c>
      <c r="AA583" s="10" t="n">
        <f aca="false">I583</f>
        <v>6</v>
      </c>
      <c r="AB583" s="10" t="n">
        <f aca="false">J583</f>
        <v>0.1</v>
      </c>
      <c r="AC583" s="9" t="s">
        <v>2457</v>
      </c>
      <c r="AD583" s="9" t="s">
        <v>2493</v>
      </c>
      <c r="AE583" s="9" t="str">
        <f aca="false">IF($AK583=0,"",INDEX('Part types'!$T:$T,$AK583)&amp;"")</f>
        <v>Combustion engine (petrol, diesel, hybrid, range extender)</v>
      </c>
      <c r="AF583" s="9" t="str">
        <f aca="false">IF($AK583=0,"",INDEX('Part types'!$U:$U,$AK583)&amp;"")</f>
        <v/>
      </c>
      <c r="AG583" s="9" t="str">
        <f aca="false">IF($AK583=0,"",INDEX('Part types'!$V:$V,$AK583)&amp;"")</f>
        <v>Estimate: size class XS</v>
      </c>
      <c r="AH583" s="9" t="str">
        <f aca="false">IF($AK583=0,"",INDEX('Part types'!$W:$W,$AK583)&amp;"")</f>
        <v/>
      </c>
      <c r="AI583" s="11" t="str">
        <f aca="false">IF($AK583=0,"",INDEX('Part types'!$X:$X,$AK583)&amp;"")</f>
        <v>TPS</v>
      </c>
      <c r="AJ583" s="9" t="str">
        <f aca="false">IF($AK583=0,"",INDEX('Part types'!$Y:$Y,$AK583)&amp;"")</f>
        <v/>
      </c>
      <c r="AK583" s="9" t="n">
        <f aca="false">IFERROR(MATCH($AD583,'Part types'!$E:$E,0),0)</f>
        <v>402</v>
      </c>
    </row>
    <row r="584" customFormat="false" ht="15" hidden="false" customHeight="false" outlineLevel="0" collapsed="false">
      <c r="A584" s="9" t="s">
        <v>2494</v>
      </c>
      <c r="B584" s="9" t="s">
        <v>2451</v>
      </c>
      <c r="C584" s="9" t="s">
        <v>2495</v>
      </c>
      <c r="D584" s="9" t="str">
        <f aca="false">C584&amp;" - "&amp;E584</f>
        <v>Pedal Position Sensor - Universal</v>
      </c>
      <c r="E584" s="9" t="s">
        <v>68</v>
      </c>
      <c r="F584" s="9" t="s">
        <v>2496</v>
      </c>
      <c r="G584" s="10" t="n">
        <f aca="false">IF($AK584=0,"",INDEX('Part types'!$P:$P,$AK584))</f>
        <v>15</v>
      </c>
      <c r="H584" s="10" t="n">
        <f aca="false">IF($AK584=0,"",INDEX('Part types'!$Q:$Q,$AK584))</f>
        <v>10</v>
      </c>
      <c r="I584" s="10" t="n">
        <f aca="false">IF($AK584=0,"",INDEX('Part types'!$R:$R,$AK584))</f>
        <v>8</v>
      </c>
      <c r="J584" s="10" t="n">
        <f aca="false">IF($AK584=0,"",INDEX('Part types'!$S:$S,$AK584))</f>
        <v>0.3</v>
      </c>
      <c r="K584" s="11" t="s">
        <v>2453</v>
      </c>
      <c r="L584" s="11" t="s">
        <v>2497</v>
      </c>
      <c r="M584" s="11" t="str">
        <f aca="false">L584&amp;" - "&amp;N584</f>
        <v>حساس دواسة البنزين - عام</v>
      </c>
      <c r="N584" s="11" t="s">
        <v>72</v>
      </c>
      <c r="O584" s="11" t="s">
        <v>2498</v>
      </c>
      <c r="P584" s="10" t="n">
        <f aca="false">G584</f>
        <v>15</v>
      </c>
      <c r="Q584" s="10" t="n">
        <f aca="false">H584</f>
        <v>10</v>
      </c>
      <c r="R584" s="10" t="n">
        <f aca="false">I584</f>
        <v>8</v>
      </c>
      <c r="S584" s="10" t="n">
        <f aca="false">J584</f>
        <v>0.3</v>
      </c>
      <c r="T584" s="12" t="s">
        <v>2455</v>
      </c>
      <c r="U584" s="12" t="s">
        <v>2499</v>
      </c>
      <c r="V584" s="9" t="str">
        <f aca="false">U584&amp;" - "&amp;W584</f>
        <v>油门踏板位置传感器 - 通用</v>
      </c>
      <c r="W584" s="12" t="s">
        <v>76</v>
      </c>
      <c r="X584" s="12" t="s">
        <v>2500</v>
      </c>
      <c r="Y584" s="10" t="n">
        <f aca="false">G584</f>
        <v>15</v>
      </c>
      <c r="Z584" s="10" t="n">
        <f aca="false">H584</f>
        <v>10</v>
      </c>
      <c r="AA584" s="10" t="n">
        <f aca="false">I584</f>
        <v>8</v>
      </c>
      <c r="AB584" s="10" t="n">
        <f aca="false">J584</f>
        <v>0.3</v>
      </c>
      <c r="AC584" s="9" t="s">
        <v>2457</v>
      </c>
      <c r="AD584" s="9" t="s">
        <v>2501</v>
      </c>
      <c r="AE584" s="9" t="str">
        <f aca="false">IF($AK584=0,"",INDEX('Part types'!$T:$T,$AK584)&amp;"")</f>
        <v>All vehicles</v>
      </c>
      <c r="AF584" s="9" t="str">
        <f aca="false">IF($AK584=0,"",INDEX('Part types'!$U:$U,$AK584)&amp;"")</f>
        <v/>
      </c>
      <c r="AG584" s="9" t="str">
        <f aca="false">IF($AK584=0,"",INDEX('Part types'!$V:$V,$AK584)&amp;"")</f>
        <v>Estimate: size class S</v>
      </c>
      <c r="AH584" s="9" t="str">
        <f aca="false">IF($AK584=0,"",INDEX('Part types'!$W:$W,$AK584)&amp;"")</f>
        <v>Accelerator Pedal Position Sensor</v>
      </c>
      <c r="AI584" s="11" t="str">
        <f aca="false">IF($AK584=0,"",INDEX('Part types'!$X:$X,$AK584)&amp;"")</f>
        <v/>
      </c>
      <c r="AJ584" s="9" t="str">
        <f aca="false">IF($AK584=0,"",INDEX('Part types'!$Y:$Y,$AK584)&amp;"")</f>
        <v/>
      </c>
      <c r="AK584" s="9" t="n">
        <f aca="false">IFERROR(MATCH($AD584,'Part types'!$E:$E,0),0)</f>
        <v>403</v>
      </c>
    </row>
    <row r="585" customFormat="false" ht="15" hidden="false" customHeight="false" outlineLevel="0" collapsed="false">
      <c r="A585" s="9" t="s">
        <v>2502</v>
      </c>
      <c r="B585" s="9" t="s">
        <v>2451</v>
      </c>
      <c r="C585" s="9" t="s">
        <v>2503</v>
      </c>
      <c r="D585" s="9" t="str">
        <f aca="false">C585&amp;" - "&amp;E585</f>
        <v>Crankshaft Position Sensor - Universal</v>
      </c>
      <c r="E585" s="9" t="s">
        <v>68</v>
      </c>
      <c r="F585" s="9" t="s">
        <v>87</v>
      </c>
      <c r="G585" s="10" t="n">
        <f aca="false">IF($AK585=0,"",INDEX('Part types'!$P:$P,$AK585))</f>
        <v>10</v>
      </c>
      <c r="H585" s="10" t="n">
        <f aca="false">IF($AK585=0,"",INDEX('Part types'!$Q:$Q,$AK585))</f>
        <v>8</v>
      </c>
      <c r="I585" s="10" t="n">
        <f aca="false">IF($AK585=0,"",INDEX('Part types'!$R:$R,$AK585))</f>
        <v>6</v>
      </c>
      <c r="J585" s="10" t="n">
        <f aca="false">IF($AK585=0,"",INDEX('Part types'!$S:$S,$AK585))</f>
        <v>0.1</v>
      </c>
      <c r="K585" s="11" t="s">
        <v>2453</v>
      </c>
      <c r="L585" s="11" t="s">
        <v>2504</v>
      </c>
      <c r="M585" s="11" t="str">
        <f aca="false">L585&amp;" - "&amp;N585</f>
        <v>حساس عمود المرفق - عام</v>
      </c>
      <c r="N585" s="11" t="s">
        <v>72</v>
      </c>
      <c r="O585" s="11" t="s">
        <v>89</v>
      </c>
      <c r="P585" s="10" t="n">
        <f aca="false">G585</f>
        <v>10</v>
      </c>
      <c r="Q585" s="10" t="n">
        <f aca="false">H585</f>
        <v>8</v>
      </c>
      <c r="R585" s="10" t="n">
        <f aca="false">I585</f>
        <v>6</v>
      </c>
      <c r="S585" s="10" t="n">
        <f aca="false">J585</f>
        <v>0.1</v>
      </c>
      <c r="T585" s="12" t="s">
        <v>2455</v>
      </c>
      <c r="U585" s="12" t="s">
        <v>2505</v>
      </c>
      <c r="V585" s="9" t="str">
        <f aca="false">U585&amp;" - "&amp;W585</f>
        <v>曲轴位置传感器 - 通用</v>
      </c>
      <c r="W585" s="12" t="s">
        <v>76</v>
      </c>
      <c r="X585" s="12" t="s">
        <v>91</v>
      </c>
      <c r="Y585" s="10" t="n">
        <f aca="false">G585</f>
        <v>10</v>
      </c>
      <c r="Z585" s="10" t="n">
        <f aca="false">H585</f>
        <v>8</v>
      </c>
      <c r="AA585" s="10" t="n">
        <f aca="false">I585</f>
        <v>6</v>
      </c>
      <c r="AB585" s="10" t="n">
        <f aca="false">J585</f>
        <v>0.1</v>
      </c>
      <c r="AC585" s="9" t="s">
        <v>2457</v>
      </c>
      <c r="AD585" s="9" t="s">
        <v>2506</v>
      </c>
      <c r="AE585" s="9" t="str">
        <f aca="false">IF($AK585=0,"",INDEX('Part types'!$T:$T,$AK585)&amp;"")</f>
        <v>Combustion engine (petrol, diesel, hybrid, range extender)</v>
      </c>
      <c r="AF585" s="9" t="str">
        <f aca="false">IF($AK585=0,"",INDEX('Part types'!$U:$U,$AK585)&amp;"")</f>
        <v/>
      </c>
      <c r="AG585" s="9" t="str">
        <f aca="false">IF($AK585=0,"",INDEX('Part types'!$V:$V,$AK585)&amp;"")</f>
        <v>Estimate: size class XS</v>
      </c>
      <c r="AH585" s="9" t="str">
        <f aca="false">IF($AK585=0,"",INDEX('Part types'!$W:$W,$AK585)&amp;"")</f>
        <v/>
      </c>
      <c r="AI585" s="11" t="str">
        <f aca="false">IF($AK585=0,"",INDEX('Part types'!$X:$X,$AK585)&amp;"")</f>
        <v>كرنك</v>
      </c>
      <c r="AJ585" s="9" t="str">
        <f aca="false">IF($AK585=0,"",INDEX('Part types'!$Y:$Y,$AK585)&amp;"")</f>
        <v/>
      </c>
      <c r="AK585" s="9" t="n">
        <f aca="false">IFERROR(MATCH($AD585,'Part types'!$E:$E,0),0)</f>
        <v>404</v>
      </c>
    </row>
    <row r="586" customFormat="false" ht="15" hidden="false" customHeight="false" outlineLevel="0" collapsed="false">
      <c r="A586" s="9" t="s">
        <v>2507</v>
      </c>
      <c r="B586" s="9" t="s">
        <v>2451</v>
      </c>
      <c r="C586" s="9" t="s">
        <v>2508</v>
      </c>
      <c r="D586" s="9" t="str">
        <f aca="false">C586&amp;" - "&amp;E586</f>
        <v>Camshaft Position Sensor - Universal</v>
      </c>
      <c r="E586" s="9" t="s">
        <v>68</v>
      </c>
      <c r="F586" s="9" t="s">
        <v>94</v>
      </c>
      <c r="G586" s="10" t="n">
        <f aca="false">IF($AK586=0,"",INDEX('Part types'!$P:$P,$AK586))</f>
        <v>10</v>
      </c>
      <c r="H586" s="10" t="n">
        <f aca="false">IF($AK586=0,"",INDEX('Part types'!$Q:$Q,$AK586))</f>
        <v>8</v>
      </c>
      <c r="I586" s="10" t="n">
        <f aca="false">IF($AK586=0,"",INDEX('Part types'!$R:$R,$AK586))</f>
        <v>6</v>
      </c>
      <c r="J586" s="10" t="n">
        <f aca="false">IF($AK586=0,"",INDEX('Part types'!$S:$S,$AK586))</f>
        <v>0.1</v>
      </c>
      <c r="K586" s="11" t="s">
        <v>2453</v>
      </c>
      <c r="L586" s="11" t="s">
        <v>2509</v>
      </c>
      <c r="M586" s="11" t="str">
        <f aca="false">L586&amp;" - "&amp;N586</f>
        <v>حساس عمود الكامات - عام</v>
      </c>
      <c r="N586" s="11" t="s">
        <v>72</v>
      </c>
      <c r="O586" s="11" t="s">
        <v>95</v>
      </c>
      <c r="P586" s="10" t="n">
        <f aca="false">G586</f>
        <v>10</v>
      </c>
      <c r="Q586" s="10" t="n">
        <f aca="false">H586</f>
        <v>8</v>
      </c>
      <c r="R586" s="10" t="n">
        <f aca="false">I586</f>
        <v>6</v>
      </c>
      <c r="S586" s="10" t="n">
        <f aca="false">J586</f>
        <v>0.1</v>
      </c>
      <c r="T586" s="12" t="s">
        <v>2455</v>
      </c>
      <c r="U586" s="12" t="s">
        <v>2510</v>
      </c>
      <c r="V586" s="9" t="str">
        <f aca="false">U586&amp;" - "&amp;W586</f>
        <v>凸轮轴位置传感器 - 通用</v>
      </c>
      <c r="W586" s="12" t="s">
        <v>76</v>
      </c>
      <c r="X586" s="12" t="s">
        <v>96</v>
      </c>
      <c r="Y586" s="10" t="n">
        <f aca="false">G586</f>
        <v>10</v>
      </c>
      <c r="Z586" s="10" t="n">
        <f aca="false">H586</f>
        <v>8</v>
      </c>
      <c r="AA586" s="10" t="n">
        <f aca="false">I586</f>
        <v>6</v>
      </c>
      <c r="AB586" s="10" t="n">
        <f aca="false">J586</f>
        <v>0.1</v>
      </c>
      <c r="AC586" s="9" t="s">
        <v>2457</v>
      </c>
      <c r="AD586" s="9" t="s">
        <v>2511</v>
      </c>
      <c r="AE586" s="9" t="str">
        <f aca="false">IF($AK586=0,"",INDEX('Part types'!$T:$T,$AK586)&amp;"")</f>
        <v>Combustion engine (petrol, diesel, hybrid, range extender)</v>
      </c>
      <c r="AF586" s="9" t="str">
        <f aca="false">IF($AK586=0,"",INDEX('Part types'!$U:$U,$AK586)&amp;"")</f>
        <v/>
      </c>
      <c r="AG586" s="9" t="str">
        <f aca="false">IF($AK586=0,"",INDEX('Part types'!$V:$V,$AK586)&amp;"")</f>
        <v>Estimate: size class XS</v>
      </c>
      <c r="AH586" s="9" t="str">
        <f aca="false">IF($AK586=0,"",INDEX('Part types'!$W:$W,$AK586)&amp;"")</f>
        <v/>
      </c>
      <c r="AI586" s="11" t="str">
        <f aca="false">IF($AK586=0,"",INDEX('Part types'!$X:$X,$AK586)&amp;"")</f>
        <v>كام</v>
      </c>
      <c r="AJ586" s="9" t="str">
        <f aca="false">IF($AK586=0,"",INDEX('Part types'!$Y:$Y,$AK586)&amp;"")</f>
        <v/>
      </c>
      <c r="AK586" s="9" t="n">
        <f aca="false">IFERROR(MATCH($AD586,'Part types'!$E:$E,0),0)</f>
        <v>405</v>
      </c>
    </row>
    <row r="587" customFormat="false" ht="15" hidden="false" customHeight="false" outlineLevel="0" collapsed="false">
      <c r="A587" s="9" t="s">
        <v>2512</v>
      </c>
      <c r="B587" s="9" t="s">
        <v>2451</v>
      </c>
      <c r="C587" s="9" t="s">
        <v>2513</v>
      </c>
      <c r="D587" s="9" t="str">
        <f aca="false">C587&amp;" - "&amp;E587</f>
        <v>Knock Sensor - Universal</v>
      </c>
      <c r="E587" s="9" t="s">
        <v>68</v>
      </c>
      <c r="F587" s="9" t="s">
        <v>87</v>
      </c>
      <c r="G587" s="10" t="n">
        <f aca="false">IF($AK587=0,"",INDEX('Part types'!$P:$P,$AK587))</f>
        <v>10</v>
      </c>
      <c r="H587" s="10" t="n">
        <f aca="false">IF($AK587=0,"",INDEX('Part types'!$Q:$Q,$AK587))</f>
        <v>8</v>
      </c>
      <c r="I587" s="10" t="n">
        <f aca="false">IF($AK587=0,"",INDEX('Part types'!$R:$R,$AK587))</f>
        <v>6</v>
      </c>
      <c r="J587" s="10" t="n">
        <f aca="false">IF($AK587=0,"",INDEX('Part types'!$S:$S,$AK587))</f>
        <v>0.1</v>
      </c>
      <c r="K587" s="11" t="s">
        <v>2453</v>
      </c>
      <c r="L587" s="11" t="s">
        <v>2514</v>
      </c>
      <c r="M587" s="11" t="str">
        <f aca="false">L587&amp;" - "&amp;N587</f>
        <v>حساس الطرق - عام</v>
      </c>
      <c r="N587" s="11" t="s">
        <v>72</v>
      </c>
      <c r="O587" s="11" t="s">
        <v>89</v>
      </c>
      <c r="P587" s="10" t="n">
        <f aca="false">G587</f>
        <v>10</v>
      </c>
      <c r="Q587" s="10" t="n">
        <f aca="false">H587</f>
        <v>8</v>
      </c>
      <c r="R587" s="10" t="n">
        <f aca="false">I587</f>
        <v>6</v>
      </c>
      <c r="S587" s="10" t="n">
        <f aca="false">J587</f>
        <v>0.1</v>
      </c>
      <c r="T587" s="12" t="s">
        <v>2455</v>
      </c>
      <c r="U587" s="12" t="s">
        <v>2515</v>
      </c>
      <c r="V587" s="9" t="str">
        <f aca="false">U587&amp;" - "&amp;W587</f>
        <v>爆震传感器 - 通用</v>
      </c>
      <c r="W587" s="12" t="s">
        <v>76</v>
      </c>
      <c r="X587" s="12" t="s">
        <v>91</v>
      </c>
      <c r="Y587" s="10" t="n">
        <f aca="false">G587</f>
        <v>10</v>
      </c>
      <c r="Z587" s="10" t="n">
        <f aca="false">H587</f>
        <v>8</v>
      </c>
      <c r="AA587" s="10" t="n">
        <f aca="false">I587</f>
        <v>6</v>
      </c>
      <c r="AB587" s="10" t="n">
        <f aca="false">J587</f>
        <v>0.1</v>
      </c>
      <c r="AC587" s="9" t="s">
        <v>2457</v>
      </c>
      <c r="AD587" s="9" t="s">
        <v>2516</v>
      </c>
      <c r="AE587" s="9" t="str">
        <f aca="false">IF($AK587=0,"",INDEX('Part types'!$T:$T,$AK587)&amp;"")</f>
        <v>Combustion engine (petrol, diesel, hybrid, range extender)</v>
      </c>
      <c r="AF587" s="9" t="str">
        <f aca="false">IF($AK587=0,"",INDEX('Part types'!$U:$U,$AK587)&amp;"")</f>
        <v/>
      </c>
      <c r="AG587" s="9" t="str">
        <f aca="false">IF($AK587=0,"",INDEX('Part types'!$V:$V,$AK587)&amp;"")</f>
        <v>Estimate: size class XS</v>
      </c>
      <c r="AH587" s="9" t="str">
        <f aca="false">IF($AK587=0,"",INDEX('Part types'!$W:$W,$AK587)&amp;"")</f>
        <v/>
      </c>
      <c r="AI587" s="11" t="str">
        <f aca="false">IF($AK587=0,"",INDEX('Part types'!$X:$X,$AK587)&amp;"")</f>
        <v>نوك</v>
      </c>
      <c r="AJ587" s="9" t="str">
        <f aca="false">IF($AK587=0,"",INDEX('Part types'!$Y:$Y,$AK587)&amp;"")</f>
        <v/>
      </c>
      <c r="AK587" s="9" t="n">
        <f aca="false">IFERROR(MATCH($AD587,'Part types'!$E:$E,0),0)</f>
        <v>406</v>
      </c>
    </row>
    <row r="588" customFormat="false" ht="15" hidden="false" customHeight="false" outlineLevel="0" collapsed="false">
      <c r="A588" s="9" t="s">
        <v>2517</v>
      </c>
      <c r="B588" s="9" t="s">
        <v>2451</v>
      </c>
      <c r="C588" s="9" t="s">
        <v>2518</v>
      </c>
      <c r="D588" s="9" t="str">
        <f aca="false">C588&amp;" - "&amp;E588</f>
        <v>Coolant Temperature Sensor - Universal</v>
      </c>
      <c r="E588" s="9" t="s">
        <v>68</v>
      </c>
      <c r="F588" s="9" t="s">
        <v>2519</v>
      </c>
      <c r="G588" s="10" t="n">
        <f aca="false">IF($AK588=0,"",INDEX('Part types'!$P:$P,$AK588))</f>
        <v>10</v>
      </c>
      <c r="H588" s="10" t="n">
        <f aca="false">IF($AK588=0,"",INDEX('Part types'!$Q:$Q,$AK588))</f>
        <v>8</v>
      </c>
      <c r="I588" s="10" t="n">
        <f aca="false">IF($AK588=0,"",INDEX('Part types'!$R:$R,$AK588))</f>
        <v>6</v>
      </c>
      <c r="J588" s="10" t="n">
        <f aca="false">IF($AK588=0,"",INDEX('Part types'!$S:$S,$AK588))</f>
        <v>0.1</v>
      </c>
      <c r="K588" s="11" t="s">
        <v>2453</v>
      </c>
      <c r="L588" s="11" t="s">
        <v>2520</v>
      </c>
      <c r="M588" s="11" t="str">
        <f aca="false">L588&amp;" - "&amp;N588</f>
        <v>حساس حرارة المياه - عام</v>
      </c>
      <c r="N588" s="11" t="s">
        <v>72</v>
      </c>
      <c r="O588" s="11" t="s">
        <v>2521</v>
      </c>
      <c r="P588" s="10" t="n">
        <f aca="false">G588</f>
        <v>10</v>
      </c>
      <c r="Q588" s="10" t="n">
        <f aca="false">H588</f>
        <v>8</v>
      </c>
      <c r="R588" s="10" t="n">
        <f aca="false">I588</f>
        <v>6</v>
      </c>
      <c r="S588" s="10" t="n">
        <f aca="false">J588</f>
        <v>0.1</v>
      </c>
      <c r="T588" s="12" t="s">
        <v>2455</v>
      </c>
      <c r="U588" s="12" t="s">
        <v>2522</v>
      </c>
      <c r="V588" s="9" t="str">
        <f aca="false">U588&amp;" - "&amp;W588</f>
        <v>冷却液温度传感器 - 通用</v>
      </c>
      <c r="W588" s="12" t="s">
        <v>76</v>
      </c>
      <c r="X588" s="12" t="s">
        <v>2523</v>
      </c>
      <c r="Y588" s="10" t="n">
        <f aca="false">G588</f>
        <v>10</v>
      </c>
      <c r="Z588" s="10" t="n">
        <f aca="false">H588</f>
        <v>8</v>
      </c>
      <c r="AA588" s="10" t="n">
        <f aca="false">I588</f>
        <v>6</v>
      </c>
      <c r="AB588" s="10" t="n">
        <f aca="false">J588</f>
        <v>0.1</v>
      </c>
      <c r="AC588" s="9" t="s">
        <v>2457</v>
      </c>
      <c r="AD588" s="9" t="s">
        <v>2524</v>
      </c>
      <c r="AE588" s="9" t="str">
        <f aca="false">IF($AK588=0,"",INDEX('Part types'!$T:$T,$AK588)&amp;"")</f>
        <v>All vehicles</v>
      </c>
      <c r="AF588" s="9" t="str">
        <f aca="false">IF($AK588=0,"",INDEX('Part types'!$U:$U,$AK588)&amp;"")</f>
        <v/>
      </c>
      <c r="AG588" s="9" t="str">
        <f aca="false">IF($AK588=0,"",INDEX('Part types'!$V:$V,$AK588)&amp;"")</f>
        <v>Estimate: size class XS</v>
      </c>
      <c r="AH588" s="9" t="str">
        <f aca="false">IF($AK588=0,"",INDEX('Part types'!$W:$W,$AK588)&amp;"")</f>
        <v/>
      </c>
      <c r="AI588" s="11" t="str">
        <f aca="false">IF($AK588=0,"",INDEX('Part types'!$X:$X,$AK588)&amp;"")</f>
        <v/>
      </c>
      <c r="AJ588" s="9" t="str">
        <f aca="false">IF($AK588=0,"",INDEX('Part types'!$Y:$Y,$AK588)&amp;"")</f>
        <v/>
      </c>
      <c r="AK588" s="9" t="n">
        <f aca="false">IFERROR(MATCH($AD588,'Part types'!$E:$E,0),0)</f>
        <v>407</v>
      </c>
    </row>
    <row r="589" customFormat="false" ht="15" hidden="false" customHeight="false" outlineLevel="0" collapsed="false">
      <c r="A589" s="9" t="s">
        <v>2525</v>
      </c>
      <c r="B589" s="9" t="s">
        <v>2451</v>
      </c>
      <c r="C589" s="9" t="s">
        <v>2526</v>
      </c>
      <c r="D589" s="9" t="str">
        <f aca="false">C589&amp;" - "&amp;E589</f>
        <v>Oil Pressure Sensor - Universal</v>
      </c>
      <c r="E589" s="9" t="s">
        <v>68</v>
      </c>
      <c r="F589" s="9" t="s">
        <v>87</v>
      </c>
      <c r="G589" s="10" t="n">
        <f aca="false">IF($AK589=0,"",INDEX('Part types'!$P:$P,$AK589))</f>
        <v>10</v>
      </c>
      <c r="H589" s="10" t="n">
        <f aca="false">IF($AK589=0,"",INDEX('Part types'!$Q:$Q,$AK589))</f>
        <v>8</v>
      </c>
      <c r="I589" s="10" t="n">
        <f aca="false">IF($AK589=0,"",INDEX('Part types'!$R:$R,$AK589))</f>
        <v>6</v>
      </c>
      <c r="J589" s="10" t="n">
        <f aca="false">IF($AK589=0,"",INDEX('Part types'!$S:$S,$AK589))</f>
        <v>0.1</v>
      </c>
      <c r="K589" s="11" t="s">
        <v>2453</v>
      </c>
      <c r="L589" s="11" t="s">
        <v>2527</v>
      </c>
      <c r="M589" s="11" t="str">
        <f aca="false">L589&amp;" - "&amp;N589</f>
        <v>حساس ضغط الزيت - عام</v>
      </c>
      <c r="N589" s="11" t="s">
        <v>72</v>
      </c>
      <c r="O589" s="11" t="s">
        <v>89</v>
      </c>
      <c r="P589" s="10" t="n">
        <f aca="false">G589</f>
        <v>10</v>
      </c>
      <c r="Q589" s="10" t="n">
        <f aca="false">H589</f>
        <v>8</v>
      </c>
      <c r="R589" s="10" t="n">
        <f aca="false">I589</f>
        <v>6</v>
      </c>
      <c r="S589" s="10" t="n">
        <f aca="false">J589</f>
        <v>0.1</v>
      </c>
      <c r="T589" s="12" t="s">
        <v>2455</v>
      </c>
      <c r="U589" s="12" t="s">
        <v>2528</v>
      </c>
      <c r="V589" s="9" t="str">
        <f aca="false">U589&amp;" - "&amp;W589</f>
        <v>机油压力传感器 - 通用</v>
      </c>
      <c r="W589" s="12" t="s">
        <v>76</v>
      </c>
      <c r="X589" s="12" t="s">
        <v>91</v>
      </c>
      <c r="Y589" s="10" t="n">
        <f aca="false">G589</f>
        <v>10</v>
      </c>
      <c r="Z589" s="10" t="n">
        <f aca="false">H589</f>
        <v>8</v>
      </c>
      <c r="AA589" s="10" t="n">
        <f aca="false">I589</f>
        <v>6</v>
      </c>
      <c r="AB589" s="10" t="n">
        <f aca="false">J589</f>
        <v>0.1</v>
      </c>
      <c r="AC589" s="9" t="s">
        <v>2457</v>
      </c>
      <c r="AD589" s="9" t="s">
        <v>2529</v>
      </c>
      <c r="AE589" s="9" t="str">
        <f aca="false">IF($AK589=0,"",INDEX('Part types'!$T:$T,$AK589)&amp;"")</f>
        <v>Combustion engine (petrol, diesel, hybrid, range extender)</v>
      </c>
      <c r="AF589" s="9" t="str">
        <f aca="false">IF($AK589=0,"",INDEX('Part types'!$U:$U,$AK589)&amp;"")</f>
        <v/>
      </c>
      <c r="AG589" s="9" t="str">
        <f aca="false">IF($AK589=0,"",INDEX('Part types'!$V:$V,$AK589)&amp;"")</f>
        <v>Estimate: size class XS</v>
      </c>
      <c r="AH589" s="9" t="str">
        <f aca="false">IF($AK589=0,"",INDEX('Part types'!$W:$W,$AK589)&amp;"")</f>
        <v>Engine Oil Pressure Sensor</v>
      </c>
      <c r="AI589" s="11" t="str">
        <f aca="false">IF($AK589=0,"",INDEX('Part types'!$X:$X,$AK589)&amp;"")</f>
        <v/>
      </c>
      <c r="AJ589" s="9" t="str">
        <f aca="false">IF($AK589=0,"",INDEX('Part types'!$Y:$Y,$AK589)&amp;"")</f>
        <v/>
      </c>
      <c r="AK589" s="9" t="n">
        <f aca="false">IFERROR(MATCH($AD589,'Part types'!$E:$E,0),0)</f>
        <v>408</v>
      </c>
    </row>
    <row r="590" customFormat="false" ht="15" hidden="false" customHeight="false" outlineLevel="0" collapsed="false">
      <c r="A590" s="9" t="s">
        <v>2530</v>
      </c>
      <c r="B590" s="9" t="s">
        <v>2451</v>
      </c>
      <c r="C590" s="9" t="s">
        <v>2531</v>
      </c>
      <c r="D590" s="9" t="str">
        <f aca="false">C590&amp;" - "&amp;E590</f>
        <v>Oil Level Sensor - Universal</v>
      </c>
      <c r="E590" s="9" t="s">
        <v>68</v>
      </c>
      <c r="F590" s="9" t="s">
        <v>343</v>
      </c>
      <c r="G590" s="10" t="n">
        <f aca="false">IF($AK590=0,"",INDEX('Part types'!$P:$P,$AK590))</f>
        <v>10</v>
      </c>
      <c r="H590" s="10" t="n">
        <f aca="false">IF($AK590=0,"",INDEX('Part types'!$Q:$Q,$AK590))</f>
        <v>8</v>
      </c>
      <c r="I590" s="10" t="n">
        <f aca="false">IF($AK590=0,"",INDEX('Part types'!$R:$R,$AK590))</f>
        <v>6</v>
      </c>
      <c r="J590" s="10" t="n">
        <f aca="false">IF($AK590=0,"",INDEX('Part types'!$S:$S,$AK590))</f>
        <v>0.1</v>
      </c>
      <c r="K590" s="11" t="s">
        <v>2453</v>
      </c>
      <c r="L590" s="11" t="s">
        <v>2532</v>
      </c>
      <c r="M590" s="11" t="str">
        <f aca="false">L590&amp;" - "&amp;N590</f>
        <v>حساس مستوى الزيت - عام</v>
      </c>
      <c r="N590" s="11" t="s">
        <v>72</v>
      </c>
      <c r="O590" s="11" t="s">
        <v>346</v>
      </c>
      <c r="P590" s="10" t="n">
        <f aca="false">G590</f>
        <v>10</v>
      </c>
      <c r="Q590" s="10" t="n">
        <f aca="false">H590</f>
        <v>8</v>
      </c>
      <c r="R590" s="10" t="n">
        <f aca="false">I590</f>
        <v>6</v>
      </c>
      <c r="S590" s="10" t="n">
        <f aca="false">J590</f>
        <v>0.1</v>
      </c>
      <c r="T590" s="12" t="s">
        <v>2455</v>
      </c>
      <c r="U590" s="12" t="s">
        <v>2533</v>
      </c>
      <c r="V590" s="9" t="str">
        <f aca="false">U590&amp;" - "&amp;W590</f>
        <v>机油液位传感器 - 通用</v>
      </c>
      <c r="W590" s="12" t="s">
        <v>76</v>
      </c>
      <c r="X590" s="12" t="s">
        <v>349</v>
      </c>
      <c r="Y590" s="10" t="n">
        <f aca="false">G590</f>
        <v>10</v>
      </c>
      <c r="Z590" s="10" t="n">
        <f aca="false">H590</f>
        <v>8</v>
      </c>
      <c r="AA590" s="10" t="n">
        <f aca="false">I590</f>
        <v>6</v>
      </c>
      <c r="AB590" s="10" t="n">
        <f aca="false">J590</f>
        <v>0.1</v>
      </c>
      <c r="AC590" s="9" t="s">
        <v>2457</v>
      </c>
      <c r="AD590" s="9" t="s">
        <v>2534</v>
      </c>
      <c r="AE590" s="9" t="str">
        <f aca="false">IF($AK590=0,"",INDEX('Part types'!$T:$T,$AK590)&amp;"")</f>
        <v>Combustion engine (petrol, diesel, hybrid, range extender)</v>
      </c>
      <c r="AF590" s="9" t="str">
        <f aca="false">IF($AK590=0,"",INDEX('Part types'!$U:$U,$AK590)&amp;"")</f>
        <v/>
      </c>
      <c r="AG590" s="9" t="str">
        <f aca="false">IF($AK590=0,"",INDEX('Part types'!$V:$V,$AK590)&amp;"")</f>
        <v>Estimate: size class XS</v>
      </c>
      <c r="AH590" s="9" t="str">
        <f aca="false">IF($AK590=0,"",INDEX('Part types'!$W:$W,$AK590)&amp;"")</f>
        <v>Engine Oil Level Sensor</v>
      </c>
      <c r="AI590" s="11" t="str">
        <f aca="false">IF($AK590=0,"",INDEX('Part types'!$X:$X,$AK590)&amp;"")</f>
        <v/>
      </c>
      <c r="AJ590" s="9" t="str">
        <f aca="false">IF($AK590=0,"",INDEX('Part types'!$Y:$Y,$AK590)&amp;"")</f>
        <v/>
      </c>
      <c r="AK590" s="9" t="n">
        <f aca="false">IFERROR(MATCH($AD590,'Part types'!$E:$E,0),0)</f>
        <v>409</v>
      </c>
    </row>
    <row r="591" customFormat="false" ht="15" hidden="false" customHeight="false" outlineLevel="0" collapsed="false">
      <c r="A591" s="9" t="s">
        <v>2535</v>
      </c>
      <c r="B591" s="9" t="s">
        <v>2451</v>
      </c>
      <c r="C591" s="9" t="s">
        <v>2536</v>
      </c>
      <c r="D591" s="9" t="str">
        <f aca="false">C591&amp;" - "&amp;E591</f>
        <v>Fuel Pressure Sensor - Universal</v>
      </c>
      <c r="E591" s="9" t="s">
        <v>68</v>
      </c>
      <c r="F591" s="9" t="s">
        <v>561</v>
      </c>
      <c r="G591" s="10" t="n">
        <f aca="false">IF($AK591=0,"",INDEX('Part types'!$P:$P,$AK591))</f>
        <v>10</v>
      </c>
      <c r="H591" s="10" t="n">
        <f aca="false">IF($AK591=0,"",INDEX('Part types'!$Q:$Q,$AK591))</f>
        <v>8</v>
      </c>
      <c r="I591" s="10" t="n">
        <f aca="false">IF($AK591=0,"",INDEX('Part types'!$R:$R,$AK591))</f>
        <v>6</v>
      </c>
      <c r="J591" s="10" t="n">
        <f aca="false">IF($AK591=0,"",INDEX('Part types'!$S:$S,$AK591))</f>
        <v>0.1</v>
      </c>
      <c r="K591" s="11" t="s">
        <v>2453</v>
      </c>
      <c r="L591" s="11" t="s">
        <v>2537</v>
      </c>
      <c r="M591" s="11" t="str">
        <f aca="false">L591&amp;" - "&amp;N591</f>
        <v>حساس ضغط الوقود - عام</v>
      </c>
      <c r="N591" s="11" t="s">
        <v>72</v>
      </c>
      <c r="O591" s="11" t="s">
        <v>563</v>
      </c>
      <c r="P591" s="10" t="n">
        <f aca="false">G591</f>
        <v>10</v>
      </c>
      <c r="Q591" s="10" t="n">
        <f aca="false">H591</f>
        <v>8</v>
      </c>
      <c r="R591" s="10" t="n">
        <f aca="false">I591</f>
        <v>6</v>
      </c>
      <c r="S591" s="10" t="n">
        <f aca="false">J591</f>
        <v>0.1</v>
      </c>
      <c r="T591" s="12" t="s">
        <v>2455</v>
      </c>
      <c r="U591" s="12" t="s">
        <v>2538</v>
      </c>
      <c r="V591" s="9" t="str">
        <f aca="false">U591&amp;" - "&amp;W591</f>
        <v>燃油压力传感器 - 通用</v>
      </c>
      <c r="W591" s="12" t="s">
        <v>76</v>
      </c>
      <c r="X591" s="12" t="s">
        <v>565</v>
      </c>
      <c r="Y591" s="10" t="n">
        <f aca="false">G591</f>
        <v>10</v>
      </c>
      <c r="Z591" s="10" t="n">
        <f aca="false">H591</f>
        <v>8</v>
      </c>
      <c r="AA591" s="10" t="n">
        <f aca="false">I591</f>
        <v>6</v>
      </c>
      <c r="AB591" s="10" t="n">
        <f aca="false">J591</f>
        <v>0.1</v>
      </c>
      <c r="AC591" s="9" t="s">
        <v>2457</v>
      </c>
      <c r="AD591" s="9" t="s">
        <v>2539</v>
      </c>
      <c r="AE591" s="9" t="str">
        <f aca="false">IF($AK591=0,"",INDEX('Part types'!$T:$T,$AK591)&amp;"")</f>
        <v>Combustion engine (petrol, diesel, hybrid, range extender)</v>
      </c>
      <c r="AF591" s="9" t="str">
        <f aca="false">IF($AK591=0,"",INDEX('Part types'!$U:$U,$AK591)&amp;"")</f>
        <v/>
      </c>
      <c r="AG591" s="9" t="str">
        <f aca="false">IF($AK591=0,"",INDEX('Part types'!$V:$V,$AK591)&amp;"")</f>
        <v>Estimate: size class XS</v>
      </c>
      <c r="AH591" s="9" t="str">
        <f aca="false">IF($AK591=0,"",INDEX('Part types'!$W:$W,$AK591)&amp;"")</f>
        <v/>
      </c>
      <c r="AI591" s="11" t="str">
        <f aca="false">IF($AK591=0,"",INDEX('Part types'!$X:$X,$AK591)&amp;"")</f>
        <v/>
      </c>
      <c r="AJ591" s="9" t="str">
        <f aca="false">IF($AK591=0,"",INDEX('Part types'!$Y:$Y,$AK591)&amp;"")</f>
        <v/>
      </c>
      <c r="AK591" s="9" t="n">
        <f aca="false">IFERROR(MATCH($AD591,'Part types'!$E:$E,0),0)</f>
        <v>410</v>
      </c>
    </row>
    <row r="592" customFormat="false" ht="15" hidden="false" customHeight="false" outlineLevel="0" collapsed="false">
      <c r="A592" s="9" t="s">
        <v>2540</v>
      </c>
      <c r="B592" s="9" t="s">
        <v>2451</v>
      </c>
      <c r="C592" s="9" t="s">
        <v>2541</v>
      </c>
      <c r="D592" s="9" t="str">
        <f aca="false">C592&amp;" - "&amp;E592</f>
        <v>Exhaust Temperature Sensor - Universal</v>
      </c>
      <c r="E592" s="9" t="s">
        <v>68</v>
      </c>
      <c r="F592" s="9" t="s">
        <v>651</v>
      </c>
      <c r="G592" s="10" t="n">
        <f aca="false">IF($AK592=0,"",INDEX('Part types'!$P:$P,$AK592))</f>
        <v>10</v>
      </c>
      <c r="H592" s="10" t="n">
        <f aca="false">IF($AK592=0,"",INDEX('Part types'!$Q:$Q,$AK592))</f>
        <v>8</v>
      </c>
      <c r="I592" s="10" t="n">
        <f aca="false">IF($AK592=0,"",INDEX('Part types'!$R:$R,$AK592))</f>
        <v>6</v>
      </c>
      <c r="J592" s="10" t="n">
        <f aca="false">IF($AK592=0,"",INDEX('Part types'!$S:$S,$AK592))</f>
        <v>0.1</v>
      </c>
      <c r="K592" s="11" t="s">
        <v>2453</v>
      </c>
      <c r="L592" s="11" t="s">
        <v>2542</v>
      </c>
      <c r="M592" s="11" t="str">
        <f aca="false">L592&amp;" - "&amp;N592</f>
        <v>حساس حرارة العادم - عام</v>
      </c>
      <c r="N592" s="11" t="s">
        <v>72</v>
      </c>
      <c r="O592" s="11" t="s">
        <v>653</v>
      </c>
      <c r="P592" s="10" t="n">
        <f aca="false">G592</f>
        <v>10</v>
      </c>
      <c r="Q592" s="10" t="n">
        <f aca="false">H592</f>
        <v>8</v>
      </c>
      <c r="R592" s="10" t="n">
        <f aca="false">I592</f>
        <v>6</v>
      </c>
      <c r="S592" s="10" t="n">
        <f aca="false">J592</f>
        <v>0.1</v>
      </c>
      <c r="T592" s="12" t="s">
        <v>2455</v>
      </c>
      <c r="U592" s="12" t="s">
        <v>2543</v>
      </c>
      <c r="V592" s="9" t="str">
        <f aca="false">U592&amp;" - "&amp;W592</f>
        <v>排气温度传感器 - 通用</v>
      </c>
      <c r="W592" s="12" t="s">
        <v>76</v>
      </c>
      <c r="X592" s="12" t="s">
        <v>655</v>
      </c>
      <c r="Y592" s="10" t="n">
        <f aca="false">G592</f>
        <v>10</v>
      </c>
      <c r="Z592" s="10" t="n">
        <f aca="false">H592</f>
        <v>8</v>
      </c>
      <c r="AA592" s="10" t="n">
        <f aca="false">I592</f>
        <v>6</v>
      </c>
      <c r="AB592" s="10" t="n">
        <f aca="false">J592</f>
        <v>0.1</v>
      </c>
      <c r="AC592" s="9" t="s">
        <v>2457</v>
      </c>
      <c r="AD592" s="9" t="s">
        <v>2544</v>
      </c>
      <c r="AE592" s="9" t="str">
        <f aca="false">IF($AK592=0,"",INDEX('Part types'!$T:$T,$AK592)&amp;"")</f>
        <v>Combustion engine (petrol, diesel, hybrid, range extender)</v>
      </c>
      <c r="AF592" s="9" t="str">
        <f aca="false">IF($AK592=0,"",INDEX('Part types'!$U:$U,$AK592)&amp;"")</f>
        <v/>
      </c>
      <c r="AG592" s="9" t="str">
        <f aca="false">IF($AK592=0,"",INDEX('Part types'!$V:$V,$AK592)&amp;"")</f>
        <v>Estimate: size class XS</v>
      </c>
      <c r="AH592" s="9" t="str">
        <f aca="false">IF($AK592=0,"",INDEX('Part types'!$W:$W,$AK592)&amp;"")</f>
        <v>Exhaust Gas Temperature Sensor</v>
      </c>
      <c r="AI592" s="11" t="str">
        <f aca="false">IF($AK592=0,"",INDEX('Part types'!$X:$X,$AK592)&amp;"")</f>
        <v/>
      </c>
      <c r="AJ592" s="9" t="str">
        <f aca="false">IF($AK592=0,"",INDEX('Part types'!$Y:$Y,$AK592)&amp;"")</f>
        <v/>
      </c>
      <c r="AK592" s="9" t="n">
        <f aca="false">IFERROR(MATCH($AD592,'Part types'!$E:$E,0),0)</f>
        <v>411</v>
      </c>
    </row>
    <row r="593" customFormat="false" ht="15" hidden="false" customHeight="false" outlineLevel="0" collapsed="false">
      <c r="A593" s="9" t="s">
        <v>2545</v>
      </c>
      <c r="B593" s="9" t="s">
        <v>2451</v>
      </c>
      <c r="C593" s="9" t="s">
        <v>2546</v>
      </c>
      <c r="D593" s="9" t="str">
        <f aca="false">C593&amp;" - "&amp;E593</f>
        <v>DPF Pressure Sensor - Universal</v>
      </c>
      <c r="E593" s="9" t="s">
        <v>68</v>
      </c>
      <c r="F593" s="9" t="s">
        <v>651</v>
      </c>
      <c r="G593" s="10" t="n">
        <f aca="false">IF($AK593=0,"",INDEX('Part types'!$P:$P,$AK593))</f>
        <v>10</v>
      </c>
      <c r="H593" s="10" t="n">
        <f aca="false">IF($AK593=0,"",INDEX('Part types'!$Q:$Q,$AK593))</f>
        <v>8</v>
      </c>
      <c r="I593" s="10" t="n">
        <f aca="false">IF($AK593=0,"",INDEX('Part types'!$R:$R,$AK593))</f>
        <v>6</v>
      </c>
      <c r="J593" s="10" t="n">
        <f aca="false">IF($AK593=0,"",INDEX('Part types'!$S:$S,$AK593))</f>
        <v>0.1</v>
      </c>
      <c r="K593" s="11" t="s">
        <v>2453</v>
      </c>
      <c r="L593" s="11" t="s">
        <v>2547</v>
      </c>
      <c r="M593" s="11" t="str">
        <f aca="false">L593&amp;" - "&amp;N593</f>
        <v>حساس فرق ضغط فلتر DPF - عام</v>
      </c>
      <c r="N593" s="11" t="s">
        <v>72</v>
      </c>
      <c r="O593" s="11" t="s">
        <v>653</v>
      </c>
      <c r="P593" s="10" t="n">
        <f aca="false">G593</f>
        <v>10</v>
      </c>
      <c r="Q593" s="10" t="n">
        <f aca="false">H593</f>
        <v>8</v>
      </c>
      <c r="R593" s="10" t="n">
        <f aca="false">I593</f>
        <v>6</v>
      </c>
      <c r="S593" s="10" t="n">
        <f aca="false">J593</f>
        <v>0.1</v>
      </c>
      <c r="T593" s="12" t="s">
        <v>2455</v>
      </c>
      <c r="U593" s="9" t="s">
        <v>2548</v>
      </c>
      <c r="V593" s="9" t="str">
        <f aca="false">U593&amp;" - "&amp;W593</f>
        <v>DPF压差传感器 - 通用</v>
      </c>
      <c r="W593" s="12" t="s">
        <v>76</v>
      </c>
      <c r="X593" s="12" t="s">
        <v>655</v>
      </c>
      <c r="Y593" s="10" t="n">
        <f aca="false">G593</f>
        <v>10</v>
      </c>
      <c r="Z593" s="10" t="n">
        <f aca="false">H593</f>
        <v>8</v>
      </c>
      <c r="AA593" s="10" t="n">
        <f aca="false">I593</f>
        <v>6</v>
      </c>
      <c r="AB593" s="10" t="n">
        <f aca="false">J593</f>
        <v>0.1</v>
      </c>
      <c r="AC593" s="9" t="s">
        <v>2457</v>
      </c>
      <c r="AD593" s="9" t="s">
        <v>2549</v>
      </c>
      <c r="AE593" s="9" t="str">
        <f aca="false">IF($AK593=0,"",INDEX('Part types'!$T:$T,$AK593)&amp;"")</f>
        <v>Combustion engine (petrol, diesel, hybrid, range extender)</v>
      </c>
      <c r="AF593" s="9" t="str">
        <f aca="false">IF($AK593=0,"",INDEX('Part types'!$U:$U,$AK593)&amp;"")</f>
        <v/>
      </c>
      <c r="AG593" s="9" t="str">
        <f aca="false">IF($AK593=0,"",INDEX('Part types'!$V:$V,$AK593)&amp;"")</f>
        <v>Estimate: size class XS</v>
      </c>
      <c r="AH593" s="9" t="str">
        <f aca="false">IF($AK593=0,"",INDEX('Part types'!$W:$W,$AK593)&amp;"")</f>
        <v>DPF Differential Pressure Sensor</v>
      </c>
      <c r="AI593" s="11" t="str">
        <f aca="false">IF($AK593=0,"",INDEX('Part types'!$X:$X,$AK593)&amp;"")</f>
        <v/>
      </c>
      <c r="AJ593" s="9" t="str">
        <f aca="false">IF($AK593=0,"",INDEX('Part types'!$Y:$Y,$AK593)&amp;"")</f>
        <v/>
      </c>
      <c r="AK593" s="9" t="n">
        <f aca="false">IFERROR(MATCH($AD593,'Part types'!$E:$E,0),0)</f>
        <v>412</v>
      </c>
    </row>
    <row r="594" customFormat="false" ht="15" hidden="false" customHeight="false" outlineLevel="0" collapsed="false">
      <c r="A594" s="9" t="s">
        <v>2550</v>
      </c>
      <c r="B594" s="9" t="s">
        <v>2451</v>
      </c>
      <c r="C594" s="9" t="s">
        <v>2551</v>
      </c>
      <c r="D594" s="9" t="str">
        <f aca="false">C594&amp;" - "&amp;E594</f>
        <v>Transmission Speed Sensor - Universal</v>
      </c>
      <c r="E594" s="9" t="s">
        <v>68</v>
      </c>
      <c r="F594" s="9" t="s">
        <v>926</v>
      </c>
      <c r="G594" s="10" t="n">
        <f aca="false">IF($AK594=0,"",INDEX('Part types'!$P:$P,$AK594))</f>
        <v>10</v>
      </c>
      <c r="H594" s="10" t="n">
        <f aca="false">IF($AK594=0,"",INDEX('Part types'!$Q:$Q,$AK594))</f>
        <v>8</v>
      </c>
      <c r="I594" s="10" t="n">
        <f aca="false">IF($AK594=0,"",INDEX('Part types'!$R:$R,$AK594))</f>
        <v>6</v>
      </c>
      <c r="J594" s="10" t="n">
        <f aca="false">IF($AK594=0,"",INDEX('Part types'!$S:$S,$AK594))</f>
        <v>0.1</v>
      </c>
      <c r="K594" s="11" t="s">
        <v>2453</v>
      </c>
      <c r="L594" s="11" t="s">
        <v>2552</v>
      </c>
      <c r="M594" s="11" t="str">
        <f aca="false">L594&amp;" - "&amp;N594</f>
        <v>حساس سرعة ناقل الحركة - عام</v>
      </c>
      <c r="N594" s="11" t="s">
        <v>72</v>
      </c>
      <c r="O594" s="11" t="s">
        <v>928</v>
      </c>
      <c r="P594" s="10" t="n">
        <f aca="false">G594</f>
        <v>10</v>
      </c>
      <c r="Q594" s="10" t="n">
        <f aca="false">H594</f>
        <v>8</v>
      </c>
      <c r="R594" s="10" t="n">
        <f aca="false">I594</f>
        <v>6</v>
      </c>
      <c r="S594" s="10" t="n">
        <f aca="false">J594</f>
        <v>0.1</v>
      </c>
      <c r="T594" s="12" t="s">
        <v>2455</v>
      </c>
      <c r="U594" s="12" t="s">
        <v>2553</v>
      </c>
      <c r="V594" s="9" t="str">
        <f aca="false">U594&amp;" - "&amp;W594</f>
        <v>变速箱转速传感器 - 通用</v>
      </c>
      <c r="W594" s="12" t="s">
        <v>76</v>
      </c>
      <c r="X594" s="12" t="s">
        <v>930</v>
      </c>
      <c r="Y594" s="10" t="n">
        <f aca="false">G594</f>
        <v>10</v>
      </c>
      <c r="Z594" s="10" t="n">
        <f aca="false">H594</f>
        <v>8</v>
      </c>
      <c r="AA594" s="10" t="n">
        <f aca="false">I594</f>
        <v>6</v>
      </c>
      <c r="AB594" s="10" t="n">
        <f aca="false">J594</f>
        <v>0.1</v>
      </c>
      <c r="AC594" s="9" t="s">
        <v>2457</v>
      </c>
      <c r="AD594" s="9" t="s">
        <v>2554</v>
      </c>
      <c r="AE594" s="9" t="str">
        <f aca="false">IF($AK594=0,"",INDEX('Part types'!$T:$T,$AK594)&amp;"")</f>
        <v>Combustion engine (petrol, diesel, hybrid, range extender)</v>
      </c>
      <c r="AF594" s="9" t="str">
        <f aca="false">IF($AK594=0,"",INDEX('Part types'!$U:$U,$AK594)&amp;"")</f>
        <v/>
      </c>
      <c r="AG594" s="9" t="str">
        <f aca="false">IF($AK594=0,"",INDEX('Part types'!$V:$V,$AK594)&amp;"")</f>
        <v>Estimate: size class XS</v>
      </c>
      <c r="AH594" s="9" t="str">
        <f aca="false">IF($AK594=0,"",INDEX('Part types'!$W:$W,$AK594)&amp;"")</f>
        <v/>
      </c>
      <c r="AI594" s="11" t="str">
        <f aca="false">IF($AK594=0,"",INDEX('Part types'!$X:$X,$AK594)&amp;"")</f>
        <v/>
      </c>
      <c r="AJ594" s="9" t="str">
        <f aca="false">IF($AK594=0,"",INDEX('Part types'!$Y:$Y,$AK594)&amp;"")</f>
        <v/>
      </c>
      <c r="AK594" s="9" t="n">
        <f aca="false">IFERROR(MATCH($AD594,'Part types'!$E:$E,0),0)</f>
        <v>413</v>
      </c>
    </row>
    <row r="595" customFormat="false" ht="15" hidden="false" customHeight="false" outlineLevel="0" collapsed="false">
      <c r="A595" s="9" t="s">
        <v>2555</v>
      </c>
      <c r="B595" s="9" t="s">
        <v>2451</v>
      </c>
      <c r="C595" s="9" t="s">
        <v>2556</v>
      </c>
      <c r="D595" s="9" t="str">
        <f aca="false">C595&amp;" - "&amp;E595</f>
        <v>Vehicle Speed Sensor - Universal</v>
      </c>
      <c r="E595" s="9" t="s">
        <v>68</v>
      </c>
      <c r="F595" s="9" t="s">
        <v>926</v>
      </c>
      <c r="G595" s="10" t="n">
        <f aca="false">IF($AK595=0,"",INDEX('Part types'!$P:$P,$AK595))</f>
        <v>10</v>
      </c>
      <c r="H595" s="10" t="n">
        <f aca="false">IF($AK595=0,"",INDEX('Part types'!$Q:$Q,$AK595))</f>
        <v>8</v>
      </c>
      <c r="I595" s="10" t="n">
        <f aca="false">IF($AK595=0,"",INDEX('Part types'!$R:$R,$AK595))</f>
        <v>6</v>
      </c>
      <c r="J595" s="10" t="n">
        <f aca="false">IF($AK595=0,"",INDEX('Part types'!$S:$S,$AK595))</f>
        <v>0.1</v>
      </c>
      <c r="K595" s="11" t="s">
        <v>2453</v>
      </c>
      <c r="L595" s="11" t="s">
        <v>2557</v>
      </c>
      <c r="M595" s="11" t="str">
        <f aca="false">L595&amp;" - "&amp;N595</f>
        <v>حساس سرعة السيارة - عام</v>
      </c>
      <c r="N595" s="11" t="s">
        <v>72</v>
      </c>
      <c r="O595" s="11" t="s">
        <v>928</v>
      </c>
      <c r="P595" s="10" t="n">
        <f aca="false">G595</f>
        <v>10</v>
      </c>
      <c r="Q595" s="10" t="n">
        <f aca="false">H595</f>
        <v>8</v>
      </c>
      <c r="R595" s="10" t="n">
        <f aca="false">I595</f>
        <v>6</v>
      </c>
      <c r="S595" s="10" t="n">
        <f aca="false">J595</f>
        <v>0.1</v>
      </c>
      <c r="T595" s="12" t="s">
        <v>2455</v>
      </c>
      <c r="U595" s="12" t="s">
        <v>2558</v>
      </c>
      <c r="V595" s="9" t="str">
        <f aca="false">U595&amp;" - "&amp;W595</f>
        <v>车速传感器 - 通用</v>
      </c>
      <c r="W595" s="12" t="s">
        <v>76</v>
      </c>
      <c r="X595" s="12" t="s">
        <v>930</v>
      </c>
      <c r="Y595" s="10" t="n">
        <f aca="false">G595</f>
        <v>10</v>
      </c>
      <c r="Z595" s="10" t="n">
        <f aca="false">H595</f>
        <v>8</v>
      </c>
      <c r="AA595" s="10" t="n">
        <f aca="false">I595</f>
        <v>6</v>
      </c>
      <c r="AB595" s="10" t="n">
        <f aca="false">J595</f>
        <v>0.1</v>
      </c>
      <c r="AC595" s="9" t="s">
        <v>2457</v>
      </c>
      <c r="AD595" s="9" t="s">
        <v>2559</v>
      </c>
      <c r="AE595" s="9" t="str">
        <f aca="false">IF($AK595=0,"",INDEX('Part types'!$T:$T,$AK595)&amp;"")</f>
        <v>All vehicles</v>
      </c>
      <c r="AF595" s="9" t="str">
        <f aca="false">IF($AK595=0,"",INDEX('Part types'!$U:$U,$AK595)&amp;"")</f>
        <v/>
      </c>
      <c r="AG595" s="9" t="str">
        <f aca="false">IF($AK595=0,"",INDEX('Part types'!$V:$V,$AK595)&amp;"")</f>
        <v>Estimate: size class XS</v>
      </c>
      <c r="AH595" s="9" t="str">
        <f aca="false">IF($AK595=0,"",INDEX('Part types'!$W:$W,$AK595)&amp;"")</f>
        <v/>
      </c>
      <c r="AI595" s="11" t="str">
        <f aca="false">IF($AK595=0,"",INDEX('Part types'!$X:$X,$AK595)&amp;"")</f>
        <v/>
      </c>
      <c r="AJ595" s="9" t="str">
        <f aca="false">IF($AK595=0,"",INDEX('Part types'!$Y:$Y,$AK595)&amp;"")</f>
        <v/>
      </c>
      <c r="AK595" s="9" t="n">
        <f aca="false">IFERROR(MATCH($AD595,'Part types'!$E:$E,0),0)</f>
        <v>414</v>
      </c>
    </row>
    <row r="596" customFormat="false" ht="15" hidden="false" customHeight="false" outlineLevel="0" collapsed="false">
      <c r="A596" s="9" t="s">
        <v>2560</v>
      </c>
      <c r="B596" s="9" t="s">
        <v>2451</v>
      </c>
      <c r="C596" s="9" t="s">
        <v>2561</v>
      </c>
      <c r="D596" s="9" t="str">
        <f aca="false">C596&amp;" - "&amp;E596</f>
        <v>Steering Angle Sensor - Universal</v>
      </c>
      <c r="E596" s="9" t="s">
        <v>68</v>
      </c>
      <c r="F596" s="9" t="s">
        <v>1863</v>
      </c>
      <c r="G596" s="10" t="n">
        <f aca="false">IF($AK596=0,"",INDEX('Part types'!$P:$P,$AK596))</f>
        <v>15</v>
      </c>
      <c r="H596" s="10" t="n">
        <f aca="false">IF($AK596=0,"",INDEX('Part types'!$Q:$Q,$AK596))</f>
        <v>10</v>
      </c>
      <c r="I596" s="10" t="n">
        <f aca="false">IF($AK596=0,"",INDEX('Part types'!$R:$R,$AK596))</f>
        <v>8</v>
      </c>
      <c r="J596" s="10" t="n">
        <f aca="false">IF($AK596=0,"",INDEX('Part types'!$S:$S,$AK596))</f>
        <v>0.3</v>
      </c>
      <c r="K596" s="11" t="s">
        <v>2453</v>
      </c>
      <c r="L596" s="11" t="s">
        <v>2562</v>
      </c>
      <c r="M596" s="11" t="str">
        <f aca="false">L596&amp;" - "&amp;N596</f>
        <v>حساس زاوية التوجيه - عام</v>
      </c>
      <c r="N596" s="11" t="s">
        <v>72</v>
      </c>
      <c r="O596" s="11" t="s">
        <v>1864</v>
      </c>
      <c r="P596" s="10" t="n">
        <f aca="false">G596</f>
        <v>15</v>
      </c>
      <c r="Q596" s="10" t="n">
        <f aca="false">H596</f>
        <v>10</v>
      </c>
      <c r="R596" s="10" t="n">
        <f aca="false">I596</f>
        <v>8</v>
      </c>
      <c r="S596" s="10" t="n">
        <f aca="false">J596</f>
        <v>0.3</v>
      </c>
      <c r="T596" s="12" t="s">
        <v>2455</v>
      </c>
      <c r="U596" s="12" t="s">
        <v>2563</v>
      </c>
      <c r="V596" s="9" t="str">
        <f aca="false">U596&amp;" - "&amp;W596</f>
        <v>转向角传感器 - 通用</v>
      </c>
      <c r="W596" s="12" t="s">
        <v>76</v>
      </c>
      <c r="X596" s="12" t="s">
        <v>1865</v>
      </c>
      <c r="Y596" s="10" t="n">
        <f aca="false">G596</f>
        <v>15</v>
      </c>
      <c r="Z596" s="10" t="n">
        <f aca="false">H596</f>
        <v>10</v>
      </c>
      <c r="AA596" s="10" t="n">
        <f aca="false">I596</f>
        <v>8</v>
      </c>
      <c r="AB596" s="10" t="n">
        <f aca="false">J596</f>
        <v>0.3</v>
      </c>
      <c r="AC596" s="9" t="s">
        <v>2457</v>
      </c>
      <c r="AD596" s="9" t="s">
        <v>2564</v>
      </c>
      <c r="AE596" s="9" t="str">
        <f aca="false">IF($AK596=0,"",INDEX('Part types'!$T:$T,$AK596)&amp;"")</f>
        <v>All vehicles</v>
      </c>
      <c r="AF596" s="9" t="str">
        <f aca="false">IF($AK596=0,"",INDEX('Part types'!$U:$U,$AK596)&amp;"")</f>
        <v/>
      </c>
      <c r="AG596" s="9" t="str">
        <f aca="false">IF($AK596=0,"",INDEX('Part types'!$V:$V,$AK596)&amp;"")</f>
        <v>Estimate: size class S</v>
      </c>
      <c r="AH596" s="9" t="str">
        <f aca="false">IF($AK596=0,"",INDEX('Part types'!$W:$W,$AK596)&amp;"")</f>
        <v/>
      </c>
      <c r="AI596" s="11" t="str">
        <f aca="false">IF($AK596=0,"",INDEX('Part types'!$X:$X,$AK596)&amp;"")</f>
        <v/>
      </c>
      <c r="AJ596" s="9" t="str">
        <f aca="false">IF($AK596=0,"",INDEX('Part types'!$Y:$Y,$AK596)&amp;"")</f>
        <v/>
      </c>
      <c r="AK596" s="9" t="n">
        <f aca="false">IFERROR(MATCH($AD596,'Part types'!$E:$E,0),0)</f>
        <v>415</v>
      </c>
    </row>
    <row r="597" customFormat="false" ht="15" hidden="false" customHeight="false" outlineLevel="0" collapsed="false">
      <c r="A597" s="9" t="s">
        <v>2565</v>
      </c>
      <c r="B597" s="9" t="s">
        <v>2451</v>
      </c>
      <c r="C597" s="9" t="s">
        <v>2566</v>
      </c>
      <c r="D597" s="9" t="str">
        <f aca="false">C597&amp;" - "&amp;E597</f>
        <v>Yaw Rate Sensor - Universal</v>
      </c>
      <c r="E597" s="9" t="s">
        <v>68</v>
      </c>
      <c r="F597" s="9" t="s">
        <v>2567</v>
      </c>
      <c r="G597" s="10" t="n">
        <f aca="false">IF($AK597=0,"",INDEX('Part types'!$P:$P,$AK597))</f>
        <v>15</v>
      </c>
      <c r="H597" s="10" t="n">
        <f aca="false">IF($AK597=0,"",INDEX('Part types'!$Q:$Q,$AK597))</f>
        <v>10</v>
      </c>
      <c r="I597" s="10" t="n">
        <f aca="false">IF($AK597=0,"",INDEX('Part types'!$R:$R,$AK597))</f>
        <v>8</v>
      </c>
      <c r="J597" s="10" t="n">
        <f aca="false">IF($AK597=0,"",INDEX('Part types'!$S:$S,$AK597))</f>
        <v>0.3</v>
      </c>
      <c r="K597" s="11" t="s">
        <v>2453</v>
      </c>
      <c r="L597" s="11" t="s">
        <v>2568</v>
      </c>
      <c r="M597" s="11" t="str">
        <f aca="false">L597&amp;" - "&amp;N597</f>
        <v>حساس الانحراف - عام</v>
      </c>
      <c r="N597" s="11" t="s">
        <v>72</v>
      </c>
      <c r="O597" s="11" t="s">
        <v>2569</v>
      </c>
      <c r="P597" s="10" t="n">
        <f aca="false">G597</f>
        <v>15</v>
      </c>
      <c r="Q597" s="10" t="n">
        <f aca="false">H597</f>
        <v>10</v>
      </c>
      <c r="R597" s="10" t="n">
        <f aca="false">I597</f>
        <v>8</v>
      </c>
      <c r="S597" s="10" t="n">
        <f aca="false">J597</f>
        <v>0.3</v>
      </c>
      <c r="T597" s="12" t="s">
        <v>2455</v>
      </c>
      <c r="U597" s="12" t="s">
        <v>2570</v>
      </c>
      <c r="V597" s="9" t="str">
        <f aca="false">U597&amp;" - "&amp;W597</f>
        <v>横摆角速度传感器 - 通用</v>
      </c>
      <c r="W597" s="12" t="s">
        <v>76</v>
      </c>
      <c r="X597" s="12" t="s">
        <v>2571</v>
      </c>
      <c r="Y597" s="10" t="n">
        <f aca="false">G597</f>
        <v>15</v>
      </c>
      <c r="Z597" s="10" t="n">
        <f aca="false">H597</f>
        <v>10</v>
      </c>
      <c r="AA597" s="10" t="n">
        <f aca="false">I597</f>
        <v>8</v>
      </c>
      <c r="AB597" s="10" t="n">
        <f aca="false">J597</f>
        <v>0.3</v>
      </c>
      <c r="AC597" s="9" t="s">
        <v>2457</v>
      </c>
      <c r="AD597" s="9" t="s">
        <v>2572</v>
      </c>
      <c r="AE597" s="9" t="str">
        <f aca="false">IF($AK597=0,"",INDEX('Part types'!$T:$T,$AK597)&amp;"")</f>
        <v>All vehicles</v>
      </c>
      <c r="AF597" s="9" t="str">
        <f aca="false">IF($AK597=0,"",INDEX('Part types'!$U:$U,$AK597)&amp;"")</f>
        <v/>
      </c>
      <c r="AG597" s="9" t="str">
        <f aca="false">IF($AK597=0,"",INDEX('Part types'!$V:$V,$AK597)&amp;"")</f>
        <v>Estimate: size class S</v>
      </c>
      <c r="AH597" s="9" t="str">
        <f aca="false">IF($AK597=0,"",INDEX('Part types'!$W:$W,$AK597)&amp;"")</f>
        <v>ESP</v>
      </c>
      <c r="AI597" s="11" t="str">
        <f aca="false">IF($AK597=0,"",INDEX('Part types'!$X:$X,$AK597)&amp;"")</f>
        <v>ESP</v>
      </c>
      <c r="AJ597" s="9" t="str">
        <f aca="false">IF($AK597=0,"",INDEX('Part types'!$Y:$Y,$AK597)&amp;"")</f>
        <v>ESP</v>
      </c>
      <c r="AK597" s="9" t="n">
        <f aca="false">IFERROR(MATCH($AD597,'Part types'!$E:$E,0),0)</f>
        <v>416</v>
      </c>
    </row>
    <row r="598" customFormat="false" ht="15" hidden="false" customHeight="false" outlineLevel="0" collapsed="false">
      <c r="A598" s="9" t="s">
        <v>2573</v>
      </c>
      <c r="B598" s="9" t="s">
        <v>2451</v>
      </c>
      <c r="C598" s="9" t="s">
        <v>2574</v>
      </c>
      <c r="D598" s="9" t="str">
        <f aca="false">C598&amp;" - "&amp;E598</f>
        <v>Rain Light Sensor - Universal</v>
      </c>
      <c r="E598" s="9" t="s">
        <v>68</v>
      </c>
      <c r="F598" s="9" t="s">
        <v>2575</v>
      </c>
      <c r="G598" s="10" t="n">
        <f aca="false">IF($AK598=0,"",INDEX('Part types'!$P:$P,$AK598))</f>
        <v>10</v>
      </c>
      <c r="H598" s="10" t="n">
        <f aca="false">IF($AK598=0,"",INDEX('Part types'!$Q:$Q,$AK598))</f>
        <v>8</v>
      </c>
      <c r="I598" s="10" t="n">
        <f aca="false">IF($AK598=0,"",INDEX('Part types'!$R:$R,$AK598))</f>
        <v>6</v>
      </c>
      <c r="J598" s="10" t="n">
        <f aca="false">IF($AK598=0,"",INDEX('Part types'!$S:$S,$AK598))</f>
        <v>0.1</v>
      </c>
      <c r="K598" s="11" t="s">
        <v>2453</v>
      </c>
      <c r="L598" s="11" t="s">
        <v>2576</v>
      </c>
      <c r="M598" s="11" t="str">
        <f aca="false">L598&amp;" - "&amp;N598</f>
        <v>حساس المطر والضوء - عام</v>
      </c>
      <c r="N598" s="11" t="s">
        <v>72</v>
      </c>
      <c r="O598" s="11" t="s">
        <v>2577</v>
      </c>
      <c r="P598" s="10" t="n">
        <f aca="false">G598</f>
        <v>10</v>
      </c>
      <c r="Q598" s="10" t="n">
        <f aca="false">H598</f>
        <v>8</v>
      </c>
      <c r="R598" s="10" t="n">
        <f aca="false">I598</f>
        <v>6</v>
      </c>
      <c r="S598" s="10" t="n">
        <f aca="false">J598</f>
        <v>0.1</v>
      </c>
      <c r="T598" s="12" t="s">
        <v>2455</v>
      </c>
      <c r="U598" s="12" t="s">
        <v>2578</v>
      </c>
      <c r="V598" s="9" t="str">
        <f aca="false">U598&amp;" - "&amp;W598</f>
        <v>雨量光线传感器 - 通用</v>
      </c>
      <c r="W598" s="12" t="s">
        <v>76</v>
      </c>
      <c r="X598" s="12" t="s">
        <v>2579</v>
      </c>
      <c r="Y598" s="10" t="n">
        <f aca="false">G598</f>
        <v>10</v>
      </c>
      <c r="Z598" s="10" t="n">
        <f aca="false">H598</f>
        <v>8</v>
      </c>
      <c r="AA598" s="10" t="n">
        <f aca="false">I598</f>
        <v>6</v>
      </c>
      <c r="AB598" s="10" t="n">
        <f aca="false">J598</f>
        <v>0.1</v>
      </c>
      <c r="AC598" s="9" t="s">
        <v>2457</v>
      </c>
      <c r="AD598" s="9" t="s">
        <v>2580</v>
      </c>
      <c r="AE598" s="9" t="str">
        <f aca="false">IF($AK598=0,"",INDEX('Part types'!$T:$T,$AK598)&amp;"")</f>
        <v>All vehicles</v>
      </c>
      <c r="AF598" s="9" t="str">
        <f aca="false">IF($AK598=0,"",INDEX('Part types'!$U:$U,$AK598)&amp;"")</f>
        <v/>
      </c>
      <c r="AG598" s="9" t="str">
        <f aca="false">IF($AK598=0,"",INDEX('Part types'!$V:$V,$AK598)&amp;"")</f>
        <v>Estimate: size class XS</v>
      </c>
      <c r="AH598" s="9" t="str">
        <f aca="false">IF($AK598=0,"",INDEX('Part types'!$W:$W,$AK598)&amp;"")</f>
        <v>Rain and Light Sensor</v>
      </c>
      <c r="AI598" s="11" t="str">
        <f aca="false">IF($AK598=0,"",INDEX('Part types'!$X:$X,$AK598)&amp;"")</f>
        <v/>
      </c>
      <c r="AJ598" s="9" t="str">
        <f aca="false">IF($AK598=0,"",INDEX('Part types'!$Y:$Y,$AK598)&amp;"")</f>
        <v/>
      </c>
      <c r="AK598" s="9" t="n">
        <f aca="false">IFERROR(MATCH($AD598,'Part types'!$E:$E,0),0)</f>
        <v>417</v>
      </c>
    </row>
    <row r="599" customFormat="false" ht="15" hidden="false" customHeight="false" outlineLevel="0" collapsed="false">
      <c r="A599" s="9" t="s">
        <v>2581</v>
      </c>
      <c r="B599" s="9" t="s">
        <v>2451</v>
      </c>
      <c r="C599" s="9" t="s">
        <v>2582</v>
      </c>
      <c r="D599" s="9" t="str">
        <f aca="false">C599&amp;" - "&amp;E599</f>
        <v>Ambient Temperature Sensor - Universal</v>
      </c>
      <c r="E599" s="9" t="s">
        <v>68</v>
      </c>
      <c r="F599" s="9" t="s">
        <v>2583</v>
      </c>
      <c r="G599" s="10" t="n">
        <f aca="false">IF($AK599=0,"",INDEX('Part types'!$P:$P,$AK599))</f>
        <v>10</v>
      </c>
      <c r="H599" s="10" t="n">
        <f aca="false">IF($AK599=0,"",INDEX('Part types'!$Q:$Q,$AK599))</f>
        <v>8</v>
      </c>
      <c r="I599" s="10" t="n">
        <f aca="false">IF($AK599=0,"",INDEX('Part types'!$R:$R,$AK599))</f>
        <v>6</v>
      </c>
      <c r="J599" s="10" t="n">
        <f aca="false">IF($AK599=0,"",INDEX('Part types'!$S:$S,$AK599))</f>
        <v>0.1</v>
      </c>
      <c r="K599" s="11" t="s">
        <v>2453</v>
      </c>
      <c r="L599" s="11" t="s">
        <v>2584</v>
      </c>
      <c r="M599" s="11" t="str">
        <f aca="false">L599&amp;" - "&amp;N599</f>
        <v>حساس حرارة الجو الخارجي - عام</v>
      </c>
      <c r="N599" s="11" t="s">
        <v>72</v>
      </c>
      <c r="O599" s="11" t="s">
        <v>2585</v>
      </c>
      <c r="P599" s="10" t="n">
        <f aca="false">G599</f>
        <v>10</v>
      </c>
      <c r="Q599" s="10" t="n">
        <f aca="false">H599</f>
        <v>8</v>
      </c>
      <c r="R599" s="10" t="n">
        <f aca="false">I599</f>
        <v>6</v>
      </c>
      <c r="S599" s="10" t="n">
        <f aca="false">J599</f>
        <v>0.1</v>
      </c>
      <c r="T599" s="12" t="s">
        <v>2455</v>
      </c>
      <c r="U599" s="12" t="s">
        <v>2586</v>
      </c>
      <c r="V599" s="9" t="str">
        <f aca="false">U599&amp;" - "&amp;W599</f>
        <v>车外温度传感器 - 通用</v>
      </c>
      <c r="W599" s="12" t="s">
        <v>76</v>
      </c>
      <c r="X599" s="12" t="s">
        <v>2587</v>
      </c>
      <c r="Y599" s="10" t="n">
        <f aca="false">G599</f>
        <v>10</v>
      </c>
      <c r="Z599" s="10" t="n">
        <f aca="false">H599</f>
        <v>8</v>
      </c>
      <c r="AA599" s="10" t="n">
        <f aca="false">I599</f>
        <v>6</v>
      </c>
      <c r="AB599" s="10" t="n">
        <f aca="false">J599</f>
        <v>0.1</v>
      </c>
      <c r="AC599" s="9" t="s">
        <v>2457</v>
      </c>
      <c r="AD599" s="9" t="s">
        <v>2588</v>
      </c>
      <c r="AE599" s="9" t="str">
        <f aca="false">IF($AK599=0,"",INDEX('Part types'!$T:$T,$AK599)&amp;"")</f>
        <v>All vehicles</v>
      </c>
      <c r="AF599" s="9" t="str">
        <f aca="false">IF($AK599=0,"",INDEX('Part types'!$U:$U,$AK599)&amp;"")</f>
        <v/>
      </c>
      <c r="AG599" s="9" t="str">
        <f aca="false">IF($AK599=0,"",INDEX('Part types'!$V:$V,$AK599)&amp;"")</f>
        <v>Estimate: size class XS</v>
      </c>
      <c r="AH599" s="9" t="str">
        <f aca="false">IF($AK599=0,"",INDEX('Part types'!$W:$W,$AK599)&amp;"")</f>
        <v/>
      </c>
      <c r="AI599" s="11" t="str">
        <f aca="false">IF($AK599=0,"",INDEX('Part types'!$X:$X,$AK599)&amp;"")</f>
        <v/>
      </c>
      <c r="AJ599" s="9" t="str">
        <f aca="false">IF($AK599=0,"",INDEX('Part types'!$Y:$Y,$AK599)&amp;"")</f>
        <v/>
      </c>
      <c r="AK599" s="9" t="n">
        <f aca="false">IFERROR(MATCH($AD599,'Part types'!$E:$E,0),0)</f>
        <v>418</v>
      </c>
    </row>
    <row r="600" customFormat="false" ht="15" hidden="false" customHeight="false" outlineLevel="0" collapsed="false">
      <c r="A600" s="9" t="s">
        <v>2589</v>
      </c>
      <c r="B600" s="9" t="s">
        <v>2451</v>
      </c>
      <c r="C600" s="9" t="s">
        <v>2590</v>
      </c>
      <c r="D600" s="9" t="str">
        <f aca="false">C600&amp;" - "&amp;E600</f>
        <v>Cabin Temperature Sensor - Universal</v>
      </c>
      <c r="E600" s="9" t="s">
        <v>68</v>
      </c>
      <c r="F600" s="9" t="s">
        <v>2439</v>
      </c>
      <c r="G600" s="10" t="n">
        <f aca="false">IF($AK600=0,"",INDEX('Part types'!$P:$P,$AK600))</f>
        <v>10</v>
      </c>
      <c r="H600" s="10" t="n">
        <f aca="false">IF($AK600=0,"",INDEX('Part types'!$Q:$Q,$AK600))</f>
        <v>8</v>
      </c>
      <c r="I600" s="10" t="n">
        <f aca="false">IF($AK600=0,"",INDEX('Part types'!$R:$R,$AK600))</f>
        <v>6</v>
      </c>
      <c r="J600" s="10" t="n">
        <f aca="false">IF($AK600=0,"",INDEX('Part types'!$S:$S,$AK600))</f>
        <v>0.1</v>
      </c>
      <c r="K600" s="11" t="s">
        <v>2453</v>
      </c>
      <c r="L600" s="11" t="s">
        <v>2591</v>
      </c>
      <c r="M600" s="11" t="str">
        <f aca="false">L600&amp;" - "&amp;N600</f>
        <v>حساس حرارة المقصورة - عام</v>
      </c>
      <c r="N600" s="11" t="s">
        <v>72</v>
      </c>
      <c r="O600" s="11" t="s">
        <v>2441</v>
      </c>
      <c r="P600" s="10" t="n">
        <f aca="false">G600</f>
        <v>10</v>
      </c>
      <c r="Q600" s="10" t="n">
        <f aca="false">H600</f>
        <v>8</v>
      </c>
      <c r="R600" s="10" t="n">
        <f aca="false">I600</f>
        <v>6</v>
      </c>
      <c r="S600" s="10" t="n">
        <f aca="false">J600</f>
        <v>0.1</v>
      </c>
      <c r="T600" s="12" t="s">
        <v>2455</v>
      </c>
      <c r="U600" s="12" t="s">
        <v>2592</v>
      </c>
      <c r="V600" s="9" t="str">
        <f aca="false">U600&amp;" - "&amp;W600</f>
        <v>车内温度传感器 - 通用</v>
      </c>
      <c r="W600" s="12" t="s">
        <v>76</v>
      </c>
      <c r="X600" s="12" t="s">
        <v>2443</v>
      </c>
      <c r="Y600" s="10" t="n">
        <f aca="false">G600</f>
        <v>10</v>
      </c>
      <c r="Z600" s="10" t="n">
        <f aca="false">H600</f>
        <v>8</v>
      </c>
      <c r="AA600" s="10" t="n">
        <f aca="false">I600</f>
        <v>6</v>
      </c>
      <c r="AB600" s="10" t="n">
        <f aca="false">J600</f>
        <v>0.1</v>
      </c>
      <c r="AC600" s="9" t="s">
        <v>2457</v>
      </c>
      <c r="AD600" s="9" t="s">
        <v>2593</v>
      </c>
      <c r="AE600" s="9" t="str">
        <f aca="false">IF($AK600=0,"",INDEX('Part types'!$T:$T,$AK600)&amp;"")</f>
        <v>All vehicles</v>
      </c>
      <c r="AF600" s="9" t="str">
        <f aca="false">IF($AK600=0,"",INDEX('Part types'!$U:$U,$AK600)&amp;"")</f>
        <v/>
      </c>
      <c r="AG600" s="9" t="str">
        <f aca="false">IF($AK600=0,"",INDEX('Part types'!$V:$V,$AK600)&amp;"")</f>
        <v>Estimate: size class XS</v>
      </c>
      <c r="AH600" s="9" t="str">
        <f aca="false">IF($AK600=0,"",INDEX('Part types'!$W:$W,$AK600)&amp;"")</f>
        <v/>
      </c>
      <c r="AI600" s="11" t="str">
        <f aca="false">IF($AK600=0,"",INDEX('Part types'!$X:$X,$AK600)&amp;"")</f>
        <v/>
      </c>
      <c r="AJ600" s="9" t="str">
        <f aca="false">IF($AK600=0,"",INDEX('Part types'!$Y:$Y,$AK600)&amp;"")</f>
        <v/>
      </c>
      <c r="AK600" s="9" t="n">
        <f aca="false">IFERROR(MATCH($AD600,'Part types'!$E:$E,0),0)</f>
        <v>419</v>
      </c>
    </row>
    <row r="601" customFormat="false" ht="15" hidden="false" customHeight="false" outlineLevel="0" collapsed="false">
      <c r="A601" s="9" t="s">
        <v>2594</v>
      </c>
      <c r="B601" s="9" t="s">
        <v>2451</v>
      </c>
      <c r="C601" s="9" t="s">
        <v>2595</v>
      </c>
      <c r="D601" s="9" t="str">
        <f aca="false">C601&amp;" - "&amp;E601</f>
        <v>Sunload Sensor - Universal</v>
      </c>
      <c r="E601" s="9" t="s">
        <v>68</v>
      </c>
      <c r="F601" s="9" t="s">
        <v>2439</v>
      </c>
      <c r="G601" s="10" t="n">
        <f aca="false">IF($AK601=0,"",INDEX('Part types'!$P:$P,$AK601))</f>
        <v>10</v>
      </c>
      <c r="H601" s="10" t="n">
        <f aca="false">IF($AK601=0,"",INDEX('Part types'!$Q:$Q,$AK601))</f>
        <v>8</v>
      </c>
      <c r="I601" s="10" t="n">
        <f aca="false">IF($AK601=0,"",INDEX('Part types'!$R:$R,$AK601))</f>
        <v>6</v>
      </c>
      <c r="J601" s="10" t="n">
        <f aca="false">IF($AK601=0,"",INDEX('Part types'!$S:$S,$AK601))</f>
        <v>0.1</v>
      </c>
      <c r="K601" s="11" t="s">
        <v>2453</v>
      </c>
      <c r="L601" s="11" t="s">
        <v>2596</v>
      </c>
      <c r="M601" s="11" t="str">
        <f aca="false">L601&amp;" - "&amp;N601</f>
        <v>حساس الشمس - عام</v>
      </c>
      <c r="N601" s="11" t="s">
        <v>72</v>
      </c>
      <c r="O601" s="11" t="s">
        <v>2441</v>
      </c>
      <c r="P601" s="10" t="n">
        <f aca="false">G601</f>
        <v>10</v>
      </c>
      <c r="Q601" s="10" t="n">
        <f aca="false">H601</f>
        <v>8</v>
      </c>
      <c r="R601" s="10" t="n">
        <f aca="false">I601</f>
        <v>6</v>
      </c>
      <c r="S601" s="10" t="n">
        <f aca="false">J601</f>
        <v>0.1</v>
      </c>
      <c r="T601" s="12" t="s">
        <v>2455</v>
      </c>
      <c r="U601" s="12" t="s">
        <v>2597</v>
      </c>
      <c r="V601" s="9" t="str">
        <f aca="false">U601&amp;" - "&amp;W601</f>
        <v>阳光传感器 - 通用</v>
      </c>
      <c r="W601" s="12" t="s">
        <v>76</v>
      </c>
      <c r="X601" s="12" t="s">
        <v>2443</v>
      </c>
      <c r="Y601" s="10" t="n">
        <f aca="false">G601</f>
        <v>10</v>
      </c>
      <c r="Z601" s="10" t="n">
        <f aca="false">H601</f>
        <v>8</v>
      </c>
      <c r="AA601" s="10" t="n">
        <f aca="false">I601</f>
        <v>6</v>
      </c>
      <c r="AB601" s="10" t="n">
        <f aca="false">J601</f>
        <v>0.1</v>
      </c>
      <c r="AC601" s="9" t="s">
        <v>2457</v>
      </c>
      <c r="AD601" s="9" t="s">
        <v>2598</v>
      </c>
      <c r="AE601" s="9" t="str">
        <f aca="false">IF($AK601=0,"",INDEX('Part types'!$T:$T,$AK601)&amp;"")</f>
        <v>All vehicles</v>
      </c>
      <c r="AF601" s="9" t="str">
        <f aca="false">IF($AK601=0,"",INDEX('Part types'!$U:$U,$AK601)&amp;"")</f>
        <v/>
      </c>
      <c r="AG601" s="9" t="str">
        <f aca="false">IF($AK601=0,"",INDEX('Part types'!$V:$V,$AK601)&amp;"")</f>
        <v>Estimate: size class XS</v>
      </c>
      <c r="AH601" s="9" t="str">
        <f aca="false">IF($AK601=0,"",INDEX('Part types'!$W:$W,$AK601)&amp;"")</f>
        <v/>
      </c>
      <c r="AI601" s="11" t="str">
        <f aca="false">IF($AK601=0,"",INDEX('Part types'!$X:$X,$AK601)&amp;"")</f>
        <v/>
      </c>
      <c r="AJ601" s="9" t="str">
        <f aca="false">IF($AK601=0,"",INDEX('Part types'!$Y:$Y,$AK601)&amp;"")</f>
        <v/>
      </c>
      <c r="AK601" s="9" t="n">
        <f aca="false">IFERROR(MATCH($AD601,'Part types'!$E:$E,0),0)</f>
        <v>420</v>
      </c>
    </row>
    <row r="602" customFormat="false" ht="15" hidden="false" customHeight="false" outlineLevel="0" collapsed="false">
      <c r="A602" s="9" t="s">
        <v>2599</v>
      </c>
      <c r="B602" s="9" t="s">
        <v>2451</v>
      </c>
      <c r="C602" s="9" t="s">
        <v>2600</v>
      </c>
      <c r="D602" s="9" t="str">
        <f aca="false">C602&amp;" - "&amp;E602</f>
        <v>Seat Occupancy Sensor - Universal</v>
      </c>
      <c r="E602" s="9" t="s">
        <v>68</v>
      </c>
      <c r="F602" s="9" t="s">
        <v>2601</v>
      </c>
      <c r="G602" s="10" t="n">
        <f aca="false">IF($AK602=0,"",INDEX('Part types'!$P:$P,$AK602))</f>
        <v>15</v>
      </c>
      <c r="H602" s="10" t="n">
        <f aca="false">IF($AK602=0,"",INDEX('Part types'!$Q:$Q,$AK602))</f>
        <v>10</v>
      </c>
      <c r="I602" s="10" t="n">
        <f aca="false">IF($AK602=0,"",INDEX('Part types'!$R:$R,$AK602))</f>
        <v>8</v>
      </c>
      <c r="J602" s="10" t="n">
        <f aca="false">IF($AK602=0,"",INDEX('Part types'!$S:$S,$AK602))</f>
        <v>0.3</v>
      </c>
      <c r="K602" s="11" t="s">
        <v>2453</v>
      </c>
      <c r="L602" s="11" t="s">
        <v>2602</v>
      </c>
      <c r="M602" s="11" t="str">
        <f aca="false">L602&amp;" - "&amp;N602</f>
        <v>حساس وجود الراكب - عام</v>
      </c>
      <c r="N602" s="11" t="s">
        <v>72</v>
      </c>
      <c r="O602" s="11" t="s">
        <v>2603</v>
      </c>
      <c r="P602" s="10" t="n">
        <f aca="false">G602</f>
        <v>15</v>
      </c>
      <c r="Q602" s="10" t="n">
        <f aca="false">H602</f>
        <v>10</v>
      </c>
      <c r="R602" s="10" t="n">
        <f aca="false">I602</f>
        <v>8</v>
      </c>
      <c r="S602" s="10" t="n">
        <f aca="false">J602</f>
        <v>0.3</v>
      </c>
      <c r="T602" s="12" t="s">
        <v>2455</v>
      </c>
      <c r="U602" s="12" t="s">
        <v>2604</v>
      </c>
      <c r="V602" s="9" t="str">
        <f aca="false">U602&amp;" - "&amp;W602</f>
        <v>座椅乘员检测传感器 - 通用</v>
      </c>
      <c r="W602" s="12" t="s">
        <v>76</v>
      </c>
      <c r="X602" s="12" t="s">
        <v>2605</v>
      </c>
      <c r="Y602" s="10" t="n">
        <f aca="false">G602</f>
        <v>15</v>
      </c>
      <c r="Z602" s="10" t="n">
        <f aca="false">H602</f>
        <v>10</v>
      </c>
      <c r="AA602" s="10" t="n">
        <f aca="false">I602</f>
        <v>8</v>
      </c>
      <c r="AB602" s="10" t="n">
        <f aca="false">J602</f>
        <v>0.3</v>
      </c>
      <c r="AC602" s="9" t="s">
        <v>2457</v>
      </c>
      <c r="AD602" s="9" t="s">
        <v>2606</v>
      </c>
      <c r="AE602" s="9" t="str">
        <f aca="false">IF($AK602=0,"",INDEX('Part types'!$T:$T,$AK602)&amp;"")</f>
        <v>All vehicles</v>
      </c>
      <c r="AF602" s="9" t="str">
        <f aca="false">IF($AK602=0,"",INDEX('Part types'!$U:$U,$AK602)&amp;"")</f>
        <v/>
      </c>
      <c r="AG602" s="9" t="str">
        <f aca="false">IF($AK602=0,"",INDEX('Part types'!$V:$V,$AK602)&amp;"")</f>
        <v>Estimate: size class S</v>
      </c>
      <c r="AH602" s="9" t="str">
        <f aca="false">IF($AK602=0,"",INDEX('Part types'!$W:$W,$AK602)&amp;"")</f>
        <v/>
      </c>
      <c r="AI602" s="11" t="str">
        <f aca="false">IF($AK602=0,"",INDEX('Part types'!$X:$X,$AK602)&amp;"")</f>
        <v>المقعد</v>
      </c>
      <c r="AJ602" s="9" t="str">
        <f aca="false">IF($AK602=0,"",INDEX('Part types'!$Y:$Y,$AK602)&amp;"")</f>
        <v/>
      </c>
      <c r="AK602" s="9" t="n">
        <f aca="false">IFERROR(MATCH($AD602,'Part types'!$E:$E,0),0)</f>
        <v>421</v>
      </c>
    </row>
    <row r="603" customFormat="false" ht="15" hidden="false" customHeight="false" outlineLevel="0" collapsed="false">
      <c r="A603" s="9" t="s">
        <v>2607</v>
      </c>
      <c r="B603" s="9" t="s">
        <v>2608</v>
      </c>
      <c r="C603" s="9" t="s">
        <v>2609</v>
      </c>
      <c r="D603" s="9" t="str">
        <f aca="false">C603&amp;" - "&amp;E603</f>
        <v>Engine Control Unit - Universal</v>
      </c>
      <c r="E603" s="9" t="s">
        <v>68</v>
      </c>
      <c r="F603" s="9" t="s">
        <v>69</v>
      </c>
      <c r="G603" s="10" t="n">
        <f aca="false">IF($AK603=0,"",INDEX('Part types'!$P:$P,$AK603))</f>
        <v>20</v>
      </c>
      <c r="H603" s="10" t="n">
        <f aca="false">IF($AK603=0,"",INDEX('Part types'!$Q:$Q,$AK603))</f>
        <v>15</v>
      </c>
      <c r="I603" s="10" t="n">
        <f aca="false">IF($AK603=0,"",INDEX('Part types'!$R:$R,$AK603))</f>
        <v>5</v>
      </c>
      <c r="J603" s="10" t="n">
        <f aca="false">IF($AK603=0,"",INDEX('Part types'!$S:$S,$AK603))</f>
        <v>0.8</v>
      </c>
      <c r="K603" s="11" t="s">
        <v>2610</v>
      </c>
      <c r="L603" s="11" t="s">
        <v>2611</v>
      </c>
      <c r="M603" s="11" t="str">
        <f aca="false">L603&amp;" - "&amp;N603</f>
        <v>وحدة التحكم بالمحرك - عام</v>
      </c>
      <c r="N603" s="11" t="s">
        <v>72</v>
      </c>
      <c r="O603" s="11" t="s">
        <v>73</v>
      </c>
      <c r="P603" s="10" t="n">
        <f aca="false">G603</f>
        <v>20</v>
      </c>
      <c r="Q603" s="10" t="n">
        <f aca="false">H603</f>
        <v>15</v>
      </c>
      <c r="R603" s="10" t="n">
        <f aca="false">I603</f>
        <v>5</v>
      </c>
      <c r="S603" s="10" t="n">
        <f aca="false">J603</f>
        <v>0.8</v>
      </c>
      <c r="T603" s="12" t="s">
        <v>2612</v>
      </c>
      <c r="U603" s="12" t="s">
        <v>2613</v>
      </c>
      <c r="V603" s="9" t="str">
        <f aca="false">U603&amp;" - "&amp;W603</f>
        <v>发动机控制单元 - 通用</v>
      </c>
      <c r="W603" s="12" t="s">
        <v>76</v>
      </c>
      <c r="X603" s="12" t="s">
        <v>77</v>
      </c>
      <c r="Y603" s="10" t="n">
        <f aca="false">G603</f>
        <v>20</v>
      </c>
      <c r="Z603" s="10" t="n">
        <f aca="false">H603</f>
        <v>15</v>
      </c>
      <c r="AA603" s="10" t="n">
        <f aca="false">I603</f>
        <v>5</v>
      </c>
      <c r="AB603" s="10" t="n">
        <f aca="false">J603</f>
        <v>0.8</v>
      </c>
      <c r="AC603" s="9" t="s">
        <v>2614</v>
      </c>
      <c r="AD603" s="9" t="s">
        <v>2615</v>
      </c>
      <c r="AE603" s="9" t="str">
        <f aca="false">IF($AK603=0,"",INDEX('Part types'!$T:$T,$AK603)&amp;"")</f>
        <v>Combustion engine (petrol, diesel, hybrid, range extender)</v>
      </c>
      <c r="AF603" s="9" t="str">
        <f aca="false">IF($AK603=0,"",INDEX('Part types'!$U:$U,$AK603)&amp;"")</f>
        <v/>
      </c>
      <c r="AG603" s="9" t="str">
        <f aca="false">IF($AK603=0,"",INDEX('Part types'!$V:$V,$AK603)&amp;"")</f>
        <v>Estimate: item-specific</v>
      </c>
      <c r="AH603" s="9" t="str">
        <f aca="false">IF($AK603=0,"",INDEX('Part types'!$W:$W,$AK603)&amp;"")</f>
        <v>ECU</v>
      </c>
      <c r="AI603" s="11" t="str">
        <f aca="false">IF($AK603=0,"",INDEX('Part types'!$X:$X,$AK603)&amp;"")</f>
        <v>ECU</v>
      </c>
      <c r="AJ603" s="9" t="str">
        <f aca="false">IF($AK603=0,"",INDEX('Part types'!$Y:$Y,$AK603)&amp;"")</f>
        <v>ECU</v>
      </c>
      <c r="AK603" s="9" t="n">
        <f aca="false">IFERROR(MATCH($AD603,'Part types'!$E:$E,0),0)</f>
        <v>422</v>
      </c>
    </row>
    <row r="604" customFormat="false" ht="15" hidden="false" customHeight="false" outlineLevel="0" collapsed="false">
      <c r="A604" s="9" t="s">
        <v>2616</v>
      </c>
      <c r="B604" s="9" t="s">
        <v>2608</v>
      </c>
      <c r="C604" s="9" t="s">
        <v>2617</v>
      </c>
      <c r="D604" s="9" t="str">
        <f aca="false">C604&amp;" - "&amp;E604</f>
        <v>Body Control Module - Universal</v>
      </c>
      <c r="E604" s="9" t="s">
        <v>68</v>
      </c>
      <c r="F604" s="9" t="s">
        <v>2439</v>
      </c>
      <c r="G604" s="10" t="n">
        <f aca="false">IF($AK604=0,"",INDEX('Part types'!$P:$P,$AK604))</f>
        <v>20</v>
      </c>
      <c r="H604" s="10" t="n">
        <f aca="false">IF($AK604=0,"",INDEX('Part types'!$Q:$Q,$AK604))</f>
        <v>15</v>
      </c>
      <c r="I604" s="10" t="n">
        <f aca="false">IF($AK604=0,"",INDEX('Part types'!$R:$R,$AK604))</f>
        <v>5</v>
      </c>
      <c r="J604" s="10" t="n">
        <f aca="false">IF($AK604=0,"",INDEX('Part types'!$S:$S,$AK604))</f>
        <v>0.7</v>
      </c>
      <c r="K604" s="11" t="s">
        <v>2610</v>
      </c>
      <c r="L604" s="11" t="s">
        <v>2618</v>
      </c>
      <c r="M604" s="11" t="str">
        <f aca="false">L604&amp;" - "&amp;N604</f>
        <v>وحدة التحكم بالهيكل - عام</v>
      </c>
      <c r="N604" s="11" t="s">
        <v>72</v>
      </c>
      <c r="O604" s="11" t="s">
        <v>2441</v>
      </c>
      <c r="P604" s="10" t="n">
        <f aca="false">G604</f>
        <v>20</v>
      </c>
      <c r="Q604" s="10" t="n">
        <f aca="false">H604</f>
        <v>15</v>
      </c>
      <c r="R604" s="10" t="n">
        <f aca="false">I604</f>
        <v>5</v>
      </c>
      <c r="S604" s="10" t="n">
        <f aca="false">J604</f>
        <v>0.7</v>
      </c>
      <c r="T604" s="12" t="s">
        <v>2612</v>
      </c>
      <c r="U604" s="12" t="s">
        <v>2619</v>
      </c>
      <c r="V604" s="9" t="str">
        <f aca="false">U604&amp;" - "&amp;W604</f>
        <v>车身控制模块 - 通用</v>
      </c>
      <c r="W604" s="12" t="s">
        <v>76</v>
      </c>
      <c r="X604" s="12" t="s">
        <v>2443</v>
      </c>
      <c r="Y604" s="10" t="n">
        <f aca="false">G604</f>
        <v>20</v>
      </c>
      <c r="Z604" s="10" t="n">
        <f aca="false">H604</f>
        <v>15</v>
      </c>
      <c r="AA604" s="10" t="n">
        <f aca="false">I604</f>
        <v>5</v>
      </c>
      <c r="AB604" s="10" t="n">
        <f aca="false">J604</f>
        <v>0.7</v>
      </c>
      <c r="AC604" s="9" t="s">
        <v>2614</v>
      </c>
      <c r="AD604" s="9" t="s">
        <v>2620</v>
      </c>
      <c r="AE604" s="9" t="str">
        <f aca="false">IF($AK604=0,"",INDEX('Part types'!$T:$T,$AK604)&amp;"")</f>
        <v>All vehicles</v>
      </c>
      <c r="AF604" s="9" t="str">
        <f aca="false">IF($AK604=0,"",INDEX('Part types'!$U:$U,$AK604)&amp;"")</f>
        <v/>
      </c>
      <c r="AG604" s="9" t="str">
        <f aca="false">IF($AK604=0,"",INDEX('Part types'!$V:$V,$AK604)&amp;"")</f>
        <v>Estimate: item-specific</v>
      </c>
      <c r="AH604" s="9" t="str">
        <f aca="false">IF($AK604=0,"",INDEX('Part types'!$W:$W,$AK604)&amp;"")</f>
        <v>BCM</v>
      </c>
      <c r="AI604" s="11" t="str">
        <f aca="false">IF($AK604=0,"",INDEX('Part types'!$X:$X,$AK604)&amp;"")</f>
        <v>BCM</v>
      </c>
      <c r="AJ604" s="9" t="str">
        <f aca="false">IF($AK604=0,"",INDEX('Part types'!$Y:$Y,$AK604)&amp;"")</f>
        <v>BCM</v>
      </c>
      <c r="AK604" s="9" t="n">
        <f aca="false">IFERROR(MATCH($AD604,'Part types'!$E:$E,0),0)</f>
        <v>423</v>
      </c>
    </row>
    <row r="605" customFormat="false" ht="15" hidden="false" customHeight="false" outlineLevel="0" collapsed="false">
      <c r="A605" s="9" t="s">
        <v>2621</v>
      </c>
      <c r="B605" s="9" t="s">
        <v>2608</v>
      </c>
      <c r="C605" s="9" t="s">
        <v>2622</v>
      </c>
      <c r="D605" s="9" t="str">
        <f aca="false">C605&amp;" - "&amp;E605</f>
        <v>ABS ESP Module - Universal</v>
      </c>
      <c r="E605" s="9" t="s">
        <v>68</v>
      </c>
      <c r="F605" s="9" t="s">
        <v>69</v>
      </c>
      <c r="G605" s="10" t="n">
        <f aca="false">IF($AK605=0,"",INDEX('Part types'!$P:$P,$AK605))</f>
        <v>15</v>
      </c>
      <c r="H605" s="10" t="n">
        <f aca="false">IF($AK605=0,"",INDEX('Part types'!$Q:$Q,$AK605))</f>
        <v>10</v>
      </c>
      <c r="I605" s="10" t="n">
        <f aca="false">IF($AK605=0,"",INDEX('Part types'!$R:$R,$AK605))</f>
        <v>8</v>
      </c>
      <c r="J605" s="10" t="n">
        <f aca="false">IF($AK605=0,"",INDEX('Part types'!$S:$S,$AK605))</f>
        <v>0.3</v>
      </c>
      <c r="K605" s="11" t="s">
        <v>2610</v>
      </c>
      <c r="L605" s="11" t="s">
        <v>2623</v>
      </c>
      <c r="M605" s="11" t="str">
        <f aca="false">L605&amp;" - "&amp;N605</f>
        <v>وحدة تحكم ABS / ESP - عام</v>
      </c>
      <c r="N605" s="11" t="s">
        <v>72</v>
      </c>
      <c r="O605" s="11" t="s">
        <v>73</v>
      </c>
      <c r="P605" s="10" t="n">
        <f aca="false">G605</f>
        <v>15</v>
      </c>
      <c r="Q605" s="10" t="n">
        <f aca="false">H605</f>
        <v>10</v>
      </c>
      <c r="R605" s="10" t="n">
        <f aca="false">I605</f>
        <v>8</v>
      </c>
      <c r="S605" s="10" t="n">
        <f aca="false">J605</f>
        <v>0.3</v>
      </c>
      <c r="T605" s="12" t="s">
        <v>2612</v>
      </c>
      <c r="U605" s="9" t="s">
        <v>2624</v>
      </c>
      <c r="V605" s="9" t="str">
        <f aca="false">U605&amp;" - "&amp;W605</f>
        <v>ABS/ESP控制模块 - 通用</v>
      </c>
      <c r="W605" s="12" t="s">
        <v>76</v>
      </c>
      <c r="X605" s="12" t="s">
        <v>77</v>
      </c>
      <c r="Y605" s="10" t="n">
        <f aca="false">G605</f>
        <v>15</v>
      </c>
      <c r="Z605" s="10" t="n">
        <f aca="false">H605</f>
        <v>10</v>
      </c>
      <c r="AA605" s="10" t="n">
        <f aca="false">I605</f>
        <v>8</v>
      </c>
      <c r="AB605" s="10" t="n">
        <f aca="false">J605</f>
        <v>0.3</v>
      </c>
      <c r="AC605" s="9" t="s">
        <v>2614</v>
      </c>
      <c r="AD605" s="9" t="s">
        <v>2625</v>
      </c>
      <c r="AE605" s="9" t="str">
        <f aca="false">IF($AK605=0,"",INDEX('Part types'!$T:$T,$AK605)&amp;"")</f>
        <v>All vehicles</v>
      </c>
      <c r="AF605" s="9" t="str">
        <f aca="false">IF($AK605=0,"",INDEX('Part types'!$U:$U,$AK605)&amp;"")</f>
        <v/>
      </c>
      <c r="AG605" s="9" t="str">
        <f aca="false">IF($AK605=0,"",INDEX('Part types'!$V:$V,$AK605)&amp;"")</f>
        <v>Estimate: size class S</v>
      </c>
      <c r="AH605" s="9" t="str">
        <f aca="false">IF($AK605=0,"",INDEX('Part types'!$W:$W,$AK605)&amp;"")</f>
        <v>ABS / ESP Control Module</v>
      </c>
      <c r="AI605" s="11" t="str">
        <f aca="false">IF($AK605=0,"",INDEX('Part types'!$X:$X,$AK605)&amp;"")</f>
        <v/>
      </c>
      <c r="AJ605" s="9" t="str">
        <f aca="false">IF($AK605=0,"",INDEX('Part types'!$Y:$Y,$AK605)&amp;"")</f>
        <v/>
      </c>
      <c r="AK605" s="9" t="n">
        <f aca="false">IFERROR(MATCH($AD605,'Part types'!$E:$E,0),0)</f>
        <v>424</v>
      </c>
    </row>
    <row r="606" customFormat="false" ht="15" hidden="false" customHeight="false" outlineLevel="0" collapsed="false">
      <c r="A606" s="9" t="s">
        <v>2626</v>
      </c>
      <c r="B606" s="9" t="s">
        <v>2608</v>
      </c>
      <c r="C606" s="9" t="s">
        <v>2627</v>
      </c>
      <c r="D606" s="9" t="str">
        <f aca="false">C606&amp;" - "&amp;E606</f>
        <v>Airbag Control Module - Universal</v>
      </c>
      <c r="E606" s="9" t="s">
        <v>68</v>
      </c>
      <c r="F606" s="9" t="s">
        <v>2567</v>
      </c>
      <c r="G606" s="10" t="n">
        <f aca="false">IF($AK606=0,"",INDEX('Part types'!$P:$P,$AK606))</f>
        <v>15</v>
      </c>
      <c r="H606" s="10" t="n">
        <f aca="false">IF($AK606=0,"",INDEX('Part types'!$Q:$Q,$AK606))</f>
        <v>10</v>
      </c>
      <c r="I606" s="10" t="n">
        <f aca="false">IF($AK606=0,"",INDEX('Part types'!$R:$R,$AK606))</f>
        <v>8</v>
      </c>
      <c r="J606" s="10" t="n">
        <f aca="false">IF($AK606=0,"",INDEX('Part types'!$S:$S,$AK606))</f>
        <v>0.3</v>
      </c>
      <c r="K606" s="11" t="s">
        <v>2610</v>
      </c>
      <c r="L606" s="11" t="s">
        <v>2628</v>
      </c>
      <c r="M606" s="11" t="str">
        <f aca="false">L606&amp;" - "&amp;N606</f>
        <v>وحدة تحكم الوسائد الهوائية - عام</v>
      </c>
      <c r="N606" s="11" t="s">
        <v>72</v>
      </c>
      <c r="O606" s="11" t="s">
        <v>2569</v>
      </c>
      <c r="P606" s="10" t="n">
        <f aca="false">G606</f>
        <v>15</v>
      </c>
      <c r="Q606" s="10" t="n">
        <f aca="false">H606</f>
        <v>10</v>
      </c>
      <c r="R606" s="10" t="n">
        <f aca="false">I606</f>
        <v>8</v>
      </c>
      <c r="S606" s="10" t="n">
        <f aca="false">J606</f>
        <v>0.3</v>
      </c>
      <c r="T606" s="12" t="s">
        <v>2612</v>
      </c>
      <c r="U606" s="12" t="s">
        <v>2629</v>
      </c>
      <c r="V606" s="9" t="str">
        <f aca="false">U606&amp;" - "&amp;W606</f>
        <v>安全气囊控制模块 - 通用</v>
      </c>
      <c r="W606" s="12" t="s">
        <v>76</v>
      </c>
      <c r="X606" s="12" t="s">
        <v>2571</v>
      </c>
      <c r="Y606" s="10" t="n">
        <f aca="false">G606</f>
        <v>15</v>
      </c>
      <c r="Z606" s="10" t="n">
        <f aca="false">H606</f>
        <v>10</v>
      </c>
      <c r="AA606" s="10" t="n">
        <f aca="false">I606</f>
        <v>8</v>
      </c>
      <c r="AB606" s="10" t="n">
        <f aca="false">J606</f>
        <v>0.3</v>
      </c>
      <c r="AC606" s="9" t="s">
        <v>2614</v>
      </c>
      <c r="AD606" s="9" t="s">
        <v>2630</v>
      </c>
      <c r="AE606" s="9" t="str">
        <f aca="false">IF($AK606=0,"",INDEX('Part types'!$T:$T,$AK606)&amp;"")</f>
        <v>All vehicles</v>
      </c>
      <c r="AF606" s="9" t="str">
        <f aca="false">IF($AK606=0,"",INDEX('Part types'!$U:$U,$AK606)&amp;"")</f>
        <v/>
      </c>
      <c r="AG606" s="9" t="str">
        <f aca="false">IF($AK606=0,"",INDEX('Part types'!$V:$V,$AK606)&amp;"")</f>
        <v>Estimate: size class S</v>
      </c>
      <c r="AH606" s="9" t="str">
        <f aca="false">IF($AK606=0,"",INDEX('Part types'!$W:$W,$AK606)&amp;"")</f>
        <v>SRS</v>
      </c>
      <c r="AI606" s="11" t="str">
        <f aca="false">IF($AK606=0,"",INDEX('Part types'!$X:$X,$AK606)&amp;"")</f>
        <v>SRS</v>
      </c>
      <c r="AJ606" s="9" t="str">
        <f aca="false">IF($AK606=0,"",INDEX('Part types'!$Y:$Y,$AK606)&amp;"")</f>
        <v>SRS</v>
      </c>
      <c r="AK606" s="9" t="n">
        <f aca="false">IFERROR(MATCH($AD606,'Part types'!$E:$E,0),0)</f>
        <v>425</v>
      </c>
    </row>
    <row r="607" customFormat="false" ht="15" hidden="false" customHeight="false" outlineLevel="0" collapsed="false">
      <c r="A607" s="9" t="s">
        <v>2631</v>
      </c>
      <c r="B607" s="9" t="s">
        <v>2608</v>
      </c>
      <c r="C607" s="9" t="s">
        <v>2632</v>
      </c>
      <c r="D607" s="9" t="str">
        <f aca="false">C607&amp;" - "&amp;E607</f>
        <v>Instrument Cluster - Universal</v>
      </c>
      <c r="E607" s="9" t="s">
        <v>68</v>
      </c>
      <c r="F607" s="9" t="s">
        <v>2633</v>
      </c>
      <c r="G607" s="10" t="n">
        <f aca="false">IF($AK607=0,"",INDEX('Part types'!$P:$P,$AK607))</f>
        <v>28</v>
      </c>
      <c r="H607" s="10" t="n">
        <f aca="false">IF($AK607=0,"",INDEX('Part types'!$Q:$Q,$AK607))</f>
        <v>15</v>
      </c>
      <c r="I607" s="10" t="n">
        <f aca="false">IF($AK607=0,"",INDEX('Part types'!$R:$R,$AK607))</f>
        <v>12</v>
      </c>
      <c r="J607" s="10" t="n">
        <f aca="false">IF($AK607=0,"",INDEX('Part types'!$S:$S,$AK607))</f>
        <v>1.2</v>
      </c>
      <c r="K607" s="11" t="s">
        <v>2610</v>
      </c>
      <c r="L607" s="11" t="s">
        <v>2634</v>
      </c>
      <c r="M607" s="11" t="str">
        <f aca="false">L607&amp;" - "&amp;N607</f>
        <v>طبلون العدادات - عام</v>
      </c>
      <c r="N607" s="11" t="s">
        <v>72</v>
      </c>
      <c r="O607" s="11" t="s">
        <v>2635</v>
      </c>
      <c r="P607" s="10" t="n">
        <f aca="false">G607</f>
        <v>28</v>
      </c>
      <c r="Q607" s="10" t="n">
        <f aca="false">H607</f>
        <v>15</v>
      </c>
      <c r="R607" s="10" t="n">
        <f aca="false">I607</f>
        <v>12</v>
      </c>
      <c r="S607" s="10" t="n">
        <f aca="false">J607</f>
        <v>1.2</v>
      </c>
      <c r="T607" s="12" t="s">
        <v>2612</v>
      </c>
      <c r="U607" s="12" t="s">
        <v>2636</v>
      </c>
      <c r="V607" s="9" t="str">
        <f aca="false">U607&amp;" - "&amp;W607</f>
        <v>组合仪表 - 通用</v>
      </c>
      <c r="W607" s="12" t="s">
        <v>76</v>
      </c>
      <c r="X607" s="12" t="s">
        <v>2637</v>
      </c>
      <c r="Y607" s="10" t="n">
        <f aca="false">G607</f>
        <v>28</v>
      </c>
      <c r="Z607" s="10" t="n">
        <f aca="false">H607</f>
        <v>15</v>
      </c>
      <c r="AA607" s="10" t="n">
        <f aca="false">I607</f>
        <v>12</v>
      </c>
      <c r="AB607" s="10" t="n">
        <f aca="false">J607</f>
        <v>1.2</v>
      </c>
      <c r="AC607" s="9" t="s">
        <v>2614</v>
      </c>
      <c r="AD607" s="9" t="s">
        <v>2638</v>
      </c>
      <c r="AE607" s="9" t="str">
        <f aca="false">IF($AK607=0,"",INDEX('Part types'!$T:$T,$AK607)&amp;"")</f>
        <v>All vehicles</v>
      </c>
      <c r="AF607" s="9" t="str">
        <f aca="false">IF($AK607=0,"",INDEX('Part types'!$U:$U,$AK607)&amp;"")</f>
        <v/>
      </c>
      <c r="AG607" s="9" t="str">
        <f aca="false">IF($AK607=0,"",INDEX('Part types'!$V:$V,$AK607)&amp;"")</f>
        <v>Estimate: item-specific</v>
      </c>
      <c r="AH607" s="9" t="str">
        <f aca="false">IF($AK607=0,"",INDEX('Part types'!$W:$W,$AK607)&amp;"")</f>
        <v/>
      </c>
      <c r="AI607" s="11" t="str">
        <f aca="false">IF($AK607=0,"",INDEX('Part types'!$X:$X,$AK607)&amp;"")</f>
        <v/>
      </c>
      <c r="AJ607" s="9" t="str">
        <f aca="false">IF($AK607=0,"",INDEX('Part types'!$Y:$Y,$AK607)&amp;"")</f>
        <v/>
      </c>
      <c r="AK607" s="9" t="n">
        <f aca="false">IFERROR(MATCH($AD607,'Part types'!$E:$E,0),0)</f>
        <v>426</v>
      </c>
    </row>
    <row r="608" customFormat="false" ht="15" hidden="false" customHeight="false" outlineLevel="0" collapsed="false">
      <c r="A608" s="9" t="s">
        <v>2639</v>
      </c>
      <c r="B608" s="9" t="s">
        <v>2608</v>
      </c>
      <c r="C608" s="9" t="s">
        <v>2640</v>
      </c>
      <c r="D608" s="9" t="str">
        <f aca="false">C608&amp;" - "&amp;E608</f>
        <v>Gateway Module - Universal</v>
      </c>
      <c r="E608" s="9" t="s">
        <v>68</v>
      </c>
      <c r="F608" s="9" t="s">
        <v>2439</v>
      </c>
      <c r="G608" s="10" t="n">
        <f aca="false">IF($AK608=0,"",INDEX('Part types'!$P:$P,$AK608))</f>
        <v>15</v>
      </c>
      <c r="H608" s="10" t="n">
        <f aca="false">IF($AK608=0,"",INDEX('Part types'!$Q:$Q,$AK608))</f>
        <v>10</v>
      </c>
      <c r="I608" s="10" t="n">
        <f aca="false">IF($AK608=0,"",INDEX('Part types'!$R:$R,$AK608))</f>
        <v>8</v>
      </c>
      <c r="J608" s="10" t="n">
        <f aca="false">IF($AK608=0,"",INDEX('Part types'!$S:$S,$AK608))</f>
        <v>0.3</v>
      </c>
      <c r="K608" s="11" t="s">
        <v>2610</v>
      </c>
      <c r="L608" s="11" t="s">
        <v>2641</v>
      </c>
      <c r="M608" s="11" t="str">
        <f aca="false">L608&amp;" - "&amp;N608</f>
        <v>وحدة البوابة - عام</v>
      </c>
      <c r="N608" s="11" t="s">
        <v>72</v>
      </c>
      <c r="O608" s="11" t="s">
        <v>2441</v>
      </c>
      <c r="P608" s="10" t="n">
        <f aca="false">G608</f>
        <v>15</v>
      </c>
      <c r="Q608" s="10" t="n">
        <f aca="false">H608</f>
        <v>10</v>
      </c>
      <c r="R608" s="10" t="n">
        <f aca="false">I608</f>
        <v>8</v>
      </c>
      <c r="S608" s="10" t="n">
        <f aca="false">J608</f>
        <v>0.3</v>
      </c>
      <c r="T608" s="12" t="s">
        <v>2612</v>
      </c>
      <c r="U608" s="12" t="s">
        <v>2642</v>
      </c>
      <c r="V608" s="9" t="str">
        <f aca="false">U608&amp;" - "&amp;W608</f>
        <v>网关控制模块 - 通用</v>
      </c>
      <c r="W608" s="12" t="s">
        <v>76</v>
      </c>
      <c r="X608" s="12" t="s">
        <v>2443</v>
      </c>
      <c r="Y608" s="10" t="n">
        <f aca="false">G608</f>
        <v>15</v>
      </c>
      <c r="Z608" s="10" t="n">
        <f aca="false">H608</f>
        <v>10</v>
      </c>
      <c r="AA608" s="10" t="n">
        <f aca="false">I608</f>
        <v>8</v>
      </c>
      <c r="AB608" s="10" t="n">
        <f aca="false">J608</f>
        <v>0.3</v>
      </c>
      <c r="AC608" s="9" t="s">
        <v>2614</v>
      </c>
      <c r="AD608" s="9" t="s">
        <v>2643</v>
      </c>
      <c r="AE608" s="9" t="str">
        <f aca="false">IF($AK608=0,"",INDEX('Part types'!$T:$T,$AK608)&amp;"")</f>
        <v>All vehicles</v>
      </c>
      <c r="AF608" s="9" t="str">
        <f aca="false">IF($AK608=0,"",INDEX('Part types'!$U:$U,$AK608)&amp;"")</f>
        <v/>
      </c>
      <c r="AG608" s="9" t="str">
        <f aca="false">IF($AK608=0,"",INDEX('Part types'!$V:$V,$AK608)&amp;"")</f>
        <v>Estimate: size class S</v>
      </c>
      <c r="AH608" s="9" t="str">
        <f aca="false">IF($AK608=0,"",INDEX('Part types'!$W:$W,$AK608)&amp;"")</f>
        <v/>
      </c>
      <c r="AI608" s="11" t="str">
        <f aca="false">IF($AK608=0,"",INDEX('Part types'!$X:$X,$AK608)&amp;"")</f>
        <v>Gateway</v>
      </c>
      <c r="AJ608" s="9" t="str">
        <f aca="false">IF($AK608=0,"",INDEX('Part types'!$Y:$Y,$AK608)&amp;"")</f>
        <v/>
      </c>
      <c r="AK608" s="9" t="n">
        <f aca="false">IFERROR(MATCH($AD608,'Part types'!$E:$E,0),0)</f>
        <v>427</v>
      </c>
    </row>
    <row r="609" customFormat="false" ht="15" hidden="false" customHeight="false" outlineLevel="0" collapsed="false">
      <c r="A609" s="9" t="s">
        <v>2644</v>
      </c>
      <c r="B609" s="9" t="s">
        <v>2608</v>
      </c>
      <c r="C609" s="9" t="s">
        <v>2645</v>
      </c>
      <c r="D609" s="9" t="str">
        <f aca="false">C609&amp;" - "&amp;E609</f>
        <v>Door Control Module - Front-Left</v>
      </c>
      <c r="E609" s="9" t="s">
        <v>1346</v>
      </c>
      <c r="F609" s="9" t="s">
        <v>2405</v>
      </c>
      <c r="G609" s="10" t="n">
        <f aca="false">IF($AK609=0,"",INDEX('Part types'!$P:$P,$AK609))</f>
        <v>15</v>
      </c>
      <c r="H609" s="10" t="n">
        <f aca="false">IF($AK609=0,"",INDEX('Part types'!$Q:$Q,$AK609))</f>
        <v>10</v>
      </c>
      <c r="I609" s="10" t="n">
        <f aca="false">IF($AK609=0,"",INDEX('Part types'!$R:$R,$AK609))</f>
        <v>8</v>
      </c>
      <c r="J609" s="10" t="n">
        <f aca="false">IF($AK609=0,"",INDEX('Part types'!$S:$S,$AK609))</f>
        <v>0.3</v>
      </c>
      <c r="K609" s="11" t="s">
        <v>2610</v>
      </c>
      <c r="L609" s="11" t="s">
        <v>2646</v>
      </c>
      <c r="M609" s="11" t="str">
        <f aca="false">L609&amp;" - "&amp;N609</f>
        <v>وحدة تحكم الباب - أمامي يسار</v>
      </c>
      <c r="N609" s="11" t="s">
        <v>1349</v>
      </c>
      <c r="O609" s="11" t="s">
        <v>2408</v>
      </c>
      <c r="P609" s="10" t="n">
        <f aca="false">G609</f>
        <v>15</v>
      </c>
      <c r="Q609" s="10" t="n">
        <f aca="false">H609</f>
        <v>10</v>
      </c>
      <c r="R609" s="10" t="n">
        <f aca="false">I609</f>
        <v>8</v>
      </c>
      <c r="S609" s="10" t="n">
        <f aca="false">J609</f>
        <v>0.3</v>
      </c>
      <c r="T609" s="12" t="s">
        <v>2612</v>
      </c>
      <c r="U609" s="12" t="s">
        <v>2647</v>
      </c>
      <c r="V609" s="9" t="str">
        <f aca="false">U609&amp;" - "&amp;W609</f>
        <v>车门控制模块 - 前左</v>
      </c>
      <c r="W609" s="12" t="s">
        <v>1352</v>
      </c>
      <c r="X609" s="12" t="s">
        <v>2411</v>
      </c>
      <c r="Y609" s="10" t="n">
        <f aca="false">G609</f>
        <v>15</v>
      </c>
      <c r="Z609" s="10" t="n">
        <f aca="false">H609</f>
        <v>10</v>
      </c>
      <c r="AA609" s="10" t="n">
        <f aca="false">I609</f>
        <v>8</v>
      </c>
      <c r="AB609" s="10" t="n">
        <f aca="false">J609</f>
        <v>0.3</v>
      </c>
      <c r="AC609" s="9" t="s">
        <v>2614</v>
      </c>
      <c r="AD609" s="9" t="s">
        <v>2648</v>
      </c>
      <c r="AE609" s="9" t="str">
        <f aca="false">IF($AK609=0,"",INDEX('Part types'!$T:$T,$AK609)&amp;"")</f>
        <v>All vehicles</v>
      </c>
      <c r="AF609" s="9" t="str">
        <f aca="false">IF($AK609=0,"",INDEX('Part types'!$U:$U,$AK609)&amp;"")</f>
        <v/>
      </c>
      <c r="AG609" s="9" t="str">
        <f aca="false">IF($AK609=0,"",INDEX('Part types'!$V:$V,$AK609)&amp;"")</f>
        <v>Estimate: size class S</v>
      </c>
      <c r="AH609" s="9" t="str">
        <f aca="false">IF($AK609=0,"",INDEX('Part types'!$W:$W,$AK609)&amp;"")</f>
        <v/>
      </c>
      <c r="AI609" s="11" t="str">
        <f aca="false">IF($AK609=0,"",INDEX('Part types'!$X:$X,$AK609)&amp;"")</f>
        <v/>
      </c>
      <c r="AJ609" s="9" t="str">
        <f aca="false">IF($AK609=0,"",INDEX('Part types'!$Y:$Y,$AK609)&amp;"")</f>
        <v/>
      </c>
      <c r="AK609" s="9" t="n">
        <f aca="false">IFERROR(MATCH($AD609,'Part types'!$E:$E,0),0)</f>
        <v>428</v>
      </c>
    </row>
    <row r="610" customFormat="false" ht="15" hidden="false" customHeight="false" outlineLevel="0" collapsed="false">
      <c r="A610" s="9" t="s">
        <v>2649</v>
      </c>
      <c r="B610" s="9" t="s">
        <v>2608</v>
      </c>
      <c r="C610" s="9" t="s">
        <v>2645</v>
      </c>
      <c r="D610" s="9" t="str">
        <f aca="false">C610&amp;" - "&amp;E610</f>
        <v>Door Control Module - Front-Right</v>
      </c>
      <c r="E610" s="9" t="s">
        <v>1356</v>
      </c>
      <c r="F610" s="9" t="s">
        <v>2405</v>
      </c>
      <c r="G610" s="10" t="n">
        <f aca="false">IF($AK610=0,"",INDEX('Part types'!$P:$P,$AK610))</f>
        <v>15</v>
      </c>
      <c r="H610" s="10" t="n">
        <f aca="false">IF($AK610=0,"",INDEX('Part types'!$Q:$Q,$AK610))</f>
        <v>10</v>
      </c>
      <c r="I610" s="10" t="n">
        <f aca="false">IF($AK610=0,"",INDEX('Part types'!$R:$R,$AK610))</f>
        <v>8</v>
      </c>
      <c r="J610" s="10" t="n">
        <f aca="false">IF($AK610=0,"",INDEX('Part types'!$S:$S,$AK610))</f>
        <v>0.3</v>
      </c>
      <c r="K610" s="11" t="s">
        <v>2610</v>
      </c>
      <c r="L610" s="11" t="s">
        <v>2646</v>
      </c>
      <c r="M610" s="11" t="str">
        <f aca="false">L610&amp;" - "&amp;N610</f>
        <v>وحدة تحكم الباب - أمامي يمين</v>
      </c>
      <c r="N610" s="11" t="s">
        <v>1357</v>
      </c>
      <c r="O610" s="11" t="s">
        <v>2408</v>
      </c>
      <c r="P610" s="10" t="n">
        <f aca="false">G610</f>
        <v>15</v>
      </c>
      <c r="Q610" s="10" t="n">
        <f aca="false">H610</f>
        <v>10</v>
      </c>
      <c r="R610" s="10" t="n">
        <f aca="false">I610</f>
        <v>8</v>
      </c>
      <c r="S610" s="10" t="n">
        <f aca="false">J610</f>
        <v>0.3</v>
      </c>
      <c r="T610" s="12" t="s">
        <v>2612</v>
      </c>
      <c r="U610" s="12" t="s">
        <v>2647</v>
      </c>
      <c r="V610" s="9" t="str">
        <f aca="false">U610&amp;" - "&amp;W610</f>
        <v>车门控制模块 - 前右</v>
      </c>
      <c r="W610" s="12" t="s">
        <v>1358</v>
      </c>
      <c r="X610" s="12" t="s">
        <v>2411</v>
      </c>
      <c r="Y610" s="10" t="n">
        <f aca="false">G610</f>
        <v>15</v>
      </c>
      <c r="Z610" s="10" t="n">
        <f aca="false">H610</f>
        <v>10</v>
      </c>
      <c r="AA610" s="10" t="n">
        <f aca="false">I610</f>
        <v>8</v>
      </c>
      <c r="AB610" s="10" t="n">
        <f aca="false">J610</f>
        <v>0.3</v>
      </c>
      <c r="AC610" s="9" t="s">
        <v>2614</v>
      </c>
      <c r="AD610" s="9" t="s">
        <v>2648</v>
      </c>
      <c r="AE610" s="9" t="str">
        <f aca="false">IF($AK610=0,"",INDEX('Part types'!$T:$T,$AK610)&amp;"")</f>
        <v>All vehicles</v>
      </c>
      <c r="AF610" s="9" t="str">
        <f aca="false">IF($AK610=0,"",INDEX('Part types'!$U:$U,$AK610)&amp;"")</f>
        <v/>
      </c>
      <c r="AG610" s="9" t="str">
        <f aca="false">IF($AK610=0,"",INDEX('Part types'!$V:$V,$AK610)&amp;"")</f>
        <v>Estimate: size class S</v>
      </c>
      <c r="AH610" s="9" t="str">
        <f aca="false">IF($AK610=0,"",INDEX('Part types'!$W:$W,$AK610)&amp;"")</f>
        <v/>
      </c>
      <c r="AI610" s="11" t="str">
        <f aca="false">IF($AK610=0,"",INDEX('Part types'!$X:$X,$AK610)&amp;"")</f>
        <v/>
      </c>
      <c r="AJ610" s="9" t="str">
        <f aca="false">IF($AK610=0,"",INDEX('Part types'!$Y:$Y,$AK610)&amp;"")</f>
        <v/>
      </c>
      <c r="AK610" s="9" t="n">
        <f aca="false">IFERROR(MATCH($AD610,'Part types'!$E:$E,0),0)</f>
        <v>428</v>
      </c>
    </row>
    <row r="611" customFormat="false" ht="15" hidden="false" customHeight="false" outlineLevel="0" collapsed="false">
      <c r="A611" s="9" t="s">
        <v>2650</v>
      </c>
      <c r="B611" s="9" t="s">
        <v>2608</v>
      </c>
      <c r="C611" s="9" t="s">
        <v>2645</v>
      </c>
      <c r="D611" s="9" t="str">
        <f aca="false">C611&amp;" - "&amp;E611</f>
        <v>Door Control Module - Rear-Left</v>
      </c>
      <c r="E611" s="9" t="s">
        <v>1360</v>
      </c>
      <c r="F611" s="9" t="s">
        <v>2405</v>
      </c>
      <c r="G611" s="10" t="n">
        <f aca="false">IF($AK611=0,"",INDEX('Part types'!$P:$P,$AK611))</f>
        <v>15</v>
      </c>
      <c r="H611" s="10" t="n">
        <f aca="false">IF($AK611=0,"",INDEX('Part types'!$Q:$Q,$AK611))</f>
        <v>10</v>
      </c>
      <c r="I611" s="10" t="n">
        <f aca="false">IF($AK611=0,"",INDEX('Part types'!$R:$R,$AK611))</f>
        <v>8</v>
      </c>
      <c r="J611" s="10" t="n">
        <f aca="false">IF($AK611=0,"",INDEX('Part types'!$S:$S,$AK611))</f>
        <v>0.3</v>
      </c>
      <c r="K611" s="11" t="s">
        <v>2610</v>
      </c>
      <c r="L611" s="11" t="s">
        <v>2646</v>
      </c>
      <c r="M611" s="11" t="str">
        <f aca="false">L611&amp;" - "&amp;N611</f>
        <v>وحدة تحكم الباب - خلفي يسار</v>
      </c>
      <c r="N611" s="11" t="s">
        <v>1361</v>
      </c>
      <c r="O611" s="11" t="s">
        <v>2408</v>
      </c>
      <c r="P611" s="10" t="n">
        <f aca="false">G611</f>
        <v>15</v>
      </c>
      <c r="Q611" s="10" t="n">
        <f aca="false">H611</f>
        <v>10</v>
      </c>
      <c r="R611" s="10" t="n">
        <f aca="false">I611</f>
        <v>8</v>
      </c>
      <c r="S611" s="10" t="n">
        <f aca="false">J611</f>
        <v>0.3</v>
      </c>
      <c r="T611" s="12" t="s">
        <v>2612</v>
      </c>
      <c r="U611" s="12" t="s">
        <v>2647</v>
      </c>
      <c r="V611" s="9" t="str">
        <f aca="false">U611&amp;" - "&amp;W611</f>
        <v>车门控制模块 - 后左</v>
      </c>
      <c r="W611" s="12" t="s">
        <v>1362</v>
      </c>
      <c r="X611" s="12" t="s">
        <v>2411</v>
      </c>
      <c r="Y611" s="10" t="n">
        <f aca="false">G611</f>
        <v>15</v>
      </c>
      <c r="Z611" s="10" t="n">
        <f aca="false">H611</f>
        <v>10</v>
      </c>
      <c r="AA611" s="10" t="n">
        <f aca="false">I611</f>
        <v>8</v>
      </c>
      <c r="AB611" s="10" t="n">
        <f aca="false">J611</f>
        <v>0.3</v>
      </c>
      <c r="AC611" s="9" t="s">
        <v>2614</v>
      </c>
      <c r="AD611" s="9" t="s">
        <v>2648</v>
      </c>
      <c r="AE611" s="9" t="str">
        <f aca="false">IF($AK611=0,"",INDEX('Part types'!$T:$T,$AK611)&amp;"")</f>
        <v>All vehicles</v>
      </c>
      <c r="AF611" s="9" t="str">
        <f aca="false">IF($AK611=0,"",INDEX('Part types'!$U:$U,$AK611)&amp;"")</f>
        <v/>
      </c>
      <c r="AG611" s="9" t="str">
        <f aca="false">IF($AK611=0,"",INDEX('Part types'!$V:$V,$AK611)&amp;"")</f>
        <v>Estimate: size class S</v>
      </c>
      <c r="AH611" s="9" t="str">
        <f aca="false">IF($AK611=0,"",INDEX('Part types'!$W:$W,$AK611)&amp;"")</f>
        <v/>
      </c>
      <c r="AI611" s="11" t="str">
        <f aca="false">IF($AK611=0,"",INDEX('Part types'!$X:$X,$AK611)&amp;"")</f>
        <v/>
      </c>
      <c r="AJ611" s="9" t="str">
        <f aca="false">IF($AK611=0,"",INDEX('Part types'!$Y:$Y,$AK611)&amp;"")</f>
        <v/>
      </c>
      <c r="AK611" s="9" t="n">
        <f aca="false">IFERROR(MATCH($AD611,'Part types'!$E:$E,0),0)</f>
        <v>428</v>
      </c>
    </row>
    <row r="612" customFormat="false" ht="15" hidden="false" customHeight="false" outlineLevel="0" collapsed="false">
      <c r="A612" s="9" t="s">
        <v>2651</v>
      </c>
      <c r="B612" s="9" t="s">
        <v>2608</v>
      </c>
      <c r="C612" s="9" t="s">
        <v>2645</v>
      </c>
      <c r="D612" s="9" t="str">
        <f aca="false">C612&amp;" - "&amp;E612</f>
        <v>Door Control Module - Rear-Right</v>
      </c>
      <c r="E612" s="9" t="s">
        <v>1364</v>
      </c>
      <c r="F612" s="9" t="s">
        <v>2405</v>
      </c>
      <c r="G612" s="10" t="n">
        <f aca="false">IF($AK612=0,"",INDEX('Part types'!$P:$P,$AK612))</f>
        <v>15</v>
      </c>
      <c r="H612" s="10" t="n">
        <f aca="false">IF($AK612=0,"",INDEX('Part types'!$Q:$Q,$AK612))</f>
        <v>10</v>
      </c>
      <c r="I612" s="10" t="n">
        <f aca="false">IF($AK612=0,"",INDEX('Part types'!$R:$R,$AK612))</f>
        <v>8</v>
      </c>
      <c r="J612" s="10" t="n">
        <f aca="false">IF($AK612=0,"",INDEX('Part types'!$S:$S,$AK612))</f>
        <v>0.3</v>
      </c>
      <c r="K612" s="11" t="s">
        <v>2610</v>
      </c>
      <c r="L612" s="11" t="s">
        <v>2646</v>
      </c>
      <c r="M612" s="11" t="str">
        <f aca="false">L612&amp;" - "&amp;N612</f>
        <v>وحدة تحكم الباب - خلفي يمين</v>
      </c>
      <c r="N612" s="11" t="s">
        <v>1365</v>
      </c>
      <c r="O612" s="11" t="s">
        <v>2408</v>
      </c>
      <c r="P612" s="10" t="n">
        <f aca="false">G612</f>
        <v>15</v>
      </c>
      <c r="Q612" s="10" t="n">
        <f aca="false">H612</f>
        <v>10</v>
      </c>
      <c r="R612" s="10" t="n">
        <f aca="false">I612</f>
        <v>8</v>
      </c>
      <c r="S612" s="10" t="n">
        <f aca="false">J612</f>
        <v>0.3</v>
      </c>
      <c r="T612" s="12" t="s">
        <v>2612</v>
      </c>
      <c r="U612" s="12" t="s">
        <v>2647</v>
      </c>
      <c r="V612" s="9" t="str">
        <f aca="false">U612&amp;" - "&amp;W612</f>
        <v>车门控制模块 - 后右</v>
      </c>
      <c r="W612" s="12" t="s">
        <v>1366</v>
      </c>
      <c r="X612" s="12" t="s">
        <v>2411</v>
      </c>
      <c r="Y612" s="10" t="n">
        <f aca="false">G612</f>
        <v>15</v>
      </c>
      <c r="Z612" s="10" t="n">
        <f aca="false">H612</f>
        <v>10</v>
      </c>
      <c r="AA612" s="10" t="n">
        <f aca="false">I612</f>
        <v>8</v>
      </c>
      <c r="AB612" s="10" t="n">
        <f aca="false">J612</f>
        <v>0.3</v>
      </c>
      <c r="AC612" s="9" t="s">
        <v>2614</v>
      </c>
      <c r="AD612" s="9" t="s">
        <v>2648</v>
      </c>
      <c r="AE612" s="9" t="str">
        <f aca="false">IF($AK612=0,"",INDEX('Part types'!$T:$T,$AK612)&amp;"")</f>
        <v>All vehicles</v>
      </c>
      <c r="AF612" s="9" t="str">
        <f aca="false">IF($AK612=0,"",INDEX('Part types'!$U:$U,$AK612)&amp;"")</f>
        <v/>
      </c>
      <c r="AG612" s="9" t="str">
        <f aca="false">IF($AK612=0,"",INDEX('Part types'!$V:$V,$AK612)&amp;"")</f>
        <v>Estimate: size class S</v>
      </c>
      <c r="AH612" s="9" t="str">
        <f aca="false">IF($AK612=0,"",INDEX('Part types'!$W:$W,$AK612)&amp;"")</f>
        <v/>
      </c>
      <c r="AI612" s="11" t="str">
        <f aca="false">IF($AK612=0,"",INDEX('Part types'!$X:$X,$AK612)&amp;"")</f>
        <v/>
      </c>
      <c r="AJ612" s="9" t="str">
        <f aca="false">IF($AK612=0,"",INDEX('Part types'!$Y:$Y,$AK612)&amp;"")</f>
        <v/>
      </c>
      <c r="AK612" s="9" t="n">
        <f aca="false">IFERROR(MATCH($AD612,'Part types'!$E:$E,0),0)</f>
        <v>428</v>
      </c>
    </row>
    <row r="613" customFormat="false" ht="15" hidden="false" customHeight="false" outlineLevel="0" collapsed="false">
      <c r="A613" s="9" t="s">
        <v>2652</v>
      </c>
      <c r="B613" s="9" t="s">
        <v>2608</v>
      </c>
      <c r="C613" s="9" t="s">
        <v>2653</v>
      </c>
      <c r="D613" s="9" t="str">
        <f aca="false">C613&amp;" - "&amp;E613</f>
        <v>Keyless Receiver Module - Universal</v>
      </c>
      <c r="E613" s="9" t="s">
        <v>68</v>
      </c>
      <c r="F613" s="9" t="s">
        <v>2260</v>
      </c>
      <c r="G613" s="10" t="n">
        <f aca="false">IF($AK613=0,"",INDEX('Part types'!$P:$P,$AK613))</f>
        <v>15</v>
      </c>
      <c r="H613" s="10" t="n">
        <f aca="false">IF($AK613=0,"",INDEX('Part types'!$Q:$Q,$AK613))</f>
        <v>10</v>
      </c>
      <c r="I613" s="10" t="n">
        <f aca="false">IF($AK613=0,"",INDEX('Part types'!$R:$R,$AK613))</f>
        <v>8</v>
      </c>
      <c r="J613" s="10" t="n">
        <f aca="false">IF($AK613=0,"",INDEX('Part types'!$S:$S,$AK613))</f>
        <v>0.3</v>
      </c>
      <c r="K613" s="11" t="s">
        <v>2610</v>
      </c>
      <c r="L613" s="11" t="s">
        <v>2654</v>
      </c>
      <c r="M613" s="11" t="str">
        <f aca="false">L613&amp;" - "&amp;N613</f>
        <v>وحدة استقبال المفتاح الذكي - عام</v>
      </c>
      <c r="N613" s="11" t="s">
        <v>72</v>
      </c>
      <c r="O613" s="11" t="s">
        <v>2262</v>
      </c>
      <c r="P613" s="10" t="n">
        <f aca="false">G613</f>
        <v>15</v>
      </c>
      <c r="Q613" s="10" t="n">
        <f aca="false">H613</f>
        <v>10</v>
      </c>
      <c r="R613" s="10" t="n">
        <f aca="false">I613</f>
        <v>8</v>
      </c>
      <c r="S613" s="10" t="n">
        <f aca="false">J613</f>
        <v>0.3</v>
      </c>
      <c r="T613" s="12" t="s">
        <v>2612</v>
      </c>
      <c r="U613" s="12" t="s">
        <v>2655</v>
      </c>
      <c r="V613" s="9" t="str">
        <f aca="false">U613&amp;" - "&amp;W613</f>
        <v>无钥匙进入接收模块 - 通用</v>
      </c>
      <c r="W613" s="12" t="s">
        <v>76</v>
      </c>
      <c r="X613" s="12" t="s">
        <v>2264</v>
      </c>
      <c r="Y613" s="10" t="n">
        <f aca="false">G613</f>
        <v>15</v>
      </c>
      <c r="Z613" s="10" t="n">
        <f aca="false">H613</f>
        <v>10</v>
      </c>
      <c r="AA613" s="10" t="n">
        <f aca="false">I613</f>
        <v>8</v>
      </c>
      <c r="AB613" s="10" t="n">
        <f aca="false">J613</f>
        <v>0.3</v>
      </c>
      <c r="AC613" s="9" t="s">
        <v>2614</v>
      </c>
      <c r="AD613" s="9" t="s">
        <v>2656</v>
      </c>
      <c r="AE613" s="9" t="str">
        <f aca="false">IF($AK613=0,"",INDEX('Part types'!$T:$T,$AK613)&amp;"")</f>
        <v>All vehicles</v>
      </c>
      <c r="AF613" s="9" t="str">
        <f aca="false">IF($AK613=0,"",INDEX('Part types'!$U:$U,$AK613)&amp;"")</f>
        <v/>
      </c>
      <c r="AG613" s="9" t="str">
        <f aca="false">IF($AK613=0,"",INDEX('Part types'!$V:$V,$AK613)&amp;"")</f>
        <v>Estimate: size class S</v>
      </c>
      <c r="AH613" s="9" t="str">
        <f aca="false">IF($AK613=0,"",INDEX('Part types'!$W:$W,$AK613)&amp;"")</f>
        <v>Keyless Entry Receiver Module</v>
      </c>
      <c r="AI613" s="11" t="str">
        <f aca="false">IF($AK613=0,"",INDEX('Part types'!$X:$X,$AK613)&amp;"")</f>
        <v/>
      </c>
      <c r="AJ613" s="9" t="str">
        <f aca="false">IF($AK613=0,"",INDEX('Part types'!$Y:$Y,$AK613)&amp;"")</f>
        <v/>
      </c>
      <c r="AK613" s="9" t="n">
        <f aca="false">IFERROR(MATCH($AD613,'Part types'!$E:$E,0),0)</f>
        <v>429</v>
      </c>
    </row>
    <row r="614" customFormat="false" ht="15" hidden="false" customHeight="false" outlineLevel="0" collapsed="false">
      <c r="A614" s="9" t="s">
        <v>2657</v>
      </c>
      <c r="B614" s="9" t="s">
        <v>2658</v>
      </c>
      <c r="C614" s="9" t="s">
        <v>2659</v>
      </c>
      <c r="D614" s="9" t="str">
        <f aca="false">C614&amp;" - "&amp;E614</f>
        <v>Parking Sensor - Front</v>
      </c>
      <c r="E614" s="9" t="s">
        <v>161</v>
      </c>
      <c r="F614" s="9" t="s">
        <v>2660</v>
      </c>
      <c r="G614" s="10" t="n">
        <f aca="false">IF($AK614=0,"",INDEX('Part types'!$P:$P,$AK614))</f>
        <v>10</v>
      </c>
      <c r="H614" s="10" t="n">
        <f aca="false">IF($AK614=0,"",INDEX('Part types'!$Q:$Q,$AK614))</f>
        <v>8</v>
      </c>
      <c r="I614" s="10" t="n">
        <f aca="false">IF($AK614=0,"",INDEX('Part types'!$R:$R,$AK614))</f>
        <v>6</v>
      </c>
      <c r="J614" s="10" t="n">
        <f aca="false">IF($AK614=0,"",INDEX('Part types'!$S:$S,$AK614))</f>
        <v>0.1</v>
      </c>
      <c r="K614" s="11" t="s">
        <v>2661</v>
      </c>
      <c r="L614" s="11" t="s">
        <v>2662</v>
      </c>
      <c r="M614" s="11" t="str">
        <f aca="false">L614&amp;" - "&amp;N614</f>
        <v>حساس ركن - أمامي</v>
      </c>
      <c r="N614" s="11" t="s">
        <v>163</v>
      </c>
      <c r="O614" s="11" t="s">
        <v>2663</v>
      </c>
      <c r="P614" s="10" t="n">
        <f aca="false">G614</f>
        <v>10</v>
      </c>
      <c r="Q614" s="10" t="n">
        <f aca="false">H614</f>
        <v>8</v>
      </c>
      <c r="R614" s="10" t="n">
        <f aca="false">I614</f>
        <v>6</v>
      </c>
      <c r="S614" s="10" t="n">
        <f aca="false">J614</f>
        <v>0.1</v>
      </c>
      <c r="T614" s="12" t="s">
        <v>2664</v>
      </c>
      <c r="U614" s="12" t="s">
        <v>2665</v>
      </c>
      <c r="V614" s="9" t="str">
        <f aca="false">U614&amp;" - "&amp;W614</f>
        <v>驻车雷达传感器 - 前部</v>
      </c>
      <c r="W614" s="12" t="s">
        <v>165</v>
      </c>
      <c r="X614" s="12" t="s">
        <v>2666</v>
      </c>
      <c r="Y614" s="10" t="n">
        <f aca="false">G614</f>
        <v>10</v>
      </c>
      <c r="Z614" s="10" t="n">
        <f aca="false">H614</f>
        <v>8</v>
      </c>
      <c r="AA614" s="10" t="n">
        <f aca="false">I614</f>
        <v>6</v>
      </c>
      <c r="AB614" s="10" t="n">
        <f aca="false">J614</f>
        <v>0.1</v>
      </c>
      <c r="AC614" s="9" t="s">
        <v>2667</v>
      </c>
      <c r="AD614" s="9" t="s">
        <v>2668</v>
      </c>
      <c r="AE614" s="9" t="str">
        <f aca="false">IF($AK614=0,"",INDEX('Part types'!$T:$T,$AK614)&amp;"")</f>
        <v>All vehicles</v>
      </c>
      <c r="AF614" s="9" t="str">
        <f aca="false">IF($AK614=0,"",INDEX('Part types'!$U:$U,$AK614)&amp;"")</f>
        <v/>
      </c>
      <c r="AG614" s="9" t="str">
        <f aca="false">IF($AK614=0,"",INDEX('Part types'!$V:$V,$AK614)&amp;"")</f>
        <v>Estimate: size class XS</v>
      </c>
      <c r="AH614" s="9" t="str">
        <f aca="false">IF($AK614=0,"",INDEX('Part types'!$W:$W,$AK614)&amp;"")</f>
        <v>Ultrasonic</v>
      </c>
      <c r="AI614" s="11" t="str">
        <f aca="false">IF($AK614=0,"",INDEX('Part types'!$X:$X,$AK614)&amp;"")</f>
        <v>ألتراسونيك</v>
      </c>
      <c r="AJ614" s="9" t="str">
        <f aca="false">IF($AK614=0,"",INDEX('Part types'!$Y:$Y,$AK614)&amp;"")</f>
        <v>超声波</v>
      </c>
      <c r="AK614" s="9" t="n">
        <f aca="false">IFERROR(MATCH($AD614,'Part types'!$E:$E,0),0)</f>
        <v>430</v>
      </c>
    </row>
    <row r="615" customFormat="false" ht="15" hidden="false" customHeight="false" outlineLevel="0" collapsed="false">
      <c r="A615" s="9" t="s">
        <v>2669</v>
      </c>
      <c r="B615" s="9" t="s">
        <v>2658</v>
      </c>
      <c r="C615" s="9" t="s">
        <v>2659</v>
      </c>
      <c r="D615" s="9" t="str">
        <f aca="false">C615&amp;" - "&amp;E615</f>
        <v>Parking Sensor - Rear</v>
      </c>
      <c r="E615" s="9" t="s">
        <v>168</v>
      </c>
      <c r="F615" s="9" t="s">
        <v>2660</v>
      </c>
      <c r="G615" s="10" t="n">
        <f aca="false">IF($AK615=0,"",INDEX('Part types'!$P:$P,$AK615))</f>
        <v>10</v>
      </c>
      <c r="H615" s="10" t="n">
        <f aca="false">IF($AK615=0,"",INDEX('Part types'!$Q:$Q,$AK615))</f>
        <v>8</v>
      </c>
      <c r="I615" s="10" t="n">
        <f aca="false">IF($AK615=0,"",INDEX('Part types'!$R:$R,$AK615))</f>
        <v>6</v>
      </c>
      <c r="J615" s="10" t="n">
        <f aca="false">IF($AK615=0,"",INDEX('Part types'!$S:$S,$AK615))</f>
        <v>0.1</v>
      </c>
      <c r="K615" s="11" t="s">
        <v>2661</v>
      </c>
      <c r="L615" s="11" t="s">
        <v>2662</v>
      </c>
      <c r="M615" s="11" t="str">
        <f aca="false">L615&amp;" - "&amp;N615</f>
        <v>حساس ركن - خلفي</v>
      </c>
      <c r="N615" s="11" t="s">
        <v>169</v>
      </c>
      <c r="O615" s="11" t="s">
        <v>2663</v>
      </c>
      <c r="P615" s="10" t="n">
        <f aca="false">G615</f>
        <v>10</v>
      </c>
      <c r="Q615" s="10" t="n">
        <f aca="false">H615</f>
        <v>8</v>
      </c>
      <c r="R615" s="10" t="n">
        <f aca="false">I615</f>
        <v>6</v>
      </c>
      <c r="S615" s="10" t="n">
        <f aca="false">J615</f>
        <v>0.1</v>
      </c>
      <c r="T615" s="12" t="s">
        <v>2664</v>
      </c>
      <c r="U615" s="12" t="s">
        <v>2665</v>
      </c>
      <c r="V615" s="9" t="str">
        <f aca="false">U615&amp;" - "&amp;W615</f>
        <v>驻车雷达传感器 - 后部</v>
      </c>
      <c r="W615" s="12" t="s">
        <v>170</v>
      </c>
      <c r="X615" s="12" t="s">
        <v>2666</v>
      </c>
      <c r="Y615" s="10" t="n">
        <f aca="false">G615</f>
        <v>10</v>
      </c>
      <c r="Z615" s="10" t="n">
        <f aca="false">H615</f>
        <v>8</v>
      </c>
      <c r="AA615" s="10" t="n">
        <f aca="false">I615</f>
        <v>6</v>
      </c>
      <c r="AB615" s="10" t="n">
        <f aca="false">J615</f>
        <v>0.1</v>
      </c>
      <c r="AC615" s="9" t="s">
        <v>2667</v>
      </c>
      <c r="AD615" s="9" t="s">
        <v>2668</v>
      </c>
      <c r="AE615" s="9" t="str">
        <f aca="false">IF($AK615=0,"",INDEX('Part types'!$T:$T,$AK615)&amp;"")</f>
        <v>All vehicles</v>
      </c>
      <c r="AF615" s="9" t="str">
        <f aca="false">IF($AK615=0,"",INDEX('Part types'!$U:$U,$AK615)&amp;"")</f>
        <v/>
      </c>
      <c r="AG615" s="9" t="str">
        <f aca="false">IF($AK615=0,"",INDEX('Part types'!$V:$V,$AK615)&amp;"")</f>
        <v>Estimate: size class XS</v>
      </c>
      <c r="AH615" s="9" t="str">
        <f aca="false">IF($AK615=0,"",INDEX('Part types'!$W:$W,$AK615)&amp;"")</f>
        <v>Ultrasonic</v>
      </c>
      <c r="AI615" s="11" t="str">
        <f aca="false">IF($AK615=0,"",INDEX('Part types'!$X:$X,$AK615)&amp;"")</f>
        <v>ألتراسونيك</v>
      </c>
      <c r="AJ615" s="9" t="str">
        <f aca="false">IF($AK615=0,"",INDEX('Part types'!$Y:$Y,$AK615)&amp;"")</f>
        <v>超声波</v>
      </c>
      <c r="AK615" s="9" t="n">
        <f aca="false">IFERROR(MATCH($AD615,'Part types'!$E:$E,0),0)</f>
        <v>430</v>
      </c>
    </row>
    <row r="616" customFormat="false" ht="15" hidden="false" customHeight="false" outlineLevel="0" collapsed="false">
      <c r="A616" s="9" t="s">
        <v>2670</v>
      </c>
      <c r="B616" s="9" t="s">
        <v>2658</v>
      </c>
      <c r="C616" s="9" t="s">
        <v>2671</v>
      </c>
      <c r="D616" s="9" t="str">
        <f aca="false">C616&amp;" - "&amp;E616</f>
        <v>Backup Camera - Universal</v>
      </c>
      <c r="E616" s="9" t="s">
        <v>68</v>
      </c>
      <c r="F616" s="9" t="s">
        <v>2106</v>
      </c>
      <c r="G616" s="10" t="n">
        <f aca="false">IF($AK616=0,"",INDEX('Part types'!$P:$P,$AK616))</f>
        <v>10</v>
      </c>
      <c r="H616" s="10" t="n">
        <f aca="false">IF($AK616=0,"",INDEX('Part types'!$Q:$Q,$AK616))</f>
        <v>8</v>
      </c>
      <c r="I616" s="10" t="n">
        <f aca="false">IF($AK616=0,"",INDEX('Part types'!$R:$R,$AK616))</f>
        <v>6</v>
      </c>
      <c r="J616" s="10" t="n">
        <f aca="false">IF($AK616=0,"",INDEX('Part types'!$S:$S,$AK616))</f>
        <v>0.1</v>
      </c>
      <c r="K616" s="11" t="s">
        <v>2661</v>
      </c>
      <c r="L616" s="11" t="s">
        <v>2672</v>
      </c>
      <c r="M616" s="11" t="str">
        <f aca="false">L616&amp;" - "&amp;N616</f>
        <v>كاميرا رجوع - عام</v>
      </c>
      <c r="N616" s="11" t="s">
        <v>72</v>
      </c>
      <c r="O616" s="11" t="s">
        <v>2108</v>
      </c>
      <c r="P616" s="10" t="n">
        <f aca="false">G616</f>
        <v>10</v>
      </c>
      <c r="Q616" s="10" t="n">
        <f aca="false">H616</f>
        <v>8</v>
      </c>
      <c r="R616" s="10" t="n">
        <f aca="false">I616</f>
        <v>6</v>
      </c>
      <c r="S616" s="10" t="n">
        <f aca="false">J616</f>
        <v>0.1</v>
      </c>
      <c r="T616" s="12" t="s">
        <v>2664</v>
      </c>
      <c r="U616" s="12" t="s">
        <v>2673</v>
      </c>
      <c r="V616" s="9" t="str">
        <f aca="false">U616&amp;" - "&amp;W616</f>
        <v>倒车摄像头 - 通用</v>
      </c>
      <c r="W616" s="12" t="s">
        <v>76</v>
      </c>
      <c r="X616" s="12" t="s">
        <v>2110</v>
      </c>
      <c r="Y616" s="10" t="n">
        <f aca="false">G616</f>
        <v>10</v>
      </c>
      <c r="Z616" s="10" t="n">
        <f aca="false">H616</f>
        <v>8</v>
      </c>
      <c r="AA616" s="10" t="n">
        <f aca="false">I616</f>
        <v>6</v>
      </c>
      <c r="AB616" s="10" t="n">
        <f aca="false">J616</f>
        <v>0.1</v>
      </c>
      <c r="AC616" s="9" t="s">
        <v>2667</v>
      </c>
      <c r="AD616" s="9" t="s">
        <v>2674</v>
      </c>
      <c r="AE616" s="9" t="str">
        <f aca="false">IF($AK616=0,"",INDEX('Part types'!$T:$T,$AK616)&amp;"")</f>
        <v>All vehicles</v>
      </c>
      <c r="AF616" s="9" t="str">
        <f aca="false">IF($AK616=0,"",INDEX('Part types'!$U:$U,$AK616)&amp;"")</f>
        <v/>
      </c>
      <c r="AG616" s="9" t="str">
        <f aca="false">IF($AK616=0,"",INDEX('Part types'!$V:$V,$AK616)&amp;"")</f>
        <v>Estimate: size class XS</v>
      </c>
      <c r="AH616" s="9" t="str">
        <f aca="false">IF($AK616=0,"",INDEX('Part types'!$W:$W,$AK616)&amp;"")</f>
        <v/>
      </c>
      <c r="AI616" s="11" t="str">
        <f aca="false">IF($AK616=0,"",INDEX('Part types'!$X:$X,$AK616)&amp;"")</f>
        <v/>
      </c>
      <c r="AJ616" s="9" t="str">
        <f aca="false">IF($AK616=0,"",INDEX('Part types'!$Y:$Y,$AK616)&amp;"")</f>
        <v/>
      </c>
      <c r="AK616" s="9" t="n">
        <f aca="false">IFERROR(MATCH($AD616,'Part types'!$E:$E,0),0)</f>
        <v>431</v>
      </c>
    </row>
    <row r="617" customFormat="false" ht="15" hidden="false" customHeight="false" outlineLevel="0" collapsed="false">
      <c r="A617" s="9" t="s">
        <v>2675</v>
      </c>
      <c r="B617" s="9" t="s">
        <v>2658</v>
      </c>
      <c r="C617" s="9" t="s">
        <v>2676</v>
      </c>
      <c r="D617" s="9" t="str">
        <f aca="false">C617&amp;" - "&amp;E617</f>
        <v>Surround View Camera - Left</v>
      </c>
      <c r="E617" s="9" t="s">
        <v>218</v>
      </c>
      <c r="F617" s="9" t="s">
        <v>2660</v>
      </c>
      <c r="G617" s="10" t="n">
        <f aca="false">IF($AK617=0,"",INDEX('Part types'!$P:$P,$AK617))</f>
        <v>10</v>
      </c>
      <c r="H617" s="10" t="n">
        <f aca="false">IF($AK617=0,"",INDEX('Part types'!$Q:$Q,$AK617))</f>
        <v>8</v>
      </c>
      <c r="I617" s="10" t="n">
        <f aca="false">IF($AK617=0,"",INDEX('Part types'!$R:$R,$AK617))</f>
        <v>6</v>
      </c>
      <c r="J617" s="10" t="n">
        <f aca="false">IF($AK617=0,"",INDEX('Part types'!$S:$S,$AK617))</f>
        <v>0.1</v>
      </c>
      <c r="K617" s="11" t="s">
        <v>2661</v>
      </c>
      <c r="L617" s="11" t="s">
        <v>2677</v>
      </c>
      <c r="M617" s="11" t="str">
        <f aca="false">L617&amp;" - "&amp;N617</f>
        <v>كاميرا محيطية 360 - يسار</v>
      </c>
      <c r="N617" s="11" t="s">
        <v>220</v>
      </c>
      <c r="O617" s="11" t="s">
        <v>2663</v>
      </c>
      <c r="P617" s="10" t="n">
        <f aca="false">G617</f>
        <v>10</v>
      </c>
      <c r="Q617" s="10" t="n">
        <f aca="false">H617</f>
        <v>8</v>
      </c>
      <c r="R617" s="10" t="n">
        <f aca="false">I617</f>
        <v>6</v>
      </c>
      <c r="S617" s="10" t="n">
        <f aca="false">J617</f>
        <v>0.1</v>
      </c>
      <c r="T617" s="12" t="s">
        <v>2664</v>
      </c>
      <c r="U617" s="12" t="s">
        <v>2678</v>
      </c>
      <c r="V617" s="9" t="str">
        <f aca="false">U617&amp;" - "&amp;W617</f>
        <v>环视摄像头 - 左侧</v>
      </c>
      <c r="W617" s="12" t="s">
        <v>222</v>
      </c>
      <c r="X617" s="12" t="s">
        <v>2666</v>
      </c>
      <c r="Y617" s="10" t="n">
        <f aca="false">G617</f>
        <v>10</v>
      </c>
      <c r="Z617" s="10" t="n">
        <f aca="false">H617</f>
        <v>8</v>
      </c>
      <c r="AA617" s="10" t="n">
        <f aca="false">I617</f>
        <v>6</v>
      </c>
      <c r="AB617" s="10" t="n">
        <f aca="false">J617</f>
        <v>0.1</v>
      </c>
      <c r="AC617" s="9" t="s">
        <v>2667</v>
      </c>
      <c r="AD617" s="9" t="s">
        <v>2679</v>
      </c>
      <c r="AE617" s="9" t="str">
        <f aca="false">IF($AK617=0,"",INDEX('Part types'!$T:$T,$AK617)&amp;"")</f>
        <v>All vehicles</v>
      </c>
      <c r="AF617" s="9" t="str">
        <f aca="false">IF($AK617=0,"",INDEX('Part types'!$U:$U,$AK617)&amp;"")</f>
        <v/>
      </c>
      <c r="AG617" s="9" t="str">
        <f aca="false">IF($AK617=0,"",INDEX('Part types'!$V:$V,$AK617)&amp;"")</f>
        <v>Estimate: size class XS</v>
      </c>
      <c r="AH617" s="9" t="str">
        <f aca="false">IF($AK617=0,"",INDEX('Part types'!$W:$W,$AK617)&amp;"")</f>
        <v/>
      </c>
      <c r="AI617" s="11" t="str">
        <f aca="false">IF($AK617=0,"",INDEX('Part types'!$X:$X,$AK617)&amp;"")</f>
        <v/>
      </c>
      <c r="AJ617" s="9" t="str">
        <f aca="false">IF($AK617=0,"",INDEX('Part types'!$Y:$Y,$AK617)&amp;"")</f>
        <v/>
      </c>
      <c r="AK617" s="9" t="n">
        <f aca="false">IFERROR(MATCH($AD617,'Part types'!$E:$E,0),0)</f>
        <v>432</v>
      </c>
    </row>
    <row r="618" customFormat="false" ht="15" hidden="false" customHeight="false" outlineLevel="0" collapsed="false">
      <c r="A618" s="9" t="s">
        <v>2680</v>
      </c>
      <c r="B618" s="9" t="s">
        <v>2658</v>
      </c>
      <c r="C618" s="9" t="s">
        <v>2676</v>
      </c>
      <c r="D618" s="9" t="str">
        <f aca="false">C618&amp;" - "&amp;E618</f>
        <v>Surround View Camera - Right</v>
      </c>
      <c r="E618" s="9" t="s">
        <v>225</v>
      </c>
      <c r="F618" s="9" t="s">
        <v>2660</v>
      </c>
      <c r="G618" s="10" t="n">
        <f aca="false">IF($AK618=0,"",INDEX('Part types'!$P:$P,$AK618))</f>
        <v>10</v>
      </c>
      <c r="H618" s="10" t="n">
        <f aca="false">IF($AK618=0,"",INDEX('Part types'!$Q:$Q,$AK618))</f>
        <v>8</v>
      </c>
      <c r="I618" s="10" t="n">
        <f aca="false">IF($AK618=0,"",INDEX('Part types'!$R:$R,$AK618))</f>
        <v>6</v>
      </c>
      <c r="J618" s="10" t="n">
        <f aca="false">IF($AK618=0,"",INDEX('Part types'!$S:$S,$AK618))</f>
        <v>0.1</v>
      </c>
      <c r="K618" s="11" t="s">
        <v>2661</v>
      </c>
      <c r="L618" s="11" t="s">
        <v>2677</v>
      </c>
      <c r="M618" s="11" t="str">
        <f aca="false">L618&amp;" - "&amp;N618</f>
        <v>كاميرا محيطية 360 - يمين</v>
      </c>
      <c r="N618" s="11" t="s">
        <v>226</v>
      </c>
      <c r="O618" s="11" t="s">
        <v>2663</v>
      </c>
      <c r="P618" s="10" t="n">
        <f aca="false">G618</f>
        <v>10</v>
      </c>
      <c r="Q618" s="10" t="n">
        <f aca="false">H618</f>
        <v>8</v>
      </c>
      <c r="R618" s="10" t="n">
        <f aca="false">I618</f>
        <v>6</v>
      </c>
      <c r="S618" s="10" t="n">
        <f aca="false">J618</f>
        <v>0.1</v>
      </c>
      <c r="T618" s="12" t="s">
        <v>2664</v>
      </c>
      <c r="U618" s="12" t="s">
        <v>2678</v>
      </c>
      <c r="V618" s="9" t="str">
        <f aca="false">U618&amp;" - "&amp;W618</f>
        <v>环视摄像头 - 右侧</v>
      </c>
      <c r="W618" s="12" t="s">
        <v>227</v>
      </c>
      <c r="X618" s="12" t="s">
        <v>2666</v>
      </c>
      <c r="Y618" s="10" t="n">
        <f aca="false">G618</f>
        <v>10</v>
      </c>
      <c r="Z618" s="10" t="n">
        <f aca="false">H618</f>
        <v>8</v>
      </c>
      <c r="AA618" s="10" t="n">
        <f aca="false">I618</f>
        <v>6</v>
      </c>
      <c r="AB618" s="10" t="n">
        <f aca="false">J618</f>
        <v>0.1</v>
      </c>
      <c r="AC618" s="9" t="s">
        <v>2667</v>
      </c>
      <c r="AD618" s="9" t="s">
        <v>2679</v>
      </c>
      <c r="AE618" s="9" t="str">
        <f aca="false">IF($AK618=0,"",INDEX('Part types'!$T:$T,$AK618)&amp;"")</f>
        <v>All vehicles</v>
      </c>
      <c r="AF618" s="9" t="str">
        <f aca="false">IF($AK618=0,"",INDEX('Part types'!$U:$U,$AK618)&amp;"")</f>
        <v/>
      </c>
      <c r="AG618" s="9" t="str">
        <f aca="false">IF($AK618=0,"",INDEX('Part types'!$V:$V,$AK618)&amp;"")</f>
        <v>Estimate: size class XS</v>
      </c>
      <c r="AH618" s="9" t="str">
        <f aca="false">IF($AK618=0,"",INDEX('Part types'!$W:$W,$AK618)&amp;"")</f>
        <v/>
      </c>
      <c r="AI618" s="11" t="str">
        <f aca="false">IF($AK618=0,"",INDEX('Part types'!$X:$X,$AK618)&amp;"")</f>
        <v/>
      </c>
      <c r="AJ618" s="9" t="str">
        <f aca="false">IF($AK618=0,"",INDEX('Part types'!$Y:$Y,$AK618)&amp;"")</f>
        <v/>
      </c>
      <c r="AK618" s="9" t="n">
        <f aca="false">IFERROR(MATCH($AD618,'Part types'!$E:$E,0),0)</f>
        <v>432</v>
      </c>
    </row>
    <row r="619" customFormat="false" ht="15" hidden="false" customHeight="false" outlineLevel="0" collapsed="false">
      <c r="A619" s="9" t="s">
        <v>2681</v>
      </c>
      <c r="B619" s="9" t="s">
        <v>2658</v>
      </c>
      <c r="C619" s="9" t="s">
        <v>2676</v>
      </c>
      <c r="D619" s="9" t="str">
        <f aca="false">C619&amp;" - "&amp;E619</f>
        <v>Surround View Camera - Front</v>
      </c>
      <c r="E619" s="9" t="s">
        <v>161</v>
      </c>
      <c r="F619" s="9" t="s">
        <v>2660</v>
      </c>
      <c r="G619" s="10" t="n">
        <f aca="false">IF($AK619=0,"",INDEX('Part types'!$P:$P,$AK619))</f>
        <v>10</v>
      </c>
      <c r="H619" s="10" t="n">
        <f aca="false">IF($AK619=0,"",INDEX('Part types'!$Q:$Q,$AK619))</f>
        <v>8</v>
      </c>
      <c r="I619" s="10" t="n">
        <f aca="false">IF($AK619=0,"",INDEX('Part types'!$R:$R,$AK619))</f>
        <v>6</v>
      </c>
      <c r="J619" s="10" t="n">
        <f aca="false">IF($AK619=0,"",INDEX('Part types'!$S:$S,$AK619))</f>
        <v>0.1</v>
      </c>
      <c r="K619" s="11" t="s">
        <v>2661</v>
      </c>
      <c r="L619" s="11" t="s">
        <v>2677</v>
      </c>
      <c r="M619" s="11" t="str">
        <f aca="false">L619&amp;" - "&amp;N619</f>
        <v>كاميرا محيطية 360 - أمامي</v>
      </c>
      <c r="N619" s="11" t="s">
        <v>163</v>
      </c>
      <c r="O619" s="11" t="s">
        <v>2663</v>
      </c>
      <c r="P619" s="10" t="n">
        <f aca="false">G619</f>
        <v>10</v>
      </c>
      <c r="Q619" s="10" t="n">
        <f aca="false">H619</f>
        <v>8</v>
      </c>
      <c r="R619" s="10" t="n">
        <f aca="false">I619</f>
        <v>6</v>
      </c>
      <c r="S619" s="10" t="n">
        <f aca="false">J619</f>
        <v>0.1</v>
      </c>
      <c r="T619" s="12" t="s">
        <v>2664</v>
      </c>
      <c r="U619" s="12" t="s">
        <v>2678</v>
      </c>
      <c r="V619" s="9" t="str">
        <f aca="false">U619&amp;" - "&amp;W619</f>
        <v>环视摄像头 - 前部</v>
      </c>
      <c r="W619" s="12" t="s">
        <v>165</v>
      </c>
      <c r="X619" s="12" t="s">
        <v>2666</v>
      </c>
      <c r="Y619" s="10" t="n">
        <f aca="false">G619</f>
        <v>10</v>
      </c>
      <c r="Z619" s="10" t="n">
        <f aca="false">H619</f>
        <v>8</v>
      </c>
      <c r="AA619" s="10" t="n">
        <f aca="false">I619</f>
        <v>6</v>
      </c>
      <c r="AB619" s="10" t="n">
        <f aca="false">J619</f>
        <v>0.1</v>
      </c>
      <c r="AC619" s="9" t="s">
        <v>2667</v>
      </c>
      <c r="AD619" s="9" t="s">
        <v>2679</v>
      </c>
      <c r="AE619" s="9" t="str">
        <f aca="false">IF($AK619=0,"",INDEX('Part types'!$T:$T,$AK619)&amp;"")</f>
        <v>All vehicles</v>
      </c>
      <c r="AF619" s="9" t="str">
        <f aca="false">IF($AK619=0,"",INDEX('Part types'!$U:$U,$AK619)&amp;"")</f>
        <v/>
      </c>
      <c r="AG619" s="9" t="str">
        <f aca="false">IF($AK619=0,"",INDEX('Part types'!$V:$V,$AK619)&amp;"")</f>
        <v>Estimate: size class XS</v>
      </c>
      <c r="AH619" s="9" t="str">
        <f aca="false">IF($AK619=0,"",INDEX('Part types'!$W:$W,$AK619)&amp;"")</f>
        <v/>
      </c>
      <c r="AI619" s="11" t="str">
        <f aca="false">IF($AK619=0,"",INDEX('Part types'!$X:$X,$AK619)&amp;"")</f>
        <v/>
      </c>
      <c r="AJ619" s="9" t="str">
        <f aca="false">IF($AK619=0,"",INDEX('Part types'!$Y:$Y,$AK619)&amp;"")</f>
        <v/>
      </c>
      <c r="AK619" s="9" t="n">
        <f aca="false">IFERROR(MATCH($AD619,'Part types'!$E:$E,0),0)</f>
        <v>432</v>
      </c>
    </row>
    <row r="620" customFormat="false" ht="15" hidden="false" customHeight="false" outlineLevel="0" collapsed="false">
      <c r="A620" s="9" t="s">
        <v>2682</v>
      </c>
      <c r="B620" s="9" t="s">
        <v>2658</v>
      </c>
      <c r="C620" s="9" t="s">
        <v>2676</v>
      </c>
      <c r="D620" s="9" t="str">
        <f aca="false">C620&amp;" - "&amp;E620</f>
        <v>Surround View Camera - Rear</v>
      </c>
      <c r="E620" s="9" t="s">
        <v>168</v>
      </c>
      <c r="F620" s="9" t="s">
        <v>2660</v>
      </c>
      <c r="G620" s="10" t="n">
        <f aca="false">IF($AK620=0,"",INDEX('Part types'!$P:$P,$AK620))</f>
        <v>10</v>
      </c>
      <c r="H620" s="10" t="n">
        <f aca="false">IF($AK620=0,"",INDEX('Part types'!$Q:$Q,$AK620))</f>
        <v>8</v>
      </c>
      <c r="I620" s="10" t="n">
        <f aca="false">IF($AK620=0,"",INDEX('Part types'!$R:$R,$AK620))</f>
        <v>6</v>
      </c>
      <c r="J620" s="10" t="n">
        <f aca="false">IF($AK620=0,"",INDEX('Part types'!$S:$S,$AK620))</f>
        <v>0.1</v>
      </c>
      <c r="K620" s="11" t="s">
        <v>2661</v>
      </c>
      <c r="L620" s="11" t="s">
        <v>2677</v>
      </c>
      <c r="M620" s="11" t="str">
        <f aca="false">L620&amp;" - "&amp;N620</f>
        <v>كاميرا محيطية 360 - خلفي</v>
      </c>
      <c r="N620" s="11" t="s">
        <v>169</v>
      </c>
      <c r="O620" s="11" t="s">
        <v>2663</v>
      </c>
      <c r="P620" s="10" t="n">
        <f aca="false">G620</f>
        <v>10</v>
      </c>
      <c r="Q620" s="10" t="n">
        <f aca="false">H620</f>
        <v>8</v>
      </c>
      <c r="R620" s="10" t="n">
        <f aca="false">I620</f>
        <v>6</v>
      </c>
      <c r="S620" s="10" t="n">
        <f aca="false">J620</f>
        <v>0.1</v>
      </c>
      <c r="T620" s="12" t="s">
        <v>2664</v>
      </c>
      <c r="U620" s="12" t="s">
        <v>2678</v>
      </c>
      <c r="V620" s="9" t="str">
        <f aca="false">U620&amp;" - "&amp;W620</f>
        <v>环视摄像头 - 后部</v>
      </c>
      <c r="W620" s="12" t="s">
        <v>170</v>
      </c>
      <c r="X620" s="12" t="s">
        <v>2666</v>
      </c>
      <c r="Y620" s="10" t="n">
        <f aca="false">G620</f>
        <v>10</v>
      </c>
      <c r="Z620" s="10" t="n">
        <f aca="false">H620</f>
        <v>8</v>
      </c>
      <c r="AA620" s="10" t="n">
        <f aca="false">I620</f>
        <v>6</v>
      </c>
      <c r="AB620" s="10" t="n">
        <f aca="false">J620</f>
        <v>0.1</v>
      </c>
      <c r="AC620" s="9" t="s">
        <v>2667</v>
      </c>
      <c r="AD620" s="9" t="s">
        <v>2679</v>
      </c>
      <c r="AE620" s="9" t="str">
        <f aca="false">IF($AK620=0,"",INDEX('Part types'!$T:$T,$AK620)&amp;"")</f>
        <v>All vehicles</v>
      </c>
      <c r="AF620" s="9" t="str">
        <f aca="false">IF($AK620=0,"",INDEX('Part types'!$U:$U,$AK620)&amp;"")</f>
        <v/>
      </c>
      <c r="AG620" s="9" t="str">
        <f aca="false">IF($AK620=0,"",INDEX('Part types'!$V:$V,$AK620)&amp;"")</f>
        <v>Estimate: size class XS</v>
      </c>
      <c r="AH620" s="9" t="str">
        <f aca="false">IF($AK620=0,"",INDEX('Part types'!$W:$W,$AK620)&amp;"")</f>
        <v/>
      </c>
      <c r="AI620" s="11" t="str">
        <f aca="false">IF($AK620=0,"",INDEX('Part types'!$X:$X,$AK620)&amp;"")</f>
        <v/>
      </c>
      <c r="AJ620" s="9" t="str">
        <f aca="false">IF($AK620=0,"",INDEX('Part types'!$Y:$Y,$AK620)&amp;"")</f>
        <v/>
      </c>
      <c r="AK620" s="9" t="n">
        <f aca="false">IFERROR(MATCH($AD620,'Part types'!$E:$E,0),0)</f>
        <v>432</v>
      </c>
    </row>
    <row r="621" customFormat="false" ht="15" hidden="false" customHeight="false" outlineLevel="0" collapsed="false">
      <c r="A621" s="9" t="s">
        <v>2683</v>
      </c>
      <c r="B621" s="9" t="s">
        <v>2658</v>
      </c>
      <c r="C621" s="9" t="s">
        <v>2684</v>
      </c>
      <c r="D621" s="9" t="str">
        <f aca="false">C621&amp;" - "&amp;E621</f>
        <v>Adaptive Cruise Radar - Front</v>
      </c>
      <c r="E621" s="9" t="s">
        <v>161</v>
      </c>
      <c r="F621" s="9" t="s">
        <v>2685</v>
      </c>
      <c r="G621" s="10" t="n">
        <f aca="false">IF($AK621=0,"",INDEX('Part types'!$P:$P,$AK621))</f>
        <v>15</v>
      </c>
      <c r="H621" s="10" t="n">
        <f aca="false">IF($AK621=0,"",INDEX('Part types'!$Q:$Q,$AK621))</f>
        <v>10</v>
      </c>
      <c r="I621" s="10" t="n">
        <f aca="false">IF($AK621=0,"",INDEX('Part types'!$R:$R,$AK621))</f>
        <v>8</v>
      </c>
      <c r="J621" s="10" t="n">
        <f aca="false">IF($AK621=0,"",INDEX('Part types'!$S:$S,$AK621))</f>
        <v>0.3</v>
      </c>
      <c r="K621" s="11" t="s">
        <v>2661</v>
      </c>
      <c r="L621" s="11" t="s">
        <v>2686</v>
      </c>
      <c r="M621" s="11" t="str">
        <f aca="false">L621&amp;" - "&amp;N621</f>
        <v>رادار التحكم التكيفي - أمامي</v>
      </c>
      <c r="N621" s="11" t="s">
        <v>163</v>
      </c>
      <c r="O621" s="11" t="s">
        <v>2687</v>
      </c>
      <c r="P621" s="10" t="n">
        <f aca="false">G621</f>
        <v>15</v>
      </c>
      <c r="Q621" s="10" t="n">
        <f aca="false">H621</f>
        <v>10</v>
      </c>
      <c r="R621" s="10" t="n">
        <f aca="false">I621</f>
        <v>8</v>
      </c>
      <c r="S621" s="10" t="n">
        <f aca="false">J621</f>
        <v>0.3</v>
      </c>
      <c r="T621" s="12" t="s">
        <v>2664</v>
      </c>
      <c r="U621" s="12" t="s">
        <v>2688</v>
      </c>
      <c r="V621" s="9" t="str">
        <f aca="false">U621&amp;" - "&amp;W621</f>
        <v>自适应巡航雷达 - 前部</v>
      </c>
      <c r="W621" s="12" t="s">
        <v>165</v>
      </c>
      <c r="X621" s="12" t="s">
        <v>2689</v>
      </c>
      <c r="Y621" s="10" t="n">
        <f aca="false">G621</f>
        <v>15</v>
      </c>
      <c r="Z621" s="10" t="n">
        <f aca="false">H621</f>
        <v>10</v>
      </c>
      <c r="AA621" s="10" t="n">
        <f aca="false">I621</f>
        <v>8</v>
      </c>
      <c r="AB621" s="10" t="n">
        <f aca="false">J621</f>
        <v>0.3</v>
      </c>
      <c r="AC621" s="9" t="s">
        <v>2667</v>
      </c>
      <c r="AD621" s="9" t="s">
        <v>2690</v>
      </c>
      <c r="AE621" s="9" t="str">
        <f aca="false">IF($AK621=0,"",INDEX('Part types'!$T:$T,$AK621)&amp;"")</f>
        <v>All vehicles</v>
      </c>
      <c r="AF621" s="9" t="str">
        <f aca="false">IF($AK621=0,"",INDEX('Part types'!$U:$U,$AK621)&amp;"")</f>
        <v/>
      </c>
      <c r="AG621" s="9" t="str">
        <f aca="false">IF($AK621=0,"",INDEX('Part types'!$V:$V,$AK621)&amp;"")</f>
        <v>Estimate: size class S</v>
      </c>
      <c r="AH621" s="9" t="str">
        <f aca="false">IF($AK621=0,"",INDEX('Part types'!$W:$W,$AK621)&amp;"")</f>
        <v>ACC / AEB</v>
      </c>
      <c r="AI621" s="11" t="str">
        <f aca="false">IF($AK621=0,"",INDEX('Part types'!$X:$X,$AK621)&amp;"")</f>
        <v>ACC / AEB</v>
      </c>
      <c r="AJ621" s="9" t="str">
        <f aca="false">IF($AK621=0,"",INDEX('Part types'!$Y:$Y,$AK621)&amp;"")</f>
        <v>ACC/AEB</v>
      </c>
      <c r="AK621" s="9" t="n">
        <f aca="false">IFERROR(MATCH($AD621,'Part types'!$E:$E,0),0)</f>
        <v>433</v>
      </c>
    </row>
    <row r="622" customFormat="false" ht="15" hidden="false" customHeight="false" outlineLevel="0" collapsed="false">
      <c r="A622" s="9" t="s">
        <v>2691</v>
      </c>
      <c r="B622" s="9" t="s">
        <v>2658</v>
      </c>
      <c r="C622" s="9" t="s">
        <v>2692</v>
      </c>
      <c r="D622" s="9" t="str">
        <f aca="false">C622&amp;" - "&amp;E622</f>
        <v>Blind Spot Radar - Left</v>
      </c>
      <c r="E622" s="9" t="s">
        <v>218</v>
      </c>
      <c r="F622" s="9" t="s">
        <v>704</v>
      </c>
      <c r="G622" s="10" t="n">
        <f aca="false">IF($AK622=0,"",INDEX('Part types'!$P:$P,$AK622))</f>
        <v>15</v>
      </c>
      <c r="H622" s="10" t="n">
        <f aca="false">IF($AK622=0,"",INDEX('Part types'!$Q:$Q,$AK622))</f>
        <v>10</v>
      </c>
      <c r="I622" s="10" t="n">
        <f aca="false">IF($AK622=0,"",INDEX('Part types'!$R:$R,$AK622))</f>
        <v>8</v>
      </c>
      <c r="J622" s="10" t="n">
        <f aca="false">IF($AK622=0,"",INDEX('Part types'!$S:$S,$AK622))</f>
        <v>0.3</v>
      </c>
      <c r="K622" s="11" t="s">
        <v>2661</v>
      </c>
      <c r="L622" s="11" t="s">
        <v>2693</v>
      </c>
      <c r="M622" s="11" t="str">
        <f aca="false">L622&amp;" - "&amp;N622</f>
        <v>رادار النقطة العمياء - يسار</v>
      </c>
      <c r="N622" s="11" t="s">
        <v>220</v>
      </c>
      <c r="O622" s="11" t="s">
        <v>706</v>
      </c>
      <c r="P622" s="10" t="n">
        <f aca="false">G622</f>
        <v>15</v>
      </c>
      <c r="Q622" s="10" t="n">
        <f aca="false">H622</f>
        <v>10</v>
      </c>
      <c r="R622" s="10" t="n">
        <f aca="false">I622</f>
        <v>8</v>
      </c>
      <c r="S622" s="10" t="n">
        <f aca="false">J622</f>
        <v>0.3</v>
      </c>
      <c r="T622" s="12" t="s">
        <v>2664</v>
      </c>
      <c r="U622" s="12" t="s">
        <v>2694</v>
      </c>
      <c r="V622" s="9" t="str">
        <f aca="false">U622&amp;" - "&amp;W622</f>
        <v>盲区监测雷达 - 左侧</v>
      </c>
      <c r="W622" s="12" t="s">
        <v>222</v>
      </c>
      <c r="X622" s="12" t="s">
        <v>708</v>
      </c>
      <c r="Y622" s="10" t="n">
        <f aca="false">G622</f>
        <v>15</v>
      </c>
      <c r="Z622" s="10" t="n">
        <f aca="false">H622</f>
        <v>10</v>
      </c>
      <c r="AA622" s="10" t="n">
        <f aca="false">I622</f>
        <v>8</v>
      </c>
      <c r="AB622" s="10" t="n">
        <f aca="false">J622</f>
        <v>0.3</v>
      </c>
      <c r="AC622" s="9" t="s">
        <v>2667</v>
      </c>
      <c r="AD622" s="9" t="s">
        <v>2695</v>
      </c>
      <c r="AE622" s="9" t="str">
        <f aca="false">IF($AK622=0,"",INDEX('Part types'!$T:$T,$AK622)&amp;"")</f>
        <v>All vehicles</v>
      </c>
      <c r="AF622" s="9" t="str">
        <f aca="false">IF($AK622=0,"",INDEX('Part types'!$U:$U,$AK622)&amp;"")</f>
        <v/>
      </c>
      <c r="AG622" s="9" t="str">
        <f aca="false">IF($AK622=0,"",INDEX('Part types'!$V:$V,$AK622)&amp;"")</f>
        <v>Estimate: size class S</v>
      </c>
      <c r="AH622" s="9" t="str">
        <f aca="false">IF($AK622=0,"",INDEX('Part types'!$W:$W,$AK622)&amp;"")</f>
        <v/>
      </c>
      <c r="AI622" s="11" t="str">
        <f aca="false">IF($AK622=0,"",INDEX('Part types'!$X:$X,$AK622)&amp;"")</f>
        <v/>
      </c>
      <c r="AJ622" s="9" t="str">
        <f aca="false">IF($AK622=0,"",INDEX('Part types'!$Y:$Y,$AK622)&amp;"")</f>
        <v/>
      </c>
      <c r="AK622" s="9" t="n">
        <f aca="false">IFERROR(MATCH($AD622,'Part types'!$E:$E,0),0)</f>
        <v>434</v>
      </c>
    </row>
    <row r="623" customFormat="false" ht="15" hidden="false" customHeight="false" outlineLevel="0" collapsed="false">
      <c r="A623" s="9" t="s">
        <v>2696</v>
      </c>
      <c r="B623" s="9" t="s">
        <v>2658</v>
      </c>
      <c r="C623" s="9" t="s">
        <v>2692</v>
      </c>
      <c r="D623" s="9" t="str">
        <f aca="false">C623&amp;" - "&amp;E623</f>
        <v>Blind Spot Radar - Right</v>
      </c>
      <c r="E623" s="9" t="s">
        <v>225</v>
      </c>
      <c r="F623" s="9" t="s">
        <v>704</v>
      </c>
      <c r="G623" s="10" t="n">
        <f aca="false">IF($AK623=0,"",INDEX('Part types'!$P:$P,$AK623))</f>
        <v>15</v>
      </c>
      <c r="H623" s="10" t="n">
        <f aca="false">IF($AK623=0,"",INDEX('Part types'!$Q:$Q,$AK623))</f>
        <v>10</v>
      </c>
      <c r="I623" s="10" t="n">
        <f aca="false">IF($AK623=0,"",INDEX('Part types'!$R:$R,$AK623))</f>
        <v>8</v>
      </c>
      <c r="J623" s="10" t="n">
        <f aca="false">IF($AK623=0,"",INDEX('Part types'!$S:$S,$AK623))</f>
        <v>0.3</v>
      </c>
      <c r="K623" s="11" t="s">
        <v>2661</v>
      </c>
      <c r="L623" s="11" t="s">
        <v>2693</v>
      </c>
      <c r="M623" s="11" t="str">
        <f aca="false">L623&amp;" - "&amp;N623</f>
        <v>رادار النقطة العمياء - يمين</v>
      </c>
      <c r="N623" s="11" t="s">
        <v>226</v>
      </c>
      <c r="O623" s="11" t="s">
        <v>706</v>
      </c>
      <c r="P623" s="10" t="n">
        <f aca="false">G623</f>
        <v>15</v>
      </c>
      <c r="Q623" s="10" t="n">
        <f aca="false">H623</f>
        <v>10</v>
      </c>
      <c r="R623" s="10" t="n">
        <f aca="false">I623</f>
        <v>8</v>
      </c>
      <c r="S623" s="10" t="n">
        <f aca="false">J623</f>
        <v>0.3</v>
      </c>
      <c r="T623" s="12" t="s">
        <v>2664</v>
      </c>
      <c r="U623" s="12" t="s">
        <v>2694</v>
      </c>
      <c r="V623" s="9" t="str">
        <f aca="false">U623&amp;" - "&amp;W623</f>
        <v>盲区监测雷达 - 右侧</v>
      </c>
      <c r="W623" s="12" t="s">
        <v>227</v>
      </c>
      <c r="X623" s="12" t="s">
        <v>708</v>
      </c>
      <c r="Y623" s="10" t="n">
        <f aca="false">G623</f>
        <v>15</v>
      </c>
      <c r="Z623" s="10" t="n">
        <f aca="false">H623</f>
        <v>10</v>
      </c>
      <c r="AA623" s="10" t="n">
        <f aca="false">I623</f>
        <v>8</v>
      </c>
      <c r="AB623" s="10" t="n">
        <f aca="false">J623</f>
        <v>0.3</v>
      </c>
      <c r="AC623" s="9" t="s">
        <v>2667</v>
      </c>
      <c r="AD623" s="9" t="s">
        <v>2695</v>
      </c>
      <c r="AE623" s="9" t="str">
        <f aca="false">IF($AK623=0,"",INDEX('Part types'!$T:$T,$AK623)&amp;"")</f>
        <v>All vehicles</v>
      </c>
      <c r="AF623" s="9" t="str">
        <f aca="false">IF($AK623=0,"",INDEX('Part types'!$U:$U,$AK623)&amp;"")</f>
        <v/>
      </c>
      <c r="AG623" s="9" t="str">
        <f aca="false">IF($AK623=0,"",INDEX('Part types'!$V:$V,$AK623)&amp;"")</f>
        <v>Estimate: size class S</v>
      </c>
      <c r="AH623" s="9" t="str">
        <f aca="false">IF($AK623=0,"",INDEX('Part types'!$W:$W,$AK623)&amp;"")</f>
        <v/>
      </c>
      <c r="AI623" s="11" t="str">
        <f aca="false">IF($AK623=0,"",INDEX('Part types'!$X:$X,$AK623)&amp;"")</f>
        <v/>
      </c>
      <c r="AJ623" s="9" t="str">
        <f aca="false">IF($AK623=0,"",INDEX('Part types'!$Y:$Y,$AK623)&amp;"")</f>
        <v/>
      </c>
      <c r="AK623" s="9" t="n">
        <f aca="false">IFERROR(MATCH($AD623,'Part types'!$E:$E,0),0)</f>
        <v>434</v>
      </c>
    </row>
    <row r="624" customFormat="false" ht="15" hidden="false" customHeight="false" outlineLevel="0" collapsed="false">
      <c r="A624" s="9" t="s">
        <v>2697</v>
      </c>
      <c r="B624" s="9" t="s">
        <v>2658</v>
      </c>
      <c r="C624" s="9" t="s">
        <v>2698</v>
      </c>
      <c r="D624" s="9" t="str">
        <f aca="false">C624&amp;" - "&amp;E624</f>
        <v>Lane Departure Camera - Universal</v>
      </c>
      <c r="E624" s="9" t="s">
        <v>68</v>
      </c>
      <c r="F624" s="9" t="s">
        <v>2575</v>
      </c>
      <c r="G624" s="10" t="n">
        <f aca="false">IF($AK624=0,"",INDEX('Part types'!$P:$P,$AK624))</f>
        <v>15</v>
      </c>
      <c r="H624" s="10" t="n">
        <f aca="false">IF($AK624=0,"",INDEX('Part types'!$Q:$Q,$AK624))</f>
        <v>10</v>
      </c>
      <c r="I624" s="10" t="n">
        <f aca="false">IF($AK624=0,"",INDEX('Part types'!$R:$R,$AK624))</f>
        <v>8</v>
      </c>
      <c r="J624" s="10" t="n">
        <f aca="false">IF($AK624=0,"",INDEX('Part types'!$S:$S,$AK624))</f>
        <v>0.3</v>
      </c>
      <c r="K624" s="11" t="s">
        <v>2661</v>
      </c>
      <c r="L624" s="11" t="s">
        <v>2699</v>
      </c>
      <c r="M624" s="11" t="str">
        <f aca="false">L624&amp;" - "&amp;N624</f>
        <v>كاميرا الحفاظ على المسار - عام</v>
      </c>
      <c r="N624" s="11" t="s">
        <v>72</v>
      </c>
      <c r="O624" s="11" t="s">
        <v>2577</v>
      </c>
      <c r="P624" s="10" t="n">
        <f aca="false">G624</f>
        <v>15</v>
      </c>
      <c r="Q624" s="10" t="n">
        <f aca="false">H624</f>
        <v>10</v>
      </c>
      <c r="R624" s="10" t="n">
        <f aca="false">I624</f>
        <v>8</v>
      </c>
      <c r="S624" s="10" t="n">
        <f aca="false">J624</f>
        <v>0.3</v>
      </c>
      <c r="T624" s="12" t="s">
        <v>2664</v>
      </c>
      <c r="U624" s="12" t="s">
        <v>2700</v>
      </c>
      <c r="V624" s="9" t="str">
        <f aca="false">U624&amp;" - "&amp;W624</f>
        <v>车道偏离摄像头 - 通用</v>
      </c>
      <c r="W624" s="12" t="s">
        <v>76</v>
      </c>
      <c r="X624" s="12" t="s">
        <v>2579</v>
      </c>
      <c r="Y624" s="10" t="n">
        <f aca="false">G624</f>
        <v>15</v>
      </c>
      <c r="Z624" s="10" t="n">
        <f aca="false">H624</f>
        <v>10</v>
      </c>
      <c r="AA624" s="10" t="n">
        <f aca="false">I624</f>
        <v>8</v>
      </c>
      <c r="AB624" s="10" t="n">
        <f aca="false">J624</f>
        <v>0.3</v>
      </c>
      <c r="AC624" s="9" t="s">
        <v>2667</v>
      </c>
      <c r="AD624" s="9" t="s">
        <v>2701</v>
      </c>
      <c r="AE624" s="9" t="str">
        <f aca="false">IF($AK624=0,"",INDEX('Part types'!$T:$T,$AK624)&amp;"")</f>
        <v>All vehicles</v>
      </c>
      <c r="AF624" s="9" t="str">
        <f aca="false">IF($AK624=0,"",INDEX('Part types'!$U:$U,$AK624)&amp;"")</f>
        <v/>
      </c>
      <c r="AG624" s="9" t="str">
        <f aca="false">IF($AK624=0,"",INDEX('Part types'!$V:$V,$AK624)&amp;"")</f>
        <v>Estimate: size class S</v>
      </c>
      <c r="AH624" s="9" t="str">
        <f aca="false">IF($AK624=0,"",INDEX('Part types'!$W:$W,$AK624)&amp;"")</f>
        <v/>
      </c>
      <c r="AI624" s="11" t="str">
        <f aca="false">IF($AK624=0,"",INDEX('Part types'!$X:$X,$AK624)&amp;"")</f>
        <v/>
      </c>
      <c r="AJ624" s="9" t="str">
        <f aca="false">IF($AK624=0,"",INDEX('Part types'!$Y:$Y,$AK624)&amp;"")</f>
        <v/>
      </c>
      <c r="AK624" s="9" t="n">
        <f aca="false">IFERROR(MATCH($AD624,'Part types'!$E:$E,0),0)</f>
        <v>435</v>
      </c>
    </row>
    <row r="625" customFormat="false" ht="15" hidden="false" customHeight="false" outlineLevel="0" collapsed="false">
      <c r="A625" s="9" t="s">
        <v>2702</v>
      </c>
      <c r="B625" s="9" t="s">
        <v>2703</v>
      </c>
      <c r="C625" s="9" t="s">
        <v>2704</v>
      </c>
      <c r="D625" s="9" t="str">
        <f aca="false">C625&amp;" - "&amp;E625</f>
        <v>Headlamp Assembly - Left</v>
      </c>
      <c r="E625" s="9" t="s">
        <v>218</v>
      </c>
      <c r="F625" s="9" t="s">
        <v>2705</v>
      </c>
      <c r="G625" s="10" t="n">
        <f aca="false">IF($AK625=0,"",INDEX('Part types'!$P:$P,$AK625))</f>
        <v>60</v>
      </c>
      <c r="H625" s="10" t="n">
        <f aca="false">IF($AK625=0,"",INDEX('Part types'!$Q:$Q,$AK625))</f>
        <v>30</v>
      </c>
      <c r="I625" s="10" t="n">
        <f aca="false">IF($AK625=0,"",INDEX('Part types'!$R:$R,$AK625))</f>
        <v>28</v>
      </c>
      <c r="J625" s="10" t="n">
        <f aca="false">IF($AK625=0,"",INDEX('Part types'!$S:$S,$AK625))</f>
        <v>3.8</v>
      </c>
      <c r="K625" s="11" t="s">
        <v>2706</v>
      </c>
      <c r="L625" s="11" t="s">
        <v>2707</v>
      </c>
      <c r="M625" s="11" t="str">
        <f aca="false">L625&amp;" - "&amp;N625</f>
        <v>مصباح أمامي كامل - يسار</v>
      </c>
      <c r="N625" s="11" t="s">
        <v>220</v>
      </c>
      <c r="O625" s="11" t="s">
        <v>2708</v>
      </c>
      <c r="P625" s="10" t="n">
        <f aca="false">G625</f>
        <v>60</v>
      </c>
      <c r="Q625" s="10" t="n">
        <f aca="false">H625</f>
        <v>30</v>
      </c>
      <c r="R625" s="10" t="n">
        <f aca="false">I625</f>
        <v>28</v>
      </c>
      <c r="S625" s="10" t="n">
        <f aca="false">J625</f>
        <v>3.8</v>
      </c>
      <c r="T625" s="12" t="s">
        <v>2709</v>
      </c>
      <c r="U625" s="12" t="s">
        <v>2710</v>
      </c>
      <c r="V625" s="9" t="str">
        <f aca="false">U625&amp;" - "&amp;W625</f>
        <v>前大灯总成 - 左侧</v>
      </c>
      <c r="W625" s="12" t="s">
        <v>222</v>
      </c>
      <c r="X625" s="12" t="s">
        <v>2711</v>
      </c>
      <c r="Y625" s="10" t="n">
        <f aca="false">G625</f>
        <v>60</v>
      </c>
      <c r="Z625" s="10" t="n">
        <f aca="false">H625</f>
        <v>30</v>
      </c>
      <c r="AA625" s="10" t="n">
        <f aca="false">I625</f>
        <v>28</v>
      </c>
      <c r="AB625" s="10" t="n">
        <f aca="false">J625</f>
        <v>3.8</v>
      </c>
      <c r="AC625" s="9" t="s">
        <v>2712</v>
      </c>
      <c r="AD625" s="9" t="s">
        <v>2713</v>
      </c>
      <c r="AE625" s="9" t="str">
        <f aca="false">IF($AK625=0,"",INDEX('Part types'!$T:$T,$AK625)&amp;"")</f>
        <v>All vehicles</v>
      </c>
      <c r="AF625" s="9" t="str">
        <f aca="false">IF($AK625=0,"",INDEX('Part types'!$U:$U,$AK625)&amp;"")</f>
        <v>Fragile</v>
      </c>
      <c r="AG625" s="9" t="str">
        <f aca="false">IF($AK625=0,"",INDEX('Part types'!$V:$V,$AK625)&amp;"")</f>
        <v>Estimate: item-specific</v>
      </c>
      <c r="AH625" s="9" t="str">
        <f aca="false">IF($AK625=0,"",INDEX('Part types'!$W:$W,$AK625)&amp;"")</f>
        <v/>
      </c>
      <c r="AI625" s="11" t="str">
        <f aca="false">IF($AK625=0,"",INDEX('Part types'!$X:$X,$AK625)&amp;"")</f>
        <v/>
      </c>
      <c r="AJ625" s="9" t="str">
        <f aca="false">IF($AK625=0,"",INDEX('Part types'!$Y:$Y,$AK625)&amp;"")</f>
        <v/>
      </c>
      <c r="AK625" s="9" t="n">
        <f aca="false">IFERROR(MATCH($AD625,'Part types'!$E:$E,0),0)</f>
        <v>436</v>
      </c>
    </row>
    <row r="626" customFormat="false" ht="15" hidden="false" customHeight="false" outlineLevel="0" collapsed="false">
      <c r="A626" s="9" t="s">
        <v>2714</v>
      </c>
      <c r="B626" s="9" t="s">
        <v>2703</v>
      </c>
      <c r="C626" s="9" t="s">
        <v>2704</v>
      </c>
      <c r="D626" s="9" t="str">
        <f aca="false">C626&amp;" - "&amp;E626</f>
        <v>Headlamp Assembly - Right</v>
      </c>
      <c r="E626" s="9" t="s">
        <v>225</v>
      </c>
      <c r="F626" s="9" t="s">
        <v>2705</v>
      </c>
      <c r="G626" s="10" t="n">
        <f aca="false">IF($AK626=0,"",INDEX('Part types'!$P:$P,$AK626))</f>
        <v>60</v>
      </c>
      <c r="H626" s="10" t="n">
        <f aca="false">IF($AK626=0,"",INDEX('Part types'!$Q:$Q,$AK626))</f>
        <v>30</v>
      </c>
      <c r="I626" s="10" t="n">
        <f aca="false">IF($AK626=0,"",INDEX('Part types'!$R:$R,$AK626))</f>
        <v>28</v>
      </c>
      <c r="J626" s="10" t="n">
        <f aca="false">IF($AK626=0,"",INDEX('Part types'!$S:$S,$AK626))</f>
        <v>3.8</v>
      </c>
      <c r="K626" s="11" t="s">
        <v>2706</v>
      </c>
      <c r="L626" s="11" t="s">
        <v>2707</v>
      </c>
      <c r="M626" s="11" t="str">
        <f aca="false">L626&amp;" - "&amp;N626</f>
        <v>مصباح أمامي كامل - يمين</v>
      </c>
      <c r="N626" s="11" t="s">
        <v>226</v>
      </c>
      <c r="O626" s="11" t="s">
        <v>2708</v>
      </c>
      <c r="P626" s="10" t="n">
        <f aca="false">G626</f>
        <v>60</v>
      </c>
      <c r="Q626" s="10" t="n">
        <f aca="false">H626</f>
        <v>30</v>
      </c>
      <c r="R626" s="10" t="n">
        <f aca="false">I626</f>
        <v>28</v>
      </c>
      <c r="S626" s="10" t="n">
        <f aca="false">J626</f>
        <v>3.8</v>
      </c>
      <c r="T626" s="12" t="s">
        <v>2709</v>
      </c>
      <c r="U626" s="12" t="s">
        <v>2710</v>
      </c>
      <c r="V626" s="9" t="str">
        <f aca="false">U626&amp;" - "&amp;W626</f>
        <v>前大灯总成 - 右侧</v>
      </c>
      <c r="W626" s="12" t="s">
        <v>227</v>
      </c>
      <c r="X626" s="12" t="s">
        <v>2711</v>
      </c>
      <c r="Y626" s="10" t="n">
        <f aca="false">G626</f>
        <v>60</v>
      </c>
      <c r="Z626" s="10" t="n">
        <f aca="false">H626</f>
        <v>30</v>
      </c>
      <c r="AA626" s="10" t="n">
        <f aca="false">I626</f>
        <v>28</v>
      </c>
      <c r="AB626" s="10" t="n">
        <f aca="false">J626</f>
        <v>3.8</v>
      </c>
      <c r="AC626" s="9" t="s">
        <v>2712</v>
      </c>
      <c r="AD626" s="9" t="s">
        <v>2713</v>
      </c>
      <c r="AE626" s="9" t="str">
        <f aca="false">IF($AK626=0,"",INDEX('Part types'!$T:$T,$AK626)&amp;"")</f>
        <v>All vehicles</v>
      </c>
      <c r="AF626" s="9" t="str">
        <f aca="false">IF($AK626=0,"",INDEX('Part types'!$U:$U,$AK626)&amp;"")</f>
        <v>Fragile</v>
      </c>
      <c r="AG626" s="9" t="str">
        <f aca="false">IF($AK626=0,"",INDEX('Part types'!$V:$V,$AK626)&amp;"")</f>
        <v>Estimate: item-specific</v>
      </c>
      <c r="AH626" s="9" t="str">
        <f aca="false">IF($AK626=0,"",INDEX('Part types'!$W:$W,$AK626)&amp;"")</f>
        <v/>
      </c>
      <c r="AI626" s="11" t="str">
        <f aca="false">IF($AK626=0,"",INDEX('Part types'!$X:$X,$AK626)&amp;"")</f>
        <v/>
      </c>
      <c r="AJ626" s="9" t="str">
        <f aca="false">IF($AK626=0,"",INDEX('Part types'!$Y:$Y,$AK626)&amp;"")</f>
        <v/>
      </c>
      <c r="AK626" s="9" t="n">
        <f aca="false">IFERROR(MATCH($AD626,'Part types'!$E:$E,0),0)</f>
        <v>436</v>
      </c>
    </row>
    <row r="627" customFormat="false" ht="15" hidden="false" customHeight="false" outlineLevel="0" collapsed="false">
      <c r="A627" s="9" t="s">
        <v>2715</v>
      </c>
      <c r="B627" s="9" t="s">
        <v>2703</v>
      </c>
      <c r="C627" s="9" t="s">
        <v>2716</v>
      </c>
      <c r="D627" s="9" t="str">
        <f aca="false">C627&amp;" - "&amp;E627</f>
        <v>Halogen Headlamp Bulb - Universal</v>
      </c>
      <c r="E627" s="9" t="s">
        <v>68</v>
      </c>
      <c r="F627" s="9" t="s">
        <v>2705</v>
      </c>
      <c r="G627" s="10" t="n">
        <f aca="false">IF($AK627=0,"",INDEX('Part types'!$P:$P,$AK627))</f>
        <v>6</v>
      </c>
      <c r="H627" s="10" t="n">
        <f aca="false">IF($AK627=0,"",INDEX('Part types'!$Q:$Q,$AK627))</f>
        <v>4</v>
      </c>
      <c r="I627" s="10" t="n">
        <f aca="false">IF($AK627=0,"",INDEX('Part types'!$R:$R,$AK627))</f>
        <v>3</v>
      </c>
      <c r="J627" s="10" t="n">
        <f aca="false">IF($AK627=0,"",INDEX('Part types'!$S:$S,$AK627))</f>
        <v>0.02</v>
      </c>
      <c r="K627" s="11" t="s">
        <v>2706</v>
      </c>
      <c r="L627" s="11" t="s">
        <v>2717</v>
      </c>
      <c r="M627" s="11" t="str">
        <f aca="false">L627&amp;" - "&amp;N627</f>
        <v>لمبة مصباح أمامي - عام</v>
      </c>
      <c r="N627" s="11" t="s">
        <v>72</v>
      </c>
      <c r="O627" s="11" t="s">
        <v>2708</v>
      </c>
      <c r="P627" s="10" t="n">
        <f aca="false">G627</f>
        <v>6</v>
      </c>
      <c r="Q627" s="10" t="n">
        <f aca="false">H627</f>
        <v>4</v>
      </c>
      <c r="R627" s="10" t="n">
        <f aca="false">I627</f>
        <v>3</v>
      </c>
      <c r="S627" s="10" t="n">
        <f aca="false">J627</f>
        <v>0.02</v>
      </c>
      <c r="T627" s="12" t="s">
        <v>2709</v>
      </c>
      <c r="U627" s="12" t="s">
        <v>2718</v>
      </c>
      <c r="V627" s="9" t="str">
        <f aca="false">U627&amp;" - "&amp;W627</f>
        <v>卤素大灯灯泡 - 通用</v>
      </c>
      <c r="W627" s="12" t="s">
        <v>76</v>
      </c>
      <c r="X627" s="12" t="s">
        <v>2711</v>
      </c>
      <c r="Y627" s="10" t="n">
        <f aca="false">G627</f>
        <v>6</v>
      </c>
      <c r="Z627" s="10" t="n">
        <f aca="false">H627</f>
        <v>4</v>
      </c>
      <c r="AA627" s="10" t="n">
        <f aca="false">I627</f>
        <v>3</v>
      </c>
      <c r="AB627" s="10" t="n">
        <f aca="false">J627</f>
        <v>0.02</v>
      </c>
      <c r="AC627" s="9" t="s">
        <v>2712</v>
      </c>
      <c r="AD627" s="9" t="s">
        <v>2719</v>
      </c>
      <c r="AE627" s="9" t="str">
        <f aca="false">IF($AK627=0,"",INDEX('Part types'!$T:$T,$AK627)&amp;"")</f>
        <v>All vehicles</v>
      </c>
      <c r="AF627" s="9" t="str">
        <f aca="false">IF($AK627=0,"",INDEX('Part types'!$U:$U,$AK627)&amp;"")</f>
        <v/>
      </c>
      <c r="AG627" s="9" t="str">
        <f aca="false">IF($AK627=0,"",INDEX('Part types'!$V:$V,$AK627)&amp;"")</f>
        <v>Estimate: size class T</v>
      </c>
      <c r="AH627" s="9" t="str">
        <f aca="false">IF($AK627=0,"",INDEX('Part types'!$W:$W,$AK627)&amp;"")</f>
        <v>Headlamp Bulb</v>
      </c>
      <c r="AI627" s="11" t="str">
        <f aca="false">IF($AK627=0,"",INDEX('Part types'!$X:$X,$AK627)&amp;"")</f>
        <v>هالوجين</v>
      </c>
      <c r="AJ627" s="9" t="str">
        <f aca="false">IF($AK627=0,"",INDEX('Part types'!$Y:$Y,$AK627)&amp;"")</f>
        <v/>
      </c>
      <c r="AK627" s="9" t="n">
        <f aca="false">IFERROR(MATCH($AD627,'Part types'!$E:$E,0),0)</f>
        <v>437</v>
      </c>
    </row>
    <row r="628" customFormat="false" ht="15" hidden="false" customHeight="false" outlineLevel="0" collapsed="false">
      <c r="A628" s="9" t="s">
        <v>2720</v>
      </c>
      <c r="B628" s="9" t="s">
        <v>2703</v>
      </c>
      <c r="C628" s="9" t="s">
        <v>2721</v>
      </c>
      <c r="D628" s="9" t="str">
        <f aca="false">C628&amp;" - "&amp;E628</f>
        <v>LED Headlamp Bulb - Universal</v>
      </c>
      <c r="E628" s="9" t="s">
        <v>68</v>
      </c>
      <c r="F628" s="9" t="s">
        <v>2705</v>
      </c>
      <c r="G628" s="10" t="n">
        <f aca="false">IF($AK628=0,"",INDEX('Part types'!$P:$P,$AK628))</f>
        <v>10</v>
      </c>
      <c r="H628" s="10" t="n">
        <f aca="false">IF($AK628=0,"",INDEX('Part types'!$Q:$Q,$AK628))</f>
        <v>8</v>
      </c>
      <c r="I628" s="10" t="n">
        <f aca="false">IF($AK628=0,"",INDEX('Part types'!$R:$R,$AK628))</f>
        <v>6</v>
      </c>
      <c r="J628" s="10" t="n">
        <f aca="false">IF($AK628=0,"",INDEX('Part types'!$S:$S,$AK628))</f>
        <v>0.1</v>
      </c>
      <c r="K628" s="11" t="s">
        <v>2706</v>
      </c>
      <c r="L628" s="11" t="s">
        <v>2722</v>
      </c>
      <c r="M628" s="11" t="str">
        <f aca="false">L628&amp;" - "&amp;N628</f>
        <v>لمبة LED للمصباح الأمامي - عام</v>
      </c>
      <c r="N628" s="11" t="s">
        <v>72</v>
      </c>
      <c r="O628" s="11" t="s">
        <v>2708</v>
      </c>
      <c r="P628" s="10" t="n">
        <f aca="false">G628</f>
        <v>10</v>
      </c>
      <c r="Q628" s="10" t="n">
        <f aca="false">H628</f>
        <v>8</v>
      </c>
      <c r="R628" s="10" t="n">
        <f aca="false">I628</f>
        <v>6</v>
      </c>
      <c r="S628" s="10" t="n">
        <f aca="false">J628</f>
        <v>0.1</v>
      </c>
      <c r="T628" s="12" t="s">
        <v>2709</v>
      </c>
      <c r="U628" s="9" t="s">
        <v>2723</v>
      </c>
      <c r="V628" s="9" t="str">
        <f aca="false">U628&amp;" - "&amp;W628</f>
        <v>LED大灯灯泡 - 通用</v>
      </c>
      <c r="W628" s="12" t="s">
        <v>76</v>
      </c>
      <c r="X628" s="12" t="s">
        <v>2711</v>
      </c>
      <c r="Y628" s="10" t="n">
        <f aca="false">G628</f>
        <v>10</v>
      </c>
      <c r="Z628" s="10" t="n">
        <f aca="false">H628</f>
        <v>8</v>
      </c>
      <c r="AA628" s="10" t="n">
        <f aca="false">I628</f>
        <v>6</v>
      </c>
      <c r="AB628" s="10" t="n">
        <f aca="false">J628</f>
        <v>0.1</v>
      </c>
      <c r="AC628" s="9" t="s">
        <v>2712</v>
      </c>
      <c r="AD628" s="9" t="s">
        <v>2724</v>
      </c>
      <c r="AE628" s="9" t="str">
        <f aca="false">IF($AK628=0,"",INDEX('Part types'!$T:$T,$AK628)&amp;"")</f>
        <v>All vehicles</v>
      </c>
      <c r="AF628" s="9" t="str">
        <f aca="false">IF($AK628=0,"",INDEX('Part types'!$U:$U,$AK628)&amp;"")</f>
        <v/>
      </c>
      <c r="AG628" s="9" t="str">
        <f aca="false">IF($AK628=0,"",INDEX('Part types'!$V:$V,$AK628)&amp;"")</f>
        <v>Estimate: size class XS</v>
      </c>
      <c r="AH628" s="9" t="str">
        <f aca="false">IF($AK628=0,"",INDEX('Part types'!$W:$W,$AK628)&amp;"")</f>
        <v>Headlamp Bulb</v>
      </c>
      <c r="AI628" s="11" t="str">
        <f aca="false">IF($AK628=0,"",INDEX('Part types'!$X:$X,$AK628)&amp;"")</f>
        <v/>
      </c>
      <c r="AJ628" s="9" t="str">
        <f aca="false">IF($AK628=0,"",INDEX('Part types'!$Y:$Y,$AK628)&amp;"")</f>
        <v/>
      </c>
      <c r="AK628" s="9" t="n">
        <f aca="false">IFERROR(MATCH($AD628,'Part types'!$E:$E,0),0)</f>
        <v>438</v>
      </c>
    </row>
    <row r="629" customFormat="false" ht="15" hidden="false" customHeight="false" outlineLevel="0" collapsed="false">
      <c r="A629" s="9" t="s">
        <v>2725</v>
      </c>
      <c r="B629" s="9" t="s">
        <v>2703</v>
      </c>
      <c r="C629" s="9" t="s">
        <v>2726</v>
      </c>
      <c r="D629" s="9" t="str">
        <f aca="false">C629&amp;" - "&amp;E629</f>
        <v>Xenon Headlamp Bulb - Universal</v>
      </c>
      <c r="E629" s="9" t="s">
        <v>68</v>
      </c>
      <c r="F629" s="9" t="s">
        <v>2705</v>
      </c>
      <c r="G629" s="10" t="n">
        <f aca="false">IF($AK629=0,"",INDEX('Part types'!$P:$P,$AK629))</f>
        <v>6</v>
      </c>
      <c r="H629" s="10" t="n">
        <f aca="false">IF($AK629=0,"",INDEX('Part types'!$Q:$Q,$AK629))</f>
        <v>4</v>
      </c>
      <c r="I629" s="10" t="n">
        <f aca="false">IF($AK629=0,"",INDEX('Part types'!$R:$R,$AK629))</f>
        <v>3</v>
      </c>
      <c r="J629" s="10" t="n">
        <f aca="false">IF($AK629=0,"",INDEX('Part types'!$S:$S,$AK629))</f>
        <v>0.02</v>
      </c>
      <c r="K629" s="11" t="s">
        <v>2706</v>
      </c>
      <c r="L629" s="11" t="s">
        <v>2727</v>
      </c>
      <c r="M629" s="11" t="str">
        <f aca="false">L629&amp;" - "&amp;N629</f>
        <v>لمبة زينون - عام</v>
      </c>
      <c r="N629" s="11" t="s">
        <v>72</v>
      </c>
      <c r="O629" s="11" t="s">
        <v>2708</v>
      </c>
      <c r="P629" s="10" t="n">
        <f aca="false">G629</f>
        <v>6</v>
      </c>
      <c r="Q629" s="10" t="n">
        <f aca="false">H629</f>
        <v>4</v>
      </c>
      <c r="R629" s="10" t="n">
        <f aca="false">I629</f>
        <v>3</v>
      </c>
      <c r="S629" s="10" t="n">
        <f aca="false">J629</f>
        <v>0.02</v>
      </c>
      <c r="T629" s="12" t="s">
        <v>2709</v>
      </c>
      <c r="U629" s="12" t="s">
        <v>2728</v>
      </c>
      <c r="V629" s="9" t="str">
        <f aca="false">U629&amp;" - "&amp;W629</f>
        <v>氙气大灯灯泡 - 通用</v>
      </c>
      <c r="W629" s="12" t="s">
        <v>76</v>
      </c>
      <c r="X629" s="12" t="s">
        <v>2711</v>
      </c>
      <c r="Y629" s="10" t="n">
        <f aca="false">G629</f>
        <v>6</v>
      </c>
      <c r="Z629" s="10" t="n">
        <f aca="false">H629</f>
        <v>4</v>
      </c>
      <c r="AA629" s="10" t="n">
        <f aca="false">I629</f>
        <v>3</v>
      </c>
      <c r="AB629" s="10" t="n">
        <f aca="false">J629</f>
        <v>0.02</v>
      </c>
      <c r="AC629" s="9" t="s">
        <v>2712</v>
      </c>
      <c r="AD629" s="9" t="s">
        <v>2729</v>
      </c>
      <c r="AE629" s="9" t="str">
        <f aca="false">IF($AK629=0,"",INDEX('Part types'!$T:$T,$AK629)&amp;"")</f>
        <v>All vehicles</v>
      </c>
      <c r="AF629" s="9" t="str">
        <f aca="false">IF($AK629=0,"",INDEX('Part types'!$U:$U,$AK629)&amp;"")</f>
        <v/>
      </c>
      <c r="AG629" s="9" t="str">
        <f aca="false">IF($AK629=0,"",INDEX('Part types'!$V:$V,$AK629)&amp;"")</f>
        <v>Estimate: size class T</v>
      </c>
      <c r="AH629" s="9" t="str">
        <f aca="false">IF($AK629=0,"",INDEX('Part types'!$W:$W,$AK629)&amp;"")</f>
        <v>Headlamp Bulb; Xenon HID</v>
      </c>
      <c r="AI629" s="11" t="str">
        <f aca="false">IF($AK629=0,"",INDEX('Part types'!$X:$X,$AK629)&amp;"")</f>
        <v/>
      </c>
      <c r="AJ629" s="9" t="str">
        <f aca="false">IF($AK629=0,"",INDEX('Part types'!$Y:$Y,$AK629)&amp;"")</f>
        <v/>
      </c>
      <c r="AK629" s="9" t="n">
        <f aca="false">IFERROR(MATCH($AD629,'Part types'!$E:$E,0),0)</f>
        <v>439</v>
      </c>
    </row>
    <row r="630" customFormat="false" ht="15" hidden="false" customHeight="false" outlineLevel="0" collapsed="false">
      <c r="A630" s="9" t="s">
        <v>2730</v>
      </c>
      <c r="B630" s="9" t="s">
        <v>2703</v>
      </c>
      <c r="C630" s="9" t="s">
        <v>2731</v>
      </c>
      <c r="D630" s="9" t="str">
        <f aca="false">C630&amp;" - "&amp;E630</f>
        <v>Xenon Ballast - Left</v>
      </c>
      <c r="E630" s="9" t="s">
        <v>218</v>
      </c>
      <c r="F630" s="9" t="s">
        <v>2705</v>
      </c>
      <c r="G630" s="10" t="n">
        <f aca="false">IF($AK630=0,"",INDEX('Part types'!$P:$P,$AK630))</f>
        <v>15</v>
      </c>
      <c r="H630" s="10" t="n">
        <f aca="false">IF($AK630=0,"",INDEX('Part types'!$Q:$Q,$AK630))</f>
        <v>10</v>
      </c>
      <c r="I630" s="10" t="n">
        <f aca="false">IF($AK630=0,"",INDEX('Part types'!$R:$R,$AK630))</f>
        <v>8</v>
      </c>
      <c r="J630" s="10" t="n">
        <f aca="false">IF($AK630=0,"",INDEX('Part types'!$S:$S,$AK630))</f>
        <v>0.3</v>
      </c>
      <c r="K630" s="11" t="s">
        <v>2706</v>
      </c>
      <c r="L630" s="11" t="s">
        <v>2732</v>
      </c>
      <c r="M630" s="11" t="str">
        <f aca="false">L630&amp;" - "&amp;N630</f>
        <v>بالاست الزينون - يسار</v>
      </c>
      <c r="N630" s="11" t="s">
        <v>220</v>
      </c>
      <c r="O630" s="11" t="s">
        <v>2708</v>
      </c>
      <c r="P630" s="10" t="n">
        <f aca="false">G630</f>
        <v>15</v>
      </c>
      <c r="Q630" s="10" t="n">
        <f aca="false">H630</f>
        <v>10</v>
      </c>
      <c r="R630" s="10" t="n">
        <f aca="false">I630</f>
        <v>8</v>
      </c>
      <c r="S630" s="10" t="n">
        <f aca="false">J630</f>
        <v>0.3</v>
      </c>
      <c r="T630" s="12" t="s">
        <v>2709</v>
      </c>
      <c r="U630" s="12" t="s">
        <v>2733</v>
      </c>
      <c r="V630" s="9" t="str">
        <f aca="false">U630&amp;" - "&amp;W630</f>
        <v>氙气大灯镇流器 - 左侧</v>
      </c>
      <c r="W630" s="12" t="s">
        <v>222</v>
      </c>
      <c r="X630" s="12" t="s">
        <v>2711</v>
      </c>
      <c r="Y630" s="10" t="n">
        <f aca="false">G630</f>
        <v>15</v>
      </c>
      <c r="Z630" s="10" t="n">
        <f aca="false">H630</f>
        <v>10</v>
      </c>
      <c r="AA630" s="10" t="n">
        <f aca="false">I630</f>
        <v>8</v>
      </c>
      <c r="AB630" s="10" t="n">
        <f aca="false">J630</f>
        <v>0.3</v>
      </c>
      <c r="AC630" s="9" t="s">
        <v>2712</v>
      </c>
      <c r="AD630" s="9" t="s">
        <v>2734</v>
      </c>
      <c r="AE630" s="9" t="str">
        <f aca="false">IF($AK630=0,"",INDEX('Part types'!$T:$T,$AK630)&amp;"")</f>
        <v>All vehicles</v>
      </c>
      <c r="AF630" s="9" t="str">
        <f aca="false">IF($AK630=0,"",INDEX('Part types'!$U:$U,$AK630)&amp;"")</f>
        <v/>
      </c>
      <c r="AG630" s="9" t="str">
        <f aca="false">IF($AK630=0,"",INDEX('Part types'!$V:$V,$AK630)&amp;"")</f>
        <v>Estimate: size class S</v>
      </c>
      <c r="AH630" s="9" t="str">
        <f aca="false">IF($AK630=0,"",INDEX('Part types'!$W:$W,$AK630)&amp;"")</f>
        <v/>
      </c>
      <c r="AI630" s="11" t="str">
        <f aca="false">IF($AK630=0,"",INDEX('Part types'!$X:$X,$AK630)&amp;"")</f>
        <v/>
      </c>
      <c r="AJ630" s="9" t="str">
        <f aca="false">IF($AK630=0,"",INDEX('Part types'!$Y:$Y,$AK630)&amp;"")</f>
        <v/>
      </c>
      <c r="AK630" s="9" t="n">
        <f aca="false">IFERROR(MATCH($AD630,'Part types'!$E:$E,0),0)</f>
        <v>440</v>
      </c>
    </row>
    <row r="631" customFormat="false" ht="15" hidden="false" customHeight="false" outlineLevel="0" collapsed="false">
      <c r="A631" s="9" t="s">
        <v>2735</v>
      </c>
      <c r="B631" s="9" t="s">
        <v>2703</v>
      </c>
      <c r="C631" s="9" t="s">
        <v>2731</v>
      </c>
      <c r="D631" s="9" t="str">
        <f aca="false">C631&amp;" - "&amp;E631</f>
        <v>Xenon Ballast - Right</v>
      </c>
      <c r="E631" s="9" t="s">
        <v>225</v>
      </c>
      <c r="F631" s="9" t="s">
        <v>2705</v>
      </c>
      <c r="G631" s="10" t="n">
        <f aca="false">IF($AK631=0,"",INDEX('Part types'!$P:$P,$AK631))</f>
        <v>15</v>
      </c>
      <c r="H631" s="10" t="n">
        <f aca="false">IF($AK631=0,"",INDEX('Part types'!$Q:$Q,$AK631))</f>
        <v>10</v>
      </c>
      <c r="I631" s="10" t="n">
        <f aca="false">IF($AK631=0,"",INDEX('Part types'!$R:$R,$AK631))</f>
        <v>8</v>
      </c>
      <c r="J631" s="10" t="n">
        <f aca="false">IF($AK631=0,"",INDEX('Part types'!$S:$S,$AK631))</f>
        <v>0.3</v>
      </c>
      <c r="K631" s="11" t="s">
        <v>2706</v>
      </c>
      <c r="L631" s="11" t="s">
        <v>2732</v>
      </c>
      <c r="M631" s="11" t="str">
        <f aca="false">L631&amp;" - "&amp;N631</f>
        <v>بالاست الزينون - يمين</v>
      </c>
      <c r="N631" s="11" t="s">
        <v>226</v>
      </c>
      <c r="O631" s="11" t="s">
        <v>2708</v>
      </c>
      <c r="P631" s="10" t="n">
        <f aca="false">G631</f>
        <v>15</v>
      </c>
      <c r="Q631" s="10" t="n">
        <f aca="false">H631</f>
        <v>10</v>
      </c>
      <c r="R631" s="10" t="n">
        <f aca="false">I631</f>
        <v>8</v>
      </c>
      <c r="S631" s="10" t="n">
        <f aca="false">J631</f>
        <v>0.3</v>
      </c>
      <c r="T631" s="12" t="s">
        <v>2709</v>
      </c>
      <c r="U631" s="12" t="s">
        <v>2733</v>
      </c>
      <c r="V631" s="9" t="str">
        <f aca="false">U631&amp;" - "&amp;W631</f>
        <v>氙气大灯镇流器 - 右侧</v>
      </c>
      <c r="W631" s="12" t="s">
        <v>227</v>
      </c>
      <c r="X631" s="12" t="s">
        <v>2711</v>
      </c>
      <c r="Y631" s="10" t="n">
        <f aca="false">G631</f>
        <v>15</v>
      </c>
      <c r="Z631" s="10" t="n">
        <f aca="false">H631</f>
        <v>10</v>
      </c>
      <c r="AA631" s="10" t="n">
        <f aca="false">I631</f>
        <v>8</v>
      </c>
      <c r="AB631" s="10" t="n">
        <f aca="false">J631</f>
        <v>0.3</v>
      </c>
      <c r="AC631" s="9" t="s">
        <v>2712</v>
      </c>
      <c r="AD631" s="9" t="s">
        <v>2734</v>
      </c>
      <c r="AE631" s="9" t="str">
        <f aca="false">IF($AK631=0,"",INDEX('Part types'!$T:$T,$AK631)&amp;"")</f>
        <v>All vehicles</v>
      </c>
      <c r="AF631" s="9" t="str">
        <f aca="false">IF($AK631=0,"",INDEX('Part types'!$U:$U,$AK631)&amp;"")</f>
        <v/>
      </c>
      <c r="AG631" s="9" t="str">
        <f aca="false">IF($AK631=0,"",INDEX('Part types'!$V:$V,$AK631)&amp;"")</f>
        <v>Estimate: size class S</v>
      </c>
      <c r="AH631" s="9" t="str">
        <f aca="false">IF($AK631=0,"",INDEX('Part types'!$W:$W,$AK631)&amp;"")</f>
        <v/>
      </c>
      <c r="AI631" s="11" t="str">
        <f aca="false">IF($AK631=0,"",INDEX('Part types'!$X:$X,$AK631)&amp;"")</f>
        <v/>
      </c>
      <c r="AJ631" s="9" t="str">
        <f aca="false">IF($AK631=0,"",INDEX('Part types'!$Y:$Y,$AK631)&amp;"")</f>
        <v/>
      </c>
      <c r="AK631" s="9" t="n">
        <f aca="false">IFERROR(MATCH($AD631,'Part types'!$E:$E,0),0)</f>
        <v>440</v>
      </c>
    </row>
    <row r="632" customFormat="false" ht="15" hidden="false" customHeight="false" outlineLevel="0" collapsed="false">
      <c r="A632" s="9" t="s">
        <v>2736</v>
      </c>
      <c r="B632" s="9" t="s">
        <v>2703</v>
      </c>
      <c r="C632" s="9" t="s">
        <v>2737</v>
      </c>
      <c r="D632" s="9" t="str">
        <f aca="false">C632&amp;" - "&amp;E632</f>
        <v>LED Headlamp Driver - Left</v>
      </c>
      <c r="E632" s="9" t="s">
        <v>218</v>
      </c>
      <c r="F632" s="9" t="s">
        <v>2705</v>
      </c>
      <c r="G632" s="10" t="n">
        <f aca="false">IF($AK632=0,"",INDEX('Part types'!$P:$P,$AK632))</f>
        <v>15</v>
      </c>
      <c r="H632" s="10" t="n">
        <f aca="false">IF($AK632=0,"",INDEX('Part types'!$Q:$Q,$AK632))</f>
        <v>10</v>
      </c>
      <c r="I632" s="10" t="n">
        <f aca="false">IF($AK632=0,"",INDEX('Part types'!$R:$R,$AK632))</f>
        <v>8</v>
      </c>
      <c r="J632" s="10" t="n">
        <f aca="false">IF($AK632=0,"",INDEX('Part types'!$S:$S,$AK632))</f>
        <v>0.3</v>
      </c>
      <c r="K632" s="11" t="s">
        <v>2706</v>
      </c>
      <c r="L632" s="11" t="s">
        <v>2738</v>
      </c>
      <c r="M632" s="11" t="str">
        <f aca="false">L632&amp;" - "&amp;N632</f>
        <v>وحدة تشغيل مصباح LED - يسار</v>
      </c>
      <c r="N632" s="11" t="s">
        <v>220</v>
      </c>
      <c r="O632" s="11" t="s">
        <v>2708</v>
      </c>
      <c r="P632" s="10" t="n">
        <f aca="false">G632</f>
        <v>15</v>
      </c>
      <c r="Q632" s="10" t="n">
        <f aca="false">H632</f>
        <v>10</v>
      </c>
      <c r="R632" s="10" t="n">
        <f aca="false">I632</f>
        <v>8</v>
      </c>
      <c r="S632" s="10" t="n">
        <f aca="false">J632</f>
        <v>0.3</v>
      </c>
      <c r="T632" s="12" t="s">
        <v>2709</v>
      </c>
      <c r="U632" s="9" t="s">
        <v>2739</v>
      </c>
      <c r="V632" s="9" t="str">
        <f aca="false">U632&amp;" - "&amp;W632</f>
        <v>LED大灯驱动模块 - 左侧</v>
      </c>
      <c r="W632" s="12" t="s">
        <v>222</v>
      </c>
      <c r="X632" s="12" t="s">
        <v>2711</v>
      </c>
      <c r="Y632" s="10" t="n">
        <f aca="false">G632</f>
        <v>15</v>
      </c>
      <c r="Z632" s="10" t="n">
        <f aca="false">H632</f>
        <v>10</v>
      </c>
      <c r="AA632" s="10" t="n">
        <f aca="false">I632</f>
        <v>8</v>
      </c>
      <c r="AB632" s="10" t="n">
        <f aca="false">J632</f>
        <v>0.3</v>
      </c>
      <c r="AC632" s="9" t="s">
        <v>2712</v>
      </c>
      <c r="AD632" s="9" t="s">
        <v>2740</v>
      </c>
      <c r="AE632" s="9" t="str">
        <f aca="false">IF($AK632=0,"",INDEX('Part types'!$T:$T,$AK632)&amp;"")</f>
        <v>All vehicles</v>
      </c>
      <c r="AF632" s="9" t="str">
        <f aca="false">IF($AK632=0,"",INDEX('Part types'!$U:$U,$AK632)&amp;"")</f>
        <v/>
      </c>
      <c r="AG632" s="9" t="str">
        <f aca="false">IF($AK632=0,"",INDEX('Part types'!$V:$V,$AK632)&amp;"")</f>
        <v>Estimate: size class S</v>
      </c>
      <c r="AH632" s="9" t="str">
        <f aca="false">IF($AK632=0,"",INDEX('Part types'!$W:$W,$AK632)&amp;"")</f>
        <v>LED Headlamp Driver Module</v>
      </c>
      <c r="AI632" s="11" t="str">
        <f aca="false">IF($AK632=0,"",INDEX('Part types'!$X:$X,$AK632)&amp;"")</f>
        <v/>
      </c>
      <c r="AJ632" s="9" t="str">
        <f aca="false">IF($AK632=0,"",INDEX('Part types'!$Y:$Y,$AK632)&amp;"")</f>
        <v/>
      </c>
      <c r="AK632" s="9" t="n">
        <f aca="false">IFERROR(MATCH($AD632,'Part types'!$E:$E,0),0)</f>
        <v>441</v>
      </c>
    </row>
    <row r="633" customFormat="false" ht="15" hidden="false" customHeight="false" outlineLevel="0" collapsed="false">
      <c r="A633" s="9" t="s">
        <v>2741</v>
      </c>
      <c r="B633" s="9" t="s">
        <v>2703</v>
      </c>
      <c r="C633" s="9" t="s">
        <v>2737</v>
      </c>
      <c r="D633" s="9" t="str">
        <f aca="false">C633&amp;" - "&amp;E633</f>
        <v>LED Headlamp Driver - Right</v>
      </c>
      <c r="E633" s="9" t="s">
        <v>225</v>
      </c>
      <c r="F633" s="9" t="s">
        <v>2705</v>
      </c>
      <c r="G633" s="10" t="n">
        <f aca="false">IF($AK633=0,"",INDEX('Part types'!$P:$P,$AK633))</f>
        <v>15</v>
      </c>
      <c r="H633" s="10" t="n">
        <f aca="false">IF($AK633=0,"",INDEX('Part types'!$Q:$Q,$AK633))</f>
        <v>10</v>
      </c>
      <c r="I633" s="10" t="n">
        <f aca="false">IF($AK633=0,"",INDEX('Part types'!$R:$R,$AK633))</f>
        <v>8</v>
      </c>
      <c r="J633" s="10" t="n">
        <f aca="false">IF($AK633=0,"",INDEX('Part types'!$S:$S,$AK633))</f>
        <v>0.3</v>
      </c>
      <c r="K633" s="11" t="s">
        <v>2706</v>
      </c>
      <c r="L633" s="11" t="s">
        <v>2738</v>
      </c>
      <c r="M633" s="11" t="str">
        <f aca="false">L633&amp;" - "&amp;N633</f>
        <v>وحدة تشغيل مصباح LED - يمين</v>
      </c>
      <c r="N633" s="11" t="s">
        <v>226</v>
      </c>
      <c r="O633" s="11" t="s">
        <v>2708</v>
      </c>
      <c r="P633" s="10" t="n">
        <f aca="false">G633</f>
        <v>15</v>
      </c>
      <c r="Q633" s="10" t="n">
        <f aca="false">H633</f>
        <v>10</v>
      </c>
      <c r="R633" s="10" t="n">
        <f aca="false">I633</f>
        <v>8</v>
      </c>
      <c r="S633" s="10" t="n">
        <f aca="false">J633</f>
        <v>0.3</v>
      </c>
      <c r="T633" s="12" t="s">
        <v>2709</v>
      </c>
      <c r="U633" s="9" t="s">
        <v>2739</v>
      </c>
      <c r="V633" s="9" t="str">
        <f aca="false">U633&amp;" - "&amp;W633</f>
        <v>LED大灯驱动模块 - 右侧</v>
      </c>
      <c r="W633" s="12" t="s">
        <v>227</v>
      </c>
      <c r="X633" s="12" t="s">
        <v>2711</v>
      </c>
      <c r="Y633" s="10" t="n">
        <f aca="false">G633</f>
        <v>15</v>
      </c>
      <c r="Z633" s="10" t="n">
        <f aca="false">H633</f>
        <v>10</v>
      </c>
      <c r="AA633" s="10" t="n">
        <f aca="false">I633</f>
        <v>8</v>
      </c>
      <c r="AB633" s="10" t="n">
        <f aca="false">J633</f>
        <v>0.3</v>
      </c>
      <c r="AC633" s="9" t="s">
        <v>2712</v>
      </c>
      <c r="AD633" s="9" t="s">
        <v>2740</v>
      </c>
      <c r="AE633" s="9" t="str">
        <f aca="false">IF($AK633=0,"",INDEX('Part types'!$T:$T,$AK633)&amp;"")</f>
        <v>All vehicles</v>
      </c>
      <c r="AF633" s="9" t="str">
        <f aca="false">IF($AK633=0,"",INDEX('Part types'!$U:$U,$AK633)&amp;"")</f>
        <v/>
      </c>
      <c r="AG633" s="9" t="str">
        <f aca="false">IF($AK633=0,"",INDEX('Part types'!$V:$V,$AK633)&amp;"")</f>
        <v>Estimate: size class S</v>
      </c>
      <c r="AH633" s="9" t="str">
        <f aca="false">IF($AK633=0,"",INDEX('Part types'!$W:$W,$AK633)&amp;"")</f>
        <v>LED Headlamp Driver Module</v>
      </c>
      <c r="AI633" s="11" t="str">
        <f aca="false">IF($AK633=0,"",INDEX('Part types'!$X:$X,$AK633)&amp;"")</f>
        <v/>
      </c>
      <c r="AJ633" s="9" t="str">
        <f aca="false">IF($AK633=0,"",INDEX('Part types'!$Y:$Y,$AK633)&amp;"")</f>
        <v/>
      </c>
      <c r="AK633" s="9" t="n">
        <f aca="false">IFERROR(MATCH($AD633,'Part types'!$E:$E,0),0)</f>
        <v>441</v>
      </c>
    </row>
    <row r="634" customFormat="false" ht="15" hidden="false" customHeight="false" outlineLevel="0" collapsed="false">
      <c r="A634" s="9" t="s">
        <v>2742</v>
      </c>
      <c r="B634" s="9" t="s">
        <v>2703</v>
      </c>
      <c r="C634" s="9" t="s">
        <v>2743</v>
      </c>
      <c r="D634" s="9" t="str">
        <f aca="false">C634&amp;" - "&amp;E634</f>
        <v>Headlamp Lens Cover - Left</v>
      </c>
      <c r="E634" s="9" t="s">
        <v>218</v>
      </c>
      <c r="F634" s="9" t="s">
        <v>2705</v>
      </c>
      <c r="G634" s="10" t="n">
        <f aca="false">IF($AK634=0,"",INDEX('Part types'!$P:$P,$AK634))</f>
        <v>30</v>
      </c>
      <c r="H634" s="10" t="n">
        <f aca="false">IF($AK634=0,"",INDEX('Part types'!$Q:$Q,$AK634))</f>
        <v>20</v>
      </c>
      <c r="I634" s="10" t="n">
        <f aca="false">IF($AK634=0,"",INDEX('Part types'!$R:$R,$AK634))</f>
        <v>15</v>
      </c>
      <c r="J634" s="10" t="n">
        <f aca="false">IF($AK634=0,"",INDEX('Part types'!$S:$S,$AK634))</f>
        <v>1.8</v>
      </c>
      <c r="K634" s="11" t="s">
        <v>2706</v>
      </c>
      <c r="L634" s="11" t="s">
        <v>2744</v>
      </c>
      <c r="M634" s="11" t="str">
        <f aca="false">L634&amp;" - "&amp;N634</f>
        <v>غطاء زجاج المصباح الأمامي - يسار</v>
      </c>
      <c r="N634" s="11" t="s">
        <v>220</v>
      </c>
      <c r="O634" s="11" t="s">
        <v>2708</v>
      </c>
      <c r="P634" s="10" t="n">
        <f aca="false">G634</f>
        <v>30</v>
      </c>
      <c r="Q634" s="10" t="n">
        <f aca="false">H634</f>
        <v>20</v>
      </c>
      <c r="R634" s="10" t="n">
        <f aca="false">I634</f>
        <v>15</v>
      </c>
      <c r="S634" s="10" t="n">
        <f aca="false">J634</f>
        <v>1.8</v>
      </c>
      <c r="T634" s="12" t="s">
        <v>2709</v>
      </c>
      <c r="U634" s="12" t="s">
        <v>2745</v>
      </c>
      <c r="V634" s="9" t="str">
        <f aca="false">U634&amp;" - "&amp;W634</f>
        <v>大灯灯罩 - 左侧</v>
      </c>
      <c r="W634" s="12" t="s">
        <v>222</v>
      </c>
      <c r="X634" s="12" t="s">
        <v>2711</v>
      </c>
      <c r="Y634" s="10" t="n">
        <f aca="false">G634</f>
        <v>30</v>
      </c>
      <c r="Z634" s="10" t="n">
        <f aca="false">H634</f>
        <v>20</v>
      </c>
      <c r="AA634" s="10" t="n">
        <f aca="false">I634</f>
        <v>15</v>
      </c>
      <c r="AB634" s="10" t="n">
        <f aca="false">J634</f>
        <v>1.8</v>
      </c>
      <c r="AC634" s="9" t="s">
        <v>2712</v>
      </c>
      <c r="AD634" s="9" t="s">
        <v>2746</v>
      </c>
      <c r="AE634" s="9" t="str">
        <f aca="false">IF($AK634=0,"",INDEX('Part types'!$T:$T,$AK634)&amp;"")</f>
        <v>All vehicles</v>
      </c>
      <c r="AF634" s="9" t="str">
        <f aca="false">IF($AK634=0,"",INDEX('Part types'!$U:$U,$AK634)&amp;"")</f>
        <v>Fragile</v>
      </c>
      <c r="AG634" s="9" t="str">
        <f aca="false">IF($AK634=0,"",INDEX('Part types'!$V:$V,$AK634)&amp;"")</f>
        <v>Estimate: size class M2</v>
      </c>
      <c r="AH634" s="9" t="str">
        <f aca="false">IF($AK634=0,"",INDEX('Part types'!$W:$W,$AK634)&amp;"")</f>
        <v/>
      </c>
      <c r="AI634" s="11" t="str">
        <f aca="false">IF($AK634=0,"",INDEX('Part types'!$X:$X,$AK634)&amp;"")</f>
        <v/>
      </c>
      <c r="AJ634" s="9" t="str">
        <f aca="false">IF($AK634=0,"",INDEX('Part types'!$Y:$Y,$AK634)&amp;"")</f>
        <v/>
      </c>
      <c r="AK634" s="9" t="n">
        <f aca="false">IFERROR(MATCH($AD634,'Part types'!$E:$E,0),0)</f>
        <v>442</v>
      </c>
    </row>
    <row r="635" customFormat="false" ht="15" hidden="false" customHeight="false" outlineLevel="0" collapsed="false">
      <c r="A635" s="9" t="s">
        <v>2747</v>
      </c>
      <c r="B635" s="9" t="s">
        <v>2703</v>
      </c>
      <c r="C635" s="9" t="s">
        <v>2743</v>
      </c>
      <c r="D635" s="9" t="str">
        <f aca="false">C635&amp;" - "&amp;E635</f>
        <v>Headlamp Lens Cover - Right</v>
      </c>
      <c r="E635" s="9" t="s">
        <v>225</v>
      </c>
      <c r="F635" s="9" t="s">
        <v>2705</v>
      </c>
      <c r="G635" s="10" t="n">
        <f aca="false">IF($AK635=0,"",INDEX('Part types'!$P:$P,$AK635))</f>
        <v>30</v>
      </c>
      <c r="H635" s="10" t="n">
        <f aca="false">IF($AK635=0,"",INDEX('Part types'!$Q:$Q,$AK635))</f>
        <v>20</v>
      </c>
      <c r="I635" s="10" t="n">
        <f aca="false">IF($AK635=0,"",INDEX('Part types'!$R:$R,$AK635))</f>
        <v>15</v>
      </c>
      <c r="J635" s="10" t="n">
        <f aca="false">IF($AK635=0,"",INDEX('Part types'!$S:$S,$AK635))</f>
        <v>1.8</v>
      </c>
      <c r="K635" s="11" t="s">
        <v>2706</v>
      </c>
      <c r="L635" s="11" t="s">
        <v>2744</v>
      </c>
      <c r="M635" s="11" t="str">
        <f aca="false">L635&amp;" - "&amp;N635</f>
        <v>غطاء زجاج المصباح الأمامي - يمين</v>
      </c>
      <c r="N635" s="11" t="s">
        <v>226</v>
      </c>
      <c r="O635" s="11" t="s">
        <v>2708</v>
      </c>
      <c r="P635" s="10" t="n">
        <f aca="false">G635</f>
        <v>30</v>
      </c>
      <c r="Q635" s="10" t="n">
        <f aca="false">H635</f>
        <v>20</v>
      </c>
      <c r="R635" s="10" t="n">
        <f aca="false">I635</f>
        <v>15</v>
      </c>
      <c r="S635" s="10" t="n">
        <f aca="false">J635</f>
        <v>1.8</v>
      </c>
      <c r="T635" s="12" t="s">
        <v>2709</v>
      </c>
      <c r="U635" s="12" t="s">
        <v>2745</v>
      </c>
      <c r="V635" s="9" t="str">
        <f aca="false">U635&amp;" - "&amp;W635</f>
        <v>大灯灯罩 - 右侧</v>
      </c>
      <c r="W635" s="12" t="s">
        <v>227</v>
      </c>
      <c r="X635" s="12" t="s">
        <v>2711</v>
      </c>
      <c r="Y635" s="10" t="n">
        <f aca="false">G635</f>
        <v>30</v>
      </c>
      <c r="Z635" s="10" t="n">
        <f aca="false">H635</f>
        <v>20</v>
      </c>
      <c r="AA635" s="10" t="n">
        <f aca="false">I635</f>
        <v>15</v>
      </c>
      <c r="AB635" s="10" t="n">
        <f aca="false">J635</f>
        <v>1.8</v>
      </c>
      <c r="AC635" s="9" t="s">
        <v>2712</v>
      </c>
      <c r="AD635" s="9" t="s">
        <v>2746</v>
      </c>
      <c r="AE635" s="9" t="str">
        <f aca="false">IF($AK635=0,"",INDEX('Part types'!$T:$T,$AK635)&amp;"")</f>
        <v>All vehicles</v>
      </c>
      <c r="AF635" s="9" t="str">
        <f aca="false">IF($AK635=0,"",INDEX('Part types'!$U:$U,$AK635)&amp;"")</f>
        <v>Fragile</v>
      </c>
      <c r="AG635" s="9" t="str">
        <f aca="false">IF($AK635=0,"",INDEX('Part types'!$V:$V,$AK635)&amp;"")</f>
        <v>Estimate: size class M2</v>
      </c>
      <c r="AH635" s="9" t="str">
        <f aca="false">IF($AK635=0,"",INDEX('Part types'!$W:$W,$AK635)&amp;"")</f>
        <v/>
      </c>
      <c r="AI635" s="11" t="str">
        <f aca="false">IF($AK635=0,"",INDEX('Part types'!$X:$X,$AK635)&amp;"")</f>
        <v/>
      </c>
      <c r="AJ635" s="9" t="str">
        <f aca="false">IF($AK635=0,"",INDEX('Part types'!$Y:$Y,$AK635)&amp;"")</f>
        <v/>
      </c>
      <c r="AK635" s="9" t="n">
        <f aca="false">IFERROR(MATCH($AD635,'Part types'!$E:$E,0),0)</f>
        <v>442</v>
      </c>
    </row>
    <row r="636" customFormat="false" ht="15" hidden="false" customHeight="false" outlineLevel="0" collapsed="false">
      <c r="A636" s="9" t="s">
        <v>2748</v>
      </c>
      <c r="B636" s="9" t="s">
        <v>2703</v>
      </c>
      <c r="C636" s="9" t="s">
        <v>2749</v>
      </c>
      <c r="D636" s="9" t="str">
        <f aca="false">C636&amp;" - "&amp;E636</f>
        <v>Headlamp Leveling Motor - Left</v>
      </c>
      <c r="E636" s="9" t="s">
        <v>218</v>
      </c>
      <c r="F636" s="9" t="s">
        <v>2705</v>
      </c>
      <c r="G636" s="10" t="n">
        <f aca="false">IF($AK636=0,"",INDEX('Part types'!$P:$P,$AK636))</f>
        <v>15</v>
      </c>
      <c r="H636" s="10" t="n">
        <f aca="false">IF($AK636=0,"",INDEX('Part types'!$Q:$Q,$AK636))</f>
        <v>10</v>
      </c>
      <c r="I636" s="10" t="n">
        <f aca="false">IF($AK636=0,"",INDEX('Part types'!$R:$R,$AK636))</f>
        <v>8</v>
      </c>
      <c r="J636" s="10" t="n">
        <f aca="false">IF($AK636=0,"",INDEX('Part types'!$S:$S,$AK636))</f>
        <v>0.3</v>
      </c>
      <c r="K636" s="11" t="s">
        <v>2706</v>
      </c>
      <c r="L636" s="11" t="s">
        <v>2750</v>
      </c>
      <c r="M636" s="11" t="str">
        <f aca="false">L636&amp;" - "&amp;N636</f>
        <v>موتور ضبط المصباح الأمامي - يسار</v>
      </c>
      <c r="N636" s="11" t="s">
        <v>220</v>
      </c>
      <c r="O636" s="11" t="s">
        <v>2708</v>
      </c>
      <c r="P636" s="10" t="n">
        <f aca="false">G636</f>
        <v>15</v>
      </c>
      <c r="Q636" s="10" t="n">
        <f aca="false">H636</f>
        <v>10</v>
      </c>
      <c r="R636" s="10" t="n">
        <f aca="false">I636</f>
        <v>8</v>
      </c>
      <c r="S636" s="10" t="n">
        <f aca="false">J636</f>
        <v>0.3</v>
      </c>
      <c r="T636" s="12" t="s">
        <v>2709</v>
      </c>
      <c r="U636" s="12" t="s">
        <v>2751</v>
      </c>
      <c r="V636" s="9" t="str">
        <f aca="false">U636&amp;" - "&amp;W636</f>
        <v>大灯调节电机 - 左侧</v>
      </c>
      <c r="W636" s="12" t="s">
        <v>222</v>
      </c>
      <c r="X636" s="12" t="s">
        <v>2711</v>
      </c>
      <c r="Y636" s="10" t="n">
        <f aca="false">G636</f>
        <v>15</v>
      </c>
      <c r="Z636" s="10" t="n">
        <f aca="false">H636</f>
        <v>10</v>
      </c>
      <c r="AA636" s="10" t="n">
        <f aca="false">I636</f>
        <v>8</v>
      </c>
      <c r="AB636" s="10" t="n">
        <f aca="false">J636</f>
        <v>0.3</v>
      </c>
      <c r="AC636" s="9" t="s">
        <v>2712</v>
      </c>
      <c r="AD636" s="9" t="s">
        <v>2752</v>
      </c>
      <c r="AE636" s="9" t="str">
        <f aca="false">IF($AK636=0,"",INDEX('Part types'!$T:$T,$AK636)&amp;"")</f>
        <v>All vehicles</v>
      </c>
      <c r="AF636" s="9" t="str">
        <f aca="false">IF($AK636=0,"",INDEX('Part types'!$U:$U,$AK636)&amp;"")</f>
        <v/>
      </c>
      <c r="AG636" s="9" t="str">
        <f aca="false">IF($AK636=0,"",INDEX('Part types'!$V:$V,$AK636)&amp;"")</f>
        <v>Estimate: size class S</v>
      </c>
      <c r="AH636" s="9" t="str">
        <f aca="false">IF($AK636=0,"",INDEX('Part types'!$W:$W,$AK636)&amp;"")</f>
        <v/>
      </c>
      <c r="AI636" s="11" t="str">
        <f aca="false">IF($AK636=0,"",INDEX('Part types'!$X:$X,$AK636)&amp;"")</f>
        <v/>
      </c>
      <c r="AJ636" s="9" t="str">
        <f aca="false">IF($AK636=0,"",INDEX('Part types'!$Y:$Y,$AK636)&amp;"")</f>
        <v/>
      </c>
      <c r="AK636" s="9" t="n">
        <f aca="false">IFERROR(MATCH($AD636,'Part types'!$E:$E,0),0)</f>
        <v>443</v>
      </c>
    </row>
    <row r="637" customFormat="false" ht="15" hidden="false" customHeight="false" outlineLevel="0" collapsed="false">
      <c r="A637" s="9" t="s">
        <v>2753</v>
      </c>
      <c r="B637" s="9" t="s">
        <v>2703</v>
      </c>
      <c r="C637" s="9" t="s">
        <v>2749</v>
      </c>
      <c r="D637" s="9" t="str">
        <f aca="false">C637&amp;" - "&amp;E637</f>
        <v>Headlamp Leveling Motor - Right</v>
      </c>
      <c r="E637" s="9" t="s">
        <v>225</v>
      </c>
      <c r="F637" s="9" t="s">
        <v>2705</v>
      </c>
      <c r="G637" s="10" t="n">
        <f aca="false">IF($AK637=0,"",INDEX('Part types'!$P:$P,$AK637))</f>
        <v>15</v>
      </c>
      <c r="H637" s="10" t="n">
        <f aca="false">IF($AK637=0,"",INDEX('Part types'!$Q:$Q,$AK637))</f>
        <v>10</v>
      </c>
      <c r="I637" s="10" t="n">
        <f aca="false">IF($AK637=0,"",INDEX('Part types'!$R:$R,$AK637))</f>
        <v>8</v>
      </c>
      <c r="J637" s="10" t="n">
        <f aca="false">IF($AK637=0,"",INDEX('Part types'!$S:$S,$AK637))</f>
        <v>0.3</v>
      </c>
      <c r="K637" s="11" t="s">
        <v>2706</v>
      </c>
      <c r="L637" s="11" t="s">
        <v>2750</v>
      </c>
      <c r="M637" s="11" t="str">
        <f aca="false">L637&amp;" - "&amp;N637</f>
        <v>موتور ضبط المصباح الأمامي - يمين</v>
      </c>
      <c r="N637" s="11" t="s">
        <v>226</v>
      </c>
      <c r="O637" s="11" t="s">
        <v>2708</v>
      </c>
      <c r="P637" s="10" t="n">
        <f aca="false">G637</f>
        <v>15</v>
      </c>
      <c r="Q637" s="10" t="n">
        <f aca="false">H637</f>
        <v>10</v>
      </c>
      <c r="R637" s="10" t="n">
        <f aca="false">I637</f>
        <v>8</v>
      </c>
      <c r="S637" s="10" t="n">
        <f aca="false">J637</f>
        <v>0.3</v>
      </c>
      <c r="T637" s="12" t="s">
        <v>2709</v>
      </c>
      <c r="U637" s="12" t="s">
        <v>2751</v>
      </c>
      <c r="V637" s="9" t="str">
        <f aca="false">U637&amp;" - "&amp;W637</f>
        <v>大灯调节电机 - 右侧</v>
      </c>
      <c r="W637" s="12" t="s">
        <v>227</v>
      </c>
      <c r="X637" s="12" t="s">
        <v>2711</v>
      </c>
      <c r="Y637" s="10" t="n">
        <f aca="false">G637</f>
        <v>15</v>
      </c>
      <c r="Z637" s="10" t="n">
        <f aca="false">H637</f>
        <v>10</v>
      </c>
      <c r="AA637" s="10" t="n">
        <f aca="false">I637</f>
        <v>8</v>
      </c>
      <c r="AB637" s="10" t="n">
        <f aca="false">J637</f>
        <v>0.3</v>
      </c>
      <c r="AC637" s="9" t="s">
        <v>2712</v>
      </c>
      <c r="AD637" s="9" t="s">
        <v>2752</v>
      </c>
      <c r="AE637" s="9" t="str">
        <f aca="false">IF($AK637=0,"",INDEX('Part types'!$T:$T,$AK637)&amp;"")</f>
        <v>All vehicles</v>
      </c>
      <c r="AF637" s="9" t="str">
        <f aca="false">IF($AK637=0,"",INDEX('Part types'!$U:$U,$AK637)&amp;"")</f>
        <v/>
      </c>
      <c r="AG637" s="9" t="str">
        <f aca="false">IF($AK637=0,"",INDEX('Part types'!$V:$V,$AK637)&amp;"")</f>
        <v>Estimate: size class S</v>
      </c>
      <c r="AH637" s="9" t="str">
        <f aca="false">IF($AK637=0,"",INDEX('Part types'!$W:$W,$AK637)&amp;"")</f>
        <v/>
      </c>
      <c r="AI637" s="11" t="str">
        <f aca="false">IF($AK637=0,"",INDEX('Part types'!$X:$X,$AK637)&amp;"")</f>
        <v/>
      </c>
      <c r="AJ637" s="9" t="str">
        <f aca="false">IF($AK637=0,"",INDEX('Part types'!$Y:$Y,$AK637)&amp;"")</f>
        <v/>
      </c>
      <c r="AK637" s="9" t="n">
        <f aca="false">IFERROR(MATCH($AD637,'Part types'!$E:$E,0),0)</f>
        <v>443</v>
      </c>
    </row>
    <row r="638" customFormat="false" ht="15" hidden="false" customHeight="false" outlineLevel="0" collapsed="false">
      <c r="A638" s="9" t="s">
        <v>2754</v>
      </c>
      <c r="B638" s="9" t="s">
        <v>2703</v>
      </c>
      <c r="C638" s="9" t="s">
        <v>2755</v>
      </c>
      <c r="D638" s="9" t="str">
        <f aca="false">C638&amp;" - "&amp;E638</f>
        <v>Fog Lamp Assembly - Left</v>
      </c>
      <c r="E638" s="9" t="s">
        <v>218</v>
      </c>
      <c r="F638" s="9" t="s">
        <v>2685</v>
      </c>
      <c r="G638" s="10" t="n">
        <f aca="false">IF($AK638=0,"",INDEX('Part types'!$P:$P,$AK638))</f>
        <v>22</v>
      </c>
      <c r="H638" s="10" t="n">
        <f aca="false">IF($AK638=0,"",INDEX('Part types'!$Q:$Q,$AK638))</f>
        <v>15</v>
      </c>
      <c r="I638" s="10" t="n">
        <f aca="false">IF($AK638=0,"",INDEX('Part types'!$R:$R,$AK638))</f>
        <v>12</v>
      </c>
      <c r="J638" s="10" t="n">
        <f aca="false">IF($AK638=0,"",INDEX('Part types'!$S:$S,$AK638))</f>
        <v>0.9</v>
      </c>
      <c r="K638" s="11" t="s">
        <v>2706</v>
      </c>
      <c r="L638" s="11" t="s">
        <v>2756</v>
      </c>
      <c r="M638" s="11" t="str">
        <f aca="false">L638&amp;" - "&amp;N638</f>
        <v>كشاف ضباب - يسار</v>
      </c>
      <c r="N638" s="11" t="s">
        <v>220</v>
      </c>
      <c r="O638" s="11" t="s">
        <v>2687</v>
      </c>
      <c r="P638" s="10" t="n">
        <f aca="false">G638</f>
        <v>22</v>
      </c>
      <c r="Q638" s="10" t="n">
        <f aca="false">H638</f>
        <v>15</v>
      </c>
      <c r="R638" s="10" t="n">
        <f aca="false">I638</f>
        <v>12</v>
      </c>
      <c r="S638" s="10" t="n">
        <f aca="false">J638</f>
        <v>0.9</v>
      </c>
      <c r="T638" s="12" t="s">
        <v>2709</v>
      </c>
      <c r="U638" s="12" t="s">
        <v>2757</v>
      </c>
      <c r="V638" s="9" t="str">
        <f aca="false">U638&amp;" - "&amp;W638</f>
        <v>雾灯总成 - 左侧</v>
      </c>
      <c r="W638" s="12" t="s">
        <v>222</v>
      </c>
      <c r="X638" s="12" t="s">
        <v>2689</v>
      </c>
      <c r="Y638" s="10" t="n">
        <f aca="false">G638</f>
        <v>22</v>
      </c>
      <c r="Z638" s="10" t="n">
        <f aca="false">H638</f>
        <v>15</v>
      </c>
      <c r="AA638" s="10" t="n">
        <f aca="false">I638</f>
        <v>12</v>
      </c>
      <c r="AB638" s="10" t="n">
        <f aca="false">J638</f>
        <v>0.9</v>
      </c>
      <c r="AC638" s="9" t="s">
        <v>2712</v>
      </c>
      <c r="AD638" s="9" t="s">
        <v>2758</v>
      </c>
      <c r="AE638" s="9" t="str">
        <f aca="false">IF($AK638=0,"",INDEX('Part types'!$T:$T,$AK638)&amp;"")</f>
        <v>All vehicles</v>
      </c>
      <c r="AF638" s="9" t="str">
        <f aca="false">IF($AK638=0,"",INDEX('Part types'!$U:$U,$AK638)&amp;"")</f>
        <v>Fragile</v>
      </c>
      <c r="AG638" s="9" t="str">
        <f aca="false">IF($AK638=0,"",INDEX('Part types'!$V:$V,$AK638)&amp;"")</f>
        <v>Estimate: item-specific</v>
      </c>
      <c r="AH638" s="9" t="str">
        <f aca="false">IF($AK638=0,"",INDEX('Part types'!$W:$W,$AK638)&amp;"")</f>
        <v/>
      </c>
      <c r="AI638" s="11" t="str">
        <f aca="false">IF($AK638=0,"",INDEX('Part types'!$X:$X,$AK638)&amp;"")</f>
        <v/>
      </c>
      <c r="AJ638" s="9" t="str">
        <f aca="false">IF($AK638=0,"",INDEX('Part types'!$Y:$Y,$AK638)&amp;"")</f>
        <v/>
      </c>
      <c r="AK638" s="9" t="n">
        <f aca="false">IFERROR(MATCH($AD638,'Part types'!$E:$E,0),0)</f>
        <v>444</v>
      </c>
    </row>
    <row r="639" customFormat="false" ht="15" hidden="false" customHeight="false" outlineLevel="0" collapsed="false">
      <c r="A639" s="9" t="s">
        <v>2759</v>
      </c>
      <c r="B639" s="9" t="s">
        <v>2703</v>
      </c>
      <c r="C639" s="9" t="s">
        <v>2755</v>
      </c>
      <c r="D639" s="9" t="str">
        <f aca="false">C639&amp;" - "&amp;E639</f>
        <v>Fog Lamp Assembly - Right</v>
      </c>
      <c r="E639" s="9" t="s">
        <v>225</v>
      </c>
      <c r="F639" s="9" t="s">
        <v>2685</v>
      </c>
      <c r="G639" s="10" t="n">
        <f aca="false">IF($AK639=0,"",INDEX('Part types'!$P:$P,$AK639))</f>
        <v>22</v>
      </c>
      <c r="H639" s="10" t="n">
        <f aca="false">IF($AK639=0,"",INDEX('Part types'!$Q:$Q,$AK639))</f>
        <v>15</v>
      </c>
      <c r="I639" s="10" t="n">
        <f aca="false">IF($AK639=0,"",INDEX('Part types'!$R:$R,$AK639))</f>
        <v>12</v>
      </c>
      <c r="J639" s="10" t="n">
        <f aca="false">IF($AK639=0,"",INDEX('Part types'!$S:$S,$AK639))</f>
        <v>0.9</v>
      </c>
      <c r="K639" s="11" t="s">
        <v>2706</v>
      </c>
      <c r="L639" s="11" t="s">
        <v>2756</v>
      </c>
      <c r="M639" s="11" t="str">
        <f aca="false">L639&amp;" - "&amp;N639</f>
        <v>كشاف ضباب - يمين</v>
      </c>
      <c r="N639" s="11" t="s">
        <v>226</v>
      </c>
      <c r="O639" s="11" t="s">
        <v>2687</v>
      </c>
      <c r="P639" s="10" t="n">
        <f aca="false">G639</f>
        <v>22</v>
      </c>
      <c r="Q639" s="10" t="n">
        <f aca="false">H639</f>
        <v>15</v>
      </c>
      <c r="R639" s="10" t="n">
        <f aca="false">I639</f>
        <v>12</v>
      </c>
      <c r="S639" s="10" t="n">
        <f aca="false">J639</f>
        <v>0.9</v>
      </c>
      <c r="T639" s="12" t="s">
        <v>2709</v>
      </c>
      <c r="U639" s="12" t="s">
        <v>2757</v>
      </c>
      <c r="V639" s="9" t="str">
        <f aca="false">U639&amp;" - "&amp;W639</f>
        <v>雾灯总成 - 右侧</v>
      </c>
      <c r="W639" s="12" t="s">
        <v>227</v>
      </c>
      <c r="X639" s="12" t="s">
        <v>2689</v>
      </c>
      <c r="Y639" s="10" t="n">
        <f aca="false">G639</f>
        <v>22</v>
      </c>
      <c r="Z639" s="10" t="n">
        <f aca="false">H639</f>
        <v>15</v>
      </c>
      <c r="AA639" s="10" t="n">
        <f aca="false">I639</f>
        <v>12</v>
      </c>
      <c r="AB639" s="10" t="n">
        <f aca="false">J639</f>
        <v>0.9</v>
      </c>
      <c r="AC639" s="9" t="s">
        <v>2712</v>
      </c>
      <c r="AD639" s="9" t="s">
        <v>2758</v>
      </c>
      <c r="AE639" s="9" t="str">
        <f aca="false">IF($AK639=0,"",INDEX('Part types'!$T:$T,$AK639)&amp;"")</f>
        <v>All vehicles</v>
      </c>
      <c r="AF639" s="9" t="str">
        <f aca="false">IF($AK639=0,"",INDEX('Part types'!$U:$U,$AK639)&amp;"")</f>
        <v>Fragile</v>
      </c>
      <c r="AG639" s="9" t="str">
        <f aca="false">IF($AK639=0,"",INDEX('Part types'!$V:$V,$AK639)&amp;"")</f>
        <v>Estimate: item-specific</v>
      </c>
      <c r="AH639" s="9" t="str">
        <f aca="false">IF($AK639=0,"",INDEX('Part types'!$W:$W,$AK639)&amp;"")</f>
        <v/>
      </c>
      <c r="AI639" s="11" t="str">
        <f aca="false">IF($AK639=0,"",INDEX('Part types'!$X:$X,$AK639)&amp;"")</f>
        <v/>
      </c>
      <c r="AJ639" s="9" t="str">
        <f aca="false">IF($AK639=0,"",INDEX('Part types'!$Y:$Y,$AK639)&amp;"")</f>
        <v/>
      </c>
      <c r="AK639" s="9" t="n">
        <f aca="false">IFERROR(MATCH($AD639,'Part types'!$E:$E,0),0)</f>
        <v>444</v>
      </c>
    </row>
    <row r="640" customFormat="false" ht="15" hidden="false" customHeight="false" outlineLevel="0" collapsed="false">
      <c r="A640" s="9" t="s">
        <v>2760</v>
      </c>
      <c r="B640" s="9" t="s">
        <v>2703</v>
      </c>
      <c r="C640" s="9" t="s">
        <v>2761</v>
      </c>
      <c r="D640" s="9" t="str">
        <f aca="false">C640&amp;" - "&amp;E640</f>
        <v>Fog Lamp Bulb - Universal</v>
      </c>
      <c r="E640" s="9" t="s">
        <v>68</v>
      </c>
      <c r="F640" s="9" t="s">
        <v>2685</v>
      </c>
      <c r="G640" s="10" t="n">
        <f aca="false">IF($AK640=0,"",INDEX('Part types'!$P:$P,$AK640))</f>
        <v>6</v>
      </c>
      <c r="H640" s="10" t="n">
        <f aca="false">IF($AK640=0,"",INDEX('Part types'!$Q:$Q,$AK640))</f>
        <v>4</v>
      </c>
      <c r="I640" s="10" t="n">
        <f aca="false">IF($AK640=0,"",INDEX('Part types'!$R:$R,$AK640))</f>
        <v>3</v>
      </c>
      <c r="J640" s="10" t="n">
        <f aca="false">IF($AK640=0,"",INDEX('Part types'!$S:$S,$AK640))</f>
        <v>0.02</v>
      </c>
      <c r="K640" s="11" t="s">
        <v>2706</v>
      </c>
      <c r="L640" s="11" t="s">
        <v>2762</v>
      </c>
      <c r="M640" s="11" t="str">
        <f aca="false">L640&amp;" - "&amp;N640</f>
        <v>لمبة كشاف الضباب - عام</v>
      </c>
      <c r="N640" s="11" t="s">
        <v>72</v>
      </c>
      <c r="O640" s="11" t="s">
        <v>2687</v>
      </c>
      <c r="P640" s="10" t="n">
        <f aca="false">G640</f>
        <v>6</v>
      </c>
      <c r="Q640" s="10" t="n">
        <f aca="false">H640</f>
        <v>4</v>
      </c>
      <c r="R640" s="10" t="n">
        <f aca="false">I640</f>
        <v>3</v>
      </c>
      <c r="S640" s="10" t="n">
        <f aca="false">J640</f>
        <v>0.02</v>
      </c>
      <c r="T640" s="12" t="s">
        <v>2709</v>
      </c>
      <c r="U640" s="12" t="s">
        <v>2763</v>
      </c>
      <c r="V640" s="9" t="str">
        <f aca="false">U640&amp;" - "&amp;W640</f>
        <v>雾灯灯泡 - 通用</v>
      </c>
      <c r="W640" s="12" t="s">
        <v>76</v>
      </c>
      <c r="X640" s="12" t="s">
        <v>2689</v>
      </c>
      <c r="Y640" s="10" t="n">
        <f aca="false">G640</f>
        <v>6</v>
      </c>
      <c r="Z640" s="10" t="n">
        <f aca="false">H640</f>
        <v>4</v>
      </c>
      <c r="AA640" s="10" t="n">
        <f aca="false">I640</f>
        <v>3</v>
      </c>
      <c r="AB640" s="10" t="n">
        <f aca="false">J640</f>
        <v>0.02</v>
      </c>
      <c r="AC640" s="9" t="s">
        <v>2712</v>
      </c>
      <c r="AD640" s="9" t="s">
        <v>2764</v>
      </c>
      <c r="AE640" s="9" t="str">
        <f aca="false">IF($AK640=0,"",INDEX('Part types'!$T:$T,$AK640)&amp;"")</f>
        <v>All vehicles</v>
      </c>
      <c r="AF640" s="9" t="str">
        <f aca="false">IF($AK640=0,"",INDEX('Part types'!$U:$U,$AK640)&amp;"")</f>
        <v/>
      </c>
      <c r="AG640" s="9" t="str">
        <f aca="false">IF($AK640=0,"",INDEX('Part types'!$V:$V,$AK640)&amp;"")</f>
        <v>Estimate: size class T</v>
      </c>
      <c r="AH640" s="9" t="str">
        <f aca="false">IF($AK640=0,"",INDEX('Part types'!$W:$W,$AK640)&amp;"")</f>
        <v/>
      </c>
      <c r="AI640" s="11" t="str">
        <f aca="false">IF($AK640=0,"",INDEX('Part types'!$X:$X,$AK640)&amp;"")</f>
        <v/>
      </c>
      <c r="AJ640" s="9" t="str">
        <f aca="false">IF($AK640=0,"",INDEX('Part types'!$Y:$Y,$AK640)&amp;"")</f>
        <v/>
      </c>
      <c r="AK640" s="9" t="n">
        <f aca="false">IFERROR(MATCH($AD640,'Part types'!$E:$E,0),0)</f>
        <v>445</v>
      </c>
    </row>
    <row r="641" customFormat="false" ht="15" hidden="false" customHeight="false" outlineLevel="0" collapsed="false">
      <c r="A641" s="9" t="s">
        <v>2765</v>
      </c>
      <c r="B641" s="9" t="s">
        <v>2703</v>
      </c>
      <c r="C641" s="9" t="s">
        <v>2766</v>
      </c>
      <c r="D641" s="9" t="str">
        <f aca="false">C641&amp;" - "&amp;E641</f>
        <v>Daytime Running Light - Left</v>
      </c>
      <c r="E641" s="9" t="s">
        <v>218</v>
      </c>
      <c r="F641" s="9" t="s">
        <v>2685</v>
      </c>
      <c r="G641" s="10" t="n">
        <f aca="false">IF($AK641=0,"",INDEX('Part types'!$P:$P,$AK641))</f>
        <v>25</v>
      </c>
      <c r="H641" s="10" t="n">
        <f aca="false">IF($AK641=0,"",INDEX('Part types'!$Q:$Q,$AK641))</f>
        <v>15</v>
      </c>
      <c r="I641" s="10" t="n">
        <f aca="false">IF($AK641=0,"",INDEX('Part types'!$R:$R,$AK641))</f>
        <v>10</v>
      </c>
      <c r="J641" s="10" t="n">
        <f aca="false">IF($AK641=0,"",INDEX('Part types'!$S:$S,$AK641))</f>
        <v>0.9</v>
      </c>
      <c r="K641" s="11" t="s">
        <v>2706</v>
      </c>
      <c r="L641" s="11" t="s">
        <v>2767</v>
      </c>
      <c r="M641" s="11" t="str">
        <f aca="false">L641&amp;" - "&amp;N641</f>
        <v>ضوء النهار - يسار</v>
      </c>
      <c r="N641" s="11" t="s">
        <v>220</v>
      </c>
      <c r="O641" s="11" t="s">
        <v>2687</v>
      </c>
      <c r="P641" s="10" t="n">
        <f aca="false">G641</f>
        <v>25</v>
      </c>
      <c r="Q641" s="10" t="n">
        <f aca="false">H641</f>
        <v>15</v>
      </c>
      <c r="R641" s="10" t="n">
        <f aca="false">I641</f>
        <v>10</v>
      </c>
      <c r="S641" s="10" t="n">
        <f aca="false">J641</f>
        <v>0.9</v>
      </c>
      <c r="T641" s="12" t="s">
        <v>2709</v>
      </c>
      <c r="U641" s="12" t="s">
        <v>2768</v>
      </c>
      <c r="V641" s="9" t="str">
        <f aca="false">U641&amp;" - "&amp;W641</f>
        <v>日间行车灯 - 左侧</v>
      </c>
      <c r="W641" s="12" t="s">
        <v>222</v>
      </c>
      <c r="X641" s="12" t="s">
        <v>2689</v>
      </c>
      <c r="Y641" s="10" t="n">
        <f aca="false">G641</f>
        <v>25</v>
      </c>
      <c r="Z641" s="10" t="n">
        <f aca="false">H641</f>
        <v>15</v>
      </c>
      <c r="AA641" s="10" t="n">
        <f aca="false">I641</f>
        <v>10</v>
      </c>
      <c r="AB641" s="10" t="n">
        <f aca="false">J641</f>
        <v>0.9</v>
      </c>
      <c r="AC641" s="9" t="s">
        <v>2712</v>
      </c>
      <c r="AD641" s="9" t="s">
        <v>2769</v>
      </c>
      <c r="AE641" s="9" t="str">
        <f aca="false">IF($AK641=0,"",INDEX('Part types'!$T:$T,$AK641)&amp;"")</f>
        <v>All vehicles</v>
      </c>
      <c r="AF641" s="9" t="str">
        <f aca="false">IF($AK641=0,"",INDEX('Part types'!$U:$U,$AK641)&amp;"")</f>
        <v>Fragile</v>
      </c>
      <c r="AG641" s="9" t="str">
        <f aca="false">IF($AK641=0,"",INDEX('Part types'!$V:$V,$AK641)&amp;"")</f>
        <v>Estimate: size class M</v>
      </c>
      <c r="AH641" s="9" t="str">
        <f aca="false">IF($AK641=0,"",INDEX('Part types'!$W:$W,$AK641)&amp;"")</f>
        <v>DRL</v>
      </c>
      <c r="AI641" s="11" t="str">
        <f aca="false">IF($AK641=0,"",INDEX('Part types'!$X:$X,$AK641)&amp;"")</f>
        <v>DRL</v>
      </c>
      <c r="AJ641" s="9" t="str">
        <f aca="false">IF($AK641=0,"",INDEX('Part types'!$Y:$Y,$AK641)&amp;"")</f>
        <v/>
      </c>
      <c r="AK641" s="9" t="n">
        <f aca="false">IFERROR(MATCH($AD641,'Part types'!$E:$E,0),0)</f>
        <v>446</v>
      </c>
    </row>
    <row r="642" customFormat="false" ht="15" hidden="false" customHeight="false" outlineLevel="0" collapsed="false">
      <c r="A642" s="9" t="s">
        <v>2770</v>
      </c>
      <c r="B642" s="9" t="s">
        <v>2703</v>
      </c>
      <c r="C642" s="9" t="s">
        <v>2766</v>
      </c>
      <c r="D642" s="9" t="str">
        <f aca="false">C642&amp;" - "&amp;E642</f>
        <v>Daytime Running Light - Right</v>
      </c>
      <c r="E642" s="9" t="s">
        <v>225</v>
      </c>
      <c r="F642" s="9" t="s">
        <v>2685</v>
      </c>
      <c r="G642" s="10" t="n">
        <f aca="false">IF($AK642=0,"",INDEX('Part types'!$P:$P,$AK642))</f>
        <v>25</v>
      </c>
      <c r="H642" s="10" t="n">
        <f aca="false">IF($AK642=0,"",INDEX('Part types'!$Q:$Q,$AK642))</f>
        <v>15</v>
      </c>
      <c r="I642" s="10" t="n">
        <f aca="false">IF($AK642=0,"",INDEX('Part types'!$R:$R,$AK642))</f>
        <v>10</v>
      </c>
      <c r="J642" s="10" t="n">
        <f aca="false">IF($AK642=0,"",INDEX('Part types'!$S:$S,$AK642))</f>
        <v>0.9</v>
      </c>
      <c r="K642" s="11" t="s">
        <v>2706</v>
      </c>
      <c r="L642" s="11" t="s">
        <v>2767</v>
      </c>
      <c r="M642" s="11" t="str">
        <f aca="false">L642&amp;" - "&amp;N642</f>
        <v>ضوء النهار - يمين</v>
      </c>
      <c r="N642" s="11" t="s">
        <v>226</v>
      </c>
      <c r="O642" s="11" t="s">
        <v>2687</v>
      </c>
      <c r="P642" s="10" t="n">
        <f aca="false">G642</f>
        <v>25</v>
      </c>
      <c r="Q642" s="10" t="n">
        <f aca="false">H642</f>
        <v>15</v>
      </c>
      <c r="R642" s="10" t="n">
        <f aca="false">I642</f>
        <v>10</v>
      </c>
      <c r="S642" s="10" t="n">
        <f aca="false">J642</f>
        <v>0.9</v>
      </c>
      <c r="T642" s="12" t="s">
        <v>2709</v>
      </c>
      <c r="U642" s="12" t="s">
        <v>2768</v>
      </c>
      <c r="V642" s="9" t="str">
        <f aca="false">U642&amp;" - "&amp;W642</f>
        <v>日间行车灯 - 右侧</v>
      </c>
      <c r="W642" s="12" t="s">
        <v>227</v>
      </c>
      <c r="X642" s="12" t="s">
        <v>2689</v>
      </c>
      <c r="Y642" s="10" t="n">
        <f aca="false">G642</f>
        <v>25</v>
      </c>
      <c r="Z642" s="10" t="n">
        <f aca="false">H642</f>
        <v>15</v>
      </c>
      <c r="AA642" s="10" t="n">
        <f aca="false">I642</f>
        <v>10</v>
      </c>
      <c r="AB642" s="10" t="n">
        <f aca="false">J642</f>
        <v>0.9</v>
      </c>
      <c r="AC642" s="9" t="s">
        <v>2712</v>
      </c>
      <c r="AD642" s="9" t="s">
        <v>2769</v>
      </c>
      <c r="AE642" s="9" t="str">
        <f aca="false">IF($AK642=0,"",INDEX('Part types'!$T:$T,$AK642)&amp;"")</f>
        <v>All vehicles</v>
      </c>
      <c r="AF642" s="9" t="str">
        <f aca="false">IF($AK642=0,"",INDEX('Part types'!$U:$U,$AK642)&amp;"")</f>
        <v>Fragile</v>
      </c>
      <c r="AG642" s="9" t="str">
        <f aca="false">IF($AK642=0,"",INDEX('Part types'!$V:$V,$AK642)&amp;"")</f>
        <v>Estimate: size class M</v>
      </c>
      <c r="AH642" s="9" t="str">
        <f aca="false">IF($AK642=0,"",INDEX('Part types'!$W:$W,$AK642)&amp;"")</f>
        <v>DRL</v>
      </c>
      <c r="AI642" s="11" t="str">
        <f aca="false">IF($AK642=0,"",INDEX('Part types'!$X:$X,$AK642)&amp;"")</f>
        <v>DRL</v>
      </c>
      <c r="AJ642" s="9" t="str">
        <f aca="false">IF($AK642=0,"",INDEX('Part types'!$Y:$Y,$AK642)&amp;"")</f>
        <v/>
      </c>
      <c r="AK642" s="9" t="n">
        <f aca="false">IFERROR(MATCH($AD642,'Part types'!$E:$E,0),0)</f>
        <v>446</v>
      </c>
    </row>
    <row r="643" customFormat="false" ht="15" hidden="false" customHeight="false" outlineLevel="0" collapsed="false">
      <c r="A643" s="9" t="s">
        <v>2771</v>
      </c>
      <c r="B643" s="9" t="s">
        <v>2703</v>
      </c>
      <c r="C643" s="9" t="s">
        <v>2772</v>
      </c>
      <c r="D643" s="9" t="str">
        <f aca="false">C643&amp;" - "&amp;E643</f>
        <v>Corner Signal Lamp - Left</v>
      </c>
      <c r="E643" s="9" t="s">
        <v>218</v>
      </c>
      <c r="F643" s="9" t="s">
        <v>2685</v>
      </c>
      <c r="G643" s="10" t="n">
        <f aca="false">IF($AK643=0,"",INDEX('Part types'!$P:$P,$AK643))</f>
        <v>15</v>
      </c>
      <c r="H643" s="10" t="n">
        <f aca="false">IF($AK643=0,"",INDEX('Part types'!$Q:$Q,$AK643))</f>
        <v>10</v>
      </c>
      <c r="I643" s="10" t="n">
        <f aca="false">IF($AK643=0,"",INDEX('Part types'!$R:$R,$AK643))</f>
        <v>8</v>
      </c>
      <c r="J643" s="10" t="n">
        <f aca="false">IF($AK643=0,"",INDEX('Part types'!$S:$S,$AK643))</f>
        <v>0.3</v>
      </c>
      <c r="K643" s="11" t="s">
        <v>2706</v>
      </c>
      <c r="L643" s="11" t="s">
        <v>2773</v>
      </c>
      <c r="M643" s="11" t="str">
        <f aca="false">L643&amp;" - "&amp;N643</f>
        <v>إشارة ركنية - يسار</v>
      </c>
      <c r="N643" s="11" t="s">
        <v>220</v>
      </c>
      <c r="O643" s="11" t="s">
        <v>2687</v>
      </c>
      <c r="P643" s="10" t="n">
        <f aca="false">G643</f>
        <v>15</v>
      </c>
      <c r="Q643" s="10" t="n">
        <f aca="false">H643</f>
        <v>10</v>
      </c>
      <c r="R643" s="10" t="n">
        <f aca="false">I643</f>
        <v>8</v>
      </c>
      <c r="S643" s="10" t="n">
        <f aca="false">J643</f>
        <v>0.3</v>
      </c>
      <c r="T643" s="12" t="s">
        <v>2709</v>
      </c>
      <c r="U643" s="12" t="s">
        <v>2774</v>
      </c>
      <c r="V643" s="9" t="str">
        <f aca="false">U643&amp;" - "&amp;W643</f>
        <v>转角灯 - 左侧</v>
      </c>
      <c r="W643" s="12" t="s">
        <v>222</v>
      </c>
      <c r="X643" s="12" t="s">
        <v>2689</v>
      </c>
      <c r="Y643" s="10" t="n">
        <f aca="false">G643</f>
        <v>15</v>
      </c>
      <c r="Z643" s="10" t="n">
        <f aca="false">H643</f>
        <v>10</v>
      </c>
      <c r="AA643" s="10" t="n">
        <f aca="false">I643</f>
        <v>8</v>
      </c>
      <c r="AB643" s="10" t="n">
        <f aca="false">J643</f>
        <v>0.3</v>
      </c>
      <c r="AC643" s="9" t="s">
        <v>2712</v>
      </c>
      <c r="AD643" s="9" t="s">
        <v>2775</v>
      </c>
      <c r="AE643" s="9" t="str">
        <f aca="false">IF($AK643=0,"",INDEX('Part types'!$T:$T,$AK643)&amp;"")</f>
        <v>All vehicles</v>
      </c>
      <c r="AF643" s="9" t="str">
        <f aca="false">IF($AK643=0,"",INDEX('Part types'!$U:$U,$AK643)&amp;"")</f>
        <v>Fragile</v>
      </c>
      <c r="AG643" s="9" t="str">
        <f aca="false">IF($AK643=0,"",INDEX('Part types'!$V:$V,$AK643)&amp;"")</f>
        <v>Estimate: size class S</v>
      </c>
      <c r="AH643" s="9" t="str">
        <f aca="false">IF($AK643=0,"",INDEX('Part types'!$W:$W,$AK643)&amp;"")</f>
        <v>Corner Turn Signal Lamp</v>
      </c>
      <c r="AI643" s="11" t="str">
        <f aca="false">IF($AK643=0,"",INDEX('Part types'!$X:$X,$AK643)&amp;"")</f>
        <v/>
      </c>
      <c r="AJ643" s="9" t="str">
        <f aca="false">IF($AK643=0,"",INDEX('Part types'!$Y:$Y,$AK643)&amp;"")</f>
        <v/>
      </c>
      <c r="AK643" s="9" t="n">
        <f aca="false">IFERROR(MATCH($AD643,'Part types'!$E:$E,0),0)</f>
        <v>447</v>
      </c>
    </row>
    <row r="644" customFormat="false" ht="15" hidden="false" customHeight="false" outlineLevel="0" collapsed="false">
      <c r="A644" s="9" t="s">
        <v>2776</v>
      </c>
      <c r="B644" s="9" t="s">
        <v>2703</v>
      </c>
      <c r="C644" s="9" t="s">
        <v>2772</v>
      </c>
      <c r="D644" s="9" t="str">
        <f aca="false">C644&amp;" - "&amp;E644</f>
        <v>Corner Signal Lamp - Right</v>
      </c>
      <c r="E644" s="9" t="s">
        <v>225</v>
      </c>
      <c r="F644" s="9" t="s">
        <v>2685</v>
      </c>
      <c r="G644" s="10" t="n">
        <f aca="false">IF($AK644=0,"",INDEX('Part types'!$P:$P,$AK644))</f>
        <v>15</v>
      </c>
      <c r="H644" s="10" t="n">
        <f aca="false">IF($AK644=0,"",INDEX('Part types'!$Q:$Q,$AK644))</f>
        <v>10</v>
      </c>
      <c r="I644" s="10" t="n">
        <f aca="false">IF($AK644=0,"",INDEX('Part types'!$R:$R,$AK644))</f>
        <v>8</v>
      </c>
      <c r="J644" s="10" t="n">
        <f aca="false">IF($AK644=0,"",INDEX('Part types'!$S:$S,$AK644))</f>
        <v>0.3</v>
      </c>
      <c r="K644" s="11" t="s">
        <v>2706</v>
      </c>
      <c r="L644" s="11" t="s">
        <v>2773</v>
      </c>
      <c r="M644" s="11" t="str">
        <f aca="false">L644&amp;" - "&amp;N644</f>
        <v>إشارة ركنية - يمين</v>
      </c>
      <c r="N644" s="11" t="s">
        <v>226</v>
      </c>
      <c r="O644" s="11" t="s">
        <v>2687</v>
      </c>
      <c r="P644" s="10" t="n">
        <f aca="false">G644</f>
        <v>15</v>
      </c>
      <c r="Q644" s="10" t="n">
        <f aca="false">H644</f>
        <v>10</v>
      </c>
      <c r="R644" s="10" t="n">
        <f aca="false">I644</f>
        <v>8</v>
      </c>
      <c r="S644" s="10" t="n">
        <f aca="false">J644</f>
        <v>0.3</v>
      </c>
      <c r="T644" s="12" t="s">
        <v>2709</v>
      </c>
      <c r="U644" s="12" t="s">
        <v>2774</v>
      </c>
      <c r="V644" s="9" t="str">
        <f aca="false">U644&amp;" - "&amp;W644</f>
        <v>转角灯 - 右侧</v>
      </c>
      <c r="W644" s="12" t="s">
        <v>227</v>
      </c>
      <c r="X644" s="12" t="s">
        <v>2689</v>
      </c>
      <c r="Y644" s="10" t="n">
        <f aca="false">G644</f>
        <v>15</v>
      </c>
      <c r="Z644" s="10" t="n">
        <f aca="false">H644</f>
        <v>10</v>
      </c>
      <c r="AA644" s="10" t="n">
        <f aca="false">I644</f>
        <v>8</v>
      </c>
      <c r="AB644" s="10" t="n">
        <f aca="false">J644</f>
        <v>0.3</v>
      </c>
      <c r="AC644" s="9" t="s">
        <v>2712</v>
      </c>
      <c r="AD644" s="9" t="s">
        <v>2775</v>
      </c>
      <c r="AE644" s="9" t="str">
        <f aca="false">IF($AK644=0,"",INDEX('Part types'!$T:$T,$AK644)&amp;"")</f>
        <v>All vehicles</v>
      </c>
      <c r="AF644" s="9" t="str">
        <f aca="false">IF($AK644=0,"",INDEX('Part types'!$U:$U,$AK644)&amp;"")</f>
        <v>Fragile</v>
      </c>
      <c r="AG644" s="9" t="str">
        <f aca="false">IF($AK644=0,"",INDEX('Part types'!$V:$V,$AK644)&amp;"")</f>
        <v>Estimate: size class S</v>
      </c>
      <c r="AH644" s="9" t="str">
        <f aca="false">IF($AK644=0,"",INDEX('Part types'!$W:$W,$AK644)&amp;"")</f>
        <v>Corner Turn Signal Lamp</v>
      </c>
      <c r="AI644" s="11" t="str">
        <f aca="false">IF($AK644=0,"",INDEX('Part types'!$X:$X,$AK644)&amp;"")</f>
        <v/>
      </c>
      <c r="AJ644" s="9" t="str">
        <f aca="false">IF($AK644=0,"",INDEX('Part types'!$Y:$Y,$AK644)&amp;"")</f>
        <v/>
      </c>
      <c r="AK644" s="9" t="n">
        <f aca="false">IFERROR(MATCH($AD644,'Part types'!$E:$E,0),0)</f>
        <v>447</v>
      </c>
    </row>
    <row r="645" customFormat="false" ht="15" hidden="false" customHeight="false" outlineLevel="0" collapsed="false">
      <c r="A645" s="9" t="s">
        <v>2777</v>
      </c>
      <c r="B645" s="9" t="s">
        <v>2703</v>
      </c>
      <c r="C645" s="9" t="s">
        <v>2778</v>
      </c>
      <c r="D645" s="9" t="str">
        <f aca="false">C645&amp;" - "&amp;E645</f>
        <v>Side Signal Lamp - Left</v>
      </c>
      <c r="E645" s="9" t="s">
        <v>218</v>
      </c>
      <c r="F645" s="9" t="s">
        <v>2779</v>
      </c>
      <c r="G645" s="10" t="n">
        <f aca="false">IF($AK645=0,"",INDEX('Part types'!$P:$P,$AK645))</f>
        <v>15</v>
      </c>
      <c r="H645" s="10" t="n">
        <f aca="false">IF($AK645=0,"",INDEX('Part types'!$Q:$Q,$AK645))</f>
        <v>10</v>
      </c>
      <c r="I645" s="10" t="n">
        <f aca="false">IF($AK645=0,"",INDEX('Part types'!$R:$R,$AK645))</f>
        <v>8</v>
      </c>
      <c r="J645" s="10" t="n">
        <f aca="false">IF($AK645=0,"",INDEX('Part types'!$S:$S,$AK645))</f>
        <v>0.3</v>
      </c>
      <c r="K645" s="11" t="s">
        <v>2706</v>
      </c>
      <c r="L645" s="11" t="s">
        <v>2780</v>
      </c>
      <c r="M645" s="11" t="str">
        <f aca="false">L645&amp;" - "&amp;N645</f>
        <v>إشارة جانبية - يسار</v>
      </c>
      <c r="N645" s="11" t="s">
        <v>220</v>
      </c>
      <c r="O645" s="11" t="s">
        <v>2781</v>
      </c>
      <c r="P645" s="10" t="n">
        <f aca="false">G645</f>
        <v>15</v>
      </c>
      <c r="Q645" s="10" t="n">
        <f aca="false">H645</f>
        <v>10</v>
      </c>
      <c r="R645" s="10" t="n">
        <f aca="false">I645</f>
        <v>8</v>
      </c>
      <c r="S645" s="10" t="n">
        <f aca="false">J645</f>
        <v>0.3</v>
      </c>
      <c r="T645" s="12" t="s">
        <v>2709</v>
      </c>
      <c r="U645" s="12" t="s">
        <v>2782</v>
      </c>
      <c r="V645" s="9" t="str">
        <f aca="false">U645&amp;" - "&amp;W645</f>
        <v>侧转向灯 - 左侧</v>
      </c>
      <c r="W645" s="12" t="s">
        <v>222</v>
      </c>
      <c r="X645" s="12" t="s">
        <v>2783</v>
      </c>
      <c r="Y645" s="10" t="n">
        <f aca="false">G645</f>
        <v>15</v>
      </c>
      <c r="Z645" s="10" t="n">
        <f aca="false">H645</f>
        <v>10</v>
      </c>
      <c r="AA645" s="10" t="n">
        <f aca="false">I645</f>
        <v>8</v>
      </c>
      <c r="AB645" s="10" t="n">
        <f aca="false">J645</f>
        <v>0.3</v>
      </c>
      <c r="AC645" s="9" t="s">
        <v>2712</v>
      </c>
      <c r="AD645" s="9" t="s">
        <v>2784</v>
      </c>
      <c r="AE645" s="9" t="str">
        <f aca="false">IF($AK645=0,"",INDEX('Part types'!$T:$T,$AK645)&amp;"")</f>
        <v>All vehicles</v>
      </c>
      <c r="AF645" s="9" t="str">
        <f aca="false">IF($AK645=0,"",INDEX('Part types'!$U:$U,$AK645)&amp;"")</f>
        <v>Fragile</v>
      </c>
      <c r="AG645" s="9" t="str">
        <f aca="false">IF($AK645=0,"",INDEX('Part types'!$V:$V,$AK645)&amp;"")</f>
        <v>Estimate: size class S</v>
      </c>
      <c r="AH645" s="9" t="str">
        <f aca="false">IF($AK645=0,"",INDEX('Part types'!$W:$W,$AK645)&amp;"")</f>
        <v>Side Turn Signal Lamp</v>
      </c>
      <c r="AI645" s="11" t="str">
        <f aca="false">IF($AK645=0,"",INDEX('Part types'!$X:$X,$AK645)&amp;"")</f>
        <v>على الرفرف</v>
      </c>
      <c r="AJ645" s="9" t="str">
        <f aca="false">IF($AK645=0,"",INDEX('Part types'!$Y:$Y,$AK645)&amp;"")</f>
        <v/>
      </c>
      <c r="AK645" s="9" t="n">
        <f aca="false">IFERROR(MATCH($AD645,'Part types'!$E:$E,0),0)</f>
        <v>448</v>
      </c>
    </row>
    <row r="646" customFormat="false" ht="15" hidden="false" customHeight="false" outlineLevel="0" collapsed="false">
      <c r="A646" s="9" t="s">
        <v>2785</v>
      </c>
      <c r="B646" s="9" t="s">
        <v>2703</v>
      </c>
      <c r="C646" s="9" t="s">
        <v>2778</v>
      </c>
      <c r="D646" s="9" t="str">
        <f aca="false">C646&amp;" - "&amp;E646</f>
        <v>Side Signal Lamp - Right</v>
      </c>
      <c r="E646" s="9" t="s">
        <v>225</v>
      </c>
      <c r="F646" s="9" t="s">
        <v>2779</v>
      </c>
      <c r="G646" s="10" t="n">
        <f aca="false">IF($AK646=0,"",INDEX('Part types'!$P:$P,$AK646))</f>
        <v>15</v>
      </c>
      <c r="H646" s="10" t="n">
        <f aca="false">IF($AK646=0,"",INDEX('Part types'!$Q:$Q,$AK646))</f>
        <v>10</v>
      </c>
      <c r="I646" s="10" t="n">
        <f aca="false">IF($AK646=0,"",INDEX('Part types'!$R:$R,$AK646))</f>
        <v>8</v>
      </c>
      <c r="J646" s="10" t="n">
        <f aca="false">IF($AK646=0,"",INDEX('Part types'!$S:$S,$AK646))</f>
        <v>0.3</v>
      </c>
      <c r="K646" s="11" t="s">
        <v>2706</v>
      </c>
      <c r="L646" s="11" t="s">
        <v>2780</v>
      </c>
      <c r="M646" s="11" t="str">
        <f aca="false">L646&amp;" - "&amp;N646</f>
        <v>إشارة جانبية - يمين</v>
      </c>
      <c r="N646" s="11" t="s">
        <v>226</v>
      </c>
      <c r="O646" s="11" t="s">
        <v>2781</v>
      </c>
      <c r="P646" s="10" t="n">
        <f aca="false">G646</f>
        <v>15</v>
      </c>
      <c r="Q646" s="10" t="n">
        <f aca="false">H646</f>
        <v>10</v>
      </c>
      <c r="R646" s="10" t="n">
        <f aca="false">I646</f>
        <v>8</v>
      </c>
      <c r="S646" s="10" t="n">
        <f aca="false">J646</f>
        <v>0.3</v>
      </c>
      <c r="T646" s="12" t="s">
        <v>2709</v>
      </c>
      <c r="U646" s="12" t="s">
        <v>2782</v>
      </c>
      <c r="V646" s="9" t="str">
        <f aca="false">U646&amp;" - "&amp;W646</f>
        <v>侧转向灯 - 右侧</v>
      </c>
      <c r="W646" s="12" t="s">
        <v>227</v>
      </c>
      <c r="X646" s="12" t="s">
        <v>2783</v>
      </c>
      <c r="Y646" s="10" t="n">
        <f aca="false">G646</f>
        <v>15</v>
      </c>
      <c r="Z646" s="10" t="n">
        <f aca="false">H646</f>
        <v>10</v>
      </c>
      <c r="AA646" s="10" t="n">
        <f aca="false">I646</f>
        <v>8</v>
      </c>
      <c r="AB646" s="10" t="n">
        <f aca="false">J646</f>
        <v>0.3</v>
      </c>
      <c r="AC646" s="9" t="s">
        <v>2712</v>
      </c>
      <c r="AD646" s="9" t="s">
        <v>2784</v>
      </c>
      <c r="AE646" s="9" t="str">
        <f aca="false">IF($AK646=0,"",INDEX('Part types'!$T:$T,$AK646)&amp;"")</f>
        <v>All vehicles</v>
      </c>
      <c r="AF646" s="9" t="str">
        <f aca="false">IF($AK646=0,"",INDEX('Part types'!$U:$U,$AK646)&amp;"")</f>
        <v>Fragile</v>
      </c>
      <c r="AG646" s="9" t="str">
        <f aca="false">IF($AK646=0,"",INDEX('Part types'!$V:$V,$AK646)&amp;"")</f>
        <v>Estimate: size class S</v>
      </c>
      <c r="AH646" s="9" t="str">
        <f aca="false">IF($AK646=0,"",INDEX('Part types'!$W:$W,$AK646)&amp;"")</f>
        <v>Side Turn Signal Lamp</v>
      </c>
      <c r="AI646" s="11" t="str">
        <f aca="false">IF($AK646=0,"",INDEX('Part types'!$X:$X,$AK646)&amp;"")</f>
        <v>على الرفرف</v>
      </c>
      <c r="AJ646" s="9" t="str">
        <f aca="false">IF($AK646=0,"",INDEX('Part types'!$Y:$Y,$AK646)&amp;"")</f>
        <v/>
      </c>
      <c r="AK646" s="9" t="n">
        <f aca="false">IFERROR(MATCH($AD646,'Part types'!$E:$E,0),0)</f>
        <v>448</v>
      </c>
    </row>
    <row r="647" customFormat="false" ht="15" hidden="false" customHeight="false" outlineLevel="0" collapsed="false">
      <c r="A647" s="9" t="s">
        <v>2786</v>
      </c>
      <c r="B647" s="9" t="s">
        <v>2703</v>
      </c>
      <c r="C647" s="9" t="s">
        <v>2787</v>
      </c>
      <c r="D647" s="9" t="str">
        <f aca="false">C647&amp;" - "&amp;E647</f>
        <v>Turn Signal Bulb - Universal</v>
      </c>
      <c r="E647" s="9" t="s">
        <v>68</v>
      </c>
      <c r="F647" s="9" t="s">
        <v>2660</v>
      </c>
      <c r="G647" s="10" t="n">
        <f aca="false">IF($AK647=0,"",INDEX('Part types'!$P:$P,$AK647))</f>
        <v>6</v>
      </c>
      <c r="H647" s="10" t="n">
        <f aca="false">IF($AK647=0,"",INDEX('Part types'!$Q:$Q,$AK647))</f>
        <v>4</v>
      </c>
      <c r="I647" s="10" t="n">
        <f aca="false">IF($AK647=0,"",INDEX('Part types'!$R:$R,$AK647))</f>
        <v>3</v>
      </c>
      <c r="J647" s="10" t="n">
        <f aca="false">IF($AK647=0,"",INDEX('Part types'!$S:$S,$AK647))</f>
        <v>0.02</v>
      </c>
      <c r="K647" s="11" t="s">
        <v>2706</v>
      </c>
      <c r="L647" s="11" t="s">
        <v>2788</v>
      </c>
      <c r="M647" s="11" t="str">
        <f aca="false">L647&amp;" - "&amp;N647</f>
        <v>لمبة الإشارة - عام</v>
      </c>
      <c r="N647" s="11" t="s">
        <v>72</v>
      </c>
      <c r="O647" s="11" t="s">
        <v>2663</v>
      </c>
      <c r="P647" s="10" t="n">
        <f aca="false">G647</f>
        <v>6</v>
      </c>
      <c r="Q647" s="10" t="n">
        <f aca="false">H647</f>
        <v>4</v>
      </c>
      <c r="R647" s="10" t="n">
        <f aca="false">I647</f>
        <v>3</v>
      </c>
      <c r="S647" s="10" t="n">
        <f aca="false">J647</f>
        <v>0.02</v>
      </c>
      <c r="T647" s="12" t="s">
        <v>2709</v>
      </c>
      <c r="U647" s="12" t="s">
        <v>2789</v>
      </c>
      <c r="V647" s="9" t="str">
        <f aca="false">U647&amp;" - "&amp;W647</f>
        <v>转向灯泡 - 通用</v>
      </c>
      <c r="W647" s="12" t="s">
        <v>76</v>
      </c>
      <c r="X647" s="12" t="s">
        <v>2666</v>
      </c>
      <c r="Y647" s="10" t="n">
        <f aca="false">G647</f>
        <v>6</v>
      </c>
      <c r="Z647" s="10" t="n">
        <f aca="false">H647</f>
        <v>4</v>
      </c>
      <c r="AA647" s="10" t="n">
        <f aca="false">I647</f>
        <v>3</v>
      </c>
      <c r="AB647" s="10" t="n">
        <f aca="false">J647</f>
        <v>0.02</v>
      </c>
      <c r="AC647" s="9" t="s">
        <v>2712</v>
      </c>
      <c r="AD647" s="9" t="s">
        <v>2790</v>
      </c>
      <c r="AE647" s="9" t="str">
        <f aca="false">IF($AK647=0,"",INDEX('Part types'!$T:$T,$AK647)&amp;"")</f>
        <v>All vehicles</v>
      </c>
      <c r="AF647" s="9" t="str">
        <f aca="false">IF($AK647=0,"",INDEX('Part types'!$U:$U,$AK647)&amp;"")</f>
        <v/>
      </c>
      <c r="AG647" s="9" t="str">
        <f aca="false">IF($AK647=0,"",INDEX('Part types'!$V:$V,$AK647)&amp;"")</f>
        <v>Estimate: size class T</v>
      </c>
      <c r="AH647" s="9" t="str">
        <f aca="false">IF($AK647=0,"",INDEX('Part types'!$W:$W,$AK647)&amp;"")</f>
        <v/>
      </c>
      <c r="AI647" s="11" t="str">
        <f aca="false">IF($AK647=0,"",INDEX('Part types'!$X:$X,$AK647)&amp;"")</f>
        <v/>
      </c>
      <c r="AJ647" s="9" t="str">
        <f aca="false">IF($AK647=0,"",INDEX('Part types'!$Y:$Y,$AK647)&amp;"")</f>
        <v/>
      </c>
      <c r="AK647" s="9" t="n">
        <f aca="false">IFERROR(MATCH($AD647,'Part types'!$E:$E,0),0)</f>
        <v>449</v>
      </c>
    </row>
    <row r="648" customFormat="false" ht="15" hidden="false" customHeight="false" outlineLevel="0" collapsed="false">
      <c r="A648" s="9" t="s">
        <v>2791</v>
      </c>
      <c r="B648" s="9" t="s">
        <v>2703</v>
      </c>
      <c r="C648" s="9" t="s">
        <v>2792</v>
      </c>
      <c r="D648" s="9" t="str">
        <f aca="false">C648&amp;" - "&amp;E648</f>
        <v>Tail Lamp Assembly - Left</v>
      </c>
      <c r="E648" s="9" t="s">
        <v>218</v>
      </c>
      <c r="F648" s="9" t="s">
        <v>2793</v>
      </c>
      <c r="G648" s="10" t="n">
        <f aca="false">IF($AK648=0,"",INDEX('Part types'!$P:$P,$AK648))</f>
        <v>55</v>
      </c>
      <c r="H648" s="10" t="n">
        <f aca="false">IF($AK648=0,"",INDEX('Part types'!$Q:$Q,$AK648))</f>
        <v>25</v>
      </c>
      <c r="I648" s="10" t="n">
        <f aca="false">IF($AK648=0,"",INDEX('Part types'!$R:$R,$AK648))</f>
        <v>20</v>
      </c>
      <c r="J648" s="10" t="n">
        <f aca="false">IF($AK648=0,"",INDEX('Part types'!$S:$S,$AK648))</f>
        <v>2.2</v>
      </c>
      <c r="K648" s="11" t="s">
        <v>2706</v>
      </c>
      <c r="L648" s="11" t="s">
        <v>2794</v>
      </c>
      <c r="M648" s="11" t="str">
        <f aca="false">L648&amp;" - "&amp;N648</f>
        <v>مصباح خلفي كامل - يسار</v>
      </c>
      <c r="N648" s="11" t="s">
        <v>220</v>
      </c>
      <c r="O648" s="11" t="s">
        <v>2795</v>
      </c>
      <c r="P648" s="10" t="n">
        <f aca="false">G648</f>
        <v>55</v>
      </c>
      <c r="Q648" s="10" t="n">
        <f aca="false">H648</f>
        <v>25</v>
      </c>
      <c r="R648" s="10" t="n">
        <f aca="false">I648</f>
        <v>20</v>
      </c>
      <c r="S648" s="10" t="n">
        <f aca="false">J648</f>
        <v>2.2</v>
      </c>
      <c r="T648" s="12" t="s">
        <v>2709</v>
      </c>
      <c r="U648" s="12" t="s">
        <v>2796</v>
      </c>
      <c r="V648" s="9" t="str">
        <f aca="false">U648&amp;" - "&amp;W648</f>
        <v>尾灯总成 - 左侧</v>
      </c>
      <c r="W648" s="12" t="s">
        <v>222</v>
      </c>
      <c r="X648" s="12" t="s">
        <v>2797</v>
      </c>
      <c r="Y648" s="10" t="n">
        <f aca="false">G648</f>
        <v>55</v>
      </c>
      <c r="Z648" s="10" t="n">
        <f aca="false">H648</f>
        <v>25</v>
      </c>
      <c r="AA648" s="10" t="n">
        <f aca="false">I648</f>
        <v>20</v>
      </c>
      <c r="AB648" s="10" t="n">
        <f aca="false">J648</f>
        <v>2.2</v>
      </c>
      <c r="AC648" s="9" t="s">
        <v>2712</v>
      </c>
      <c r="AD648" s="9" t="s">
        <v>2798</v>
      </c>
      <c r="AE648" s="9" t="str">
        <f aca="false">IF($AK648=0,"",INDEX('Part types'!$T:$T,$AK648)&amp;"")</f>
        <v>All vehicles</v>
      </c>
      <c r="AF648" s="9" t="str">
        <f aca="false">IF($AK648=0,"",INDEX('Part types'!$U:$U,$AK648)&amp;"")</f>
        <v>Fragile</v>
      </c>
      <c r="AG648" s="9" t="str">
        <f aca="false">IF($AK648=0,"",INDEX('Part types'!$V:$V,$AK648)&amp;"")</f>
        <v>Estimate: item-specific</v>
      </c>
      <c r="AH648" s="9" t="str">
        <f aca="false">IF($AK648=0,"",INDEX('Part types'!$W:$W,$AK648)&amp;"")</f>
        <v/>
      </c>
      <c r="AI648" s="11" t="str">
        <f aca="false">IF($AK648=0,"",INDEX('Part types'!$X:$X,$AK648)&amp;"")</f>
        <v/>
      </c>
      <c r="AJ648" s="9" t="str">
        <f aca="false">IF($AK648=0,"",INDEX('Part types'!$Y:$Y,$AK648)&amp;"")</f>
        <v/>
      </c>
      <c r="AK648" s="9" t="n">
        <f aca="false">IFERROR(MATCH($AD648,'Part types'!$E:$E,0),0)</f>
        <v>450</v>
      </c>
    </row>
    <row r="649" customFormat="false" ht="15" hidden="false" customHeight="false" outlineLevel="0" collapsed="false">
      <c r="A649" s="9" t="s">
        <v>2799</v>
      </c>
      <c r="B649" s="9" t="s">
        <v>2703</v>
      </c>
      <c r="C649" s="9" t="s">
        <v>2792</v>
      </c>
      <c r="D649" s="9" t="str">
        <f aca="false">C649&amp;" - "&amp;E649</f>
        <v>Tail Lamp Assembly - Right</v>
      </c>
      <c r="E649" s="9" t="s">
        <v>225</v>
      </c>
      <c r="F649" s="9" t="s">
        <v>2793</v>
      </c>
      <c r="G649" s="10" t="n">
        <f aca="false">IF($AK649=0,"",INDEX('Part types'!$P:$P,$AK649))</f>
        <v>55</v>
      </c>
      <c r="H649" s="10" t="n">
        <f aca="false">IF($AK649=0,"",INDEX('Part types'!$Q:$Q,$AK649))</f>
        <v>25</v>
      </c>
      <c r="I649" s="10" t="n">
        <f aca="false">IF($AK649=0,"",INDEX('Part types'!$R:$R,$AK649))</f>
        <v>20</v>
      </c>
      <c r="J649" s="10" t="n">
        <f aca="false">IF($AK649=0,"",INDEX('Part types'!$S:$S,$AK649))</f>
        <v>2.2</v>
      </c>
      <c r="K649" s="11" t="s">
        <v>2706</v>
      </c>
      <c r="L649" s="11" t="s">
        <v>2794</v>
      </c>
      <c r="M649" s="11" t="str">
        <f aca="false">L649&amp;" - "&amp;N649</f>
        <v>مصباح خلفي كامل - يمين</v>
      </c>
      <c r="N649" s="11" t="s">
        <v>226</v>
      </c>
      <c r="O649" s="11" t="s">
        <v>2795</v>
      </c>
      <c r="P649" s="10" t="n">
        <f aca="false">G649</f>
        <v>55</v>
      </c>
      <c r="Q649" s="10" t="n">
        <f aca="false">H649</f>
        <v>25</v>
      </c>
      <c r="R649" s="10" t="n">
        <f aca="false">I649</f>
        <v>20</v>
      </c>
      <c r="S649" s="10" t="n">
        <f aca="false">J649</f>
        <v>2.2</v>
      </c>
      <c r="T649" s="12" t="s">
        <v>2709</v>
      </c>
      <c r="U649" s="12" t="s">
        <v>2796</v>
      </c>
      <c r="V649" s="9" t="str">
        <f aca="false">U649&amp;" - "&amp;W649</f>
        <v>尾灯总成 - 右侧</v>
      </c>
      <c r="W649" s="12" t="s">
        <v>227</v>
      </c>
      <c r="X649" s="12" t="s">
        <v>2797</v>
      </c>
      <c r="Y649" s="10" t="n">
        <f aca="false">G649</f>
        <v>55</v>
      </c>
      <c r="Z649" s="10" t="n">
        <f aca="false">H649</f>
        <v>25</v>
      </c>
      <c r="AA649" s="10" t="n">
        <f aca="false">I649</f>
        <v>20</v>
      </c>
      <c r="AB649" s="10" t="n">
        <f aca="false">J649</f>
        <v>2.2</v>
      </c>
      <c r="AC649" s="9" t="s">
        <v>2712</v>
      </c>
      <c r="AD649" s="9" t="s">
        <v>2798</v>
      </c>
      <c r="AE649" s="9" t="str">
        <f aca="false">IF($AK649=0,"",INDEX('Part types'!$T:$T,$AK649)&amp;"")</f>
        <v>All vehicles</v>
      </c>
      <c r="AF649" s="9" t="str">
        <f aca="false">IF($AK649=0,"",INDEX('Part types'!$U:$U,$AK649)&amp;"")</f>
        <v>Fragile</v>
      </c>
      <c r="AG649" s="9" t="str">
        <f aca="false">IF($AK649=0,"",INDEX('Part types'!$V:$V,$AK649)&amp;"")</f>
        <v>Estimate: item-specific</v>
      </c>
      <c r="AH649" s="9" t="str">
        <f aca="false">IF($AK649=0,"",INDEX('Part types'!$W:$W,$AK649)&amp;"")</f>
        <v/>
      </c>
      <c r="AI649" s="11" t="str">
        <f aca="false">IF($AK649=0,"",INDEX('Part types'!$X:$X,$AK649)&amp;"")</f>
        <v/>
      </c>
      <c r="AJ649" s="9" t="str">
        <f aca="false">IF($AK649=0,"",INDEX('Part types'!$Y:$Y,$AK649)&amp;"")</f>
        <v/>
      </c>
      <c r="AK649" s="9" t="n">
        <f aca="false">IFERROR(MATCH($AD649,'Part types'!$E:$E,0),0)</f>
        <v>450</v>
      </c>
    </row>
    <row r="650" customFormat="false" ht="15" hidden="false" customHeight="false" outlineLevel="0" collapsed="false">
      <c r="A650" s="9" t="s">
        <v>2800</v>
      </c>
      <c r="B650" s="9" t="s">
        <v>2703</v>
      </c>
      <c r="C650" s="9" t="s">
        <v>2801</v>
      </c>
      <c r="D650" s="9" t="str">
        <f aca="false">C650&amp;" - "&amp;E650</f>
        <v>Tail Lamp Bulb - Universal</v>
      </c>
      <c r="E650" s="9" t="s">
        <v>68</v>
      </c>
      <c r="F650" s="9" t="s">
        <v>2793</v>
      </c>
      <c r="G650" s="10" t="n">
        <f aca="false">IF($AK650=0,"",INDEX('Part types'!$P:$P,$AK650))</f>
        <v>6</v>
      </c>
      <c r="H650" s="10" t="n">
        <f aca="false">IF($AK650=0,"",INDEX('Part types'!$Q:$Q,$AK650))</f>
        <v>4</v>
      </c>
      <c r="I650" s="10" t="n">
        <f aca="false">IF($AK650=0,"",INDEX('Part types'!$R:$R,$AK650))</f>
        <v>3</v>
      </c>
      <c r="J650" s="10" t="n">
        <f aca="false">IF($AK650=0,"",INDEX('Part types'!$S:$S,$AK650))</f>
        <v>0.02</v>
      </c>
      <c r="K650" s="11" t="s">
        <v>2706</v>
      </c>
      <c r="L650" s="11" t="s">
        <v>2802</v>
      </c>
      <c r="M650" s="11" t="str">
        <f aca="false">L650&amp;" - "&amp;N650</f>
        <v>لمبة المصباح الخلفي - عام</v>
      </c>
      <c r="N650" s="11" t="s">
        <v>72</v>
      </c>
      <c r="O650" s="11" t="s">
        <v>2795</v>
      </c>
      <c r="P650" s="10" t="n">
        <f aca="false">G650</f>
        <v>6</v>
      </c>
      <c r="Q650" s="10" t="n">
        <f aca="false">H650</f>
        <v>4</v>
      </c>
      <c r="R650" s="10" t="n">
        <f aca="false">I650</f>
        <v>3</v>
      </c>
      <c r="S650" s="10" t="n">
        <f aca="false">J650</f>
        <v>0.02</v>
      </c>
      <c r="T650" s="12" t="s">
        <v>2709</v>
      </c>
      <c r="U650" s="12" t="s">
        <v>2803</v>
      </c>
      <c r="V650" s="9" t="str">
        <f aca="false">U650&amp;" - "&amp;W650</f>
        <v>尾灯灯泡 - 通用</v>
      </c>
      <c r="W650" s="12" t="s">
        <v>76</v>
      </c>
      <c r="X650" s="12" t="s">
        <v>2797</v>
      </c>
      <c r="Y650" s="10" t="n">
        <f aca="false">G650</f>
        <v>6</v>
      </c>
      <c r="Z650" s="10" t="n">
        <f aca="false">H650</f>
        <v>4</v>
      </c>
      <c r="AA650" s="10" t="n">
        <f aca="false">I650</f>
        <v>3</v>
      </c>
      <c r="AB650" s="10" t="n">
        <f aca="false">J650</f>
        <v>0.02</v>
      </c>
      <c r="AC650" s="9" t="s">
        <v>2712</v>
      </c>
      <c r="AD650" s="9" t="s">
        <v>2804</v>
      </c>
      <c r="AE650" s="9" t="str">
        <f aca="false">IF($AK650=0,"",INDEX('Part types'!$T:$T,$AK650)&amp;"")</f>
        <v>All vehicles</v>
      </c>
      <c r="AF650" s="9" t="str">
        <f aca="false">IF($AK650=0,"",INDEX('Part types'!$U:$U,$AK650)&amp;"")</f>
        <v/>
      </c>
      <c r="AG650" s="9" t="str">
        <f aca="false">IF($AK650=0,"",INDEX('Part types'!$V:$V,$AK650)&amp;"")</f>
        <v>Estimate: size class T</v>
      </c>
      <c r="AH650" s="9" t="str">
        <f aca="false">IF($AK650=0,"",INDEX('Part types'!$W:$W,$AK650)&amp;"")</f>
        <v/>
      </c>
      <c r="AI650" s="11" t="str">
        <f aca="false">IF($AK650=0,"",INDEX('Part types'!$X:$X,$AK650)&amp;"")</f>
        <v/>
      </c>
      <c r="AJ650" s="9" t="str">
        <f aca="false">IF($AK650=0,"",INDEX('Part types'!$Y:$Y,$AK650)&amp;"")</f>
        <v/>
      </c>
      <c r="AK650" s="9" t="n">
        <f aca="false">IFERROR(MATCH($AD650,'Part types'!$E:$E,0),0)</f>
        <v>451</v>
      </c>
    </row>
    <row r="651" customFormat="false" ht="15" hidden="false" customHeight="false" outlineLevel="0" collapsed="false">
      <c r="A651" s="9" t="s">
        <v>2805</v>
      </c>
      <c r="B651" s="9" t="s">
        <v>2703</v>
      </c>
      <c r="C651" s="9" t="s">
        <v>2806</v>
      </c>
      <c r="D651" s="9" t="str">
        <f aca="false">C651&amp;" - "&amp;E651</f>
        <v>Tail Bulb Holder - Left</v>
      </c>
      <c r="E651" s="9" t="s">
        <v>218</v>
      </c>
      <c r="F651" s="9" t="s">
        <v>2793</v>
      </c>
      <c r="G651" s="10" t="n">
        <f aca="false">IF($AK651=0,"",INDEX('Part types'!$P:$P,$AK651))</f>
        <v>10</v>
      </c>
      <c r="H651" s="10" t="n">
        <f aca="false">IF($AK651=0,"",INDEX('Part types'!$Q:$Q,$AK651))</f>
        <v>8</v>
      </c>
      <c r="I651" s="10" t="n">
        <f aca="false">IF($AK651=0,"",INDEX('Part types'!$R:$R,$AK651))</f>
        <v>6</v>
      </c>
      <c r="J651" s="10" t="n">
        <f aca="false">IF($AK651=0,"",INDEX('Part types'!$S:$S,$AK651))</f>
        <v>0.1</v>
      </c>
      <c r="K651" s="11" t="s">
        <v>2706</v>
      </c>
      <c r="L651" s="11" t="s">
        <v>2807</v>
      </c>
      <c r="M651" s="11" t="str">
        <f aca="false">L651&amp;" - "&amp;N651</f>
        <v>قاعدة لمبة المصباح الخلفي - يسار</v>
      </c>
      <c r="N651" s="11" t="s">
        <v>220</v>
      </c>
      <c r="O651" s="11" t="s">
        <v>2795</v>
      </c>
      <c r="P651" s="10" t="n">
        <f aca="false">G651</f>
        <v>10</v>
      </c>
      <c r="Q651" s="10" t="n">
        <f aca="false">H651</f>
        <v>8</v>
      </c>
      <c r="R651" s="10" t="n">
        <f aca="false">I651</f>
        <v>6</v>
      </c>
      <c r="S651" s="10" t="n">
        <f aca="false">J651</f>
        <v>0.1</v>
      </c>
      <c r="T651" s="12" t="s">
        <v>2709</v>
      </c>
      <c r="U651" s="12" t="s">
        <v>2808</v>
      </c>
      <c r="V651" s="9" t="str">
        <f aca="false">U651&amp;" - "&amp;W651</f>
        <v>尾灯灯座 - 左侧</v>
      </c>
      <c r="W651" s="12" t="s">
        <v>222</v>
      </c>
      <c r="X651" s="12" t="s">
        <v>2797</v>
      </c>
      <c r="Y651" s="10" t="n">
        <f aca="false">G651</f>
        <v>10</v>
      </c>
      <c r="Z651" s="10" t="n">
        <f aca="false">H651</f>
        <v>8</v>
      </c>
      <c r="AA651" s="10" t="n">
        <f aca="false">I651</f>
        <v>6</v>
      </c>
      <c r="AB651" s="10" t="n">
        <f aca="false">J651</f>
        <v>0.1</v>
      </c>
      <c r="AC651" s="9" t="s">
        <v>2712</v>
      </c>
      <c r="AD651" s="9" t="s">
        <v>2809</v>
      </c>
      <c r="AE651" s="9" t="str">
        <f aca="false">IF($AK651=0,"",INDEX('Part types'!$T:$T,$AK651)&amp;"")</f>
        <v>All vehicles</v>
      </c>
      <c r="AF651" s="9" t="str">
        <f aca="false">IF($AK651=0,"",INDEX('Part types'!$U:$U,$AK651)&amp;"")</f>
        <v/>
      </c>
      <c r="AG651" s="9" t="str">
        <f aca="false">IF($AK651=0,"",INDEX('Part types'!$V:$V,$AK651)&amp;"")</f>
        <v>Estimate: size class XS</v>
      </c>
      <c r="AH651" s="9" t="str">
        <f aca="false">IF($AK651=0,"",INDEX('Part types'!$W:$W,$AK651)&amp;"")</f>
        <v>Tail Lamp Bulb Holder</v>
      </c>
      <c r="AI651" s="11" t="str">
        <f aca="false">IF($AK651=0,"",INDEX('Part types'!$X:$X,$AK651)&amp;"")</f>
        <v/>
      </c>
      <c r="AJ651" s="9" t="str">
        <f aca="false">IF($AK651=0,"",INDEX('Part types'!$Y:$Y,$AK651)&amp;"")</f>
        <v/>
      </c>
      <c r="AK651" s="9" t="n">
        <f aca="false">IFERROR(MATCH($AD651,'Part types'!$E:$E,0),0)</f>
        <v>452</v>
      </c>
    </row>
    <row r="652" customFormat="false" ht="15" hidden="false" customHeight="false" outlineLevel="0" collapsed="false">
      <c r="A652" s="9" t="s">
        <v>2810</v>
      </c>
      <c r="B652" s="9" t="s">
        <v>2703</v>
      </c>
      <c r="C652" s="9" t="s">
        <v>2806</v>
      </c>
      <c r="D652" s="9" t="str">
        <f aca="false">C652&amp;" - "&amp;E652</f>
        <v>Tail Bulb Holder - Right</v>
      </c>
      <c r="E652" s="9" t="s">
        <v>225</v>
      </c>
      <c r="F652" s="9" t="s">
        <v>2793</v>
      </c>
      <c r="G652" s="10" t="n">
        <f aca="false">IF($AK652=0,"",INDEX('Part types'!$P:$P,$AK652))</f>
        <v>10</v>
      </c>
      <c r="H652" s="10" t="n">
        <f aca="false">IF($AK652=0,"",INDEX('Part types'!$Q:$Q,$AK652))</f>
        <v>8</v>
      </c>
      <c r="I652" s="10" t="n">
        <f aca="false">IF($AK652=0,"",INDEX('Part types'!$R:$R,$AK652))</f>
        <v>6</v>
      </c>
      <c r="J652" s="10" t="n">
        <f aca="false">IF($AK652=0,"",INDEX('Part types'!$S:$S,$AK652))</f>
        <v>0.1</v>
      </c>
      <c r="K652" s="11" t="s">
        <v>2706</v>
      </c>
      <c r="L652" s="11" t="s">
        <v>2807</v>
      </c>
      <c r="M652" s="11" t="str">
        <f aca="false">L652&amp;" - "&amp;N652</f>
        <v>قاعدة لمبة المصباح الخلفي - يمين</v>
      </c>
      <c r="N652" s="11" t="s">
        <v>226</v>
      </c>
      <c r="O652" s="11" t="s">
        <v>2795</v>
      </c>
      <c r="P652" s="10" t="n">
        <f aca="false">G652</f>
        <v>10</v>
      </c>
      <c r="Q652" s="10" t="n">
        <f aca="false">H652</f>
        <v>8</v>
      </c>
      <c r="R652" s="10" t="n">
        <f aca="false">I652</f>
        <v>6</v>
      </c>
      <c r="S652" s="10" t="n">
        <f aca="false">J652</f>
        <v>0.1</v>
      </c>
      <c r="T652" s="12" t="s">
        <v>2709</v>
      </c>
      <c r="U652" s="12" t="s">
        <v>2808</v>
      </c>
      <c r="V652" s="9" t="str">
        <f aca="false">U652&amp;" - "&amp;W652</f>
        <v>尾灯灯座 - 右侧</v>
      </c>
      <c r="W652" s="12" t="s">
        <v>227</v>
      </c>
      <c r="X652" s="12" t="s">
        <v>2797</v>
      </c>
      <c r="Y652" s="10" t="n">
        <f aca="false">G652</f>
        <v>10</v>
      </c>
      <c r="Z652" s="10" t="n">
        <f aca="false">H652</f>
        <v>8</v>
      </c>
      <c r="AA652" s="10" t="n">
        <f aca="false">I652</f>
        <v>6</v>
      </c>
      <c r="AB652" s="10" t="n">
        <f aca="false">J652</f>
        <v>0.1</v>
      </c>
      <c r="AC652" s="9" t="s">
        <v>2712</v>
      </c>
      <c r="AD652" s="9" t="s">
        <v>2809</v>
      </c>
      <c r="AE652" s="9" t="str">
        <f aca="false">IF($AK652=0,"",INDEX('Part types'!$T:$T,$AK652)&amp;"")</f>
        <v>All vehicles</v>
      </c>
      <c r="AF652" s="9" t="str">
        <f aca="false">IF($AK652=0,"",INDEX('Part types'!$U:$U,$AK652)&amp;"")</f>
        <v/>
      </c>
      <c r="AG652" s="9" t="str">
        <f aca="false">IF($AK652=0,"",INDEX('Part types'!$V:$V,$AK652)&amp;"")</f>
        <v>Estimate: size class XS</v>
      </c>
      <c r="AH652" s="9" t="str">
        <f aca="false">IF($AK652=0,"",INDEX('Part types'!$W:$W,$AK652)&amp;"")</f>
        <v>Tail Lamp Bulb Holder</v>
      </c>
      <c r="AI652" s="11" t="str">
        <f aca="false">IF($AK652=0,"",INDEX('Part types'!$X:$X,$AK652)&amp;"")</f>
        <v/>
      </c>
      <c r="AJ652" s="9" t="str">
        <f aca="false">IF($AK652=0,"",INDEX('Part types'!$Y:$Y,$AK652)&amp;"")</f>
        <v/>
      </c>
      <c r="AK652" s="9" t="n">
        <f aca="false">IFERROR(MATCH($AD652,'Part types'!$E:$E,0),0)</f>
        <v>452</v>
      </c>
    </row>
    <row r="653" customFormat="false" ht="15" hidden="false" customHeight="false" outlineLevel="0" collapsed="false">
      <c r="A653" s="9" t="s">
        <v>2811</v>
      </c>
      <c r="B653" s="9" t="s">
        <v>2703</v>
      </c>
      <c r="C653" s="9" t="s">
        <v>2812</v>
      </c>
      <c r="D653" s="9" t="str">
        <f aca="false">C653&amp;" - "&amp;E653</f>
        <v>High-Mount Brake Lamp - Universal</v>
      </c>
      <c r="E653" s="9" t="s">
        <v>68</v>
      </c>
      <c r="F653" s="9" t="s">
        <v>2813</v>
      </c>
      <c r="G653" s="10" t="n">
        <f aca="false">IF($AK653=0,"",INDEX('Part types'!$P:$P,$AK653))</f>
        <v>15</v>
      </c>
      <c r="H653" s="10" t="n">
        <f aca="false">IF($AK653=0,"",INDEX('Part types'!$Q:$Q,$AK653))</f>
        <v>10</v>
      </c>
      <c r="I653" s="10" t="n">
        <f aca="false">IF($AK653=0,"",INDEX('Part types'!$R:$R,$AK653))</f>
        <v>8</v>
      </c>
      <c r="J653" s="10" t="n">
        <f aca="false">IF($AK653=0,"",INDEX('Part types'!$S:$S,$AK653))</f>
        <v>0.3</v>
      </c>
      <c r="K653" s="11" t="s">
        <v>2706</v>
      </c>
      <c r="L653" s="11" t="s">
        <v>2814</v>
      </c>
      <c r="M653" s="11" t="str">
        <f aca="false">L653&amp;" - "&amp;N653</f>
        <v>ضوء الفرامل العلوي - عام</v>
      </c>
      <c r="N653" s="11" t="s">
        <v>72</v>
      </c>
      <c r="O653" s="11" t="s">
        <v>2815</v>
      </c>
      <c r="P653" s="10" t="n">
        <f aca="false">G653</f>
        <v>15</v>
      </c>
      <c r="Q653" s="10" t="n">
        <f aca="false">H653</f>
        <v>10</v>
      </c>
      <c r="R653" s="10" t="n">
        <f aca="false">I653</f>
        <v>8</v>
      </c>
      <c r="S653" s="10" t="n">
        <f aca="false">J653</f>
        <v>0.3</v>
      </c>
      <c r="T653" s="12" t="s">
        <v>2709</v>
      </c>
      <c r="U653" s="12" t="s">
        <v>2816</v>
      </c>
      <c r="V653" s="9" t="str">
        <f aca="false">U653&amp;" - "&amp;W653</f>
        <v>高位刹车灯 - 通用</v>
      </c>
      <c r="W653" s="12" t="s">
        <v>76</v>
      </c>
      <c r="X653" s="12" t="s">
        <v>2817</v>
      </c>
      <c r="Y653" s="10" t="n">
        <f aca="false">G653</f>
        <v>15</v>
      </c>
      <c r="Z653" s="10" t="n">
        <f aca="false">H653</f>
        <v>10</v>
      </c>
      <c r="AA653" s="10" t="n">
        <f aca="false">I653</f>
        <v>8</v>
      </c>
      <c r="AB653" s="10" t="n">
        <f aca="false">J653</f>
        <v>0.3</v>
      </c>
      <c r="AC653" s="9" t="s">
        <v>2712</v>
      </c>
      <c r="AD653" s="9" t="s">
        <v>2818</v>
      </c>
      <c r="AE653" s="9" t="str">
        <f aca="false">IF($AK653=0,"",INDEX('Part types'!$T:$T,$AK653)&amp;"")</f>
        <v>All vehicles</v>
      </c>
      <c r="AF653" s="9" t="str">
        <f aca="false">IF($AK653=0,"",INDEX('Part types'!$U:$U,$AK653)&amp;"")</f>
        <v>Fragile</v>
      </c>
      <c r="AG653" s="9" t="str">
        <f aca="false">IF($AK653=0,"",INDEX('Part types'!$V:$V,$AK653)&amp;"")</f>
        <v>Estimate: size class S</v>
      </c>
      <c r="AH653" s="9" t="str">
        <f aca="false">IF($AK653=0,"",INDEX('Part types'!$W:$W,$AK653)&amp;"")</f>
        <v/>
      </c>
      <c r="AI653" s="11" t="str">
        <f aca="false">IF($AK653=0,"",INDEX('Part types'!$X:$X,$AK653)&amp;"")</f>
        <v>الثالث</v>
      </c>
      <c r="AJ653" s="9" t="str">
        <f aca="false">IF($AK653=0,"",INDEX('Part types'!$Y:$Y,$AK653)&amp;"")</f>
        <v/>
      </c>
      <c r="AK653" s="9" t="n">
        <f aca="false">IFERROR(MATCH($AD653,'Part types'!$E:$E,0),0)</f>
        <v>453</v>
      </c>
    </row>
    <row r="654" customFormat="false" ht="15" hidden="false" customHeight="false" outlineLevel="0" collapsed="false">
      <c r="A654" s="9" t="s">
        <v>2819</v>
      </c>
      <c r="B654" s="9" t="s">
        <v>2703</v>
      </c>
      <c r="C654" s="9" t="s">
        <v>2820</v>
      </c>
      <c r="D654" s="9" t="str">
        <f aca="false">C654&amp;" - "&amp;E654</f>
        <v>Reverse Lamp - Left</v>
      </c>
      <c r="E654" s="9" t="s">
        <v>218</v>
      </c>
      <c r="F654" s="9" t="s">
        <v>704</v>
      </c>
      <c r="G654" s="10" t="n">
        <f aca="false">IF($AK654=0,"",INDEX('Part types'!$P:$P,$AK654))</f>
        <v>15</v>
      </c>
      <c r="H654" s="10" t="n">
        <f aca="false">IF($AK654=0,"",INDEX('Part types'!$Q:$Q,$AK654))</f>
        <v>10</v>
      </c>
      <c r="I654" s="10" t="n">
        <f aca="false">IF($AK654=0,"",INDEX('Part types'!$R:$R,$AK654))</f>
        <v>8</v>
      </c>
      <c r="J654" s="10" t="n">
        <f aca="false">IF($AK654=0,"",INDEX('Part types'!$S:$S,$AK654))</f>
        <v>0.3</v>
      </c>
      <c r="K654" s="11" t="s">
        <v>2706</v>
      </c>
      <c r="L654" s="11" t="s">
        <v>2821</v>
      </c>
      <c r="M654" s="11" t="str">
        <f aca="false">L654&amp;" - "&amp;N654</f>
        <v>ضوء الرجوع - يسار</v>
      </c>
      <c r="N654" s="11" t="s">
        <v>220</v>
      </c>
      <c r="O654" s="11" t="s">
        <v>706</v>
      </c>
      <c r="P654" s="10" t="n">
        <f aca="false">G654</f>
        <v>15</v>
      </c>
      <c r="Q654" s="10" t="n">
        <f aca="false">H654</f>
        <v>10</v>
      </c>
      <c r="R654" s="10" t="n">
        <f aca="false">I654</f>
        <v>8</v>
      </c>
      <c r="S654" s="10" t="n">
        <f aca="false">J654</f>
        <v>0.3</v>
      </c>
      <c r="T654" s="12" t="s">
        <v>2709</v>
      </c>
      <c r="U654" s="12" t="s">
        <v>2822</v>
      </c>
      <c r="V654" s="9" t="str">
        <f aca="false">U654&amp;" - "&amp;W654</f>
        <v>倒车灯 - 左侧</v>
      </c>
      <c r="W654" s="12" t="s">
        <v>222</v>
      </c>
      <c r="X654" s="12" t="s">
        <v>708</v>
      </c>
      <c r="Y654" s="10" t="n">
        <f aca="false">G654</f>
        <v>15</v>
      </c>
      <c r="Z654" s="10" t="n">
        <f aca="false">H654</f>
        <v>10</v>
      </c>
      <c r="AA654" s="10" t="n">
        <f aca="false">I654</f>
        <v>8</v>
      </c>
      <c r="AB654" s="10" t="n">
        <f aca="false">J654</f>
        <v>0.3</v>
      </c>
      <c r="AC654" s="9" t="s">
        <v>2712</v>
      </c>
      <c r="AD654" s="9" t="s">
        <v>2823</v>
      </c>
      <c r="AE654" s="9" t="str">
        <f aca="false">IF($AK654=0,"",INDEX('Part types'!$T:$T,$AK654)&amp;"")</f>
        <v>All vehicles</v>
      </c>
      <c r="AF654" s="9" t="str">
        <f aca="false">IF($AK654=0,"",INDEX('Part types'!$U:$U,$AK654)&amp;"")</f>
        <v>Fragile</v>
      </c>
      <c r="AG654" s="9" t="str">
        <f aca="false">IF($AK654=0,"",INDEX('Part types'!$V:$V,$AK654)&amp;"")</f>
        <v>Estimate: size class S</v>
      </c>
      <c r="AH654" s="9" t="str">
        <f aca="false">IF($AK654=0,"",INDEX('Part types'!$W:$W,$AK654)&amp;"")</f>
        <v/>
      </c>
      <c r="AI654" s="11" t="str">
        <f aca="false">IF($AK654=0,"",INDEX('Part types'!$X:$X,$AK654)&amp;"")</f>
        <v/>
      </c>
      <c r="AJ654" s="9" t="str">
        <f aca="false">IF($AK654=0,"",INDEX('Part types'!$Y:$Y,$AK654)&amp;"")</f>
        <v/>
      </c>
      <c r="AK654" s="9" t="n">
        <f aca="false">IFERROR(MATCH($AD654,'Part types'!$E:$E,0),0)</f>
        <v>454</v>
      </c>
    </row>
    <row r="655" customFormat="false" ht="15" hidden="false" customHeight="false" outlineLevel="0" collapsed="false">
      <c r="A655" s="9" t="s">
        <v>2824</v>
      </c>
      <c r="B655" s="9" t="s">
        <v>2703</v>
      </c>
      <c r="C655" s="9" t="s">
        <v>2820</v>
      </c>
      <c r="D655" s="9" t="str">
        <f aca="false">C655&amp;" - "&amp;E655</f>
        <v>Reverse Lamp - Right</v>
      </c>
      <c r="E655" s="9" t="s">
        <v>225</v>
      </c>
      <c r="F655" s="9" t="s">
        <v>704</v>
      </c>
      <c r="G655" s="10" t="n">
        <f aca="false">IF($AK655=0,"",INDEX('Part types'!$P:$P,$AK655))</f>
        <v>15</v>
      </c>
      <c r="H655" s="10" t="n">
        <f aca="false">IF($AK655=0,"",INDEX('Part types'!$Q:$Q,$AK655))</f>
        <v>10</v>
      </c>
      <c r="I655" s="10" t="n">
        <f aca="false">IF($AK655=0,"",INDEX('Part types'!$R:$R,$AK655))</f>
        <v>8</v>
      </c>
      <c r="J655" s="10" t="n">
        <f aca="false">IF($AK655=0,"",INDEX('Part types'!$S:$S,$AK655))</f>
        <v>0.3</v>
      </c>
      <c r="K655" s="11" t="s">
        <v>2706</v>
      </c>
      <c r="L655" s="11" t="s">
        <v>2821</v>
      </c>
      <c r="M655" s="11" t="str">
        <f aca="false">L655&amp;" - "&amp;N655</f>
        <v>ضوء الرجوع - يمين</v>
      </c>
      <c r="N655" s="11" t="s">
        <v>226</v>
      </c>
      <c r="O655" s="11" t="s">
        <v>706</v>
      </c>
      <c r="P655" s="10" t="n">
        <f aca="false">G655</f>
        <v>15</v>
      </c>
      <c r="Q655" s="10" t="n">
        <f aca="false">H655</f>
        <v>10</v>
      </c>
      <c r="R655" s="10" t="n">
        <f aca="false">I655</f>
        <v>8</v>
      </c>
      <c r="S655" s="10" t="n">
        <f aca="false">J655</f>
        <v>0.3</v>
      </c>
      <c r="T655" s="12" t="s">
        <v>2709</v>
      </c>
      <c r="U655" s="12" t="s">
        <v>2822</v>
      </c>
      <c r="V655" s="9" t="str">
        <f aca="false">U655&amp;" - "&amp;W655</f>
        <v>倒车灯 - 右侧</v>
      </c>
      <c r="W655" s="12" t="s">
        <v>227</v>
      </c>
      <c r="X655" s="12" t="s">
        <v>708</v>
      </c>
      <c r="Y655" s="10" t="n">
        <f aca="false">G655</f>
        <v>15</v>
      </c>
      <c r="Z655" s="10" t="n">
        <f aca="false">H655</f>
        <v>10</v>
      </c>
      <c r="AA655" s="10" t="n">
        <f aca="false">I655</f>
        <v>8</v>
      </c>
      <c r="AB655" s="10" t="n">
        <f aca="false">J655</f>
        <v>0.3</v>
      </c>
      <c r="AC655" s="9" t="s">
        <v>2712</v>
      </c>
      <c r="AD655" s="9" t="s">
        <v>2823</v>
      </c>
      <c r="AE655" s="9" t="str">
        <f aca="false">IF($AK655=0,"",INDEX('Part types'!$T:$T,$AK655)&amp;"")</f>
        <v>All vehicles</v>
      </c>
      <c r="AF655" s="9" t="str">
        <f aca="false">IF($AK655=0,"",INDEX('Part types'!$U:$U,$AK655)&amp;"")</f>
        <v>Fragile</v>
      </c>
      <c r="AG655" s="9" t="str">
        <f aca="false">IF($AK655=0,"",INDEX('Part types'!$V:$V,$AK655)&amp;"")</f>
        <v>Estimate: size class S</v>
      </c>
      <c r="AH655" s="9" t="str">
        <f aca="false">IF($AK655=0,"",INDEX('Part types'!$W:$W,$AK655)&amp;"")</f>
        <v/>
      </c>
      <c r="AI655" s="11" t="str">
        <f aca="false">IF($AK655=0,"",INDEX('Part types'!$X:$X,$AK655)&amp;"")</f>
        <v/>
      </c>
      <c r="AJ655" s="9" t="str">
        <f aca="false">IF($AK655=0,"",INDEX('Part types'!$Y:$Y,$AK655)&amp;"")</f>
        <v/>
      </c>
      <c r="AK655" s="9" t="n">
        <f aca="false">IFERROR(MATCH($AD655,'Part types'!$E:$E,0),0)</f>
        <v>454</v>
      </c>
    </row>
    <row r="656" customFormat="false" ht="15" hidden="false" customHeight="false" outlineLevel="0" collapsed="false">
      <c r="A656" s="9" t="s">
        <v>2825</v>
      </c>
      <c r="B656" s="9" t="s">
        <v>2703</v>
      </c>
      <c r="C656" s="9" t="s">
        <v>2826</v>
      </c>
      <c r="D656" s="9" t="str">
        <f aca="false">C656&amp;" - "&amp;E656</f>
        <v>Tail Fog Lamp - Left</v>
      </c>
      <c r="E656" s="9" t="s">
        <v>218</v>
      </c>
      <c r="F656" s="9" t="s">
        <v>704</v>
      </c>
      <c r="G656" s="10" t="n">
        <f aca="false">IF($AK656=0,"",INDEX('Part types'!$P:$P,$AK656))</f>
        <v>15</v>
      </c>
      <c r="H656" s="10" t="n">
        <f aca="false">IF($AK656=0,"",INDEX('Part types'!$Q:$Q,$AK656))</f>
        <v>10</v>
      </c>
      <c r="I656" s="10" t="n">
        <f aca="false">IF($AK656=0,"",INDEX('Part types'!$R:$R,$AK656))</f>
        <v>8</v>
      </c>
      <c r="J656" s="10" t="n">
        <f aca="false">IF($AK656=0,"",INDEX('Part types'!$S:$S,$AK656))</f>
        <v>0.3</v>
      </c>
      <c r="K656" s="11" t="s">
        <v>2706</v>
      </c>
      <c r="L656" s="11" t="s">
        <v>2827</v>
      </c>
      <c r="M656" s="11" t="str">
        <f aca="false">L656&amp;" - "&amp;N656</f>
        <v>كشاف ضباب خلفي - يسار</v>
      </c>
      <c r="N656" s="11" t="s">
        <v>220</v>
      </c>
      <c r="O656" s="11" t="s">
        <v>706</v>
      </c>
      <c r="P656" s="10" t="n">
        <f aca="false">G656</f>
        <v>15</v>
      </c>
      <c r="Q656" s="10" t="n">
        <f aca="false">H656</f>
        <v>10</v>
      </c>
      <c r="R656" s="10" t="n">
        <f aca="false">I656</f>
        <v>8</v>
      </c>
      <c r="S656" s="10" t="n">
        <f aca="false">J656</f>
        <v>0.3</v>
      </c>
      <c r="T656" s="12" t="s">
        <v>2709</v>
      </c>
      <c r="U656" s="12" t="s">
        <v>2828</v>
      </c>
      <c r="V656" s="9" t="str">
        <f aca="false">U656&amp;" - "&amp;W656</f>
        <v>后雾灯 - 左侧</v>
      </c>
      <c r="W656" s="12" t="s">
        <v>222</v>
      </c>
      <c r="X656" s="12" t="s">
        <v>708</v>
      </c>
      <c r="Y656" s="10" t="n">
        <f aca="false">G656</f>
        <v>15</v>
      </c>
      <c r="Z656" s="10" t="n">
        <f aca="false">H656</f>
        <v>10</v>
      </c>
      <c r="AA656" s="10" t="n">
        <f aca="false">I656</f>
        <v>8</v>
      </c>
      <c r="AB656" s="10" t="n">
        <f aca="false">J656</f>
        <v>0.3</v>
      </c>
      <c r="AC656" s="9" t="s">
        <v>2712</v>
      </c>
      <c r="AD656" s="9" t="s">
        <v>2829</v>
      </c>
      <c r="AE656" s="9" t="str">
        <f aca="false">IF($AK656=0,"",INDEX('Part types'!$T:$T,$AK656)&amp;"")</f>
        <v>All vehicles</v>
      </c>
      <c r="AF656" s="9" t="str">
        <f aca="false">IF($AK656=0,"",INDEX('Part types'!$U:$U,$AK656)&amp;"")</f>
        <v>Fragile</v>
      </c>
      <c r="AG656" s="9" t="str">
        <f aca="false">IF($AK656=0,"",INDEX('Part types'!$V:$V,$AK656)&amp;"")</f>
        <v>Estimate: size class S</v>
      </c>
      <c r="AH656" s="9" t="str">
        <f aca="false">IF($AK656=0,"",INDEX('Part types'!$W:$W,$AK656)&amp;"")</f>
        <v/>
      </c>
      <c r="AI656" s="11" t="str">
        <f aca="false">IF($AK656=0,"",INDEX('Part types'!$X:$X,$AK656)&amp;"")</f>
        <v/>
      </c>
      <c r="AJ656" s="9" t="str">
        <f aca="false">IF($AK656=0,"",INDEX('Part types'!$Y:$Y,$AK656)&amp;"")</f>
        <v/>
      </c>
      <c r="AK656" s="9" t="n">
        <f aca="false">IFERROR(MATCH($AD656,'Part types'!$E:$E,0),0)</f>
        <v>455</v>
      </c>
    </row>
    <row r="657" customFormat="false" ht="15" hidden="false" customHeight="false" outlineLevel="0" collapsed="false">
      <c r="A657" s="9" t="s">
        <v>2830</v>
      </c>
      <c r="B657" s="9" t="s">
        <v>2703</v>
      </c>
      <c r="C657" s="9" t="s">
        <v>2826</v>
      </c>
      <c r="D657" s="9" t="str">
        <f aca="false">C657&amp;" - "&amp;E657</f>
        <v>Tail Fog Lamp - Right</v>
      </c>
      <c r="E657" s="9" t="s">
        <v>225</v>
      </c>
      <c r="F657" s="9" t="s">
        <v>704</v>
      </c>
      <c r="G657" s="10" t="n">
        <f aca="false">IF($AK657=0,"",INDEX('Part types'!$P:$P,$AK657))</f>
        <v>15</v>
      </c>
      <c r="H657" s="10" t="n">
        <f aca="false">IF($AK657=0,"",INDEX('Part types'!$Q:$Q,$AK657))</f>
        <v>10</v>
      </c>
      <c r="I657" s="10" t="n">
        <f aca="false">IF($AK657=0,"",INDEX('Part types'!$R:$R,$AK657))</f>
        <v>8</v>
      </c>
      <c r="J657" s="10" t="n">
        <f aca="false">IF($AK657=0,"",INDEX('Part types'!$S:$S,$AK657))</f>
        <v>0.3</v>
      </c>
      <c r="K657" s="11" t="s">
        <v>2706</v>
      </c>
      <c r="L657" s="11" t="s">
        <v>2827</v>
      </c>
      <c r="M657" s="11" t="str">
        <f aca="false">L657&amp;" - "&amp;N657</f>
        <v>كشاف ضباب خلفي - يمين</v>
      </c>
      <c r="N657" s="11" t="s">
        <v>226</v>
      </c>
      <c r="O657" s="11" t="s">
        <v>706</v>
      </c>
      <c r="P657" s="10" t="n">
        <f aca="false">G657</f>
        <v>15</v>
      </c>
      <c r="Q657" s="10" t="n">
        <f aca="false">H657</f>
        <v>10</v>
      </c>
      <c r="R657" s="10" t="n">
        <f aca="false">I657</f>
        <v>8</v>
      </c>
      <c r="S657" s="10" t="n">
        <f aca="false">J657</f>
        <v>0.3</v>
      </c>
      <c r="T657" s="12" t="s">
        <v>2709</v>
      </c>
      <c r="U657" s="12" t="s">
        <v>2828</v>
      </c>
      <c r="V657" s="9" t="str">
        <f aca="false">U657&amp;" - "&amp;W657</f>
        <v>后雾灯 - 右侧</v>
      </c>
      <c r="W657" s="12" t="s">
        <v>227</v>
      </c>
      <c r="X657" s="12" t="s">
        <v>708</v>
      </c>
      <c r="Y657" s="10" t="n">
        <f aca="false">G657</f>
        <v>15</v>
      </c>
      <c r="Z657" s="10" t="n">
        <f aca="false">H657</f>
        <v>10</v>
      </c>
      <c r="AA657" s="10" t="n">
        <f aca="false">I657</f>
        <v>8</v>
      </c>
      <c r="AB657" s="10" t="n">
        <f aca="false">J657</f>
        <v>0.3</v>
      </c>
      <c r="AC657" s="9" t="s">
        <v>2712</v>
      </c>
      <c r="AD657" s="9" t="s">
        <v>2829</v>
      </c>
      <c r="AE657" s="9" t="str">
        <f aca="false">IF($AK657=0,"",INDEX('Part types'!$T:$T,$AK657)&amp;"")</f>
        <v>All vehicles</v>
      </c>
      <c r="AF657" s="9" t="str">
        <f aca="false">IF($AK657=0,"",INDEX('Part types'!$U:$U,$AK657)&amp;"")</f>
        <v>Fragile</v>
      </c>
      <c r="AG657" s="9" t="str">
        <f aca="false">IF($AK657=0,"",INDEX('Part types'!$V:$V,$AK657)&amp;"")</f>
        <v>Estimate: size class S</v>
      </c>
      <c r="AH657" s="9" t="str">
        <f aca="false">IF($AK657=0,"",INDEX('Part types'!$W:$W,$AK657)&amp;"")</f>
        <v/>
      </c>
      <c r="AI657" s="11" t="str">
        <f aca="false">IF($AK657=0,"",INDEX('Part types'!$X:$X,$AK657)&amp;"")</f>
        <v/>
      </c>
      <c r="AJ657" s="9" t="str">
        <f aca="false">IF($AK657=0,"",INDEX('Part types'!$Y:$Y,$AK657)&amp;"")</f>
        <v/>
      </c>
      <c r="AK657" s="9" t="n">
        <f aca="false">IFERROR(MATCH($AD657,'Part types'!$E:$E,0),0)</f>
        <v>455</v>
      </c>
    </row>
    <row r="658" customFormat="false" ht="15" hidden="false" customHeight="false" outlineLevel="0" collapsed="false">
      <c r="A658" s="9" t="s">
        <v>2831</v>
      </c>
      <c r="B658" s="9" t="s">
        <v>2703</v>
      </c>
      <c r="C658" s="9" t="s">
        <v>2832</v>
      </c>
      <c r="D658" s="9" t="str">
        <f aca="false">C658&amp;" - "&amp;E658</f>
        <v>License Plate Lamp - Left</v>
      </c>
      <c r="E658" s="9" t="s">
        <v>218</v>
      </c>
      <c r="F658" s="9" t="s">
        <v>704</v>
      </c>
      <c r="G658" s="10" t="n">
        <f aca="false">IF($AK658=0,"",INDEX('Part types'!$P:$P,$AK658))</f>
        <v>10</v>
      </c>
      <c r="H658" s="10" t="n">
        <f aca="false">IF($AK658=0,"",INDEX('Part types'!$Q:$Q,$AK658))</f>
        <v>8</v>
      </c>
      <c r="I658" s="10" t="n">
        <f aca="false">IF($AK658=0,"",INDEX('Part types'!$R:$R,$AK658))</f>
        <v>6</v>
      </c>
      <c r="J658" s="10" t="n">
        <f aca="false">IF($AK658=0,"",INDEX('Part types'!$S:$S,$AK658))</f>
        <v>0.1</v>
      </c>
      <c r="K658" s="11" t="s">
        <v>2706</v>
      </c>
      <c r="L658" s="11" t="s">
        <v>2833</v>
      </c>
      <c r="M658" s="11" t="str">
        <f aca="false">L658&amp;" - "&amp;N658</f>
        <v>لمبة إنارة اللوحة - يسار</v>
      </c>
      <c r="N658" s="11" t="s">
        <v>220</v>
      </c>
      <c r="O658" s="11" t="s">
        <v>706</v>
      </c>
      <c r="P658" s="10" t="n">
        <f aca="false">G658</f>
        <v>10</v>
      </c>
      <c r="Q658" s="10" t="n">
        <f aca="false">H658</f>
        <v>8</v>
      </c>
      <c r="R658" s="10" t="n">
        <f aca="false">I658</f>
        <v>6</v>
      </c>
      <c r="S658" s="10" t="n">
        <f aca="false">J658</f>
        <v>0.1</v>
      </c>
      <c r="T658" s="12" t="s">
        <v>2709</v>
      </c>
      <c r="U658" s="12" t="s">
        <v>2834</v>
      </c>
      <c r="V658" s="9" t="str">
        <f aca="false">U658&amp;" - "&amp;W658</f>
        <v>牌照灯 - 左侧</v>
      </c>
      <c r="W658" s="12" t="s">
        <v>222</v>
      </c>
      <c r="X658" s="12" t="s">
        <v>708</v>
      </c>
      <c r="Y658" s="10" t="n">
        <f aca="false">G658</f>
        <v>10</v>
      </c>
      <c r="Z658" s="10" t="n">
        <f aca="false">H658</f>
        <v>8</v>
      </c>
      <c r="AA658" s="10" t="n">
        <f aca="false">I658</f>
        <v>6</v>
      </c>
      <c r="AB658" s="10" t="n">
        <f aca="false">J658</f>
        <v>0.1</v>
      </c>
      <c r="AC658" s="9" t="s">
        <v>2712</v>
      </c>
      <c r="AD658" s="9" t="s">
        <v>2835</v>
      </c>
      <c r="AE658" s="9" t="str">
        <f aca="false">IF($AK658=0,"",INDEX('Part types'!$T:$T,$AK658)&amp;"")</f>
        <v>All vehicles</v>
      </c>
      <c r="AF658" s="9" t="str">
        <f aca="false">IF($AK658=0,"",INDEX('Part types'!$U:$U,$AK658)&amp;"")</f>
        <v/>
      </c>
      <c r="AG658" s="9" t="str">
        <f aca="false">IF($AK658=0,"",INDEX('Part types'!$V:$V,$AK658)&amp;"")</f>
        <v>Estimate: size class XS</v>
      </c>
      <c r="AH658" s="9" t="str">
        <f aca="false">IF($AK658=0,"",INDEX('Part types'!$W:$W,$AK658)&amp;"")</f>
        <v/>
      </c>
      <c r="AI658" s="11" t="str">
        <f aca="false">IF($AK658=0,"",INDEX('Part types'!$X:$X,$AK658)&amp;"")</f>
        <v/>
      </c>
      <c r="AJ658" s="9" t="str">
        <f aca="false">IF($AK658=0,"",INDEX('Part types'!$Y:$Y,$AK658)&amp;"")</f>
        <v/>
      </c>
      <c r="AK658" s="9" t="n">
        <f aca="false">IFERROR(MATCH($AD658,'Part types'!$E:$E,0),0)</f>
        <v>456</v>
      </c>
    </row>
    <row r="659" customFormat="false" ht="15" hidden="false" customHeight="false" outlineLevel="0" collapsed="false">
      <c r="A659" s="9" t="s">
        <v>2836</v>
      </c>
      <c r="B659" s="9" t="s">
        <v>2703</v>
      </c>
      <c r="C659" s="9" t="s">
        <v>2832</v>
      </c>
      <c r="D659" s="9" t="str">
        <f aca="false">C659&amp;" - "&amp;E659</f>
        <v>License Plate Lamp - Right</v>
      </c>
      <c r="E659" s="9" t="s">
        <v>225</v>
      </c>
      <c r="F659" s="9" t="s">
        <v>704</v>
      </c>
      <c r="G659" s="10" t="n">
        <f aca="false">IF($AK659=0,"",INDEX('Part types'!$P:$P,$AK659))</f>
        <v>10</v>
      </c>
      <c r="H659" s="10" t="n">
        <f aca="false">IF($AK659=0,"",INDEX('Part types'!$Q:$Q,$AK659))</f>
        <v>8</v>
      </c>
      <c r="I659" s="10" t="n">
        <f aca="false">IF($AK659=0,"",INDEX('Part types'!$R:$R,$AK659))</f>
        <v>6</v>
      </c>
      <c r="J659" s="10" t="n">
        <f aca="false">IF($AK659=0,"",INDEX('Part types'!$S:$S,$AK659))</f>
        <v>0.1</v>
      </c>
      <c r="K659" s="11" t="s">
        <v>2706</v>
      </c>
      <c r="L659" s="11" t="s">
        <v>2833</v>
      </c>
      <c r="M659" s="11" t="str">
        <f aca="false">L659&amp;" - "&amp;N659</f>
        <v>لمبة إنارة اللوحة - يمين</v>
      </c>
      <c r="N659" s="11" t="s">
        <v>226</v>
      </c>
      <c r="O659" s="11" t="s">
        <v>706</v>
      </c>
      <c r="P659" s="10" t="n">
        <f aca="false">G659</f>
        <v>10</v>
      </c>
      <c r="Q659" s="10" t="n">
        <f aca="false">H659</f>
        <v>8</v>
      </c>
      <c r="R659" s="10" t="n">
        <f aca="false">I659</f>
        <v>6</v>
      </c>
      <c r="S659" s="10" t="n">
        <f aca="false">J659</f>
        <v>0.1</v>
      </c>
      <c r="T659" s="12" t="s">
        <v>2709</v>
      </c>
      <c r="U659" s="12" t="s">
        <v>2834</v>
      </c>
      <c r="V659" s="9" t="str">
        <f aca="false">U659&amp;" - "&amp;W659</f>
        <v>牌照灯 - 右侧</v>
      </c>
      <c r="W659" s="12" t="s">
        <v>227</v>
      </c>
      <c r="X659" s="12" t="s">
        <v>708</v>
      </c>
      <c r="Y659" s="10" t="n">
        <f aca="false">G659</f>
        <v>10</v>
      </c>
      <c r="Z659" s="10" t="n">
        <f aca="false">H659</f>
        <v>8</v>
      </c>
      <c r="AA659" s="10" t="n">
        <f aca="false">I659</f>
        <v>6</v>
      </c>
      <c r="AB659" s="10" t="n">
        <f aca="false">J659</f>
        <v>0.1</v>
      </c>
      <c r="AC659" s="9" t="s">
        <v>2712</v>
      </c>
      <c r="AD659" s="9" t="s">
        <v>2835</v>
      </c>
      <c r="AE659" s="9" t="str">
        <f aca="false">IF($AK659=0,"",INDEX('Part types'!$T:$T,$AK659)&amp;"")</f>
        <v>All vehicles</v>
      </c>
      <c r="AF659" s="9" t="str">
        <f aca="false">IF($AK659=0,"",INDEX('Part types'!$U:$U,$AK659)&amp;"")</f>
        <v/>
      </c>
      <c r="AG659" s="9" t="str">
        <f aca="false">IF($AK659=0,"",INDEX('Part types'!$V:$V,$AK659)&amp;"")</f>
        <v>Estimate: size class XS</v>
      </c>
      <c r="AH659" s="9" t="str">
        <f aca="false">IF($AK659=0,"",INDEX('Part types'!$W:$W,$AK659)&amp;"")</f>
        <v/>
      </c>
      <c r="AI659" s="11" t="str">
        <f aca="false">IF($AK659=0,"",INDEX('Part types'!$X:$X,$AK659)&amp;"")</f>
        <v/>
      </c>
      <c r="AJ659" s="9" t="str">
        <f aca="false">IF($AK659=0,"",INDEX('Part types'!$Y:$Y,$AK659)&amp;"")</f>
        <v/>
      </c>
      <c r="AK659" s="9" t="n">
        <f aca="false">IFERROR(MATCH($AD659,'Part types'!$E:$E,0),0)</f>
        <v>456</v>
      </c>
    </row>
    <row r="660" customFormat="false" ht="15" hidden="false" customHeight="false" outlineLevel="0" collapsed="false">
      <c r="A660" s="9" t="s">
        <v>2837</v>
      </c>
      <c r="B660" s="9" t="s">
        <v>2703</v>
      </c>
      <c r="C660" s="9" t="s">
        <v>2838</v>
      </c>
      <c r="D660" s="9" t="str">
        <f aca="false">C660&amp;" - "&amp;E660</f>
        <v>Side Marker Lamp - Left</v>
      </c>
      <c r="E660" s="9" t="s">
        <v>218</v>
      </c>
      <c r="F660" s="9" t="s">
        <v>2839</v>
      </c>
      <c r="G660" s="10" t="n">
        <f aca="false">IF($AK660=0,"",INDEX('Part types'!$P:$P,$AK660))</f>
        <v>10</v>
      </c>
      <c r="H660" s="10" t="n">
        <f aca="false">IF($AK660=0,"",INDEX('Part types'!$Q:$Q,$AK660))</f>
        <v>8</v>
      </c>
      <c r="I660" s="10" t="n">
        <f aca="false">IF($AK660=0,"",INDEX('Part types'!$R:$R,$AK660))</f>
        <v>6</v>
      </c>
      <c r="J660" s="10" t="n">
        <f aca="false">IF($AK660=0,"",INDEX('Part types'!$S:$S,$AK660))</f>
        <v>0.1</v>
      </c>
      <c r="K660" s="11" t="s">
        <v>2706</v>
      </c>
      <c r="L660" s="11" t="s">
        <v>2840</v>
      </c>
      <c r="M660" s="11" t="str">
        <f aca="false">L660&amp;" - "&amp;N660</f>
        <v>ضوء جانبي - يسار</v>
      </c>
      <c r="N660" s="11" t="s">
        <v>220</v>
      </c>
      <c r="O660" s="11" t="s">
        <v>2841</v>
      </c>
      <c r="P660" s="10" t="n">
        <f aca="false">G660</f>
        <v>10</v>
      </c>
      <c r="Q660" s="10" t="n">
        <f aca="false">H660</f>
        <v>8</v>
      </c>
      <c r="R660" s="10" t="n">
        <f aca="false">I660</f>
        <v>6</v>
      </c>
      <c r="S660" s="10" t="n">
        <f aca="false">J660</f>
        <v>0.1</v>
      </c>
      <c r="T660" s="12" t="s">
        <v>2709</v>
      </c>
      <c r="U660" s="12" t="s">
        <v>2842</v>
      </c>
      <c r="V660" s="9" t="str">
        <f aca="false">U660&amp;" - "&amp;W660</f>
        <v>侧标志灯 - 左侧</v>
      </c>
      <c r="W660" s="12" t="s">
        <v>222</v>
      </c>
      <c r="X660" s="12" t="s">
        <v>2843</v>
      </c>
      <c r="Y660" s="10" t="n">
        <f aca="false">G660</f>
        <v>10</v>
      </c>
      <c r="Z660" s="10" t="n">
        <f aca="false">H660</f>
        <v>8</v>
      </c>
      <c r="AA660" s="10" t="n">
        <f aca="false">I660</f>
        <v>6</v>
      </c>
      <c r="AB660" s="10" t="n">
        <f aca="false">J660</f>
        <v>0.1</v>
      </c>
      <c r="AC660" s="9" t="s">
        <v>2712</v>
      </c>
      <c r="AD660" s="9" t="s">
        <v>2844</v>
      </c>
      <c r="AE660" s="9" t="str">
        <f aca="false">IF($AK660=0,"",INDEX('Part types'!$T:$T,$AK660)&amp;"")</f>
        <v>All vehicles</v>
      </c>
      <c r="AF660" s="9" t="str">
        <f aca="false">IF($AK660=0,"",INDEX('Part types'!$U:$U,$AK660)&amp;"")</f>
        <v/>
      </c>
      <c r="AG660" s="9" t="str">
        <f aca="false">IF($AK660=0,"",INDEX('Part types'!$V:$V,$AK660)&amp;"")</f>
        <v>Estimate: size class XS</v>
      </c>
      <c r="AH660" s="9" t="str">
        <f aca="false">IF($AK660=0,"",INDEX('Part types'!$W:$W,$AK660)&amp;"")</f>
        <v/>
      </c>
      <c r="AI660" s="11" t="str">
        <f aca="false">IF($AK660=0,"",INDEX('Part types'!$X:$X,$AK660)&amp;"")</f>
        <v>ماركر</v>
      </c>
      <c r="AJ660" s="9" t="str">
        <f aca="false">IF($AK660=0,"",INDEX('Part types'!$Y:$Y,$AK660)&amp;"")</f>
        <v/>
      </c>
      <c r="AK660" s="9" t="n">
        <f aca="false">IFERROR(MATCH($AD660,'Part types'!$E:$E,0),0)</f>
        <v>457</v>
      </c>
    </row>
    <row r="661" customFormat="false" ht="15" hidden="false" customHeight="false" outlineLevel="0" collapsed="false">
      <c r="A661" s="9" t="s">
        <v>2845</v>
      </c>
      <c r="B661" s="9" t="s">
        <v>2703</v>
      </c>
      <c r="C661" s="9" t="s">
        <v>2838</v>
      </c>
      <c r="D661" s="9" t="str">
        <f aca="false">C661&amp;" - "&amp;E661</f>
        <v>Side Marker Lamp - Right</v>
      </c>
      <c r="E661" s="9" t="s">
        <v>225</v>
      </c>
      <c r="F661" s="9" t="s">
        <v>2839</v>
      </c>
      <c r="G661" s="10" t="n">
        <f aca="false">IF($AK661=0,"",INDEX('Part types'!$P:$P,$AK661))</f>
        <v>10</v>
      </c>
      <c r="H661" s="10" t="n">
        <f aca="false">IF($AK661=0,"",INDEX('Part types'!$Q:$Q,$AK661))</f>
        <v>8</v>
      </c>
      <c r="I661" s="10" t="n">
        <f aca="false">IF($AK661=0,"",INDEX('Part types'!$R:$R,$AK661))</f>
        <v>6</v>
      </c>
      <c r="J661" s="10" t="n">
        <f aca="false">IF($AK661=0,"",INDEX('Part types'!$S:$S,$AK661))</f>
        <v>0.1</v>
      </c>
      <c r="K661" s="11" t="s">
        <v>2706</v>
      </c>
      <c r="L661" s="11" t="s">
        <v>2840</v>
      </c>
      <c r="M661" s="11" t="str">
        <f aca="false">L661&amp;" - "&amp;N661</f>
        <v>ضوء جانبي - يمين</v>
      </c>
      <c r="N661" s="11" t="s">
        <v>226</v>
      </c>
      <c r="O661" s="11" t="s">
        <v>2841</v>
      </c>
      <c r="P661" s="10" t="n">
        <f aca="false">G661</f>
        <v>10</v>
      </c>
      <c r="Q661" s="10" t="n">
        <f aca="false">H661</f>
        <v>8</v>
      </c>
      <c r="R661" s="10" t="n">
        <f aca="false">I661</f>
        <v>6</v>
      </c>
      <c r="S661" s="10" t="n">
        <f aca="false">J661</f>
        <v>0.1</v>
      </c>
      <c r="T661" s="12" t="s">
        <v>2709</v>
      </c>
      <c r="U661" s="12" t="s">
        <v>2842</v>
      </c>
      <c r="V661" s="9" t="str">
        <f aca="false">U661&amp;" - "&amp;W661</f>
        <v>侧标志灯 - 右侧</v>
      </c>
      <c r="W661" s="12" t="s">
        <v>227</v>
      </c>
      <c r="X661" s="12" t="s">
        <v>2843</v>
      </c>
      <c r="Y661" s="10" t="n">
        <f aca="false">G661</f>
        <v>10</v>
      </c>
      <c r="Z661" s="10" t="n">
        <f aca="false">H661</f>
        <v>8</v>
      </c>
      <c r="AA661" s="10" t="n">
        <f aca="false">I661</f>
        <v>6</v>
      </c>
      <c r="AB661" s="10" t="n">
        <f aca="false">J661</f>
        <v>0.1</v>
      </c>
      <c r="AC661" s="9" t="s">
        <v>2712</v>
      </c>
      <c r="AD661" s="9" t="s">
        <v>2844</v>
      </c>
      <c r="AE661" s="9" t="str">
        <f aca="false">IF($AK661=0,"",INDEX('Part types'!$T:$T,$AK661)&amp;"")</f>
        <v>All vehicles</v>
      </c>
      <c r="AF661" s="9" t="str">
        <f aca="false">IF($AK661=0,"",INDEX('Part types'!$U:$U,$AK661)&amp;"")</f>
        <v/>
      </c>
      <c r="AG661" s="9" t="str">
        <f aca="false">IF($AK661=0,"",INDEX('Part types'!$V:$V,$AK661)&amp;"")</f>
        <v>Estimate: size class XS</v>
      </c>
      <c r="AH661" s="9" t="str">
        <f aca="false">IF($AK661=0,"",INDEX('Part types'!$W:$W,$AK661)&amp;"")</f>
        <v/>
      </c>
      <c r="AI661" s="11" t="str">
        <f aca="false">IF($AK661=0,"",INDEX('Part types'!$X:$X,$AK661)&amp;"")</f>
        <v>ماركر</v>
      </c>
      <c r="AJ661" s="9" t="str">
        <f aca="false">IF($AK661=0,"",INDEX('Part types'!$Y:$Y,$AK661)&amp;"")</f>
        <v/>
      </c>
      <c r="AK661" s="9" t="n">
        <f aca="false">IFERROR(MATCH($AD661,'Part types'!$E:$E,0),0)</f>
        <v>457</v>
      </c>
    </row>
    <row r="662" customFormat="false" ht="15" hidden="false" customHeight="false" outlineLevel="0" collapsed="false">
      <c r="A662" s="9" t="s">
        <v>2846</v>
      </c>
      <c r="B662" s="9" t="s">
        <v>2703</v>
      </c>
      <c r="C662" s="9" t="s">
        <v>2847</v>
      </c>
      <c r="D662" s="9" t="str">
        <f aca="false">C662&amp;" - "&amp;E662</f>
        <v>Interior Dome Lamp - Universal</v>
      </c>
      <c r="E662" s="9" t="s">
        <v>68</v>
      </c>
      <c r="F662" s="9" t="s">
        <v>2848</v>
      </c>
      <c r="G662" s="10" t="n">
        <f aca="false">IF($AK662=0,"",INDEX('Part types'!$P:$P,$AK662))</f>
        <v>15</v>
      </c>
      <c r="H662" s="10" t="n">
        <f aca="false">IF($AK662=0,"",INDEX('Part types'!$Q:$Q,$AK662))</f>
        <v>10</v>
      </c>
      <c r="I662" s="10" t="n">
        <f aca="false">IF($AK662=0,"",INDEX('Part types'!$R:$R,$AK662))</f>
        <v>8</v>
      </c>
      <c r="J662" s="10" t="n">
        <f aca="false">IF($AK662=0,"",INDEX('Part types'!$S:$S,$AK662))</f>
        <v>0.3</v>
      </c>
      <c r="K662" s="11" t="s">
        <v>2706</v>
      </c>
      <c r="L662" s="11" t="s">
        <v>2849</v>
      </c>
      <c r="M662" s="11" t="str">
        <f aca="false">L662&amp;" - "&amp;N662</f>
        <v>إنارة سقف المقصورة - عام</v>
      </c>
      <c r="N662" s="11" t="s">
        <v>72</v>
      </c>
      <c r="O662" s="11" t="s">
        <v>2850</v>
      </c>
      <c r="P662" s="10" t="n">
        <f aca="false">G662</f>
        <v>15</v>
      </c>
      <c r="Q662" s="10" t="n">
        <f aca="false">H662</f>
        <v>10</v>
      </c>
      <c r="R662" s="10" t="n">
        <f aca="false">I662</f>
        <v>8</v>
      </c>
      <c r="S662" s="10" t="n">
        <f aca="false">J662</f>
        <v>0.3</v>
      </c>
      <c r="T662" s="12" t="s">
        <v>2709</v>
      </c>
      <c r="U662" s="12" t="s">
        <v>2851</v>
      </c>
      <c r="V662" s="9" t="str">
        <f aca="false">U662&amp;" - "&amp;W662</f>
        <v>车内顶灯 - 通用</v>
      </c>
      <c r="W662" s="12" t="s">
        <v>76</v>
      </c>
      <c r="X662" s="12" t="s">
        <v>2852</v>
      </c>
      <c r="Y662" s="10" t="n">
        <f aca="false">G662</f>
        <v>15</v>
      </c>
      <c r="Z662" s="10" t="n">
        <f aca="false">H662</f>
        <v>10</v>
      </c>
      <c r="AA662" s="10" t="n">
        <f aca="false">I662</f>
        <v>8</v>
      </c>
      <c r="AB662" s="10" t="n">
        <f aca="false">J662</f>
        <v>0.3</v>
      </c>
      <c r="AC662" s="9" t="s">
        <v>2712</v>
      </c>
      <c r="AD662" s="9" t="s">
        <v>2853</v>
      </c>
      <c r="AE662" s="9" t="str">
        <f aca="false">IF($AK662=0,"",INDEX('Part types'!$T:$T,$AK662)&amp;"")</f>
        <v>All vehicles</v>
      </c>
      <c r="AF662" s="9" t="str">
        <f aca="false">IF($AK662=0,"",INDEX('Part types'!$U:$U,$AK662)&amp;"")</f>
        <v/>
      </c>
      <c r="AG662" s="9" t="str">
        <f aca="false">IF($AK662=0,"",INDEX('Part types'!$V:$V,$AK662)&amp;"")</f>
        <v>Estimate: size class S</v>
      </c>
      <c r="AH662" s="9" t="str">
        <f aca="false">IF($AK662=0,"",INDEX('Part types'!$W:$W,$AK662)&amp;"")</f>
        <v/>
      </c>
      <c r="AI662" s="11" t="str">
        <f aca="false">IF($AK662=0,"",INDEX('Part types'!$X:$X,$AK662)&amp;"")</f>
        <v/>
      </c>
      <c r="AJ662" s="9" t="str">
        <f aca="false">IF($AK662=0,"",INDEX('Part types'!$Y:$Y,$AK662)&amp;"")</f>
        <v/>
      </c>
      <c r="AK662" s="9" t="n">
        <f aca="false">IFERROR(MATCH($AD662,'Part types'!$E:$E,0),0)</f>
        <v>458</v>
      </c>
    </row>
    <row r="663" customFormat="false" ht="15" hidden="false" customHeight="false" outlineLevel="0" collapsed="false">
      <c r="A663" s="9" t="s">
        <v>2854</v>
      </c>
      <c r="B663" s="9" t="s">
        <v>2703</v>
      </c>
      <c r="C663" s="9" t="s">
        <v>2855</v>
      </c>
      <c r="D663" s="9" t="str">
        <f aca="false">C663&amp;" - "&amp;E663</f>
        <v>Map Reading Lamp - Left</v>
      </c>
      <c r="E663" s="9" t="s">
        <v>218</v>
      </c>
      <c r="F663" s="9" t="s">
        <v>2848</v>
      </c>
      <c r="G663" s="10" t="n">
        <f aca="false">IF($AK663=0,"",INDEX('Part types'!$P:$P,$AK663))</f>
        <v>15</v>
      </c>
      <c r="H663" s="10" t="n">
        <f aca="false">IF($AK663=0,"",INDEX('Part types'!$Q:$Q,$AK663))</f>
        <v>10</v>
      </c>
      <c r="I663" s="10" t="n">
        <f aca="false">IF($AK663=0,"",INDEX('Part types'!$R:$R,$AK663))</f>
        <v>8</v>
      </c>
      <c r="J663" s="10" t="n">
        <f aca="false">IF($AK663=0,"",INDEX('Part types'!$S:$S,$AK663))</f>
        <v>0.3</v>
      </c>
      <c r="K663" s="11" t="s">
        <v>2706</v>
      </c>
      <c r="L663" s="11" t="s">
        <v>2856</v>
      </c>
      <c r="M663" s="11" t="str">
        <f aca="false">L663&amp;" - "&amp;N663</f>
        <v>لمبة قراءة الخرائط - يسار</v>
      </c>
      <c r="N663" s="11" t="s">
        <v>220</v>
      </c>
      <c r="O663" s="11" t="s">
        <v>2850</v>
      </c>
      <c r="P663" s="10" t="n">
        <f aca="false">G663</f>
        <v>15</v>
      </c>
      <c r="Q663" s="10" t="n">
        <f aca="false">H663</f>
        <v>10</v>
      </c>
      <c r="R663" s="10" t="n">
        <f aca="false">I663</f>
        <v>8</v>
      </c>
      <c r="S663" s="10" t="n">
        <f aca="false">J663</f>
        <v>0.3</v>
      </c>
      <c r="T663" s="12" t="s">
        <v>2709</v>
      </c>
      <c r="U663" s="12" t="s">
        <v>2857</v>
      </c>
      <c r="V663" s="9" t="str">
        <f aca="false">U663&amp;" - "&amp;W663</f>
        <v>阅读灯 - 左侧</v>
      </c>
      <c r="W663" s="12" t="s">
        <v>222</v>
      </c>
      <c r="X663" s="12" t="s">
        <v>2852</v>
      </c>
      <c r="Y663" s="10" t="n">
        <f aca="false">G663</f>
        <v>15</v>
      </c>
      <c r="Z663" s="10" t="n">
        <f aca="false">H663</f>
        <v>10</v>
      </c>
      <c r="AA663" s="10" t="n">
        <f aca="false">I663</f>
        <v>8</v>
      </c>
      <c r="AB663" s="10" t="n">
        <f aca="false">J663</f>
        <v>0.3</v>
      </c>
      <c r="AC663" s="9" t="s">
        <v>2712</v>
      </c>
      <c r="AD663" s="9" t="s">
        <v>2858</v>
      </c>
      <c r="AE663" s="9" t="str">
        <f aca="false">IF($AK663=0,"",INDEX('Part types'!$T:$T,$AK663)&amp;"")</f>
        <v>All vehicles</v>
      </c>
      <c r="AF663" s="9" t="str">
        <f aca="false">IF($AK663=0,"",INDEX('Part types'!$U:$U,$AK663)&amp;"")</f>
        <v/>
      </c>
      <c r="AG663" s="9" t="str">
        <f aca="false">IF($AK663=0,"",INDEX('Part types'!$V:$V,$AK663)&amp;"")</f>
        <v>Estimate: size class S</v>
      </c>
      <c r="AH663" s="9" t="str">
        <f aca="false">IF($AK663=0,"",INDEX('Part types'!$W:$W,$AK663)&amp;"")</f>
        <v/>
      </c>
      <c r="AI663" s="11" t="str">
        <f aca="false">IF($AK663=0,"",INDEX('Part types'!$X:$X,$AK663)&amp;"")</f>
        <v/>
      </c>
      <c r="AJ663" s="9" t="str">
        <f aca="false">IF($AK663=0,"",INDEX('Part types'!$Y:$Y,$AK663)&amp;"")</f>
        <v/>
      </c>
      <c r="AK663" s="9" t="n">
        <f aca="false">IFERROR(MATCH($AD663,'Part types'!$E:$E,0),0)</f>
        <v>459</v>
      </c>
    </row>
    <row r="664" customFormat="false" ht="15" hidden="false" customHeight="false" outlineLevel="0" collapsed="false">
      <c r="A664" s="9" t="s">
        <v>2859</v>
      </c>
      <c r="B664" s="9" t="s">
        <v>2703</v>
      </c>
      <c r="C664" s="9" t="s">
        <v>2855</v>
      </c>
      <c r="D664" s="9" t="str">
        <f aca="false">C664&amp;" - "&amp;E664</f>
        <v>Map Reading Lamp - Right</v>
      </c>
      <c r="E664" s="9" t="s">
        <v>225</v>
      </c>
      <c r="F664" s="9" t="s">
        <v>2848</v>
      </c>
      <c r="G664" s="10" t="n">
        <f aca="false">IF($AK664=0,"",INDEX('Part types'!$P:$P,$AK664))</f>
        <v>15</v>
      </c>
      <c r="H664" s="10" t="n">
        <f aca="false">IF($AK664=0,"",INDEX('Part types'!$Q:$Q,$AK664))</f>
        <v>10</v>
      </c>
      <c r="I664" s="10" t="n">
        <f aca="false">IF($AK664=0,"",INDEX('Part types'!$R:$R,$AK664))</f>
        <v>8</v>
      </c>
      <c r="J664" s="10" t="n">
        <f aca="false">IF($AK664=0,"",INDEX('Part types'!$S:$S,$AK664))</f>
        <v>0.3</v>
      </c>
      <c r="K664" s="11" t="s">
        <v>2706</v>
      </c>
      <c r="L664" s="11" t="s">
        <v>2856</v>
      </c>
      <c r="M664" s="11" t="str">
        <f aca="false">L664&amp;" - "&amp;N664</f>
        <v>لمبة قراءة الخرائط - يمين</v>
      </c>
      <c r="N664" s="11" t="s">
        <v>226</v>
      </c>
      <c r="O664" s="11" t="s">
        <v>2850</v>
      </c>
      <c r="P664" s="10" t="n">
        <f aca="false">G664</f>
        <v>15</v>
      </c>
      <c r="Q664" s="10" t="n">
        <f aca="false">H664</f>
        <v>10</v>
      </c>
      <c r="R664" s="10" t="n">
        <f aca="false">I664</f>
        <v>8</v>
      </c>
      <c r="S664" s="10" t="n">
        <f aca="false">J664</f>
        <v>0.3</v>
      </c>
      <c r="T664" s="12" t="s">
        <v>2709</v>
      </c>
      <c r="U664" s="12" t="s">
        <v>2857</v>
      </c>
      <c r="V664" s="9" t="str">
        <f aca="false">U664&amp;" - "&amp;W664</f>
        <v>阅读灯 - 右侧</v>
      </c>
      <c r="W664" s="12" t="s">
        <v>227</v>
      </c>
      <c r="X664" s="12" t="s">
        <v>2852</v>
      </c>
      <c r="Y664" s="10" t="n">
        <f aca="false">G664</f>
        <v>15</v>
      </c>
      <c r="Z664" s="10" t="n">
        <f aca="false">H664</f>
        <v>10</v>
      </c>
      <c r="AA664" s="10" t="n">
        <f aca="false">I664</f>
        <v>8</v>
      </c>
      <c r="AB664" s="10" t="n">
        <f aca="false">J664</f>
        <v>0.3</v>
      </c>
      <c r="AC664" s="9" t="s">
        <v>2712</v>
      </c>
      <c r="AD664" s="9" t="s">
        <v>2858</v>
      </c>
      <c r="AE664" s="9" t="str">
        <f aca="false">IF($AK664=0,"",INDEX('Part types'!$T:$T,$AK664)&amp;"")</f>
        <v>All vehicles</v>
      </c>
      <c r="AF664" s="9" t="str">
        <f aca="false">IF($AK664=0,"",INDEX('Part types'!$U:$U,$AK664)&amp;"")</f>
        <v/>
      </c>
      <c r="AG664" s="9" t="str">
        <f aca="false">IF($AK664=0,"",INDEX('Part types'!$V:$V,$AK664)&amp;"")</f>
        <v>Estimate: size class S</v>
      </c>
      <c r="AH664" s="9" t="str">
        <f aca="false">IF($AK664=0,"",INDEX('Part types'!$W:$W,$AK664)&amp;"")</f>
        <v/>
      </c>
      <c r="AI664" s="11" t="str">
        <f aca="false">IF($AK664=0,"",INDEX('Part types'!$X:$X,$AK664)&amp;"")</f>
        <v/>
      </c>
      <c r="AJ664" s="9" t="str">
        <f aca="false">IF($AK664=0,"",INDEX('Part types'!$Y:$Y,$AK664)&amp;"")</f>
        <v/>
      </c>
      <c r="AK664" s="9" t="n">
        <f aca="false">IFERROR(MATCH($AD664,'Part types'!$E:$E,0),0)</f>
        <v>459</v>
      </c>
    </row>
    <row r="665" customFormat="false" ht="15" hidden="false" customHeight="false" outlineLevel="0" collapsed="false">
      <c r="A665" s="9" t="s">
        <v>2860</v>
      </c>
      <c r="B665" s="9" t="s">
        <v>2703</v>
      </c>
      <c r="C665" s="9" t="s">
        <v>2861</v>
      </c>
      <c r="D665" s="9" t="str">
        <f aca="false">C665&amp;" - "&amp;E665</f>
        <v>Trunk Lamp - Universal</v>
      </c>
      <c r="E665" s="9" t="s">
        <v>68</v>
      </c>
      <c r="F665" s="9" t="s">
        <v>2106</v>
      </c>
      <c r="G665" s="10" t="n">
        <f aca="false">IF($AK665=0,"",INDEX('Part types'!$P:$P,$AK665))</f>
        <v>10</v>
      </c>
      <c r="H665" s="10" t="n">
        <f aca="false">IF($AK665=0,"",INDEX('Part types'!$Q:$Q,$AK665))</f>
        <v>8</v>
      </c>
      <c r="I665" s="10" t="n">
        <f aca="false">IF($AK665=0,"",INDEX('Part types'!$R:$R,$AK665))</f>
        <v>6</v>
      </c>
      <c r="J665" s="10" t="n">
        <f aca="false">IF($AK665=0,"",INDEX('Part types'!$S:$S,$AK665))</f>
        <v>0.1</v>
      </c>
      <c r="K665" s="11" t="s">
        <v>2706</v>
      </c>
      <c r="L665" s="11" t="s">
        <v>2862</v>
      </c>
      <c r="M665" s="11" t="str">
        <f aca="false">L665&amp;" - "&amp;N665</f>
        <v>إنارة الصندوق - عام</v>
      </c>
      <c r="N665" s="11" t="s">
        <v>72</v>
      </c>
      <c r="O665" s="11" t="s">
        <v>2108</v>
      </c>
      <c r="P665" s="10" t="n">
        <f aca="false">G665</f>
        <v>10</v>
      </c>
      <c r="Q665" s="10" t="n">
        <f aca="false">H665</f>
        <v>8</v>
      </c>
      <c r="R665" s="10" t="n">
        <f aca="false">I665</f>
        <v>6</v>
      </c>
      <c r="S665" s="10" t="n">
        <f aca="false">J665</f>
        <v>0.1</v>
      </c>
      <c r="T665" s="12" t="s">
        <v>2709</v>
      </c>
      <c r="U665" s="12" t="s">
        <v>2863</v>
      </c>
      <c r="V665" s="9" t="str">
        <f aca="false">U665&amp;" - "&amp;W665</f>
        <v>行李箱灯 - 通用</v>
      </c>
      <c r="W665" s="12" t="s">
        <v>76</v>
      </c>
      <c r="X665" s="12" t="s">
        <v>2110</v>
      </c>
      <c r="Y665" s="10" t="n">
        <f aca="false">G665</f>
        <v>10</v>
      </c>
      <c r="Z665" s="10" t="n">
        <f aca="false">H665</f>
        <v>8</v>
      </c>
      <c r="AA665" s="10" t="n">
        <f aca="false">I665</f>
        <v>6</v>
      </c>
      <c r="AB665" s="10" t="n">
        <f aca="false">J665</f>
        <v>0.1</v>
      </c>
      <c r="AC665" s="9" t="s">
        <v>2712</v>
      </c>
      <c r="AD665" s="9" t="s">
        <v>2864</v>
      </c>
      <c r="AE665" s="9" t="str">
        <f aca="false">IF($AK665=0,"",INDEX('Part types'!$T:$T,$AK665)&amp;"")</f>
        <v>All vehicles</v>
      </c>
      <c r="AF665" s="9" t="str">
        <f aca="false">IF($AK665=0,"",INDEX('Part types'!$U:$U,$AK665)&amp;"")</f>
        <v/>
      </c>
      <c r="AG665" s="9" t="str">
        <f aca="false">IF($AK665=0,"",INDEX('Part types'!$V:$V,$AK665)&amp;"")</f>
        <v>Estimate: size class XS</v>
      </c>
      <c r="AH665" s="9" t="str">
        <f aca="false">IF($AK665=0,"",INDEX('Part types'!$W:$W,$AK665)&amp;"")</f>
        <v/>
      </c>
      <c r="AI665" s="11" t="str">
        <f aca="false">IF($AK665=0,"",INDEX('Part types'!$X:$X,$AK665)&amp;"")</f>
        <v/>
      </c>
      <c r="AJ665" s="9" t="str">
        <f aca="false">IF($AK665=0,"",INDEX('Part types'!$Y:$Y,$AK665)&amp;"")</f>
        <v/>
      </c>
      <c r="AK665" s="9" t="n">
        <f aca="false">IFERROR(MATCH($AD665,'Part types'!$E:$E,0),0)</f>
        <v>460</v>
      </c>
    </row>
    <row r="666" customFormat="false" ht="15" hidden="false" customHeight="false" outlineLevel="0" collapsed="false">
      <c r="A666" s="9" t="s">
        <v>2865</v>
      </c>
      <c r="B666" s="9" t="s">
        <v>2703</v>
      </c>
      <c r="C666" s="9" t="s">
        <v>2866</v>
      </c>
      <c r="D666" s="9" t="str">
        <f aca="false">C666&amp;" - "&amp;E666</f>
        <v>Door Courtesy Lamp - Front-Left</v>
      </c>
      <c r="E666" s="9" t="s">
        <v>1346</v>
      </c>
      <c r="F666" s="9" t="s">
        <v>2405</v>
      </c>
      <c r="G666" s="10" t="n">
        <f aca="false">IF($AK666=0,"",INDEX('Part types'!$P:$P,$AK666))</f>
        <v>10</v>
      </c>
      <c r="H666" s="10" t="n">
        <f aca="false">IF($AK666=0,"",INDEX('Part types'!$Q:$Q,$AK666))</f>
        <v>8</v>
      </c>
      <c r="I666" s="10" t="n">
        <f aca="false">IF($AK666=0,"",INDEX('Part types'!$R:$R,$AK666))</f>
        <v>6</v>
      </c>
      <c r="J666" s="10" t="n">
        <f aca="false">IF($AK666=0,"",INDEX('Part types'!$S:$S,$AK666))</f>
        <v>0.1</v>
      </c>
      <c r="K666" s="11" t="s">
        <v>2706</v>
      </c>
      <c r="L666" s="11" t="s">
        <v>2867</v>
      </c>
      <c r="M666" s="11" t="str">
        <f aca="false">L666&amp;" - "&amp;N666</f>
        <v>إنارة الباب الداخلية - أمامي يسار</v>
      </c>
      <c r="N666" s="11" t="s">
        <v>1349</v>
      </c>
      <c r="O666" s="11" t="s">
        <v>2408</v>
      </c>
      <c r="P666" s="10" t="n">
        <f aca="false">G666</f>
        <v>10</v>
      </c>
      <c r="Q666" s="10" t="n">
        <f aca="false">H666</f>
        <v>8</v>
      </c>
      <c r="R666" s="10" t="n">
        <f aca="false">I666</f>
        <v>6</v>
      </c>
      <c r="S666" s="10" t="n">
        <f aca="false">J666</f>
        <v>0.1</v>
      </c>
      <c r="T666" s="12" t="s">
        <v>2709</v>
      </c>
      <c r="U666" s="12" t="s">
        <v>2868</v>
      </c>
      <c r="V666" s="9" t="str">
        <f aca="false">U666&amp;" - "&amp;W666</f>
        <v>车门迎宾灯 - 前左</v>
      </c>
      <c r="W666" s="12" t="s">
        <v>1352</v>
      </c>
      <c r="X666" s="12" t="s">
        <v>2411</v>
      </c>
      <c r="Y666" s="10" t="n">
        <f aca="false">G666</f>
        <v>10</v>
      </c>
      <c r="Z666" s="10" t="n">
        <f aca="false">H666</f>
        <v>8</v>
      </c>
      <c r="AA666" s="10" t="n">
        <f aca="false">I666</f>
        <v>6</v>
      </c>
      <c r="AB666" s="10" t="n">
        <f aca="false">J666</f>
        <v>0.1</v>
      </c>
      <c r="AC666" s="9" t="s">
        <v>2712</v>
      </c>
      <c r="AD666" s="9" t="s">
        <v>2869</v>
      </c>
      <c r="AE666" s="9" t="str">
        <f aca="false">IF($AK666=0,"",INDEX('Part types'!$T:$T,$AK666)&amp;"")</f>
        <v>All vehicles</v>
      </c>
      <c r="AF666" s="9" t="str">
        <f aca="false">IF($AK666=0,"",INDEX('Part types'!$U:$U,$AK666)&amp;"")</f>
        <v/>
      </c>
      <c r="AG666" s="9" t="str">
        <f aca="false">IF($AK666=0,"",INDEX('Part types'!$V:$V,$AK666)&amp;"")</f>
        <v>Estimate: size class XS</v>
      </c>
      <c r="AH666" s="9" t="str">
        <f aca="false">IF($AK666=0,"",INDEX('Part types'!$W:$W,$AK666)&amp;"")</f>
        <v/>
      </c>
      <c r="AI666" s="11" t="str">
        <f aca="false">IF($AK666=0,"",INDEX('Part types'!$X:$X,$AK666)&amp;"")</f>
        <v/>
      </c>
      <c r="AJ666" s="9" t="str">
        <f aca="false">IF($AK666=0,"",INDEX('Part types'!$Y:$Y,$AK666)&amp;"")</f>
        <v/>
      </c>
      <c r="AK666" s="9" t="n">
        <f aca="false">IFERROR(MATCH($AD666,'Part types'!$E:$E,0),0)</f>
        <v>461</v>
      </c>
    </row>
    <row r="667" customFormat="false" ht="15" hidden="false" customHeight="false" outlineLevel="0" collapsed="false">
      <c r="A667" s="9" t="s">
        <v>2870</v>
      </c>
      <c r="B667" s="9" t="s">
        <v>2703</v>
      </c>
      <c r="C667" s="9" t="s">
        <v>2866</v>
      </c>
      <c r="D667" s="9" t="str">
        <f aca="false">C667&amp;" - "&amp;E667</f>
        <v>Door Courtesy Lamp - Front-Right</v>
      </c>
      <c r="E667" s="9" t="s">
        <v>1356</v>
      </c>
      <c r="F667" s="9" t="s">
        <v>2405</v>
      </c>
      <c r="G667" s="10" t="n">
        <f aca="false">IF($AK667=0,"",INDEX('Part types'!$P:$P,$AK667))</f>
        <v>10</v>
      </c>
      <c r="H667" s="10" t="n">
        <f aca="false">IF($AK667=0,"",INDEX('Part types'!$Q:$Q,$AK667))</f>
        <v>8</v>
      </c>
      <c r="I667" s="10" t="n">
        <f aca="false">IF($AK667=0,"",INDEX('Part types'!$R:$R,$AK667))</f>
        <v>6</v>
      </c>
      <c r="J667" s="10" t="n">
        <f aca="false">IF($AK667=0,"",INDEX('Part types'!$S:$S,$AK667))</f>
        <v>0.1</v>
      </c>
      <c r="K667" s="11" t="s">
        <v>2706</v>
      </c>
      <c r="L667" s="11" t="s">
        <v>2867</v>
      </c>
      <c r="M667" s="11" t="str">
        <f aca="false">L667&amp;" - "&amp;N667</f>
        <v>إنارة الباب الداخلية - أمامي يمين</v>
      </c>
      <c r="N667" s="11" t="s">
        <v>1357</v>
      </c>
      <c r="O667" s="11" t="s">
        <v>2408</v>
      </c>
      <c r="P667" s="10" t="n">
        <f aca="false">G667</f>
        <v>10</v>
      </c>
      <c r="Q667" s="10" t="n">
        <f aca="false">H667</f>
        <v>8</v>
      </c>
      <c r="R667" s="10" t="n">
        <f aca="false">I667</f>
        <v>6</v>
      </c>
      <c r="S667" s="10" t="n">
        <f aca="false">J667</f>
        <v>0.1</v>
      </c>
      <c r="T667" s="12" t="s">
        <v>2709</v>
      </c>
      <c r="U667" s="12" t="s">
        <v>2868</v>
      </c>
      <c r="V667" s="9" t="str">
        <f aca="false">U667&amp;" - "&amp;W667</f>
        <v>车门迎宾灯 - 前右</v>
      </c>
      <c r="W667" s="12" t="s">
        <v>1358</v>
      </c>
      <c r="X667" s="12" t="s">
        <v>2411</v>
      </c>
      <c r="Y667" s="10" t="n">
        <f aca="false">G667</f>
        <v>10</v>
      </c>
      <c r="Z667" s="10" t="n">
        <f aca="false">H667</f>
        <v>8</v>
      </c>
      <c r="AA667" s="10" t="n">
        <f aca="false">I667</f>
        <v>6</v>
      </c>
      <c r="AB667" s="10" t="n">
        <f aca="false">J667</f>
        <v>0.1</v>
      </c>
      <c r="AC667" s="9" t="s">
        <v>2712</v>
      </c>
      <c r="AD667" s="9" t="s">
        <v>2869</v>
      </c>
      <c r="AE667" s="9" t="str">
        <f aca="false">IF($AK667=0,"",INDEX('Part types'!$T:$T,$AK667)&amp;"")</f>
        <v>All vehicles</v>
      </c>
      <c r="AF667" s="9" t="str">
        <f aca="false">IF($AK667=0,"",INDEX('Part types'!$U:$U,$AK667)&amp;"")</f>
        <v/>
      </c>
      <c r="AG667" s="9" t="str">
        <f aca="false">IF($AK667=0,"",INDEX('Part types'!$V:$V,$AK667)&amp;"")</f>
        <v>Estimate: size class XS</v>
      </c>
      <c r="AH667" s="9" t="str">
        <f aca="false">IF($AK667=0,"",INDEX('Part types'!$W:$W,$AK667)&amp;"")</f>
        <v/>
      </c>
      <c r="AI667" s="11" t="str">
        <f aca="false">IF($AK667=0,"",INDEX('Part types'!$X:$X,$AK667)&amp;"")</f>
        <v/>
      </c>
      <c r="AJ667" s="9" t="str">
        <f aca="false">IF($AK667=0,"",INDEX('Part types'!$Y:$Y,$AK667)&amp;"")</f>
        <v/>
      </c>
      <c r="AK667" s="9" t="n">
        <f aca="false">IFERROR(MATCH($AD667,'Part types'!$E:$E,0),0)</f>
        <v>461</v>
      </c>
    </row>
    <row r="668" customFormat="false" ht="15" hidden="false" customHeight="false" outlineLevel="0" collapsed="false">
      <c r="A668" s="9" t="s">
        <v>2871</v>
      </c>
      <c r="B668" s="9" t="s">
        <v>2703</v>
      </c>
      <c r="C668" s="9" t="s">
        <v>2866</v>
      </c>
      <c r="D668" s="9" t="str">
        <f aca="false">C668&amp;" - "&amp;E668</f>
        <v>Door Courtesy Lamp - Rear-Left</v>
      </c>
      <c r="E668" s="9" t="s">
        <v>1360</v>
      </c>
      <c r="F668" s="9" t="s">
        <v>2405</v>
      </c>
      <c r="G668" s="10" t="n">
        <f aca="false">IF($AK668=0,"",INDEX('Part types'!$P:$P,$AK668))</f>
        <v>10</v>
      </c>
      <c r="H668" s="10" t="n">
        <f aca="false">IF($AK668=0,"",INDEX('Part types'!$Q:$Q,$AK668))</f>
        <v>8</v>
      </c>
      <c r="I668" s="10" t="n">
        <f aca="false">IF($AK668=0,"",INDEX('Part types'!$R:$R,$AK668))</f>
        <v>6</v>
      </c>
      <c r="J668" s="10" t="n">
        <f aca="false">IF($AK668=0,"",INDEX('Part types'!$S:$S,$AK668))</f>
        <v>0.1</v>
      </c>
      <c r="K668" s="11" t="s">
        <v>2706</v>
      </c>
      <c r="L668" s="11" t="s">
        <v>2867</v>
      </c>
      <c r="M668" s="11" t="str">
        <f aca="false">L668&amp;" - "&amp;N668</f>
        <v>إنارة الباب الداخلية - خلفي يسار</v>
      </c>
      <c r="N668" s="11" t="s">
        <v>1361</v>
      </c>
      <c r="O668" s="11" t="s">
        <v>2408</v>
      </c>
      <c r="P668" s="10" t="n">
        <f aca="false">G668</f>
        <v>10</v>
      </c>
      <c r="Q668" s="10" t="n">
        <f aca="false">H668</f>
        <v>8</v>
      </c>
      <c r="R668" s="10" t="n">
        <f aca="false">I668</f>
        <v>6</v>
      </c>
      <c r="S668" s="10" t="n">
        <f aca="false">J668</f>
        <v>0.1</v>
      </c>
      <c r="T668" s="12" t="s">
        <v>2709</v>
      </c>
      <c r="U668" s="12" t="s">
        <v>2868</v>
      </c>
      <c r="V668" s="9" t="str">
        <f aca="false">U668&amp;" - "&amp;W668</f>
        <v>车门迎宾灯 - 后左</v>
      </c>
      <c r="W668" s="12" t="s">
        <v>1362</v>
      </c>
      <c r="X668" s="12" t="s">
        <v>2411</v>
      </c>
      <c r="Y668" s="10" t="n">
        <f aca="false">G668</f>
        <v>10</v>
      </c>
      <c r="Z668" s="10" t="n">
        <f aca="false">H668</f>
        <v>8</v>
      </c>
      <c r="AA668" s="10" t="n">
        <f aca="false">I668</f>
        <v>6</v>
      </c>
      <c r="AB668" s="10" t="n">
        <f aca="false">J668</f>
        <v>0.1</v>
      </c>
      <c r="AC668" s="9" t="s">
        <v>2712</v>
      </c>
      <c r="AD668" s="9" t="s">
        <v>2869</v>
      </c>
      <c r="AE668" s="9" t="str">
        <f aca="false">IF($AK668=0,"",INDEX('Part types'!$T:$T,$AK668)&amp;"")</f>
        <v>All vehicles</v>
      </c>
      <c r="AF668" s="9" t="str">
        <f aca="false">IF($AK668=0,"",INDEX('Part types'!$U:$U,$AK668)&amp;"")</f>
        <v/>
      </c>
      <c r="AG668" s="9" t="str">
        <f aca="false">IF($AK668=0,"",INDEX('Part types'!$V:$V,$AK668)&amp;"")</f>
        <v>Estimate: size class XS</v>
      </c>
      <c r="AH668" s="9" t="str">
        <f aca="false">IF($AK668=0,"",INDEX('Part types'!$W:$W,$AK668)&amp;"")</f>
        <v/>
      </c>
      <c r="AI668" s="11" t="str">
        <f aca="false">IF($AK668=0,"",INDEX('Part types'!$X:$X,$AK668)&amp;"")</f>
        <v/>
      </c>
      <c r="AJ668" s="9" t="str">
        <f aca="false">IF($AK668=0,"",INDEX('Part types'!$Y:$Y,$AK668)&amp;"")</f>
        <v/>
      </c>
      <c r="AK668" s="9" t="n">
        <f aca="false">IFERROR(MATCH($AD668,'Part types'!$E:$E,0),0)</f>
        <v>461</v>
      </c>
    </row>
    <row r="669" customFormat="false" ht="15" hidden="false" customHeight="false" outlineLevel="0" collapsed="false">
      <c r="A669" s="9" t="s">
        <v>2872</v>
      </c>
      <c r="B669" s="9" t="s">
        <v>2703</v>
      </c>
      <c r="C669" s="9" t="s">
        <v>2866</v>
      </c>
      <c r="D669" s="9" t="str">
        <f aca="false">C669&amp;" - "&amp;E669</f>
        <v>Door Courtesy Lamp - Rear-Right</v>
      </c>
      <c r="E669" s="9" t="s">
        <v>1364</v>
      </c>
      <c r="F669" s="9" t="s">
        <v>2405</v>
      </c>
      <c r="G669" s="10" t="n">
        <f aca="false">IF($AK669=0,"",INDEX('Part types'!$P:$P,$AK669))</f>
        <v>10</v>
      </c>
      <c r="H669" s="10" t="n">
        <f aca="false">IF($AK669=0,"",INDEX('Part types'!$Q:$Q,$AK669))</f>
        <v>8</v>
      </c>
      <c r="I669" s="10" t="n">
        <f aca="false">IF($AK669=0,"",INDEX('Part types'!$R:$R,$AK669))</f>
        <v>6</v>
      </c>
      <c r="J669" s="10" t="n">
        <f aca="false">IF($AK669=0,"",INDEX('Part types'!$S:$S,$AK669))</f>
        <v>0.1</v>
      </c>
      <c r="K669" s="11" t="s">
        <v>2706</v>
      </c>
      <c r="L669" s="11" t="s">
        <v>2867</v>
      </c>
      <c r="M669" s="11" t="str">
        <f aca="false">L669&amp;" - "&amp;N669</f>
        <v>إنارة الباب الداخلية - خلفي يمين</v>
      </c>
      <c r="N669" s="11" t="s">
        <v>1365</v>
      </c>
      <c r="O669" s="11" t="s">
        <v>2408</v>
      </c>
      <c r="P669" s="10" t="n">
        <f aca="false">G669</f>
        <v>10</v>
      </c>
      <c r="Q669" s="10" t="n">
        <f aca="false">H669</f>
        <v>8</v>
      </c>
      <c r="R669" s="10" t="n">
        <f aca="false">I669</f>
        <v>6</v>
      </c>
      <c r="S669" s="10" t="n">
        <f aca="false">J669</f>
        <v>0.1</v>
      </c>
      <c r="T669" s="12" t="s">
        <v>2709</v>
      </c>
      <c r="U669" s="12" t="s">
        <v>2868</v>
      </c>
      <c r="V669" s="9" t="str">
        <f aca="false">U669&amp;" - "&amp;W669</f>
        <v>车门迎宾灯 - 后右</v>
      </c>
      <c r="W669" s="12" t="s">
        <v>1366</v>
      </c>
      <c r="X669" s="12" t="s">
        <v>2411</v>
      </c>
      <c r="Y669" s="10" t="n">
        <f aca="false">G669</f>
        <v>10</v>
      </c>
      <c r="Z669" s="10" t="n">
        <f aca="false">H669</f>
        <v>8</v>
      </c>
      <c r="AA669" s="10" t="n">
        <f aca="false">I669</f>
        <v>6</v>
      </c>
      <c r="AB669" s="10" t="n">
        <f aca="false">J669</f>
        <v>0.1</v>
      </c>
      <c r="AC669" s="9" t="s">
        <v>2712</v>
      </c>
      <c r="AD669" s="9" t="s">
        <v>2869</v>
      </c>
      <c r="AE669" s="9" t="str">
        <f aca="false">IF($AK669=0,"",INDEX('Part types'!$T:$T,$AK669)&amp;"")</f>
        <v>All vehicles</v>
      </c>
      <c r="AF669" s="9" t="str">
        <f aca="false">IF($AK669=0,"",INDEX('Part types'!$U:$U,$AK669)&amp;"")</f>
        <v/>
      </c>
      <c r="AG669" s="9" t="str">
        <f aca="false">IF($AK669=0,"",INDEX('Part types'!$V:$V,$AK669)&amp;"")</f>
        <v>Estimate: size class XS</v>
      </c>
      <c r="AH669" s="9" t="str">
        <f aca="false">IF($AK669=0,"",INDEX('Part types'!$W:$W,$AK669)&amp;"")</f>
        <v/>
      </c>
      <c r="AI669" s="11" t="str">
        <f aca="false">IF($AK669=0,"",INDEX('Part types'!$X:$X,$AK669)&amp;"")</f>
        <v/>
      </c>
      <c r="AJ669" s="9" t="str">
        <f aca="false">IF($AK669=0,"",INDEX('Part types'!$Y:$Y,$AK669)&amp;"")</f>
        <v/>
      </c>
      <c r="AK669" s="9" t="n">
        <f aca="false">IFERROR(MATCH($AD669,'Part types'!$E:$E,0),0)</f>
        <v>461</v>
      </c>
    </row>
    <row r="670" customFormat="false" ht="15" hidden="false" customHeight="false" outlineLevel="0" collapsed="false">
      <c r="A670" s="9" t="s">
        <v>2873</v>
      </c>
      <c r="B670" s="9" t="s">
        <v>2703</v>
      </c>
      <c r="C670" s="9" t="s">
        <v>2874</v>
      </c>
      <c r="D670" s="9" t="str">
        <f aca="false">C670&amp;" - "&amp;E670</f>
        <v>Ambient Light Strip - Universal</v>
      </c>
      <c r="E670" s="9" t="s">
        <v>68</v>
      </c>
      <c r="F670" s="9" t="s">
        <v>2260</v>
      </c>
      <c r="G670" s="10" t="n">
        <f aca="false">IF($AK670=0,"",INDEX('Part types'!$P:$P,$AK670))</f>
        <v>15</v>
      </c>
      <c r="H670" s="10" t="n">
        <f aca="false">IF($AK670=0,"",INDEX('Part types'!$Q:$Q,$AK670))</f>
        <v>10</v>
      </c>
      <c r="I670" s="10" t="n">
        <f aca="false">IF($AK670=0,"",INDEX('Part types'!$R:$R,$AK670))</f>
        <v>8</v>
      </c>
      <c r="J670" s="10" t="n">
        <f aca="false">IF($AK670=0,"",INDEX('Part types'!$S:$S,$AK670))</f>
        <v>0.3</v>
      </c>
      <c r="K670" s="11" t="s">
        <v>2706</v>
      </c>
      <c r="L670" s="11" t="s">
        <v>2875</v>
      </c>
      <c r="M670" s="11" t="str">
        <f aca="false">L670&amp;" - "&amp;N670</f>
        <v>شريط إضاءة داخلية - عام</v>
      </c>
      <c r="N670" s="11" t="s">
        <v>72</v>
      </c>
      <c r="O670" s="11" t="s">
        <v>2262</v>
      </c>
      <c r="P670" s="10" t="n">
        <f aca="false">G670</f>
        <v>15</v>
      </c>
      <c r="Q670" s="10" t="n">
        <f aca="false">H670</f>
        <v>10</v>
      </c>
      <c r="R670" s="10" t="n">
        <f aca="false">I670</f>
        <v>8</v>
      </c>
      <c r="S670" s="10" t="n">
        <f aca="false">J670</f>
        <v>0.3</v>
      </c>
      <c r="T670" s="12" t="s">
        <v>2709</v>
      </c>
      <c r="U670" s="12" t="s">
        <v>2876</v>
      </c>
      <c r="V670" s="9" t="str">
        <f aca="false">U670&amp;" - "&amp;W670</f>
        <v>氛围灯条 - 通用</v>
      </c>
      <c r="W670" s="12" t="s">
        <v>76</v>
      </c>
      <c r="X670" s="12" t="s">
        <v>2264</v>
      </c>
      <c r="Y670" s="10" t="n">
        <f aca="false">G670</f>
        <v>15</v>
      </c>
      <c r="Z670" s="10" t="n">
        <f aca="false">H670</f>
        <v>10</v>
      </c>
      <c r="AA670" s="10" t="n">
        <f aca="false">I670</f>
        <v>8</v>
      </c>
      <c r="AB670" s="10" t="n">
        <f aca="false">J670</f>
        <v>0.3</v>
      </c>
      <c r="AC670" s="9" t="s">
        <v>2712</v>
      </c>
      <c r="AD670" s="9" t="s">
        <v>2877</v>
      </c>
      <c r="AE670" s="9" t="str">
        <f aca="false">IF($AK670=0,"",INDEX('Part types'!$T:$T,$AK670)&amp;"")</f>
        <v>All vehicles</v>
      </c>
      <c r="AF670" s="9" t="str">
        <f aca="false">IF($AK670=0,"",INDEX('Part types'!$U:$U,$AK670)&amp;"")</f>
        <v/>
      </c>
      <c r="AG670" s="9" t="str">
        <f aca="false">IF($AK670=0,"",INDEX('Part types'!$V:$V,$AK670)&amp;"")</f>
        <v>Estimate: size class S</v>
      </c>
      <c r="AH670" s="9" t="str">
        <f aca="false">IF($AK670=0,"",INDEX('Part types'!$W:$W,$AK670)&amp;"")</f>
        <v/>
      </c>
      <c r="AI670" s="11" t="str">
        <f aca="false">IF($AK670=0,"",INDEX('Part types'!$X:$X,$AK670)&amp;"")</f>
        <v>أمبينت</v>
      </c>
      <c r="AJ670" s="9" t="str">
        <f aca="false">IF($AK670=0,"",INDEX('Part types'!$Y:$Y,$AK670)&amp;"")</f>
        <v/>
      </c>
      <c r="AK670" s="9" t="n">
        <f aca="false">IFERROR(MATCH($AD670,'Part types'!$E:$E,0),0)</f>
        <v>462</v>
      </c>
    </row>
    <row r="671" customFormat="false" ht="15" hidden="false" customHeight="false" outlineLevel="0" collapsed="false">
      <c r="A671" s="9" t="s">
        <v>2878</v>
      </c>
      <c r="B671" s="9" t="s">
        <v>2703</v>
      </c>
      <c r="C671" s="9" t="s">
        <v>2879</v>
      </c>
      <c r="D671" s="9" t="str">
        <f aca="false">C671&amp;" - "&amp;E671</f>
        <v>LED Bulb Kit - Universal</v>
      </c>
      <c r="E671" s="9" t="s">
        <v>68</v>
      </c>
      <c r="F671" s="9" t="s">
        <v>956</v>
      </c>
      <c r="G671" s="10" t="n">
        <f aca="false">IF($AK671=0,"",INDEX('Part types'!$P:$P,$AK671))</f>
        <v>15</v>
      </c>
      <c r="H671" s="10" t="n">
        <f aca="false">IF($AK671=0,"",INDEX('Part types'!$Q:$Q,$AK671))</f>
        <v>10</v>
      </c>
      <c r="I671" s="10" t="n">
        <f aca="false">IF($AK671=0,"",INDEX('Part types'!$R:$R,$AK671))</f>
        <v>8</v>
      </c>
      <c r="J671" s="10" t="n">
        <f aca="false">IF($AK671=0,"",INDEX('Part types'!$S:$S,$AK671))</f>
        <v>0.3</v>
      </c>
      <c r="K671" s="11" t="s">
        <v>2706</v>
      </c>
      <c r="L671" s="11" t="s">
        <v>2880</v>
      </c>
      <c r="M671" s="11" t="str">
        <f aca="false">L671&amp;" - "&amp;N671</f>
        <v>طقم لمبات LED - عام</v>
      </c>
      <c r="N671" s="11" t="s">
        <v>72</v>
      </c>
      <c r="O671" s="11" t="s">
        <v>959</v>
      </c>
      <c r="P671" s="10" t="n">
        <f aca="false">G671</f>
        <v>15</v>
      </c>
      <c r="Q671" s="10" t="n">
        <f aca="false">H671</f>
        <v>10</v>
      </c>
      <c r="R671" s="10" t="n">
        <f aca="false">I671</f>
        <v>8</v>
      </c>
      <c r="S671" s="10" t="n">
        <f aca="false">J671</f>
        <v>0.3</v>
      </c>
      <c r="T671" s="12" t="s">
        <v>2709</v>
      </c>
      <c r="U671" s="9" t="s">
        <v>2881</v>
      </c>
      <c r="V671" s="9" t="str">
        <f aca="false">U671&amp;" - "&amp;W671</f>
        <v>LED灯泡套装 - 通用</v>
      </c>
      <c r="W671" s="12" t="s">
        <v>76</v>
      </c>
      <c r="X671" s="12" t="s">
        <v>962</v>
      </c>
      <c r="Y671" s="10" t="n">
        <f aca="false">G671</f>
        <v>15</v>
      </c>
      <c r="Z671" s="10" t="n">
        <f aca="false">H671</f>
        <v>10</v>
      </c>
      <c r="AA671" s="10" t="n">
        <f aca="false">I671</f>
        <v>8</v>
      </c>
      <c r="AB671" s="10" t="n">
        <f aca="false">J671</f>
        <v>0.3</v>
      </c>
      <c r="AC671" s="9" t="s">
        <v>2712</v>
      </c>
      <c r="AD671" s="9" t="s">
        <v>2882</v>
      </c>
      <c r="AE671" s="9" t="str">
        <f aca="false">IF($AK671=0,"",INDEX('Part types'!$T:$T,$AK671)&amp;"")</f>
        <v>All vehicles</v>
      </c>
      <c r="AF671" s="9" t="str">
        <f aca="false">IF($AK671=0,"",INDEX('Part types'!$U:$U,$AK671)&amp;"")</f>
        <v/>
      </c>
      <c r="AG671" s="9" t="str">
        <f aca="false">IF($AK671=0,"",INDEX('Part types'!$V:$V,$AK671)&amp;"")</f>
        <v>Estimate: size class S</v>
      </c>
      <c r="AH671" s="9" t="str">
        <f aca="false">IF($AK671=0,"",INDEX('Part types'!$W:$W,$AK671)&amp;"")</f>
        <v>Universal</v>
      </c>
      <c r="AI671" s="11" t="str">
        <f aca="false">IF($AK671=0,"",INDEX('Part types'!$X:$X,$AK671)&amp;"")</f>
        <v>عام</v>
      </c>
      <c r="AJ671" s="9" t="str">
        <f aca="false">IF($AK671=0,"",INDEX('Part types'!$Y:$Y,$AK671)&amp;"")</f>
        <v/>
      </c>
      <c r="AK671" s="9" t="n">
        <f aca="false">IFERROR(MATCH($AD671,'Part types'!$E:$E,0),0)</f>
        <v>463</v>
      </c>
    </row>
    <row r="672" customFormat="false" ht="15" hidden="false" customHeight="false" outlineLevel="0" collapsed="false">
      <c r="A672" s="9" t="s">
        <v>2883</v>
      </c>
      <c r="B672" s="9" t="s">
        <v>2703</v>
      </c>
      <c r="C672" s="9" t="s">
        <v>2884</v>
      </c>
      <c r="D672" s="9" t="str">
        <f aca="false">C672&amp;" - "&amp;E672</f>
        <v>Headlamp Wiring Connector - Left</v>
      </c>
      <c r="E672" s="9" t="s">
        <v>218</v>
      </c>
      <c r="F672" s="9" t="s">
        <v>2705</v>
      </c>
      <c r="G672" s="10" t="n">
        <f aca="false">IF($AK672=0,"",INDEX('Part types'!$P:$P,$AK672))</f>
        <v>10</v>
      </c>
      <c r="H672" s="10" t="n">
        <f aca="false">IF($AK672=0,"",INDEX('Part types'!$Q:$Q,$AK672))</f>
        <v>8</v>
      </c>
      <c r="I672" s="10" t="n">
        <f aca="false">IF($AK672=0,"",INDEX('Part types'!$R:$R,$AK672))</f>
        <v>6</v>
      </c>
      <c r="J672" s="10" t="n">
        <f aca="false">IF($AK672=0,"",INDEX('Part types'!$S:$S,$AK672))</f>
        <v>0.1</v>
      </c>
      <c r="K672" s="11" t="s">
        <v>2706</v>
      </c>
      <c r="L672" s="11" t="s">
        <v>2885</v>
      </c>
      <c r="M672" s="11" t="str">
        <f aca="false">L672&amp;" - "&amp;N672</f>
        <v>وصلة المصباح الأمامي - يسار</v>
      </c>
      <c r="N672" s="11" t="s">
        <v>220</v>
      </c>
      <c r="O672" s="11" t="s">
        <v>2708</v>
      </c>
      <c r="P672" s="10" t="n">
        <f aca="false">G672</f>
        <v>10</v>
      </c>
      <c r="Q672" s="10" t="n">
        <f aca="false">H672</f>
        <v>8</v>
      </c>
      <c r="R672" s="10" t="n">
        <f aca="false">I672</f>
        <v>6</v>
      </c>
      <c r="S672" s="10" t="n">
        <f aca="false">J672</f>
        <v>0.1</v>
      </c>
      <c r="T672" s="12" t="s">
        <v>2709</v>
      </c>
      <c r="U672" s="12" t="s">
        <v>2886</v>
      </c>
      <c r="V672" s="9" t="str">
        <f aca="false">U672&amp;" - "&amp;W672</f>
        <v>大灯连接器 - 左侧</v>
      </c>
      <c r="W672" s="12" t="s">
        <v>222</v>
      </c>
      <c r="X672" s="12" t="s">
        <v>2711</v>
      </c>
      <c r="Y672" s="10" t="n">
        <f aca="false">G672</f>
        <v>10</v>
      </c>
      <c r="Z672" s="10" t="n">
        <f aca="false">H672</f>
        <v>8</v>
      </c>
      <c r="AA672" s="10" t="n">
        <f aca="false">I672</f>
        <v>6</v>
      </c>
      <c r="AB672" s="10" t="n">
        <f aca="false">J672</f>
        <v>0.1</v>
      </c>
      <c r="AC672" s="9" t="s">
        <v>2712</v>
      </c>
      <c r="AD672" s="9" t="s">
        <v>2887</v>
      </c>
      <c r="AE672" s="9" t="str">
        <f aca="false">IF($AK672=0,"",INDEX('Part types'!$T:$T,$AK672)&amp;"")</f>
        <v>All vehicles</v>
      </c>
      <c r="AF672" s="9" t="str">
        <f aca="false">IF($AK672=0,"",INDEX('Part types'!$U:$U,$AK672)&amp;"")</f>
        <v/>
      </c>
      <c r="AG672" s="9" t="str">
        <f aca="false">IF($AK672=0,"",INDEX('Part types'!$V:$V,$AK672)&amp;"")</f>
        <v>Estimate: size class XS</v>
      </c>
      <c r="AH672" s="9" t="str">
        <f aca="false">IF($AK672=0,"",INDEX('Part types'!$W:$W,$AK672)&amp;"")</f>
        <v/>
      </c>
      <c r="AI672" s="11" t="str">
        <f aca="false">IF($AK672=0,"",INDEX('Part types'!$X:$X,$AK672)&amp;"")</f>
        <v/>
      </c>
      <c r="AJ672" s="9" t="str">
        <f aca="false">IF($AK672=0,"",INDEX('Part types'!$Y:$Y,$AK672)&amp;"")</f>
        <v/>
      </c>
      <c r="AK672" s="9" t="n">
        <f aca="false">IFERROR(MATCH($AD672,'Part types'!$E:$E,0),0)</f>
        <v>464</v>
      </c>
    </row>
    <row r="673" customFormat="false" ht="15" hidden="false" customHeight="false" outlineLevel="0" collapsed="false">
      <c r="A673" s="9" t="s">
        <v>2888</v>
      </c>
      <c r="B673" s="9" t="s">
        <v>2703</v>
      </c>
      <c r="C673" s="9" t="s">
        <v>2884</v>
      </c>
      <c r="D673" s="9" t="str">
        <f aca="false">C673&amp;" - "&amp;E673</f>
        <v>Headlamp Wiring Connector - Right</v>
      </c>
      <c r="E673" s="9" t="s">
        <v>225</v>
      </c>
      <c r="F673" s="9" t="s">
        <v>2705</v>
      </c>
      <c r="G673" s="10" t="n">
        <f aca="false">IF($AK673=0,"",INDEX('Part types'!$P:$P,$AK673))</f>
        <v>10</v>
      </c>
      <c r="H673" s="10" t="n">
        <f aca="false">IF($AK673=0,"",INDEX('Part types'!$Q:$Q,$AK673))</f>
        <v>8</v>
      </c>
      <c r="I673" s="10" t="n">
        <f aca="false">IF($AK673=0,"",INDEX('Part types'!$R:$R,$AK673))</f>
        <v>6</v>
      </c>
      <c r="J673" s="10" t="n">
        <f aca="false">IF($AK673=0,"",INDEX('Part types'!$S:$S,$AK673))</f>
        <v>0.1</v>
      </c>
      <c r="K673" s="11" t="s">
        <v>2706</v>
      </c>
      <c r="L673" s="11" t="s">
        <v>2885</v>
      </c>
      <c r="M673" s="11" t="str">
        <f aca="false">L673&amp;" - "&amp;N673</f>
        <v>وصلة المصباح الأمامي - يمين</v>
      </c>
      <c r="N673" s="11" t="s">
        <v>226</v>
      </c>
      <c r="O673" s="11" t="s">
        <v>2708</v>
      </c>
      <c r="P673" s="10" t="n">
        <f aca="false">G673</f>
        <v>10</v>
      </c>
      <c r="Q673" s="10" t="n">
        <f aca="false">H673</f>
        <v>8</v>
      </c>
      <c r="R673" s="10" t="n">
        <f aca="false">I673</f>
        <v>6</v>
      </c>
      <c r="S673" s="10" t="n">
        <f aca="false">J673</f>
        <v>0.1</v>
      </c>
      <c r="T673" s="12" t="s">
        <v>2709</v>
      </c>
      <c r="U673" s="12" t="s">
        <v>2886</v>
      </c>
      <c r="V673" s="9" t="str">
        <f aca="false">U673&amp;" - "&amp;W673</f>
        <v>大灯连接器 - 右侧</v>
      </c>
      <c r="W673" s="12" t="s">
        <v>227</v>
      </c>
      <c r="X673" s="12" t="s">
        <v>2711</v>
      </c>
      <c r="Y673" s="10" t="n">
        <f aca="false">G673</f>
        <v>10</v>
      </c>
      <c r="Z673" s="10" t="n">
        <f aca="false">H673</f>
        <v>8</v>
      </c>
      <c r="AA673" s="10" t="n">
        <f aca="false">I673</f>
        <v>6</v>
      </c>
      <c r="AB673" s="10" t="n">
        <f aca="false">J673</f>
        <v>0.1</v>
      </c>
      <c r="AC673" s="9" t="s">
        <v>2712</v>
      </c>
      <c r="AD673" s="9" t="s">
        <v>2887</v>
      </c>
      <c r="AE673" s="9" t="str">
        <f aca="false">IF($AK673=0,"",INDEX('Part types'!$T:$T,$AK673)&amp;"")</f>
        <v>All vehicles</v>
      </c>
      <c r="AF673" s="9" t="str">
        <f aca="false">IF($AK673=0,"",INDEX('Part types'!$U:$U,$AK673)&amp;"")</f>
        <v/>
      </c>
      <c r="AG673" s="9" t="str">
        <f aca="false">IF($AK673=0,"",INDEX('Part types'!$V:$V,$AK673)&amp;"")</f>
        <v>Estimate: size class XS</v>
      </c>
      <c r="AH673" s="9" t="str">
        <f aca="false">IF($AK673=0,"",INDEX('Part types'!$W:$W,$AK673)&amp;"")</f>
        <v/>
      </c>
      <c r="AI673" s="11" t="str">
        <f aca="false">IF($AK673=0,"",INDEX('Part types'!$X:$X,$AK673)&amp;"")</f>
        <v/>
      </c>
      <c r="AJ673" s="9" t="str">
        <f aca="false">IF($AK673=0,"",INDEX('Part types'!$Y:$Y,$AK673)&amp;"")</f>
        <v/>
      </c>
      <c r="AK673" s="9" t="n">
        <f aca="false">IFERROR(MATCH($AD673,'Part types'!$E:$E,0),0)</f>
        <v>464</v>
      </c>
    </row>
    <row r="674" customFormat="false" ht="15" hidden="false" customHeight="false" outlineLevel="0" collapsed="false">
      <c r="A674" s="9" t="s">
        <v>2889</v>
      </c>
      <c r="B674" s="9" t="s">
        <v>2890</v>
      </c>
      <c r="C674" s="9" t="s">
        <v>2891</v>
      </c>
      <c r="D674" s="9" t="str">
        <f aca="false">C674&amp;" - "&amp;E674</f>
        <v>High-Voltage Battery Pack - Universal</v>
      </c>
      <c r="E674" s="9" t="s">
        <v>68</v>
      </c>
      <c r="F674" s="9" t="s">
        <v>947</v>
      </c>
      <c r="G674" s="10" t="n">
        <f aca="false">IF($AK674=0,"",INDEX('Part types'!$P:$P,$AK674))</f>
        <v>180</v>
      </c>
      <c r="H674" s="10" t="n">
        <f aca="false">IF($AK674=0,"",INDEX('Part types'!$Q:$Q,$AK674))</f>
        <v>120</v>
      </c>
      <c r="I674" s="10" t="n">
        <f aca="false">IF($AK674=0,"",INDEX('Part types'!$R:$R,$AK674))</f>
        <v>25</v>
      </c>
      <c r="J674" s="10" t="n">
        <f aca="false">IF($AK674=0,"",INDEX('Part types'!$S:$S,$AK674))</f>
        <v>400</v>
      </c>
      <c r="K674" s="11" t="s">
        <v>2892</v>
      </c>
      <c r="L674" s="11" t="s">
        <v>949</v>
      </c>
      <c r="M674" s="11" t="str">
        <f aca="false">L674&amp;" - "&amp;N674</f>
        <v>حزمة بطارية الجهد العالي - عام</v>
      </c>
      <c r="N674" s="11" t="s">
        <v>72</v>
      </c>
      <c r="O674" s="11" t="s">
        <v>949</v>
      </c>
      <c r="P674" s="10" t="n">
        <f aca="false">G674</f>
        <v>180</v>
      </c>
      <c r="Q674" s="10" t="n">
        <f aca="false">H674</f>
        <v>120</v>
      </c>
      <c r="R674" s="10" t="n">
        <f aca="false">I674</f>
        <v>25</v>
      </c>
      <c r="S674" s="10" t="n">
        <f aca="false">J674</f>
        <v>400</v>
      </c>
      <c r="T674" s="12" t="s">
        <v>2893</v>
      </c>
      <c r="U674" s="12" t="s">
        <v>2894</v>
      </c>
      <c r="V674" s="9" t="str">
        <f aca="false">U674&amp;" - "&amp;W674</f>
        <v>高压动力电池包 - 通用</v>
      </c>
      <c r="W674" s="12" t="s">
        <v>76</v>
      </c>
      <c r="X674" s="12" t="s">
        <v>951</v>
      </c>
      <c r="Y674" s="10" t="n">
        <f aca="false">G674</f>
        <v>180</v>
      </c>
      <c r="Z674" s="10" t="n">
        <f aca="false">H674</f>
        <v>120</v>
      </c>
      <c r="AA674" s="10" t="n">
        <f aca="false">I674</f>
        <v>25</v>
      </c>
      <c r="AB674" s="10" t="n">
        <f aca="false">J674</f>
        <v>400</v>
      </c>
      <c r="AC674" s="9" t="s">
        <v>2895</v>
      </c>
      <c r="AD674" s="9" t="s">
        <v>2896</v>
      </c>
      <c r="AE674" s="9" t="str">
        <f aca="false">IF($AK674=0,"",INDEX('Part types'!$T:$T,$AK674)&amp;"")</f>
        <v>Electrified (hybrid, plug-in, range extender, EV)</v>
      </c>
      <c r="AF674" s="9" t="str">
        <f aca="false">IF($AK674=0,"",INDEX('Part types'!$U:$U,$AK674)&amp;"")</f>
        <v>Battery (restricted); Oversized (over 120 cm); Heavy (over 30 kg)</v>
      </c>
      <c r="AG674" s="9" t="str">
        <f aca="false">IF($AK674=0,"",INDEX('Part types'!$V:$V,$AK674)&amp;"")</f>
        <v>Estimate: item-specific</v>
      </c>
      <c r="AH674" s="9" t="str">
        <f aca="false">IF($AK674=0,"",INDEX('Part types'!$W:$W,$AK674)&amp;"")</f>
        <v/>
      </c>
      <c r="AI674" s="11" t="str">
        <f aca="false">IF($AK674=0,"",INDEX('Part types'!$X:$X,$AK674)&amp;"")</f>
        <v/>
      </c>
      <c r="AJ674" s="9" t="str">
        <f aca="false">IF($AK674=0,"",INDEX('Part types'!$Y:$Y,$AK674)&amp;"")</f>
        <v/>
      </c>
      <c r="AK674" s="9" t="n">
        <f aca="false">IFERROR(MATCH($AD674,'Part types'!$E:$E,0),0)</f>
        <v>465</v>
      </c>
    </row>
    <row r="675" customFormat="false" ht="15" hidden="false" customHeight="false" outlineLevel="0" collapsed="false">
      <c r="A675" s="9" t="s">
        <v>2897</v>
      </c>
      <c r="B675" s="9" t="s">
        <v>2890</v>
      </c>
      <c r="C675" s="9" t="s">
        <v>2898</v>
      </c>
      <c r="D675" s="9" t="str">
        <f aca="false">C675&amp;" - "&amp;E675</f>
        <v>High-Voltage Battery Module - Universal</v>
      </c>
      <c r="E675" s="9" t="s">
        <v>68</v>
      </c>
      <c r="F675" s="9" t="s">
        <v>947</v>
      </c>
      <c r="G675" s="10" t="n">
        <f aca="false">IF($AK675=0,"",INDEX('Part types'!$P:$P,$AK675))</f>
        <v>35</v>
      </c>
      <c r="H675" s="10" t="n">
        <f aca="false">IF($AK675=0,"",INDEX('Part types'!$Q:$Q,$AK675))</f>
        <v>25</v>
      </c>
      <c r="I675" s="10" t="n">
        <f aca="false">IF($AK675=0,"",INDEX('Part types'!$R:$R,$AK675))</f>
        <v>15</v>
      </c>
      <c r="J675" s="10" t="n">
        <f aca="false">IF($AK675=0,"",INDEX('Part types'!$S:$S,$AK675))</f>
        <v>18</v>
      </c>
      <c r="K675" s="11" t="s">
        <v>2892</v>
      </c>
      <c r="L675" s="11" t="s">
        <v>2899</v>
      </c>
      <c r="M675" s="11" t="str">
        <f aca="false">L675&amp;" - "&amp;N675</f>
        <v>وحدة خلايا البطارية - عام</v>
      </c>
      <c r="N675" s="11" t="s">
        <v>72</v>
      </c>
      <c r="O675" s="11" t="s">
        <v>949</v>
      </c>
      <c r="P675" s="10" t="n">
        <f aca="false">G675</f>
        <v>35</v>
      </c>
      <c r="Q675" s="10" t="n">
        <f aca="false">H675</f>
        <v>25</v>
      </c>
      <c r="R675" s="10" t="n">
        <f aca="false">I675</f>
        <v>15</v>
      </c>
      <c r="S675" s="10" t="n">
        <f aca="false">J675</f>
        <v>18</v>
      </c>
      <c r="T675" s="12" t="s">
        <v>2893</v>
      </c>
      <c r="U675" s="12" t="s">
        <v>2900</v>
      </c>
      <c r="V675" s="9" t="str">
        <f aca="false">U675&amp;" - "&amp;W675</f>
        <v>动力电池模组 - 通用</v>
      </c>
      <c r="W675" s="12" t="s">
        <v>76</v>
      </c>
      <c r="X675" s="12" t="s">
        <v>951</v>
      </c>
      <c r="Y675" s="10" t="n">
        <f aca="false">G675</f>
        <v>35</v>
      </c>
      <c r="Z675" s="10" t="n">
        <f aca="false">H675</f>
        <v>25</v>
      </c>
      <c r="AA675" s="10" t="n">
        <f aca="false">I675</f>
        <v>15</v>
      </c>
      <c r="AB675" s="10" t="n">
        <f aca="false">J675</f>
        <v>18</v>
      </c>
      <c r="AC675" s="9" t="s">
        <v>2895</v>
      </c>
      <c r="AD675" s="9" t="s">
        <v>2901</v>
      </c>
      <c r="AE675" s="9" t="str">
        <f aca="false">IF($AK675=0,"",INDEX('Part types'!$T:$T,$AK675)&amp;"")</f>
        <v>Electrified (hybrid, plug-in, range extender, EV)</v>
      </c>
      <c r="AF675" s="9" t="str">
        <f aca="false">IF($AK675=0,"",INDEX('Part types'!$U:$U,$AK675)&amp;"")</f>
        <v>Battery (restricted)</v>
      </c>
      <c r="AG675" s="9" t="str">
        <f aca="false">IF($AK675=0,"",INDEX('Part types'!$V:$V,$AK675)&amp;"")</f>
        <v>Estimate: item-specific</v>
      </c>
      <c r="AH675" s="9" t="str">
        <f aca="false">IF($AK675=0,"",INDEX('Part types'!$W:$W,$AK675)&amp;"")</f>
        <v/>
      </c>
      <c r="AI675" s="11" t="str">
        <f aca="false">IF($AK675=0,"",INDEX('Part types'!$X:$X,$AK675)&amp;"")</f>
        <v>موديول</v>
      </c>
      <c r="AJ675" s="9" t="str">
        <f aca="false">IF($AK675=0,"",INDEX('Part types'!$Y:$Y,$AK675)&amp;"")</f>
        <v/>
      </c>
      <c r="AK675" s="9" t="n">
        <f aca="false">IFERROR(MATCH($AD675,'Part types'!$E:$E,0),0)</f>
        <v>466</v>
      </c>
    </row>
    <row r="676" customFormat="false" ht="15" hidden="false" customHeight="false" outlineLevel="0" collapsed="false">
      <c r="A676" s="9" t="s">
        <v>2902</v>
      </c>
      <c r="B676" s="9" t="s">
        <v>2890</v>
      </c>
      <c r="C676" s="9" t="s">
        <v>2903</v>
      </c>
      <c r="D676" s="9" t="str">
        <f aca="false">C676&amp;" - "&amp;E676</f>
        <v>Battery Management System - Universal</v>
      </c>
      <c r="E676" s="9" t="s">
        <v>68</v>
      </c>
      <c r="F676" s="9" t="s">
        <v>947</v>
      </c>
      <c r="G676" s="10" t="n">
        <f aca="false">IF($AK676=0,"",INDEX('Part types'!$P:$P,$AK676))</f>
        <v>25</v>
      </c>
      <c r="H676" s="10" t="n">
        <f aca="false">IF($AK676=0,"",INDEX('Part types'!$Q:$Q,$AK676))</f>
        <v>15</v>
      </c>
      <c r="I676" s="10" t="n">
        <f aca="false">IF($AK676=0,"",INDEX('Part types'!$R:$R,$AK676))</f>
        <v>10</v>
      </c>
      <c r="J676" s="10" t="n">
        <f aca="false">IF($AK676=0,"",INDEX('Part types'!$S:$S,$AK676))</f>
        <v>0.9</v>
      </c>
      <c r="K676" s="11" t="s">
        <v>2892</v>
      </c>
      <c r="L676" s="11" t="s">
        <v>2904</v>
      </c>
      <c r="M676" s="11" t="str">
        <f aca="false">L676&amp;" - "&amp;N676</f>
        <v>نظام إدارة البطارية - عام</v>
      </c>
      <c r="N676" s="11" t="s">
        <v>72</v>
      </c>
      <c r="O676" s="11" t="s">
        <v>949</v>
      </c>
      <c r="P676" s="10" t="n">
        <f aca="false">G676</f>
        <v>25</v>
      </c>
      <c r="Q676" s="10" t="n">
        <f aca="false">H676</f>
        <v>15</v>
      </c>
      <c r="R676" s="10" t="n">
        <f aca="false">I676</f>
        <v>10</v>
      </c>
      <c r="S676" s="10" t="n">
        <f aca="false">J676</f>
        <v>0.9</v>
      </c>
      <c r="T676" s="12" t="s">
        <v>2893</v>
      </c>
      <c r="U676" s="12" t="s">
        <v>2905</v>
      </c>
      <c r="V676" s="9" t="str">
        <f aca="false">U676&amp;" - "&amp;W676</f>
        <v>电池管理系统 - 通用</v>
      </c>
      <c r="W676" s="12" t="s">
        <v>76</v>
      </c>
      <c r="X676" s="12" t="s">
        <v>951</v>
      </c>
      <c r="Y676" s="10" t="n">
        <f aca="false">G676</f>
        <v>25</v>
      </c>
      <c r="Z676" s="10" t="n">
        <f aca="false">H676</f>
        <v>15</v>
      </c>
      <c r="AA676" s="10" t="n">
        <f aca="false">I676</f>
        <v>10</v>
      </c>
      <c r="AB676" s="10" t="n">
        <f aca="false">J676</f>
        <v>0.9</v>
      </c>
      <c r="AC676" s="9" t="s">
        <v>2895</v>
      </c>
      <c r="AD676" s="9" t="s">
        <v>2906</v>
      </c>
      <c r="AE676" s="9" t="str">
        <f aca="false">IF($AK676=0,"",INDEX('Part types'!$T:$T,$AK676)&amp;"")</f>
        <v>Electrified (hybrid, plug-in, range extender, EV)</v>
      </c>
      <c r="AF676" s="9" t="str">
        <f aca="false">IF($AK676=0,"",INDEX('Part types'!$U:$U,$AK676)&amp;"")</f>
        <v/>
      </c>
      <c r="AG676" s="9" t="str">
        <f aca="false">IF($AK676=0,"",INDEX('Part types'!$V:$V,$AK676)&amp;"")</f>
        <v>Estimate: size class M</v>
      </c>
      <c r="AH676" s="9" t="str">
        <f aca="false">IF($AK676=0,"",INDEX('Part types'!$W:$W,$AK676)&amp;"")</f>
        <v>BMS</v>
      </c>
      <c r="AI676" s="11" t="str">
        <f aca="false">IF($AK676=0,"",INDEX('Part types'!$X:$X,$AK676)&amp;"")</f>
        <v>BMS</v>
      </c>
      <c r="AJ676" s="9" t="str">
        <f aca="false">IF($AK676=0,"",INDEX('Part types'!$Y:$Y,$AK676)&amp;"")</f>
        <v>BMS</v>
      </c>
      <c r="AK676" s="9" t="n">
        <f aca="false">IFERROR(MATCH($AD676,'Part types'!$E:$E,0),0)</f>
        <v>467</v>
      </c>
    </row>
    <row r="677" customFormat="false" ht="15" hidden="false" customHeight="false" outlineLevel="0" collapsed="false">
      <c r="A677" s="9" t="s">
        <v>2907</v>
      </c>
      <c r="B677" s="9" t="s">
        <v>2890</v>
      </c>
      <c r="C677" s="9" t="s">
        <v>2908</v>
      </c>
      <c r="D677" s="9" t="str">
        <f aca="false">C677&amp;" - "&amp;E677</f>
        <v>Battery Cooling Plate - Universal</v>
      </c>
      <c r="E677" s="9" t="s">
        <v>68</v>
      </c>
      <c r="F677" s="9" t="s">
        <v>947</v>
      </c>
      <c r="G677" s="10" t="n">
        <f aca="false">IF($AK677=0,"",INDEX('Part types'!$P:$P,$AK677))</f>
        <v>50</v>
      </c>
      <c r="H677" s="10" t="n">
        <f aca="false">IF($AK677=0,"",INDEX('Part types'!$Q:$Q,$AK677))</f>
        <v>30</v>
      </c>
      <c r="I677" s="10" t="n">
        <f aca="false">IF($AK677=0,"",INDEX('Part types'!$R:$R,$AK677))</f>
        <v>2</v>
      </c>
      <c r="J677" s="10" t="n">
        <f aca="false">IF($AK677=0,"",INDEX('Part types'!$S:$S,$AK677))</f>
        <v>2.5</v>
      </c>
      <c r="K677" s="11" t="s">
        <v>2892</v>
      </c>
      <c r="L677" s="11" t="s">
        <v>2909</v>
      </c>
      <c r="M677" s="11" t="str">
        <f aca="false">L677&amp;" - "&amp;N677</f>
        <v>لوح تبريد البطارية - عام</v>
      </c>
      <c r="N677" s="11" t="s">
        <v>72</v>
      </c>
      <c r="O677" s="11" t="s">
        <v>949</v>
      </c>
      <c r="P677" s="10" t="n">
        <f aca="false">G677</f>
        <v>50</v>
      </c>
      <c r="Q677" s="10" t="n">
        <f aca="false">H677</f>
        <v>30</v>
      </c>
      <c r="R677" s="10" t="n">
        <f aca="false">I677</f>
        <v>2</v>
      </c>
      <c r="S677" s="10" t="n">
        <f aca="false">J677</f>
        <v>2.5</v>
      </c>
      <c r="T677" s="12" t="s">
        <v>2893</v>
      </c>
      <c r="U677" s="12" t="s">
        <v>2910</v>
      </c>
      <c r="V677" s="9" t="str">
        <f aca="false">U677&amp;" - "&amp;W677</f>
        <v>电池冷却板 - 通用</v>
      </c>
      <c r="W677" s="12" t="s">
        <v>76</v>
      </c>
      <c r="X677" s="12" t="s">
        <v>951</v>
      </c>
      <c r="Y677" s="10" t="n">
        <f aca="false">G677</f>
        <v>50</v>
      </c>
      <c r="Z677" s="10" t="n">
        <f aca="false">H677</f>
        <v>30</v>
      </c>
      <c r="AA677" s="10" t="n">
        <f aca="false">I677</f>
        <v>2</v>
      </c>
      <c r="AB677" s="10" t="n">
        <f aca="false">J677</f>
        <v>2.5</v>
      </c>
      <c r="AC677" s="9" t="s">
        <v>2895</v>
      </c>
      <c r="AD677" s="9" t="s">
        <v>2911</v>
      </c>
      <c r="AE677" s="9" t="str">
        <f aca="false">IF($AK677=0,"",INDEX('Part types'!$T:$T,$AK677)&amp;"")</f>
        <v>Electrified (hybrid, plug-in, range extender, EV)</v>
      </c>
      <c r="AF677" s="9" t="str">
        <f aca="false">IF($AK677=0,"",INDEX('Part types'!$U:$U,$AK677)&amp;"")</f>
        <v/>
      </c>
      <c r="AG677" s="9" t="str">
        <f aca="false">IF($AK677=0,"",INDEX('Part types'!$V:$V,$AK677)&amp;"")</f>
        <v>Estimate: item-specific</v>
      </c>
      <c r="AH677" s="9" t="str">
        <f aca="false">IF($AK677=0,"",INDEX('Part types'!$W:$W,$AK677)&amp;"")</f>
        <v/>
      </c>
      <c r="AI677" s="11" t="str">
        <f aca="false">IF($AK677=0,"",INDEX('Part types'!$X:$X,$AK677)&amp;"")</f>
        <v/>
      </c>
      <c r="AJ677" s="9" t="str">
        <f aca="false">IF($AK677=0,"",INDEX('Part types'!$Y:$Y,$AK677)&amp;"")</f>
        <v/>
      </c>
      <c r="AK677" s="9" t="n">
        <f aca="false">IFERROR(MATCH($AD677,'Part types'!$E:$E,0),0)</f>
        <v>468</v>
      </c>
    </row>
    <row r="678" customFormat="false" ht="15" hidden="false" customHeight="false" outlineLevel="0" collapsed="false">
      <c r="A678" s="9" t="s">
        <v>2912</v>
      </c>
      <c r="B678" s="9" t="s">
        <v>2890</v>
      </c>
      <c r="C678" s="9" t="s">
        <v>2913</v>
      </c>
      <c r="D678" s="9" t="str">
        <f aca="false">C678&amp;" - "&amp;E678</f>
        <v>Battery Pack Housing - Universal</v>
      </c>
      <c r="E678" s="9" t="s">
        <v>68</v>
      </c>
      <c r="F678" s="9" t="s">
        <v>947</v>
      </c>
      <c r="G678" s="10" t="n">
        <f aca="false">IF($AK678=0,"",INDEX('Part types'!$P:$P,$AK678))</f>
        <v>180</v>
      </c>
      <c r="H678" s="10" t="n">
        <f aca="false">IF($AK678=0,"",INDEX('Part types'!$Q:$Q,$AK678))</f>
        <v>120</v>
      </c>
      <c r="I678" s="10" t="n">
        <f aca="false">IF($AK678=0,"",INDEX('Part types'!$R:$R,$AK678))</f>
        <v>15</v>
      </c>
      <c r="J678" s="10" t="n">
        <f aca="false">IF($AK678=0,"",INDEX('Part types'!$S:$S,$AK678))</f>
        <v>60</v>
      </c>
      <c r="K678" s="11" t="s">
        <v>2892</v>
      </c>
      <c r="L678" s="11" t="s">
        <v>2914</v>
      </c>
      <c r="M678" s="11" t="str">
        <f aca="false">L678&amp;" - "&amp;N678</f>
        <v>هيكل حزمة البطارية - عام</v>
      </c>
      <c r="N678" s="11" t="s">
        <v>72</v>
      </c>
      <c r="O678" s="11" t="s">
        <v>949</v>
      </c>
      <c r="P678" s="10" t="n">
        <f aca="false">G678</f>
        <v>180</v>
      </c>
      <c r="Q678" s="10" t="n">
        <f aca="false">H678</f>
        <v>120</v>
      </c>
      <c r="R678" s="10" t="n">
        <f aca="false">I678</f>
        <v>15</v>
      </c>
      <c r="S678" s="10" t="n">
        <f aca="false">J678</f>
        <v>60</v>
      </c>
      <c r="T678" s="12" t="s">
        <v>2893</v>
      </c>
      <c r="U678" s="12" t="s">
        <v>2915</v>
      </c>
      <c r="V678" s="9" t="str">
        <f aca="false">U678&amp;" - "&amp;W678</f>
        <v>电池包壳体 - 通用</v>
      </c>
      <c r="W678" s="12" t="s">
        <v>76</v>
      </c>
      <c r="X678" s="12" t="s">
        <v>951</v>
      </c>
      <c r="Y678" s="10" t="n">
        <f aca="false">G678</f>
        <v>180</v>
      </c>
      <c r="Z678" s="10" t="n">
        <f aca="false">H678</f>
        <v>120</v>
      </c>
      <c r="AA678" s="10" t="n">
        <f aca="false">I678</f>
        <v>15</v>
      </c>
      <c r="AB678" s="10" t="n">
        <f aca="false">J678</f>
        <v>60</v>
      </c>
      <c r="AC678" s="9" t="s">
        <v>2895</v>
      </c>
      <c r="AD678" s="9" t="s">
        <v>2916</v>
      </c>
      <c r="AE678" s="9" t="str">
        <f aca="false">IF($AK678=0,"",INDEX('Part types'!$T:$T,$AK678)&amp;"")</f>
        <v>Electrified (hybrid, plug-in, range extender, EV)</v>
      </c>
      <c r="AF678" s="9" t="str">
        <f aca="false">IF($AK678=0,"",INDEX('Part types'!$U:$U,$AK678)&amp;"")</f>
        <v>Oversized (over 120 cm); Heavy (over 30 kg)</v>
      </c>
      <c r="AG678" s="9" t="str">
        <f aca="false">IF($AK678=0,"",INDEX('Part types'!$V:$V,$AK678)&amp;"")</f>
        <v>Estimate: item-specific</v>
      </c>
      <c r="AH678" s="9" t="str">
        <f aca="false">IF($AK678=0,"",INDEX('Part types'!$W:$W,$AK678)&amp;"")</f>
        <v/>
      </c>
      <c r="AI678" s="11" t="str">
        <f aca="false">IF($AK678=0,"",INDEX('Part types'!$X:$X,$AK678)&amp;"")</f>
        <v/>
      </c>
      <c r="AJ678" s="9" t="str">
        <f aca="false">IF($AK678=0,"",INDEX('Part types'!$Y:$Y,$AK678)&amp;"")</f>
        <v/>
      </c>
      <c r="AK678" s="9" t="n">
        <f aca="false">IFERROR(MATCH($AD678,'Part types'!$E:$E,0),0)</f>
        <v>469</v>
      </c>
    </row>
    <row r="679" customFormat="false" ht="15" hidden="false" customHeight="false" outlineLevel="0" collapsed="false">
      <c r="A679" s="9" t="s">
        <v>2917</v>
      </c>
      <c r="B679" s="9" t="s">
        <v>2890</v>
      </c>
      <c r="C679" s="9" t="s">
        <v>2918</v>
      </c>
      <c r="D679" s="9" t="str">
        <f aca="false">C679&amp;" - "&amp;E679</f>
        <v>Pack Underbody Shield - Universal</v>
      </c>
      <c r="E679" s="9" t="s">
        <v>68</v>
      </c>
      <c r="F679" s="9" t="s">
        <v>237</v>
      </c>
      <c r="G679" s="10" t="n">
        <f aca="false">IF($AK679=0,"",INDEX('Part types'!$P:$P,$AK679))</f>
        <v>100</v>
      </c>
      <c r="H679" s="10" t="n">
        <f aca="false">IF($AK679=0,"",INDEX('Part types'!$Q:$Q,$AK679))</f>
        <v>60</v>
      </c>
      <c r="I679" s="10" t="n">
        <f aca="false">IF($AK679=0,"",INDEX('Part types'!$R:$R,$AK679))</f>
        <v>40</v>
      </c>
      <c r="J679" s="10" t="n">
        <f aca="false">IF($AK679=0,"",INDEX('Part types'!$S:$S,$AK679))</f>
        <v>16</v>
      </c>
      <c r="K679" s="11" t="s">
        <v>2892</v>
      </c>
      <c r="L679" s="11" t="s">
        <v>2919</v>
      </c>
      <c r="M679" s="11" t="str">
        <f aca="false">L679&amp;" - "&amp;N679</f>
        <v>درع حماية البطارية السفلي - عام</v>
      </c>
      <c r="N679" s="11" t="s">
        <v>72</v>
      </c>
      <c r="O679" s="11" t="s">
        <v>239</v>
      </c>
      <c r="P679" s="10" t="n">
        <f aca="false">G679</f>
        <v>100</v>
      </c>
      <c r="Q679" s="10" t="n">
        <f aca="false">H679</f>
        <v>60</v>
      </c>
      <c r="R679" s="10" t="n">
        <f aca="false">I679</f>
        <v>40</v>
      </c>
      <c r="S679" s="10" t="n">
        <f aca="false">J679</f>
        <v>16</v>
      </c>
      <c r="T679" s="12" t="s">
        <v>2893</v>
      </c>
      <c r="U679" s="12" t="s">
        <v>2920</v>
      </c>
      <c r="V679" s="9" t="str">
        <f aca="false">U679&amp;" - "&amp;W679</f>
        <v>电池包底护板 - 通用</v>
      </c>
      <c r="W679" s="12" t="s">
        <v>76</v>
      </c>
      <c r="X679" s="12" t="s">
        <v>241</v>
      </c>
      <c r="Y679" s="10" t="n">
        <f aca="false">G679</f>
        <v>100</v>
      </c>
      <c r="Z679" s="10" t="n">
        <f aca="false">H679</f>
        <v>60</v>
      </c>
      <c r="AA679" s="10" t="n">
        <f aca="false">I679</f>
        <v>40</v>
      </c>
      <c r="AB679" s="10" t="n">
        <f aca="false">J679</f>
        <v>16</v>
      </c>
      <c r="AC679" s="9" t="s">
        <v>2895</v>
      </c>
      <c r="AD679" s="9" t="s">
        <v>2921</v>
      </c>
      <c r="AE679" s="9" t="str">
        <f aca="false">IF($AK679=0,"",INDEX('Part types'!$T:$T,$AK679)&amp;"")</f>
        <v>Electrified (hybrid, plug-in, range extender, EV)</v>
      </c>
      <c r="AF679" s="9" t="str">
        <f aca="false">IF($AK679=0,"",INDEX('Part types'!$U:$U,$AK679)&amp;"")</f>
        <v/>
      </c>
      <c r="AG679" s="9" t="str">
        <f aca="false">IF($AK679=0,"",INDEX('Part types'!$V:$V,$AK679)&amp;"")</f>
        <v>Estimate: size class XXL</v>
      </c>
      <c r="AH679" s="9" t="str">
        <f aca="false">IF($AK679=0,"",INDEX('Part types'!$W:$W,$AK679)&amp;"")</f>
        <v>Battery Pack Underbody Shield</v>
      </c>
      <c r="AI679" s="11" t="str">
        <f aca="false">IF($AK679=0,"",INDEX('Part types'!$X:$X,$AK679)&amp;"")</f>
        <v/>
      </c>
      <c r="AJ679" s="9" t="str">
        <f aca="false">IF($AK679=0,"",INDEX('Part types'!$Y:$Y,$AK679)&amp;"")</f>
        <v/>
      </c>
      <c r="AK679" s="9" t="n">
        <f aca="false">IFERROR(MATCH($AD679,'Part types'!$E:$E,0),0)</f>
        <v>470</v>
      </c>
    </row>
    <row r="680" customFormat="false" ht="15" hidden="false" customHeight="false" outlineLevel="0" collapsed="false">
      <c r="A680" s="9" t="s">
        <v>2922</v>
      </c>
      <c r="B680" s="9" t="s">
        <v>2890</v>
      </c>
      <c r="C680" s="9" t="s">
        <v>2923</v>
      </c>
      <c r="D680" s="9" t="str">
        <f aca="false">C680&amp;" - "&amp;E680</f>
        <v>Battery Thermal Pump - Universal</v>
      </c>
      <c r="E680" s="9" t="s">
        <v>68</v>
      </c>
      <c r="F680" s="9" t="s">
        <v>947</v>
      </c>
      <c r="G680" s="10" t="n">
        <f aca="false">IF($AK680=0,"",INDEX('Part types'!$P:$P,$AK680))</f>
        <v>25</v>
      </c>
      <c r="H680" s="10" t="n">
        <f aca="false">IF($AK680=0,"",INDEX('Part types'!$Q:$Q,$AK680))</f>
        <v>15</v>
      </c>
      <c r="I680" s="10" t="n">
        <f aca="false">IF($AK680=0,"",INDEX('Part types'!$R:$R,$AK680))</f>
        <v>10</v>
      </c>
      <c r="J680" s="10" t="n">
        <f aca="false">IF($AK680=0,"",INDEX('Part types'!$S:$S,$AK680))</f>
        <v>0.9</v>
      </c>
      <c r="K680" s="11" t="s">
        <v>2892</v>
      </c>
      <c r="L680" s="11" t="s">
        <v>2924</v>
      </c>
      <c r="M680" s="11" t="str">
        <f aca="false">L680&amp;" - "&amp;N680</f>
        <v>مضخة التحكم الحراري للبطارية - عام</v>
      </c>
      <c r="N680" s="11" t="s">
        <v>72</v>
      </c>
      <c r="O680" s="11" t="s">
        <v>949</v>
      </c>
      <c r="P680" s="10" t="n">
        <f aca="false">G680</f>
        <v>25</v>
      </c>
      <c r="Q680" s="10" t="n">
        <f aca="false">H680</f>
        <v>15</v>
      </c>
      <c r="R680" s="10" t="n">
        <f aca="false">I680</f>
        <v>10</v>
      </c>
      <c r="S680" s="10" t="n">
        <f aca="false">J680</f>
        <v>0.9</v>
      </c>
      <c r="T680" s="12" t="s">
        <v>2893</v>
      </c>
      <c r="U680" s="12" t="s">
        <v>2925</v>
      </c>
      <c r="V680" s="9" t="str">
        <f aca="false">U680&amp;" - "&amp;W680</f>
        <v>电池热管理水泵 - 通用</v>
      </c>
      <c r="W680" s="12" t="s">
        <v>76</v>
      </c>
      <c r="X680" s="12" t="s">
        <v>951</v>
      </c>
      <c r="Y680" s="10" t="n">
        <f aca="false">G680</f>
        <v>25</v>
      </c>
      <c r="Z680" s="10" t="n">
        <f aca="false">H680</f>
        <v>15</v>
      </c>
      <c r="AA680" s="10" t="n">
        <f aca="false">I680</f>
        <v>10</v>
      </c>
      <c r="AB680" s="10" t="n">
        <f aca="false">J680</f>
        <v>0.9</v>
      </c>
      <c r="AC680" s="9" t="s">
        <v>2895</v>
      </c>
      <c r="AD680" s="9" t="s">
        <v>2926</v>
      </c>
      <c r="AE680" s="9" t="str">
        <f aca="false">IF($AK680=0,"",INDEX('Part types'!$T:$T,$AK680)&amp;"")</f>
        <v>Electrified (hybrid, plug-in, range extender, EV)</v>
      </c>
      <c r="AF680" s="9" t="str">
        <f aca="false">IF($AK680=0,"",INDEX('Part types'!$U:$U,$AK680)&amp;"")</f>
        <v/>
      </c>
      <c r="AG680" s="9" t="str">
        <f aca="false">IF($AK680=0,"",INDEX('Part types'!$V:$V,$AK680)&amp;"")</f>
        <v>Estimate: size class M</v>
      </c>
      <c r="AH680" s="9" t="str">
        <f aca="false">IF($AK680=0,"",INDEX('Part types'!$W:$W,$AK680)&amp;"")</f>
        <v>Battery Thermal Management Pump</v>
      </c>
      <c r="AI680" s="11" t="str">
        <f aca="false">IF($AK680=0,"",INDEX('Part types'!$X:$X,$AK680)&amp;"")</f>
        <v/>
      </c>
      <c r="AJ680" s="9" t="str">
        <f aca="false">IF($AK680=0,"",INDEX('Part types'!$Y:$Y,$AK680)&amp;"")</f>
        <v/>
      </c>
      <c r="AK680" s="9" t="n">
        <f aca="false">IFERROR(MATCH($AD680,'Part types'!$E:$E,0),0)</f>
        <v>471</v>
      </c>
    </row>
    <row r="681" customFormat="false" ht="15" hidden="false" customHeight="false" outlineLevel="0" collapsed="false">
      <c r="A681" s="9" t="s">
        <v>2927</v>
      </c>
      <c r="B681" s="9" t="s">
        <v>2890</v>
      </c>
      <c r="C681" s="9" t="s">
        <v>2928</v>
      </c>
      <c r="D681" s="9" t="str">
        <f aca="false">C681&amp;" - "&amp;E681</f>
        <v>Battery Chiller - Universal</v>
      </c>
      <c r="E681" s="9" t="s">
        <v>68</v>
      </c>
      <c r="F681" s="9" t="s">
        <v>947</v>
      </c>
      <c r="G681" s="10" t="n">
        <f aca="false">IF($AK681=0,"",INDEX('Part types'!$P:$P,$AK681))</f>
        <v>30</v>
      </c>
      <c r="H681" s="10" t="n">
        <f aca="false">IF($AK681=0,"",INDEX('Part types'!$Q:$Q,$AK681))</f>
        <v>20</v>
      </c>
      <c r="I681" s="10" t="n">
        <f aca="false">IF($AK681=0,"",INDEX('Part types'!$R:$R,$AK681))</f>
        <v>15</v>
      </c>
      <c r="J681" s="10" t="n">
        <f aca="false">IF($AK681=0,"",INDEX('Part types'!$S:$S,$AK681))</f>
        <v>1.8</v>
      </c>
      <c r="K681" s="11" t="s">
        <v>2892</v>
      </c>
      <c r="L681" s="11" t="s">
        <v>2929</v>
      </c>
      <c r="M681" s="11" t="str">
        <f aca="false">L681&amp;" - "&amp;N681</f>
        <v>مبرد البطارية - عام</v>
      </c>
      <c r="N681" s="11" t="s">
        <v>72</v>
      </c>
      <c r="O681" s="11" t="s">
        <v>949</v>
      </c>
      <c r="P681" s="10" t="n">
        <f aca="false">G681</f>
        <v>30</v>
      </c>
      <c r="Q681" s="10" t="n">
        <f aca="false">H681</f>
        <v>20</v>
      </c>
      <c r="R681" s="10" t="n">
        <f aca="false">I681</f>
        <v>15</v>
      </c>
      <c r="S681" s="10" t="n">
        <f aca="false">J681</f>
        <v>1.8</v>
      </c>
      <c r="T681" s="12" t="s">
        <v>2893</v>
      </c>
      <c r="U681" s="12" t="s">
        <v>2930</v>
      </c>
      <c r="V681" s="9" t="str">
        <f aca="false">U681&amp;" - "&amp;W681</f>
        <v>电池冷却器 - 通用</v>
      </c>
      <c r="W681" s="12" t="s">
        <v>76</v>
      </c>
      <c r="X681" s="12" t="s">
        <v>951</v>
      </c>
      <c r="Y681" s="10" t="n">
        <f aca="false">G681</f>
        <v>30</v>
      </c>
      <c r="Z681" s="10" t="n">
        <f aca="false">H681</f>
        <v>20</v>
      </c>
      <c r="AA681" s="10" t="n">
        <f aca="false">I681</f>
        <v>15</v>
      </c>
      <c r="AB681" s="10" t="n">
        <f aca="false">J681</f>
        <v>1.8</v>
      </c>
      <c r="AC681" s="9" t="s">
        <v>2895</v>
      </c>
      <c r="AD681" s="9" t="s">
        <v>2931</v>
      </c>
      <c r="AE681" s="9" t="str">
        <f aca="false">IF($AK681=0,"",INDEX('Part types'!$T:$T,$AK681)&amp;"")</f>
        <v>Electrified (hybrid, plug-in, range extender, EV)</v>
      </c>
      <c r="AF681" s="9" t="str">
        <f aca="false">IF($AK681=0,"",INDEX('Part types'!$U:$U,$AK681)&amp;"")</f>
        <v/>
      </c>
      <c r="AG681" s="9" t="str">
        <f aca="false">IF($AK681=0,"",INDEX('Part types'!$V:$V,$AK681)&amp;"")</f>
        <v>Estimate: size class M2</v>
      </c>
      <c r="AH681" s="9" t="str">
        <f aca="false">IF($AK681=0,"",INDEX('Part types'!$W:$W,$AK681)&amp;"")</f>
        <v/>
      </c>
      <c r="AI681" s="11" t="str">
        <f aca="false">IF($AK681=0,"",INDEX('Part types'!$X:$X,$AK681)&amp;"")</f>
        <v>شيلر</v>
      </c>
      <c r="AJ681" s="9" t="str">
        <f aca="false">IF($AK681=0,"",INDEX('Part types'!$Y:$Y,$AK681)&amp;"")</f>
        <v>Chiller</v>
      </c>
      <c r="AK681" s="9" t="n">
        <f aca="false">IFERROR(MATCH($AD681,'Part types'!$E:$E,0),0)</f>
        <v>472</v>
      </c>
    </row>
    <row r="682" customFormat="false" ht="15" hidden="false" customHeight="false" outlineLevel="0" collapsed="false">
      <c r="A682" s="9" t="s">
        <v>2932</v>
      </c>
      <c r="B682" s="9" t="s">
        <v>2890</v>
      </c>
      <c r="C682" s="9" t="s">
        <v>2933</v>
      </c>
      <c r="D682" s="9" t="str">
        <f aca="false">C682&amp;" - "&amp;E682</f>
        <v>Battery Heater - Universal</v>
      </c>
      <c r="E682" s="9" t="s">
        <v>68</v>
      </c>
      <c r="F682" s="9" t="s">
        <v>947</v>
      </c>
      <c r="G682" s="10" t="n">
        <f aca="false">IF($AK682=0,"",INDEX('Part types'!$P:$P,$AK682))</f>
        <v>25</v>
      </c>
      <c r="H682" s="10" t="n">
        <f aca="false">IF($AK682=0,"",INDEX('Part types'!$Q:$Q,$AK682))</f>
        <v>15</v>
      </c>
      <c r="I682" s="10" t="n">
        <f aca="false">IF($AK682=0,"",INDEX('Part types'!$R:$R,$AK682))</f>
        <v>10</v>
      </c>
      <c r="J682" s="10" t="n">
        <f aca="false">IF($AK682=0,"",INDEX('Part types'!$S:$S,$AK682))</f>
        <v>0.9</v>
      </c>
      <c r="K682" s="11" t="s">
        <v>2892</v>
      </c>
      <c r="L682" s="11" t="s">
        <v>2934</v>
      </c>
      <c r="M682" s="11" t="str">
        <f aca="false">L682&amp;" - "&amp;N682</f>
        <v>سخان البطارية - عام</v>
      </c>
      <c r="N682" s="11" t="s">
        <v>72</v>
      </c>
      <c r="O682" s="11" t="s">
        <v>949</v>
      </c>
      <c r="P682" s="10" t="n">
        <f aca="false">G682</f>
        <v>25</v>
      </c>
      <c r="Q682" s="10" t="n">
        <f aca="false">H682</f>
        <v>15</v>
      </c>
      <c r="R682" s="10" t="n">
        <f aca="false">I682</f>
        <v>10</v>
      </c>
      <c r="S682" s="10" t="n">
        <f aca="false">J682</f>
        <v>0.9</v>
      </c>
      <c r="T682" s="12" t="s">
        <v>2893</v>
      </c>
      <c r="U682" s="12" t="s">
        <v>2935</v>
      </c>
      <c r="V682" s="9" t="str">
        <f aca="false">U682&amp;" - "&amp;W682</f>
        <v>电池加热器 - 通用</v>
      </c>
      <c r="W682" s="12" t="s">
        <v>76</v>
      </c>
      <c r="X682" s="12" t="s">
        <v>951</v>
      </c>
      <c r="Y682" s="10" t="n">
        <f aca="false">G682</f>
        <v>25</v>
      </c>
      <c r="Z682" s="10" t="n">
        <f aca="false">H682</f>
        <v>15</v>
      </c>
      <c r="AA682" s="10" t="n">
        <f aca="false">I682</f>
        <v>10</v>
      </c>
      <c r="AB682" s="10" t="n">
        <f aca="false">J682</f>
        <v>0.9</v>
      </c>
      <c r="AC682" s="9" t="s">
        <v>2895</v>
      </c>
      <c r="AD682" s="9" t="s">
        <v>2936</v>
      </c>
      <c r="AE682" s="9" t="str">
        <f aca="false">IF($AK682=0,"",INDEX('Part types'!$T:$T,$AK682)&amp;"")</f>
        <v>Electrified (hybrid, plug-in, range extender, EV)</v>
      </c>
      <c r="AF682" s="9" t="str">
        <f aca="false">IF($AK682=0,"",INDEX('Part types'!$U:$U,$AK682)&amp;"")</f>
        <v/>
      </c>
      <c r="AG682" s="9" t="str">
        <f aca="false">IF($AK682=0,"",INDEX('Part types'!$V:$V,$AK682)&amp;"")</f>
        <v>Estimate: size class M</v>
      </c>
      <c r="AH682" s="9" t="str">
        <f aca="false">IF($AK682=0,"",INDEX('Part types'!$W:$W,$AK682)&amp;"")</f>
        <v>PTC</v>
      </c>
      <c r="AI682" s="11" t="str">
        <f aca="false">IF($AK682=0,"",INDEX('Part types'!$X:$X,$AK682)&amp;"")</f>
        <v>PTC</v>
      </c>
      <c r="AJ682" s="9" t="str">
        <f aca="false">IF($AK682=0,"",INDEX('Part types'!$Y:$Y,$AK682)&amp;"")</f>
        <v>PTC</v>
      </c>
      <c r="AK682" s="9" t="n">
        <f aca="false">IFERROR(MATCH($AD682,'Part types'!$E:$E,0),0)</f>
        <v>473</v>
      </c>
    </row>
    <row r="683" customFormat="false" ht="15" hidden="false" customHeight="false" outlineLevel="0" collapsed="false">
      <c r="A683" s="9" t="s">
        <v>2937</v>
      </c>
      <c r="B683" s="9" t="s">
        <v>2890</v>
      </c>
      <c r="C683" s="9" t="s">
        <v>2938</v>
      </c>
      <c r="D683" s="9" t="str">
        <f aca="false">C683&amp;" - "&amp;E683</f>
        <v>Battery Pipe Set - Universal</v>
      </c>
      <c r="E683" s="9" t="s">
        <v>68</v>
      </c>
      <c r="F683" s="9" t="s">
        <v>947</v>
      </c>
      <c r="G683" s="10" t="n">
        <f aca="false">IF($AK683=0,"",INDEX('Part types'!$P:$P,$AK683))</f>
        <v>30</v>
      </c>
      <c r="H683" s="10" t="n">
        <f aca="false">IF($AK683=0,"",INDEX('Part types'!$Q:$Q,$AK683))</f>
        <v>20</v>
      </c>
      <c r="I683" s="10" t="n">
        <f aca="false">IF($AK683=0,"",INDEX('Part types'!$R:$R,$AK683))</f>
        <v>15</v>
      </c>
      <c r="J683" s="10" t="n">
        <f aca="false">IF($AK683=0,"",INDEX('Part types'!$S:$S,$AK683))</f>
        <v>1.8</v>
      </c>
      <c r="K683" s="11" t="s">
        <v>2892</v>
      </c>
      <c r="L683" s="11" t="s">
        <v>2939</v>
      </c>
      <c r="M683" s="11" t="str">
        <f aca="false">L683&amp;" - "&amp;N683</f>
        <v>طقم مواسير تبريد البطارية - عام</v>
      </c>
      <c r="N683" s="11" t="s">
        <v>72</v>
      </c>
      <c r="O683" s="11" t="s">
        <v>949</v>
      </c>
      <c r="P683" s="10" t="n">
        <f aca="false">G683</f>
        <v>30</v>
      </c>
      <c r="Q683" s="10" t="n">
        <f aca="false">H683</f>
        <v>20</v>
      </c>
      <c r="R683" s="10" t="n">
        <f aca="false">I683</f>
        <v>15</v>
      </c>
      <c r="S683" s="10" t="n">
        <f aca="false">J683</f>
        <v>1.8</v>
      </c>
      <c r="T683" s="12" t="s">
        <v>2893</v>
      </c>
      <c r="U683" s="12" t="s">
        <v>2940</v>
      </c>
      <c r="V683" s="9" t="str">
        <f aca="false">U683&amp;" - "&amp;W683</f>
        <v>电池冷却管套装 - 通用</v>
      </c>
      <c r="W683" s="12" t="s">
        <v>76</v>
      </c>
      <c r="X683" s="12" t="s">
        <v>951</v>
      </c>
      <c r="Y683" s="10" t="n">
        <f aca="false">G683</f>
        <v>30</v>
      </c>
      <c r="Z683" s="10" t="n">
        <f aca="false">H683</f>
        <v>20</v>
      </c>
      <c r="AA683" s="10" t="n">
        <f aca="false">I683</f>
        <v>15</v>
      </c>
      <c r="AB683" s="10" t="n">
        <f aca="false">J683</f>
        <v>1.8</v>
      </c>
      <c r="AC683" s="9" t="s">
        <v>2895</v>
      </c>
      <c r="AD683" s="9" t="s">
        <v>2941</v>
      </c>
      <c r="AE683" s="9" t="str">
        <f aca="false">IF($AK683=0,"",INDEX('Part types'!$T:$T,$AK683)&amp;"")</f>
        <v>Electrified (hybrid, plug-in, range extender, EV)</v>
      </c>
      <c r="AF683" s="9" t="str">
        <f aca="false">IF($AK683=0,"",INDEX('Part types'!$U:$U,$AK683)&amp;"")</f>
        <v/>
      </c>
      <c r="AG683" s="9" t="str">
        <f aca="false">IF($AK683=0,"",INDEX('Part types'!$V:$V,$AK683)&amp;"")</f>
        <v>Estimate: size class M2</v>
      </c>
      <c r="AH683" s="9" t="str">
        <f aca="false">IF($AK683=0,"",INDEX('Part types'!$W:$W,$AK683)&amp;"")</f>
        <v>Battery Coolant Pipe Set</v>
      </c>
      <c r="AI683" s="11" t="str">
        <f aca="false">IF($AK683=0,"",INDEX('Part types'!$X:$X,$AK683)&amp;"")</f>
        <v/>
      </c>
      <c r="AJ683" s="9" t="str">
        <f aca="false">IF($AK683=0,"",INDEX('Part types'!$Y:$Y,$AK683)&amp;"")</f>
        <v/>
      </c>
      <c r="AK683" s="9" t="n">
        <f aca="false">IFERROR(MATCH($AD683,'Part types'!$E:$E,0),0)</f>
        <v>474</v>
      </c>
    </row>
    <row r="684" customFormat="false" ht="15" hidden="false" customHeight="false" outlineLevel="0" collapsed="false">
      <c r="A684" s="9" t="s">
        <v>2942</v>
      </c>
      <c r="B684" s="9" t="s">
        <v>2890</v>
      </c>
      <c r="C684" s="9" t="s">
        <v>2943</v>
      </c>
      <c r="D684" s="9" t="str">
        <f aca="false">C684&amp;" - "&amp;E684</f>
        <v>Battery Relief Valve - Universal</v>
      </c>
      <c r="E684" s="9" t="s">
        <v>68</v>
      </c>
      <c r="F684" s="9" t="s">
        <v>947</v>
      </c>
      <c r="G684" s="10" t="n">
        <f aca="false">IF($AK684=0,"",INDEX('Part types'!$P:$P,$AK684))</f>
        <v>10</v>
      </c>
      <c r="H684" s="10" t="n">
        <f aca="false">IF($AK684=0,"",INDEX('Part types'!$Q:$Q,$AK684))</f>
        <v>8</v>
      </c>
      <c r="I684" s="10" t="n">
        <f aca="false">IF($AK684=0,"",INDEX('Part types'!$R:$R,$AK684))</f>
        <v>6</v>
      </c>
      <c r="J684" s="10" t="n">
        <f aca="false">IF($AK684=0,"",INDEX('Part types'!$S:$S,$AK684))</f>
        <v>0.1</v>
      </c>
      <c r="K684" s="11" t="s">
        <v>2892</v>
      </c>
      <c r="L684" s="11" t="s">
        <v>2944</v>
      </c>
      <c r="M684" s="11" t="str">
        <f aca="false">L684&amp;" - "&amp;N684</f>
        <v>صمام تنفيس البطارية - عام</v>
      </c>
      <c r="N684" s="11" t="s">
        <v>72</v>
      </c>
      <c r="O684" s="11" t="s">
        <v>949</v>
      </c>
      <c r="P684" s="10" t="n">
        <f aca="false">G684</f>
        <v>10</v>
      </c>
      <c r="Q684" s="10" t="n">
        <f aca="false">H684</f>
        <v>8</v>
      </c>
      <c r="R684" s="10" t="n">
        <f aca="false">I684</f>
        <v>6</v>
      </c>
      <c r="S684" s="10" t="n">
        <f aca="false">J684</f>
        <v>0.1</v>
      </c>
      <c r="T684" s="12" t="s">
        <v>2893</v>
      </c>
      <c r="U684" s="12" t="s">
        <v>2945</v>
      </c>
      <c r="V684" s="9" t="str">
        <f aca="false">U684&amp;" - "&amp;W684</f>
        <v>电池包泄压阀 - 通用</v>
      </c>
      <c r="W684" s="12" t="s">
        <v>76</v>
      </c>
      <c r="X684" s="12" t="s">
        <v>951</v>
      </c>
      <c r="Y684" s="10" t="n">
        <f aca="false">G684</f>
        <v>10</v>
      </c>
      <c r="Z684" s="10" t="n">
        <f aca="false">H684</f>
        <v>8</v>
      </c>
      <c r="AA684" s="10" t="n">
        <f aca="false">I684</f>
        <v>6</v>
      </c>
      <c r="AB684" s="10" t="n">
        <f aca="false">J684</f>
        <v>0.1</v>
      </c>
      <c r="AC684" s="9" t="s">
        <v>2895</v>
      </c>
      <c r="AD684" s="9" t="s">
        <v>2946</v>
      </c>
      <c r="AE684" s="9" t="str">
        <f aca="false">IF($AK684=0,"",INDEX('Part types'!$T:$T,$AK684)&amp;"")</f>
        <v>Electrified (hybrid, plug-in, range extender, EV)</v>
      </c>
      <c r="AF684" s="9" t="str">
        <f aca="false">IF($AK684=0,"",INDEX('Part types'!$U:$U,$AK684)&amp;"")</f>
        <v/>
      </c>
      <c r="AG684" s="9" t="str">
        <f aca="false">IF($AK684=0,"",INDEX('Part types'!$V:$V,$AK684)&amp;"")</f>
        <v>Estimate: size class XS</v>
      </c>
      <c r="AH684" s="9" t="str">
        <f aca="false">IF($AK684=0,"",INDEX('Part types'!$W:$W,$AK684)&amp;"")</f>
        <v>Battery Pressure Relief Valve</v>
      </c>
      <c r="AI684" s="11" t="str">
        <f aca="false">IF($AK684=0,"",INDEX('Part types'!$X:$X,$AK684)&amp;"")</f>
        <v/>
      </c>
      <c r="AJ684" s="9" t="str">
        <f aca="false">IF($AK684=0,"",INDEX('Part types'!$Y:$Y,$AK684)&amp;"")</f>
        <v/>
      </c>
      <c r="AK684" s="9" t="n">
        <f aca="false">IFERROR(MATCH($AD684,'Part types'!$E:$E,0),0)</f>
        <v>475</v>
      </c>
    </row>
    <row r="685" customFormat="false" ht="15" hidden="false" customHeight="false" outlineLevel="0" collapsed="false">
      <c r="A685" s="9" t="s">
        <v>2947</v>
      </c>
      <c r="B685" s="9" t="s">
        <v>2890</v>
      </c>
      <c r="C685" s="9" t="s">
        <v>2948</v>
      </c>
      <c r="D685" s="9" t="str">
        <f aca="false">C685&amp;" - "&amp;E685</f>
        <v>Service Disconnect Plug - Universal</v>
      </c>
      <c r="E685" s="9" t="s">
        <v>68</v>
      </c>
      <c r="F685" s="9" t="s">
        <v>947</v>
      </c>
      <c r="G685" s="10" t="n">
        <f aca="false">IF($AK685=0,"",INDEX('Part types'!$P:$P,$AK685))</f>
        <v>15</v>
      </c>
      <c r="H685" s="10" t="n">
        <f aca="false">IF($AK685=0,"",INDEX('Part types'!$Q:$Q,$AK685))</f>
        <v>10</v>
      </c>
      <c r="I685" s="10" t="n">
        <f aca="false">IF($AK685=0,"",INDEX('Part types'!$R:$R,$AK685))</f>
        <v>8</v>
      </c>
      <c r="J685" s="10" t="n">
        <f aca="false">IF($AK685=0,"",INDEX('Part types'!$S:$S,$AK685))</f>
        <v>0.3</v>
      </c>
      <c r="K685" s="11" t="s">
        <v>2892</v>
      </c>
      <c r="L685" s="11" t="s">
        <v>2949</v>
      </c>
      <c r="M685" s="11" t="str">
        <f aca="false">L685&amp;" - "&amp;N685</f>
        <v>قاطع الخدمة اليدوي - عام</v>
      </c>
      <c r="N685" s="11" t="s">
        <v>72</v>
      </c>
      <c r="O685" s="11" t="s">
        <v>949</v>
      </c>
      <c r="P685" s="10" t="n">
        <f aca="false">G685</f>
        <v>15</v>
      </c>
      <c r="Q685" s="10" t="n">
        <f aca="false">H685</f>
        <v>10</v>
      </c>
      <c r="R685" s="10" t="n">
        <f aca="false">I685</f>
        <v>8</v>
      </c>
      <c r="S685" s="10" t="n">
        <f aca="false">J685</f>
        <v>0.3</v>
      </c>
      <c r="T685" s="12" t="s">
        <v>2893</v>
      </c>
      <c r="U685" s="12" t="s">
        <v>2950</v>
      </c>
      <c r="V685" s="9" t="str">
        <f aca="false">U685&amp;" - "&amp;W685</f>
        <v>维修开关 - 通用</v>
      </c>
      <c r="W685" s="12" t="s">
        <v>76</v>
      </c>
      <c r="X685" s="12" t="s">
        <v>951</v>
      </c>
      <c r="Y685" s="10" t="n">
        <f aca="false">G685</f>
        <v>15</v>
      </c>
      <c r="Z685" s="10" t="n">
        <f aca="false">H685</f>
        <v>10</v>
      </c>
      <c r="AA685" s="10" t="n">
        <f aca="false">I685</f>
        <v>8</v>
      </c>
      <c r="AB685" s="10" t="n">
        <f aca="false">J685</f>
        <v>0.3</v>
      </c>
      <c r="AC685" s="9" t="s">
        <v>2895</v>
      </c>
      <c r="AD685" s="9" t="s">
        <v>2951</v>
      </c>
      <c r="AE685" s="9" t="str">
        <f aca="false">IF($AK685=0,"",INDEX('Part types'!$T:$T,$AK685)&amp;"")</f>
        <v>Electrified (hybrid, plug-in, range extender, EV)</v>
      </c>
      <c r="AF685" s="9" t="str">
        <f aca="false">IF($AK685=0,"",INDEX('Part types'!$U:$U,$AK685)&amp;"")</f>
        <v/>
      </c>
      <c r="AG685" s="9" t="str">
        <f aca="false">IF($AK685=0,"",INDEX('Part types'!$V:$V,$AK685)&amp;"")</f>
        <v>Estimate: size class S</v>
      </c>
      <c r="AH685" s="9" t="str">
        <f aca="false">IF($AK685=0,"",INDEX('Part types'!$W:$W,$AK685)&amp;"")</f>
        <v/>
      </c>
      <c r="AI685" s="11" t="str">
        <f aca="false">IF($AK685=0,"",INDEX('Part types'!$X:$X,$AK685)&amp;"")</f>
        <v/>
      </c>
      <c r="AJ685" s="9" t="str">
        <f aca="false">IF($AK685=0,"",INDEX('Part types'!$Y:$Y,$AK685)&amp;"")</f>
        <v/>
      </c>
      <c r="AK685" s="9" t="n">
        <f aca="false">IFERROR(MATCH($AD685,'Part types'!$E:$E,0),0)</f>
        <v>476</v>
      </c>
    </row>
    <row r="686" customFormat="false" ht="15" hidden="false" customHeight="false" outlineLevel="0" collapsed="false">
      <c r="A686" s="9" t="s">
        <v>2952</v>
      </c>
      <c r="B686" s="9" t="s">
        <v>2890</v>
      </c>
      <c r="C686" s="9" t="s">
        <v>2953</v>
      </c>
      <c r="D686" s="9" t="str">
        <f aca="false">C686&amp;" - "&amp;E686</f>
        <v>High-Voltage Contactor - Universal</v>
      </c>
      <c r="E686" s="9" t="s">
        <v>68</v>
      </c>
      <c r="F686" s="9" t="s">
        <v>947</v>
      </c>
      <c r="G686" s="10" t="n">
        <f aca="false">IF($AK686=0,"",INDEX('Part types'!$P:$P,$AK686))</f>
        <v>15</v>
      </c>
      <c r="H686" s="10" t="n">
        <f aca="false">IF($AK686=0,"",INDEX('Part types'!$Q:$Q,$AK686))</f>
        <v>10</v>
      </c>
      <c r="I686" s="10" t="n">
        <f aca="false">IF($AK686=0,"",INDEX('Part types'!$R:$R,$AK686))</f>
        <v>8</v>
      </c>
      <c r="J686" s="10" t="n">
        <f aca="false">IF($AK686=0,"",INDEX('Part types'!$S:$S,$AK686))</f>
        <v>0.3</v>
      </c>
      <c r="K686" s="11" t="s">
        <v>2892</v>
      </c>
      <c r="L686" s="11" t="s">
        <v>2954</v>
      </c>
      <c r="M686" s="11" t="str">
        <f aca="false">L686&amp;" - "&amp;N686</f>
        <v>ريليه الجهد العالي - عام</v>
      </c>
      <c r="N686" s="11" t="s">
        <v>72</v>
      </c>
      <c r="O686" s="11" t="s">
        <v>949</v>
      </c>
      <c r="P686" s="10" t="n">
        <f aca="false">G686</f>
        <v>15</v>
      </c>
      <c r="Q686" s="10" t="n">
        <f aca="false">H686</f>
        <v>10</v>
      </c>
      <c r="R686" s="10" t="n">
        <f aca="false">I686</f>
        <v>8</v>
      </c>
      <c r="S686" s="10" t="n">
        <f aca="false">J686</f>
        <v>0.3</v>
      </c>
      <c r="T686" s="12" t="s">
        <v>2893</v>
      </c>
      <c r="U686" s="12" t="s">
        <v>2955</v>
      </c>
      <c r="V686" s="9" t="str">
        <f aca="false">U686&amp;" - "&amp;W686</f>
        <v>高压接触器 - 通用</v>
      </c>
      <c r="W686" s="12" t="s">
        <v>76</v>
      </c>
      <c r="X686" s="12" t="s">
        <v>951</v>
      </c>
      <c r="Y686" s="10" t="n">
        <f aca="false">G686</f>
        <v>15</v>
      </c>
      <c r="Z686" s="10" t="n">
        <f aca="false">H686</f>
        <v>10</v>
      </c>
      <c r="AA686" s="10" t="n">
        <f aca="false">I686</f>
        <v>8</v>
      </c>
      <c r="AB686" s="10" t="n">
        <f aca="false">J686</f>
        <v>0.3</v>
      </c>
      <c r="AC686" s="9" t="s">
        <v>2895</v>
      </c>
      <c r="AD686" s="9" t="s">
        <v>2956</v>
      </c>
      <c r="AE686" s="9" t="str">
        <f aca="false">IF($AK686=0,"",INDEX('Part types'!$T:$T,$AK686)&amp;"")</f>
        <v>Electrified (hybrid, plug-in, range extender, EV)</v>
      </c>
      <c r="AF686" s="9" t="str">
        <f aca="false">IF($AK686=0,"",INDEX('Part types'!$U:$U,$AK686)&amp;"")</f>
        <v/>
      </c>
      <c r="AG686" s="9" t="str">
        <f aca="false">IF($AK686=0,"",INDEX('Part types'!$V:$V,$AK686)&amp;"")</f>
        <v>Estimate: size class S</v>
      </c>
      <c r="AH686" s="9" t="str">
        <f aca="false">IF($AK686=0,"",INDEX('Part types'!$W:$W,$AK686)&amp;"")</f>
        <v/>
      </c>
      <c r="AI686" s="11" t="str">
        <f aca="false">IF($AK686=0,"",INDEX('Part types'!$X:$X,$AK686)&amp;"")</f>
        <v>كونتاكتور</v>
      </c>
      <c r="AJ686" s="9" t="str">
        <f aca="false">IF($AK686=0,"",INDEX('Part types'!$Y:$Y,$AK686)&amp;"")</f>
        <v/>
      </c>
      <c r="AK686" s="9" t="n">
        <f aca="false">IFERROR(MATCH($AD686,'Part types'!$E:$E,0),0)</f>
        <v>477</v>
      </c>
    </row>
    <row r="687" customFormat="false" ht="15" hidden="false" customHeight="false" outlineLevel="0" collapsed="false">
      <c r="A687" s="9" t="s">
        <v>2957</v>
      </c>
      <c r="B687" s="9" t="s">
        <v>2890</v>
      </c>
      <c r="C687" s="9" t="s">
        <v>2958</v>
      </c>
      <c r="D687" s="9" t="str">
        <f aca="false">C687&amp;" - "&amp;E687</f>
        <v>High-Voltage Fuse - Universal</v>
      </c>
      <c r="E687" s="9" t="s">
        <v>68</v>
      </c>
      <c r="F687" s="9" t="s">
        <v>947</v>
      </c>
      <c r="G687" s="10" t="n">
        <f aca="false">IF($AK687=0,"",INDEX('Part types'!$P:$P,$AK687))</f>
        <v>10</v>
      </c>
      <c r="H687" s="10" t="n">
        <f aca="false">IF($AK687=0,"",INDEX('Part types'!$Q:$Q,$AK687))</f>
        <v>8</v>
      </c>
      <c r="I687" s="10" t="n">
        <f aca="false">IF($AK687=0,"",INDEX('Part types'!$R:$R,$AK687))</f>
        <v>6</v>
      </c>
      <c r="J687" s="10" t="n">
        <f aca="false">IF($AK687=0,"",INDEX('Part types'!$S:$S,$AK687))</f>
        <v>0.1</v>
      </c>
      <c r="K687" s="11" t="s">
        <v>2892</v>
      </c>
      <c r="L687" s="11" t="s">
        <v>2959</v>
      </c>
      <c r="M687" s="11" t="str">
        <f aca="false">L687&amp;" - "&amp;N687</f>
        <v>فيوز الجهد العالي - عام</v>
      </c>
      <c r="N687" s="11" t="s">
        <v>72</v>
      </c>
      <c r="O687" s="11" t="s">
        <v>949</v>
      </c>
      <c r="P687" s="10" t="n">
        <f aca="false">G687</f>
        <v>10</v>
      </c>
      <c r="Q687" s="10" t="n">
        <f aca="false">H687</f>
        <v>8</v>
      </c>
      <c r="R687" s="10" t="n">
        <f aca="false">I687</f>
        <v>6</v>
      </c>
      <c r="S687" s="10" t="n">
        <f aca="false">J687</f>
        <v>0.1</v>
      </c>
      <c r="T687" s="12" t="s">
        <v>2893</v>
      </c>
      <c r="U687" s="12" t="s">
        <v>2960</v>
      </c>
      <c r="V687" s="9" t="str">
        <f aca="false">U687&amp;" - "&amp;W687</f>
        <v>高压保险丝 - 通用</v>
      </c>
      <c r="W687" s="12" t="s">
        <v>76</v>
      </c>
      <c r="X687" s="12" t="s">
        <v>951</v>
      </c>
      <c r="Y687" s="10" t="n">
        <f aca="false">G687</f>
        <v>10</v>
      </c>
      <c r="Z687" s="10" t="n">
        <f aca="false">H687</f>
        <v>8</v>
      </c>
      <c r="AA687" s="10" t="n">
        <f aca="false">I687</f>
        <v>6</v>
      </c>
      <c r="AB687" s="10" t="n">
        <f aca="false">J687</f>
        <v>0.1</v>
      </c>
      <c r="AC687" s="9" t="s">
        <v>2895</v>
      </c>
      <c r="AD687" s="9" t="s">
        <v>2961</v>
      </c>
      <c r="AE687" s="9" t="str">
        <f aca="false">IF($AK687=0,"",INDEX('Part types'!$T:$T,$AK687)&amp;"")</f>
        <v>Electrified (hybrid, plug-in, range extender, EV)</v>
      </c>
      <c r="AF687" s="9" t="str">
        <f aca="false">IF($AK687=0,"",INDEX('Part types'!$U:$U,$AK687)&amp;"")</f>
        <v/>
      </c>
      <c r="AG687" s="9" t="str">
        <f aca="false">IF($AK687=0,"",INDEX('Part types'!$V:$V,$AK687)&amp;"")</f>
        <v>Estimate: size class XS</v>
      </c>
      <c r="AH687" s="9" t="str">
        <f aca="false">IF($AK687=0,"",INDEX('Part types'!$W:$W,$AK687)&amp;"")</f>
        <v/>
      </c>
      <c r="AI687" s="11" t="str">
        <f aca="false">IF($AK687=0,"",INDEX('Part types'!$X:$X,$AK687)&amp;"")</f>
        <v/>
      </c>
      <c r="AJ687" s="9" t="str">
        <f aca="false">IF($AK687=0,"",INDEX('Part types'!$Y:$Y,$AK687)&amp;"")</f>
        <v/>
      </c>
      <c r="AK687" s="9" t="n">
        <f aca="false">IFERROR(MATCH($AD687,'Part types'!$E:$E,0),0)</f>
        <v>478</v>
      </c>
    </row>
    <row r="688" customFormat="false" ht="15" hidden="false" customHeight="false" outlineLevel="0" collapsed="false">
      <c r="A688" s="9" t="s">
        <v>2962</v>
      </c>
      <c r="B688" s="9" t="s">
        <v>2963</v>
      </c>
      <c r="C688" s="9" t="s">
        <v>2964</v>
      </c>
      <c r="D688" s="9" t="str">
        <f aca="false">C688&amp;" - "&amp;E688</f>
        <v>Electric Drive Motor - Universal</v>
      </c>
      <c r="E688" s="9" t="s">
        <v>68</v>
      </c>
      <c r="F688" s="9" t="s">
        <v>2965</v>
      </c>
      <c r="G688" s="10" t="n">
        <f aca="false">IF($AK688=0,"",INDEX('Part types'!$P:$P,$AK688))</f>
        <v>45</v>
      </c>
      <c r="H688" s="10" t="n">
        <f aca="false">IF($AK688=0,"",INDEX('Part types'!$Q:$Q,$AK688))</f>
        <v>35</v>
      </c>
      <c r="I688" s="10" t="n">
        <f aca="false">IF($AK688=0,"",INDEX('Part types'!$R:$R,$AK688))</f>
        <v>35</v>
      </c>
      <c r="J688" s="10" t="n">
        <f aca="false">IF($AK688=0,"",INDEX('Part types'!$S:$S,$AK688))</f>
        <v>60</v>
      </c>
      <c r="K688" s="11" t="s">
        <v>2966</v>
      </c>
      <c r="L688" s="11" t="s">
        <v>2967</v>
      </c>
      <c r="M688" s="11" t="str">
        <f aca="false">L688&amp;" - "&amp;N688</f>
        <v>موتور القيادة الكهربائي - عام</v>
      </c>
      <c r="N688" s="11" t="s">
        <v>72</v>
      </c>
      <c r="O688" s="11" t="s">
        <v>2968</v>
      </c>
      <c r="P688" s="10" t="n">
        <f aca="false">G688</f>
        <v>45</v>
      </c>
      <c r="Q688" s="10" t="n">
        <f aca="false">H688</f>
        <v>35</v>
      </c>
      <c r="R688" s="10" t="n">
        <f aca="false">I688</f>
        <v>35</v>
      </c>
      <c r="S688" s="10" t="n">
        <f aca="false">J688</f>
        <v>60</v>
      </c>
      <c r="T688" s="12" t="s">
        <v>2969</v>
      </c>
      <c r="U688" s="12" t="s">
        <v>2970</v>
      </c>
      <c r="V688" s="9" t="str">
        <f aca="false">U688&amp;" - "&amp;W688</f>
        <v>驱动电机 - 通用</v>
      </c>
      <c r="W688" s="12" t="s">
        <v>76</v>
      </c>
      <c r="X688" s="12" t="s">
        <v>2971</v>
      </c>
      <c r="Y688" s="10" t="n">
        <f aca="false">G688</f>
        <v>45</v>
      </c>
      <c r="Z688" s="10" t="n">
        <f aca="false">H688</f>
        <v>35</v>
      </c>
      <c r="AA688" s="10" t="n">
        <f aca="false">I688</f>
        <v>35</v>
      </c>
      <c r="AB688" s="10" t="n">
        <f aca="false">J688</f>
        <v>60</v>
      </c>
      <c r="AC688" s="9" t="s">
        <v>2972</v>
      </c>
      <c r="AD688" s="9" t="s">
        <v>2973</v>
      </c>
      <c r="AE688" s="9" t="str">
        <f aca="false">IF($AK688=0,"",INDEX('Part types'!$T:$T,$AK688)&amp;"")</f>
        <v>EV only</v>
      </c>
      <c r="AF688" s="9" t="str">
        <f aca="false">IF($AK688=0,"",INDEX('Part types'!$U:$U,$AK688)&amp;"")</f>
        <v>Heavy (over 30 kg)</v>
      </c>
      <c r="AG688" s="9" t="str">
        <f aca="false">IF($AK688=0,"",INDEX('Part types'!$V:$V,$AK688)&amp;"")</f>
        <v>Estimate: item-specific</v>
      </c>
      <c r="AH688" s="9" t="str">
        <f aca="false">IF($AK688=0,"",INDEX('Part types'!$W:$W,$AK688)&amp;"")</f>
        <v/>
      </c>
      <c r="AI688" s="11" t="str">
        <f aca="false">IF($AK688=0,"",INDEX('Part types'!$X:$X,$AK688)&amp;"")</f>
        <v/>
      </c>
      <c r="AJ688" s="9" t="str">
        <f aca="false">IF($AK688=0,"",INDEX('Part types'!$Y:$Y,$AK688)&amp;"")</f>
        <v/>
      </c>
      <c r="AK688" s="9" t="n">
        <f aca="false">IFERROR(MATCH($AD688,'Part types'!$E:$E,0),0)</f>
        <v>479</v>
      </c>
    </row>
    <row r="689" customFormat="false" ht="15" hidden="false" customHeight="false" outlineLevel="0" collapsed="false">
      <c r="A689" s="9" t="s">
        <v>2974</v>
      </c>
      <c r="B689" s="9" t="s">
        <v>2963</v>
      </c>
      <c r="C689" s="9" t="s">
        <v>2975</v>
      </c>
      <c r="D689" s="9" t="str">
        <f aca="false">C689&amp;" - "&amp;E689</f>
        <v>Motor Stator - Universal</v>
      </c>
      <c r="E689" s="9" t="s">
        <v>68</v>
      </c>
      <c r="F689" s="9" t="s">
        <v>2965</v>
      </c>
      <c r="G689" s="10" t="n">
        <f aca="false">IF($AK689=0,"",INDEX('Part types'!$P:$P,$AK689))</f>
        <v>40</v>
      </c>
      <c r="H689" s="10" t="n">
        <f aca="false">IF($AK689=0,"",INDEX('Part types'!$Q:$Q,$AK689))</f>
        <v>40</v>
      </c>
      <c r="I689" s="10" t="n">
        <f aca="false">IF($AK689=0,"",INDEX('Part types'!$R:$R,$AK689))</f>
        <v>25</v>
      </c>
      <c r="J689" s="10" t="n">
        <f aca="false">IF($AK689=0,"",INDEX('Part types'!$S:$S,$AK689))</f>
        <v>25</v>
      </c>
      <c r="K689" s="11" t="s">
        <v>2966</v>
      </c>
      <c r="L689" s="11" t="s">
        <v>2976</v>
      </c>
      <c r="M689" s="11" t="str">
        <f aca="false">L689&amp;" - "&amp;N689</f>
        <v>ستاتور الموتور - عام</v>
      </c>
      <c r="N689" s="11" t="s">
        <v>72</v>
      </c>
      <c r="O689" s="11" t="s">
        <v>2968</v>
      </c>
      <c r="P689" s="10" t="n">
        <f aca="false">G689</f>
        <v>40</v>
      </c>
      <c r="Q689" s="10" t="n">
        <f aca="false">H689</f>
        <v>40</v>
      </c>
      <c r="R689" s="10" t="n">
        <f aca="false">I689</f>
        <v>25</v>
      </c>
      <c r="S689" s="10" t="n">
        <f aca="false">J689</f>
        <v>25</v>
      </c>
      <c r="T689" s="12" t="s">
        <v>2969</v>
      </c>
      <c r="U689" s="12" t="s">
        <v>2977</v>
      </c>
      <c r="V689" s="9" t="str">
        <f aca="false">U689&amp;" - "&amp;W689</f>
        <v>电机定子 - 通用</v>
      </c>
      <c r="W689" s="12" t="s">
        <v>76</v>
      </c>
      <c r="X689" s="12" t="s">
        <v>2971</v>
      </c>
      <c r="Y689" s="10" t="n">
        <f aca="false">G689</f>
        <v>40</v>
      </c>
      <c r="Z689" s="10" t="n">
        <f aca="false">H689</f>
        <v>40</v>
      </c>
      <c r="AA689" s="10" t="n">
        <f aca="false">I689</f>
        <v>25</v>
      </c>
      <c r="AB689" s="10" t="n">
        <f aca="false">J689</f>
        <v>25</v>
      </c>
      <c r="AC689" s="9" t="s">
        <v>2972</v>
      </c>
      <c r="AD689" s="9" t="s">
        <v>2978</v>
      </c>
      <c r="AE689" s="9" t="str">
        <f aca="false">IF($AK689=0,"",INDEX('Part types'!$T:$T,$AK689)&amp;"")</f>
        <v>EV only</v>
      </c>
      <c r="AF689" s="9" t="str">
        <f aca="false">IF($AK689=0,"",INDEX('Part types'!$U:$U,$AK689)&amp;"")</f>
        <v/>
      </c>
      <c r="AG689" s="9" t="str">
        <f aca="false">IF($AK689=0,"",INDEX('Part types'!$V:$V,$AK689)&amp;"")</f>
        <v>Estimate: item-specific</v>
      </c>
      <c r="AH689" s="9" t="str">
        <f aca="false">IF($AK689=0,"",INDEX('Part types'!$W:$W,$AK689)&amp;"")</f>
        <v/>
      </c>
      <c r="AI689" s="11" t="str">
        <f aca="false">IF($AK689=0,"",INDEX('Part types'!$X:$X,$AK689)&amp;"")</f>
        <v/>
      </c>
      <c r="AJ689" s="9" t="str">
        <f aca="false">IF($AK689=0,"",INDEX('Part types'!$Y:$Y,$AK689)&amp;"")</f>
        <v/>
      </c>
      <c r="AK689" s="9" t="n">
        <f aca="false">IFERROR(MATCH($AD689,'Part types'!$E:$E,0),0)</f>
        <v>480</v>
      </c>
    </row>
    <row r="690" customFormat="false" ht="15" hidden="false" customHeight="false" outlineLevel="0" collapsed="false">
      <c r="A690" s="9" t="s">
        <v>2979</v>
      </c>
      <c r="B690" s="9" t="s">
        <v>2963</v>
      </c>
      <c r="C690" s="9" t="s">
        <v>2980</v>
      </c>
      <c r="D690" s="9" t="str">
        <f aca="false">C690&amp;" - "&amp;E690</f>
        <v>Motor Rotor - Universal</v>
      </c>
      <c r="E690" s="9" t="s">
        <v>68</v>
      </c>
      <c r="F690" s="9" t="s">
        <v>2965</v>
      </c>
      <c r="G690" s="10" t="n">
        <f aca="false">IF($AK690=0,"",INDEX('Part types'!$P:$P,$AK690))</f>
        <v>40</v>
      </c>
      <c r="H690" s="10" t="n">
        <f aca="false">IF($AK690=0,"",INDEX('Part types'!$Q:$Q,$AK690))</f>
        <v>15</v>
      </c>
      <c r="I690" s="10" t="n">
        <f aca="false">IF($AK690=0,"",INDEX('Part types'!$R:$R,$AK690))</f>
        <v>15</v>
      </c>
      <c r="J690" s="10" t="n">
        <f aca="false">IF($AK690=0,"",INDEX('Part types'!$S:$S,$AK690))</f>
        <v>12</v>
      </c>
      <c r="K690" s="11" t="s">
        <v>2966</v>
      </c>
      <c r="L690" s="11" t="s">
        <v>2981</v>
      </c>
      <c r="M690" s="11" t="str">
        <f aca="false">L690&amp;" - "&amp;N690</f>
        <v>روتور الموتور - عام</v>
      </c>
      <c r="N690" s="11" t="s">
        <v>72</v>
      </c>
      <c r="O690" s="11" t="s">
        <v>2968</v>
      </c>
      <c r="P690" s="10" t="n">
        <f aca="false">G690</f>
        <v>40</v>
      </c>
      <c r="Q690" s="10" t="n">
        <f aca="false">H690</f>
        <v>15</v>
      </c>
      <c r="R690" s="10" t="n">
        <f aca="false">I690</f>
        <v>15</v>
      </c>
      <c r="S690" s="10" t="n">
        <f aca="false">J690</f>
        <v>12</v>
      </c>
      <c r="T690" s="12" t="s">
        <v>2969</v>
      </c>
      <c r="U690" s="12" t="s">
        <v>2982</v>
      </c>
      <c r="V690" s="9" t="str">
        <f aca="false">U690&amp;" - "&amp;W690</f>
        <v>电机转子 - 通用</v>
      </c>
      <c r="W690" s="12" t="s">
        <v>76</v>
      </c>
      <c r="X690" s="12" t="s">
        <v>2971</v>
      </c>
      <c r="Y690" s="10" t="n">
        <f aca="false">G690</f>
        <v>40</v>
      </c>
      <c r="Z690" s="10" t="n">
        <f aca="false">H690</f>
        <v>15</v>
      </c>
      <c r="AA690" s="10" t="n">
        <f aca="false">I690</f>
        <v>15</v>
      </c>
      <c r="AB690" s="10" t="n">
        <f aca="false">J690</f>
        <v>12</v>
      </c>
      <c r="AC690" s="9" t="s">
        <v>2972</v>
      </c>
      <c r="AD690" s="9" t="s">
        <v>2983</v>
      </c>
      <c r="AE690" s="9" t="str">
        <f aca="false">IF($AK690=0,"",INDEX('Part types'!$T:$T,$AK690)&amp;"")</f>
        <v>EV only</v>
      </c>
      <c r="AF690" s="9" t="str">
        <f aca="false">IF($AK690=0,"",INDEX('Part types'!$U:$U,$AK690)&amp;"")</f>
        <v/>
      </c>
      <c r="AG690" s="9" t="str">
        <f aca="false">IF($AK690=0,"",INDEX('Part types'!$V:$V,$AK690)&amp;"")</f>
        <v>Estimate: item-specific</v>
      </c>
      <c r="AH690" s="9" t="str">
        <f aca="false">IF($AK690=0,"",INDEX('Part types'!$W:$W,$AK690)&amp;"")</f>
        <v/>
      </c>
      <c r="AI690" s="11" t="str">
        <f aca="false">IF($AK690=0,"",INDEX('Part types'!$X:$X,$AK690)&amp;"")</f>
        <v/>
      </c>
      <c r="AJ690" s="9" t="str">
        <f aca="false">IF($AK690=0,"",INDEX('Part types'!$Y:$Y,$AK690)&amp;"")</f>
        <v/>
      </c>
      <c r="AK690" s="9" t="n">
        <f aca="false">IFERROR(MATCH($AD690,'Part types'!$E:$E,0),0)</f>
        <v>481</v>
      </c>
    </row>
    <row r="691" customFormat="false" ht="15" hidden="false" customHeight="false" outlineLevel="0" collapsed="false">
      <c r="A691" s="9" t="s">
        <v>2984</v>
      </c>
      <c r="B691" s="9" t="s">
        <v>2963</v>
      </c>
      <c r="C691" s="9" t="s">
        <v>2985</v>
      </c>
      <c r="D691" s="9" t="str">
        <f aca="false">C691&amp;" - "&amp;E691</f>
        <v>Motor Resolver Sensor - Universal</v>
      </c>
      <c r="E691" s="9" t="s">
        <v>68</v>
      </c>
      <c r="F691" s="9" t="s">
        <v>2965</v>
      </c>
      <c r="G691" s="10" t="n">
        <f aca="false">IF($AK691=0,"",INDEX('Part types'!$P:$P,$AK691))</f>
        <v>10</v>
      </c>
      <c r="H691" s="10" t="n">
        <f aca="false">IF($AK691=0,"",INDEX('Part types'!$Q:$Q,$AK691))</f>
        <v>8</v>
      </c>
      <c r="I691" s="10" t="n">
        <f aca="false">IF($AK691=0,"",INDEX('Part types'!$R:$R,$AK691))</f>
        <v>6</v>
      </c>
      <c r="J691" s="10" t="n">
        <f aca="false">IF($AK691=0,"",INDEX('Part types'!$S:$S,$AK691))</f>
        <v>0.1</v>
      </c>
      <c r="K691" s="11" t="s">
        <v>2966</v>
      </c>
      <c r="L691" s="11" t="s">
        <v>2986</v>
      </c>
      <c r="M691" s="11" t="str">
        <f aca="false">L691&amp;" - "&amp;N691</f>
        <v>حساس موضع الموتور - عام</v>
      </c>
      <c r="N691" s="11" t="s">
        <v>72</v>
      </c>
      <c r="O691" s="11" t="s">
        <v>2968</v>
      </c>
      <c r="P691" s="10" t="n">
        <f aca="false">G691</f>
        <v>10</v>
      </c>
      <c r="Q691" s="10" t="n">
        <f aca="false">H691</f>
        <v>8</v>
      </c>
      <c r="R691" s="10" t="n">
        <f aca="false">I691</f>
        <v>6</v>
      </c>
      <c r="S691" s="10" t="n">
        <f aca="false">J691</f>
        <v>0.1</v>
      </c>
      <c r="T691" s="12" t="s">
        <v>2969</v>
      </c>
      <c r="U691" s="12" t="s">
        <v>2987</v>
      </c>
      <c r="V691" s="9" t="str">
        <f aca="false">U691&amp;" - "&amp;W691</f>
        <v>电机旋变传感器 - 通用</v>
      </c>
      <c r="W691" s="12" t="s">
        <v>76</v>
      </c>
      <c r="X691" s="12" t="s">
        <v>2971</v>
      </c>
      <c r="Y691" s="10" t="n">
        <f aca="false">G691</f>
        <v>10</v>
      </c>
      <c r="Z691" s="10" t="n">
        <f aca="false">H691</f>
        <v>8</v>
      </c>
      <c r="AA691" s="10" t="n">
        <f aca="false">I691</f>
        <v>6</v>
      </c>
      <c r="AB691" s="10" t="n">
        <f aca="false">J691</f>
        <v>0.1</v>
      </c>
      <c r="AC691" s="9" t="s">
        <v>2972</v>
      </c>
      <c r="AD691" s="9" t="s">
        <v>2988</v>
      </c>
      <c r="AE691" s="9" t="str">
        <f aca="false">IF($AK691=0,"",INDEX('Part types'!$T:$T,$AK691)&amp;"")</f>
        <v>EV only</v>
      </c>
      <c r="AF691" s="9" t="str">
        <f aca="false">IF($AK691=0,"",INDEX('Part types'!$U:$U,$AK691)&amp;"")</f>
        <v/>
      </c>
      <c r="AG691" s="9" t="str">
        <f aca="false">IF($AK691=0,"",INDEX('Part types'!$V:$V,$AK691)&amp;"")</f>
        <v>Estimate: size class XS</v>
      </c>
      <c r="AH691" s="9" t="str">
        <f aca="false">IF($AK691=0,"",INDEX('Part types'!$W:$W,$AK691)&amp;"")</f>
        <v/>
      </c>
      <c r="AI691" s="11" t="str">
        <f aca="false">IF($AK691=0,"",INDEX('Part types'!$X:$X,$AK691)&amp;"")</f>
        <v>ريزولفر</v>
      </c>
      <c r="AJ691" s="9" t="str">
        <f aca="false">IF($AK691=0,"",INDEX('Part types'!$Y:$Y,$AK691)&amp;"")</f>
        <v/>
      </c>
      <c r="AK691" s="9" t="n">
        <f aca="false">IFERROR(MATCH($AD691,'Part types'!$E:$E,0),0)</f>
        <v>482</v>
      </c>
    </row>
    <row r="692" customFormat="false" ht="15" hidden="false" customHeight="false" outlineLevel="0" collapsed="false">
      <c r="A692" s="9" t="s">
        <v>2989</v>
      </c>
      <c r="B692" s="9" t="s">
        <v>2963</v>
      </c>
      <c r="C692" s="9" t="s">
        <v>2990</v>
      </c>
      <c r="D692" s="9" t="str">
        <f aca="false">C692&amp;" - "&amp;E692</f>
        <v>Inverter - Universal</v>
      </c>
      <c r="E692" s="9" t="s">
        <v>68</v>
      </c>
      <c r="F692" s="9" t="s">
        <v>2965</v>
      </c>
      <c r="G692" s="10" t="n">
        <f aca="false">IF($AK692=0,"",INDEX('Part types'!$P:$P,$AK692))</f>
        <v>35</v>
      </c>
      <c r="H692" s="10" t="n">
        <f aca="false">IF($AK692=0,"",INDEX('Part types'!$Q:$Q,$AK692))</f>
        <v>25</v>
      </c>
      <c r="I692" s="10" t="n">
        <f aca="false">IF($AK692=0,"",INDEX('Part types'!$R:$R,$AK692))</f>
        <v>15</v>
      </c>
      <c r="J692" s="10" t="n">
        <f aca="false">IF($AK692=0,"",INDEX('Part types'!$S:$S,$AK692))</f>
        <v>9</v>
      </c>
      <c r="K692" s="11" t="s">
        <v>2966</v>
      </c>
      <c r="L692" s="11" t="s">
        <v>2991</v>
      </c>
      <c r="M692" s="11" t="str">
        <f aca="false">L692&amp;" - "&amp;N692</f>
        <v>إنفرتر - عام</v>
      </c>
      <c r="N692" s="11" t="s">
        <v>72</v>
      </c>
      <c r="O692" s="11" t="s">
        <v>2968</v>
      </c>
      <c r="P692" s="10" t="n">
        <f aca="false">G692</f>
        <v>35</v>
      </c>
      <c r="Q692" s="10" t="n">
        <f aca="false">H692</f>
        <v>25</v>
      </c>
      <c r="R692" s="10" t="n">
        <f aca="false">I692</f>
        <v>15</v>
      </c>
      <c r="S692" s="10" t="n">
        <f aca="false">J692</f>
        <v>9</v>
      </c>
      <c r="T692" s="12" t="s">
        <v>2969</v>
      </c>
      <c r="U692" s="12" t="s">
        <v>2992</v>
      </c>
      <c r="V692" s="9" t="str">
        <f aca="false">U692&amp;" - "&amp;W692</f>
        <v>逆变器 - 通用</v>
      </c>
      <c r="W692" s="12" t="s">
        <v>76</v>
      </c>
      <c r="X692" s="12" t="s">
        <v>2971</v>
      </c>
      <c r="Y692" s="10" t="n">
        <f aca="false">G692</f>
        <v>35</v>
      </c>
      <c r="Z692" s="10" t="n">
        <f aca="false">H692</f>
        <v>25</v>
      </c>
      <c r="AA692" s="10" t="n">
        <f aca="false">I692</f>
        <v>15</v>
      </c>
      <c r="AB692" s="10" t="n">
        <f aca="false">J692</f>
        <v>9</v>
      </c>
      <c r="AC692" s="9" t="s">
        <v>2972</v>
      </c>
      <c r="AD692" s="9" t="s">
        <v>2993</v>
      </c>
      <c r="AE692" s="9" t="str">
        <f aca="false">IF($AK692=0,"",INDEX('Part types'!$T:$T,$AK692)&amp;"")</f>
        <v>EV only</v>
      </c>
      <c r="AF692" s="9" t="str">
        <f aca="false">IF($AK692=0,"",INDEX('Part types'!$U:$U,$AK692)&amp;"")</f>
        <v/>
      </c>
      <c r="AG692" s="9" t="str">
        <f aca="false">IF($AK692=0,"",INDEX('Part types'!$V:$V,$AK692)&amp;"")</f>
        <v>Estimate: item-specific</v>
      </c>
      <c r="AH692" s="9" t="str">
        <f aca="false">IF($AK692=0,"",INDEX('Part types'!$W:$W,$AK692)&amp;"")</f>
        <v>Motor Controller</v>
      </c>
      <c r="AI692" s="11" t="str">
        <f aca="false">IF($AK692=0,"",INDEX('Part types'!$X:$X,$AK692)&amp;"")</f>
        <v>وحدة التحكم بالموتور</v>
      </c>
      <c r="AJ692" s="9" t="str">
        <f aca="false">IF($AK692=0,"",INDEX('Part types'!$Y:$Y,$AK692)&amp;"")</f>
        <v>电机控制器</v>
      </c>
      <c r="AK692" s="9" t="n">
        <f aca="false">IFERROR(MATCH($AD692,'Part types'!$E:$E,0),0)</f>
        <v>483</v>
      </c>
    </row>
    <row r="693" customFormat="false" ht="15" hidden="false" customHeight="false" outlineLevel="0" collapsed="false">
      <c r="A693" s="9" t="s">
        <v>2994</v>
      </c>
      <c r="B693" s="9" t="s">
        <v>2963</v>
      </c>
      <c r="C693" s="9" t="s">
        <v>2995</v>
      </c>
      <c r="D693" s="9" t="str">
        <f aca="false">C693&amp;" - "&amp;E693</f>
        <v>Single-Speed Reduction Gearbox - Universal</v>
      </c>
      <c r="E693" s="9" t="s">
        <v>68</v>
      </c>
      <c r="F693" s="9" t="s">
        <v>2965</v>
      </c>
      <c r="G693" s="10" t="n">
        <f aca="false">IF($AK693=0,"",INDEX('Part types'!$P:$P,$AK693))</f>
        <v>45</v>
      </c>
      <c r="H693" s="10" t="n">
        <f aca="false">IF($AK693=0,"",INDEX('Part types'!$Q:$Q,$AK693))</f>
        <v>40</v>
      </c>
      <c r="I693" s="10" t="n">
        <f aca="false">IF($AK693=0,"",INDEX('Part types'!$R:$R,$AK693))</f>
        <v>35</v>
      </c>
      <c r="J693" s="10" t="n">
        <f aca="false">IF($AK693=0,"",INDEX('Part types'!$S:$S,$AK693))</f>
        <v>30</v>
      </c>
      <c r="K693" s="11" t="s">
        <v>2966</v>
      </c>
      <c r="L693" s="11" t="s">
        <v>2996</v>
      </c>
      <c r="M693" s="11" t="str">
        <f aca="false">L693&amp;" - "&amp;N693</f>
        <v>علبة تخفيض السرعة - عام</v>
      </c>
      <c r="N693" s="11" t="s">
        <v>72</v>
      </c>
      <c r="O693" s="11" t="s">
        <v>2968</v>
      </c>
      <c r="P693" s="10" t="n">
        <f aca="false">G693</f>
        <v>45</v>
      </c>
      <c r="Q693" s="10" t="n">
        <f aca="false">H693</f>
        <v>40</v>
      </c>
      <c r="R693" s="10" t="n">
        <f aca="false">I693</f>
        <v>35</v>
      </c>
      <c r="S693" s="10" t="n">
        <f aca="false">J693</f>
        <v>30</v>
      </c>
      <c r="T693" s="12" t="s">
        <v>2969</v>
      </c>
      <c r="U693" s="12" t="s">
        <v>2997</v>
      </c>
      <c r="V693" s="9" t="str">
        <f aca="false">U693&amp;" - "&amp;W693</f>
        <v>单速减速器 - 通用</v>
      </c>
      <c r="W693" s="12" t="s">
        <v>76</v>
      </c>
      <c r="X693" s="12" t="s">
        <v>2971</v>
      </c>
      <c r="Y693" s="10" t="n">
        <f aca="false">G693</f>
        <v>45</v>
      </c>
      <c r="Z693" s="10" t="n">
        <f aca="false">H693</f>
        <v>40</v>
      </c>
      <c r="AA693" s="10" t="n">
        <f aca="false">I693</f>
        <v>35</v>
      </c>
      <c r="AB693" s="10" t="n">
        <f aca="false">J693</f>
        <v>30</v>
      </c>
      <c r="AC693" s="9" t="s">
        <v>2972</v>
      </c>
      <c r="AD693" s="9" t="s">
        <v>2998</v>
      </c>
      <c r="AE693" s="9" t="str">
        <f aca="false">IF($AK693=0,"",INDEX('Part types'!$T:$T,$AK693)&amp;"")</f>
        <v>EV only</v>
      </c>
      <c r="AF693" s="9" t="str">
        <f aca="false">IF($AK693=0,"",INDEX('Part types'!$U:$U,$AK693)&amp;"")</f>
        <v/>
      </c>
      <c r="AG693" s="9" t="str">
        <f aca="false">IF($AK693=0,"",INDEX('Part types'!$V:$V,$AK693)&amp;"")</f>
        <v>Estimate: item-specific</v>
      </c>
      <c r="AH693" s="9" t="str">
        <f aca="false">IF($AK693=0,"",INDEX('Part types'!$W:$W,$AK693)&amp;"")</f>
        <v/>
      </c>
      <c r="AI693" s="11" t="str">
        <f aca="false">IF($AK693=0,"",INDEX('Part types'!$X:$X,$AK693)&amp;"")</f>
        <v>سرعة واحدة</v>
      </c>
      <c r="AJ693" s="9" t="str">
        <f aca="false">IF($AK693=0,"",INDEX('Part types'!$Y:$Y,$AK693)&amp;"")</f>
        <v/>
      </c>
      <c r="AK693" s="9" t="n">
        <f aca="false">IFERROR(MATCH($AD693,'Part types'!$E:$E,0),0)</f>
        <v>484</v>
      </c>
    </row>
    <row r="694" customFormat="false" ht="15" hidden="false" customHeight="false" outlineLevel="0" collapsed="false">
      <c r="A694" s="9" t="s">
        <v>2999</v>
      </c>
      <c r="B694" s="9" t="s">
        <v>2963</v>
      </c>
      <c r="C694" s="9" t="s">
        <v>3000</v>
      </c>
      <c r="D694" s="9" t="str">
        <f aca="false">C694&amp;" - "&amp;E694</f>
        <v>Onboard Charger - Universal</v>
      </c>
      <c r="E694" s="9" t="s">
        <v>68</v>
      </c>
      <c r="F694" s="9" t="s">
        <v>2965</v>
      </c>
      <c r="G694" s="10" t="n">
        <f aca="false">IF($AK694=0,"",INDEX('Part types'!$P:$P,$AK694))</f>
        <v>35</v>
      </c>
      <c r="H694" s="10" t="n">
        <f aca="false">IF($AK694=0,"",INDEX('Part types'!$Q:$Q,$AK694))</f>
        <v>25</v>
      </c>
      <c r="I694" s="10" t="n">
        <f aca="false">IF($AK694=0,"",INDEX('Part types'!$R:$R,$AK694))</f>
        <v>12</v>
      </c>
      <c r="J694" s="10" t="n">
        <f aca="false">IF($AK694=0,"",INDEX('Part types'!$S:$S,$AK694))</f>
        <v>7</v>
      </c>
      <c r="K694" s="11" t="s">
        <v>2966</v>
      </c>
      <c r="L694" s="11" t="s">
        <v>3001</v>
      </c>
      <c r="M694" s="11" t="str">
        <f aca="false">L694&amp;" - "&amp;N694</f>
        <v>شاحن مدمج - عام</v>
      </c>
      <c r="N694" s="11" t="s">
        <v>72</v>
      </c>
      <c r="O694" s="11" t="s">
        <v>2968</v>
      </c>
      <c r="P694" s="10" t="n">
        <f aca="false">G694</f>
        <v>35</v>
      </c>
      <c r="Q694" s="10" t="n">
        <f aca="false">H694</f>
        <v>25</v>
      </c>
      <c r="R694" s="10" t="n">
        <f aca="false">I694</f>
        <v>12</v>
      </c>
      <c r="S694" s="10" t="n">
        <f aca="false">J694</f>
        <v>7</v>
      </c>
      <c r="T694" s="12" t="s">
        <v>2969</v>
      </c>
      <c r="U694" s="12" t="s">
        <v>3002</v>
      </c>
      <c r="V694" s="9" t="str">
        <f aca="false">U694&amp;" - "&amp;W694</f>
        <v>车载充电机 - 通用</v>
      </c>
      <c r="W694" s="12" t="s">
        <v>76</v>
      </c>
      <c r="X694" s="12" t="s">
        <v>2971</v>
      </c>
      <c r="Y694" s="10" t="n">
        <f aca="false">G694</f>
        <v>35</v>
      </c>
      <c r="Z694" s="10" t="n">
        <f aca="false">H694</f>
        <v>25</v>
      </c>
      <c r="AA694" s="10" t="n">
        <f aca="false">I694</f>
        <v>12</v>
      </c>
      <c r="AB694" s="10" t="n">
        <f aca="false">J694</f>
        <v>7</v>
      </c>
      <c r="AC694" s="9" t="s">
        <v>2972</v>
      </c>
      <c r="AD694" s="9" t="s">
        <v>3003</v>
      </c>
      <c r="AE694" s="9" t="str">
        <f aca="false">IF($AK694=0,"",INDEX('Part types'!$T:$T,$AK694)&amp;"")</f>
        <v>Electrified (hybrid, plug-in, range extender, EV)</v>
      </c>
      <c r="AF694" s="9" t="str">
        <f aca="false">IF($AK694=0,"",INDEX('Part types'!$U:$U,$AK694)&amp;"")</f>
        <v/>
      </c>
      <c r="AG694" s="9" t="str">
        <f aca="false">IF($AK694=0,"",INDEX('Part types'!$V:$V,$AK694)&amp;"")</f>
        <v>Estimate: item-specific</v>
      </c>
      <c r="AH694" s="9" t="str">
        <f aca="false">IF($AK694=0,"",INDEX('Part types'!$W:$W,$AK694)&amp;"")</f>
        <v>OBC</v>
      </c>
      <c r="AI694" s="11" t="str">
        <f aca="false">IF($AK694=0,"",INDEX('Part types'!$X:$X,$AK694)&amp;"")</f>
        <v>OBC</v>
      </c>
      <c r="AJ694" s="9" t="str">
        <f aca="false">IF($AK694=0,"",INDEX('Part types'!$Y:$Y,$AK694)&amp;"")</f>
        <v>OBC</v>
      </c>
      <c r="AK694" s="9" t="n">
        <f aca="false">IFERROR(MATCH($AD694,'Part types'!$E:$E,0),0)</f>
        <v>485</v>
      </c>
    </row>
    <row r="695" customFormat="false" ht="15" hidden="false" customHeight="false" outlineLevel="0" collapsed="false">
      <c r="A695" s="9" t="s">
        <v>3004</v>
      </c>
      <c r="B695" s="9" t="s">
        <v>2963</v>
      </c>
      <c r="C695" s="9" t="s">
        <v>3005</v>
      </c>
      <c r="D695" s="9" t="str">
        <f aca="false">C695&amp;" - "&amp;E695</f>
        <v>DC-DC Converter - Universal</v>
      </c>
      <c r="E695" s="9" t="s">
        <v>68</v>
      </c>
      <c r="F695" s="9" t="s">
        <v>2965</v>
      </c>
      <c r="G695" s="10" t="n">
        <f aca="false">IF($AK695=0,"",INDEX('Part types'!$P:$P,$AK695))</f>
        <v>25</v>
      </c>
      <c r="H695" s="10" t="n">
        <f aca="false">IF($AK695=0,"",INDEX('Part types'!$Q:$Q,$AK695))</f>
        <v>20</v>
      </c>
      <c r="I695" s="10" t="n">
        <f aca="false">IF($AK695=0,"",INDEX('Part types'!$R:$R,$AK695))</f>
        <v>10</v>
      </c>
      <c r="J695" s="10" t="n">
        <f aca="false">IF($AK695=0,"",INDEX('Part types'!$S:$S,$AK695))</f>
        <v>4</v>
      </c>
      <c r="K695" s="11" t="s">
        <v>2966</v>
      </c>
      <c r="L695" s="11" t="s">
        <v>3006</v>
      </c>
      <c r="M695" s="11" t="str">
        <f aca="false">L695&amp;" - "&amp;N695</f>
        <v>محول DC-DC - عام</v>
      </c>
      <c r="N695" s="11" t="s">
        <v>72</v>
      </c>
      <c r="O695" s="11" t="s">
        <v>2968</v>
      </c>
      <c r="P695" s="10" t="n">
        <f aca="false">G695</f>
        <v>25</v>
      </c>
      <c r="Q695" s="10" t="n">
        <f aca="false">H695</f>
        <v>20</v>
      </c>
      <c r="R695" s="10" t="n">
        <f aca="false">I695</f>
        <v>10</v>
      </c>
      <c r="S695" s="10" t="n">
        <f aca="false">J695</f>
        <v>4</v>
      </c>
      <c r="T695" s="12" t="s">
        <v>2969</v>
      </c>
      <c r="U695" s="9" t="s">
        <v>3007</v>
      </c>
      <c r="V695" s="9" t="str">
        <f aca="false">U695&amp;" - "&amp;W695</f>
        <v>DC-DC转换器 - 通用</v>
      </c>
      <c r="W695" s="12" t="s">
        <v>76</v>
      </c>
      <c r="X695" s="12" t="s">
        <v>2971</v>
      </c>
      <c r="Y695" s="10" t="n">
        <f aca="false">G695</f>
        <v>25</v>
      </c>
      <c r="Z695" s="10" t="n">
        <f aca="false">H695</f>
        <v>20</v>
      </c>
      <c r="AA695" s="10" t="n">
        <f aca="false">I695</f>
        <v>10</v>
      </c>
      <c r="AB695" s="10" t="n">
        <f aca="false">J695</f>
        <v>4</v>
      </c>
      <c r="AC695" s="9" t="s">
        <v>2972</v>
      </c>
      <c r="AD695" s="9" t="s">
        <v>3008</v>
      </c>
      <c r="AE695" s="9" t="str">
        <f aca="false">IF($AK695=0,"",INDEX('Part types'!$T:$T,$AK695)&amp;"")</f>
        <v>Electrified (hybrid, plug-in, range extender, EV)</v>
      </c>
      <c r="AF695" s="9" t="str">
        <f aca="false">IF($AK695=0,"",INDEX('Part types'!$U:$U,$AK695)&amp;"")</f>
        <v/>
      </c>
      <c r="AG695" s="9" t="str">
        <f aca="false">IF($AK695=0,"",INDEX('Part types'!$V:$V,$AK695)&amp;"")</f>
        <v>Estimate: item-specific</v>
      </c>
      <c r="AH695" s="9" t="str">
        <f aca="false">IF($AK695=0,"",INDEX('Part types'!$W:$W,$AK695)&amp;"")</f>
        <v/>
      </c>
      <c r="AI695" s="11" t="str">
        <f aca="false">IF($AK695=0,"",INDEX('Part types'!$X:$X,$AK695)&amp;"")</f>
        <v/>
      </c>
      <c r="AJ695" s="9" t="str">
        <f aca="false">IF($AK695=0,"",INDEX('Part types'!$Y:$Y,$AK695)&amp;"")</f>
        <v/>
      </c>
      <c r="AK695" s="9" t="n">
        <f aca="false">IFERROR(MATCH($AD695,'Part types'!$E:$E,0),0)</f>
        <v>486</v>
      </c>
    </row>
    <row r="696" customFormat="false" ht="15" hidden="false" customHeight="false" outlineLevel="0" collapsed="false">
      <c r="A696" s="9" t="s">
        <v>3009</v>
      </c>
      <c r="B696" s="9" t="s">
        <v>2963</v>
      </c>
      <c r="C696" s="9" t="s">
        <v>3010</v>
      </c>
      <c r="D696" s="9" t="str">
        <f aca="false">C696&amp;" - "&amp;E696</f>
        <v>Power Distribution Unit - Universal</v>
      </c>
      <c r="E696" s="9" t="s">
        <v>68</v>
      </c>
      <c r="F696" s="9" t="s">
        <v>2965</v>
      </c>
      <c r="G696" s="10" t="n">
        <f aca="false">IF($AK696=0,"",INDEX('Part types'!$P:$P,$AK696))</f>
        <v>30</v>
      </c>
      <c r="H696" s="10" t="n">
        <f aca="false">IF($AK696=0,"",INDEX('Part types'!$Q:$Q,$AK696))</f>
        <v>20</v>
      </c>
      <c r="I696" s="10" t="n">
        <f aca="false">IF($AK696=0,"",INDEX('Part types'!$R:$R,$AK696))</f>
        <v>15</v>
      </c>
      <c r="J696" s="10" t="n">
        <f aca="false">IF($AK696=0,"",INDEX('Part types'!$S:$S,$AK696))</f>
        <v>1.8</v>
      </c>
      <c r="K696" s="11" t="s">
        <v>2966</v>
      </c>
      <c r="L696" s="11" t="s">
        <v>3011</v>
      </c>
      <c r="M696" s="11" t="str">
        <f aca="false">L696&amp;" - "&amp;N696</f>
        <v>وحدة توزيع الطاقة - عام</v>
      </c>
      <c r="N696" s="11" t="s">
        <v>72</v>
      </c>
      <c r="O696" s="11" t="s">
        <v>2968</v>
      </c>
      <c r="P696" s="10" t="n">
        <f aca="false">G696</f>
        <v>30</v>
      </c>
      <c r="Q696" s="10" t="n">
        <f aca="false">H696</f>
        <v>20</v>
      </c>
      <c r="R696" s="10" t="n">
        <f aca="false">I696</f>
        <v>15</v>
      </c>
      <c r="S696" s="10" t="n">
        <f aca="false">J696</f>
        <v>1.8</v>
      </c>
      <c r="T696" s="12" t="s">
        <v>2969</v>
      </c>
      <c r="U696" s="12" t="s">
        <v>3012</v>
      </c>
      <c r="V696" s="9" t="str">
        <f aca="false">U696&amp;" - "&amp;W696</f>
        <v>高压配电盒 - 通用</v>
      </c>
      <c r="W696" s="12" t="s">
        <v>76</v>
      </c>
      <c r="X696" s="12" t="s">
        <v>2971</v>
      </c>
      <c r="Y696" s="10" t="n">
        <f aca="false">G696</f>
        <v>30</v>
      </c>
      <c r="Z696" s="10" t="n">
        <f aca="false">H696</f>
        <v>20</v>
      </c>
      <c r="AA696" s="10" t="n">
        <f aca="false">I696</f>
        <v>15</v>
      </c>
      <c r="AB696" s="10" t="n">
        <f aca="false">J696</f>
        <v>1.8</v>
      </c>
      <c r="AC696" s="9" t="s">
        <v>2972</v>
      </c>
      <c r="AD696" s="9" t="s">
        <v>3013</v>
      </c>
      <c r="AE696" s="9" t="str">
        <f aca="false">IF($AK696=0,"",INDEX('Part types'!$T:$T,$AK696)&amp;"")</f>
        <v>Electrified (hybrid, plug-in, range extender, EV)</v>
      </c>
      <c r="AF696" s="9" t="str">
        <f aca="false">IF($AK696=0,"",INDEX('Part types'!$U:$U,$AK696)&amp;"")</f>
        <v/>
      </c>
      <c r="AG696" s="9" t="str">
        <f aca="false">IF($AK696=0,"",INDEX('Part types'!$V:$V,$AK696)&amp;"")</f>
        <v>Estimate: size class M2</v>
      </c>
      <c r="AH696" s="9" t="str">
        <f aca="false">IF($AK696=0,"",INDEX('Part types'!$W:$W,$AK696)&amp;"")</f>
        <v>PDU</v>
      </c>
      <c r="AI696" s="11" t="str">
        <f aca="false">IF($AK696=0,"",INDEX('Part types'!$X:$X,$AK696)&amp;"")</f>
        <v>PDU</v>
      </c>
      <c r="AJ696" s="9" t="str">
        <f aca="false">IF($AK696=0,"",INDEX('Part types'!$Y:$Y,$AK696)&amp;"")</f>
        <v>PDU</v>
      </c>
      <c r="AK696" s="9" t="n">
        <f aca="false">IFERROR(MATCH($AD696,'Part types'!$E:$E,0),0)</f>
        <v>487</v>
      </c>
    </row>
    <row r="697" customFormat="false" ht="15" hidden="false" customHeight="false" outlineLevel="0" collapsed="false">
      <c r="A697" s="9" t="s">
        <v>3014</v>
      </c>
      <c r="B697" s="9" t="s">
        <v>2963</v>
      </c>
      <c r="C697" s="9" t="s">
        <v>3015</v>
      </c>
      <c r="D697" s="9" t="str">
        <f aca="false">C697&amp;" - "&amp;E697</f>
        <v>Integrated Power Unit - Universal</v>
      </c>
      <c r="E697" s="9" t="s">
        <v>68</v>
      </c>
      <c r="F697" s="9" t="s">
        <v>2965</v>
      </c>
      <c r="G697" s="10" t="n">
        <f aca="false">IF($AK697=0,"",INDEX('Part types'!$P:$P,$AK697))</f>
        <v>30</v>
      </c>
      <c r="H697" s="10" t="n">
        <f aca="false">IF($AK697=0,"",INDEX('Part types'!$Q:$Q,$AK697))</f>
        <v>20</v>
      </c>
      <c r="I697" s="10" t="n">
        <f aca="false">IF($AK697=0,"",INDEX('Part types'!$R:$R,$AK697))</f>
        <v>15</v>
      </c>
      <c r="J697" s="10" t="n">
        <f aca="false">IF($AK697=0,"",INDEX('Part types'!$S:$S,$AK697))</f>
        <v>1.8</v>
      </c>
      <c r="K697" s="11" t="s">
        <v>2966</v>
      </c>
      <c r="L697" s="11" t="s">
        <v>3016</v>
      </c>
      <c r="M697" s="11" t="str">
        <f aca="false">L697&amp;" - "&amp;N697</f>
        <v>وحدة التحكم المتكاملة بالطاقة - عام</v>
      </c>
      <c r="N697" s="11" t="s">
        <v>72</v>
      </c>
      <c r="O697" s="11" t="s">
        <v>2968</v>
      </c>
      <c r="P697" s="10" t="n">
        <f aca="false">G697</f>
        <v>30</v>
      </c>
      <c r="Q697" s="10" t="n">
        <f aca="false">H697</f>
        <v>20</v>
      </c>
      <c r="R697" s="10" t="n">
        <f aca="false">I697</f>
        <v>15</v>
      </c>
      <c r="S697" s="10" t="n">
        <f aca="false">J697</f>
        <v>1.8</v>
      </c>
      <c r="T697" s="12" t="s">
        <v>2969</v>
      </c>
      <c r="U697" s="12" t="s">
        <v>3017</v>
      </c>
      <c r="V697" s="9" t="str">
        <f aca="false">U697&amp;" - "&amp;W697</f>
        <v>集成电控单元 - 通用</v>
      </c>
      <c r="W697" s="12" t="s">
        <v>76</v>
      </c>
      <c r="X697" s="12" t="s">
        <v>2971</v>
      </c>
      <c r="Y697" s="10" t="n">
        <f aca="false">G697</f>
        <v>30</v>
      </c>
      <c r="Z697" s="10" t="n">
        <f aca="false">H697</f>
        <v>20</v>
      </c>
      <c r="AA697" s="10" t="n">
        <f aca="false">I697</f>
        <v>15</v>
      </c>
      <c r="AB697" s="10" t="n">
        <f aca="false">J697</f>
        <v>1.8</v>
      </c>
      <c r="AC697" s="9" t="s">
        <v>2972</v>
      </c>
      <c r="AD697" s="9" t="s">
        <v>3018</v>
      </c>
      <c r="AE697" s="9" t="str">
        <f aca="false">IF($AK697=0,"",INDEX('Part types'!$T:$T,$AK697)&amp;"")</f>
        <v>Electrified (hybrid, plug-in, range extender, EV)</v>
      </c>
      <c r="AF697" s="9" t="str">
        <f aca="false">IF($AK697=0,"",INDEX('Part types'!$U:$U,$AK697)&amp;"")</f>
        <v/>
      </c>
      <c r="AG697" s="9" t="str">
        <f aca="false">IF($AK697=0,"",INDEX('Part types'!$V:$V,$AK697)&amp;"")</f>
        <v>Estimate: size class M2</v>
      </c>
      <c r="AH697" s="9" t="str">
        <f aca="false">IF($AK697=0,"",INDEX('Part types'!$W:$W,$AK697)&amp;"")</f>
        <v>Integrated Power Control Unit</v>
      </c>
      <c r="AI697" s="11" t="str">
        <f aca="false">IF($AK697=0,"",INDEX('Part types'!$X:$X,$AK697)&amp;"")</f>
        <v/>
      </c>
      <c r="AJ697" s="9" t="str">
        <f aca="false">IF($AK697=0,"",INDEX('Part types'!$Y:$Y,$AK697)&amp;"")</f>
        <v/>
      </c>
      <c r="AK697" s="9" t="n">
        <f aca="false">IFERROR(MATCH($AD697,'Part types'!$E:$E,0),0)</f>
        <v>488</v>
      </c>
    </row>
    <row r="698" customFormat="false" ht="15" hidden="false" customHeight="false" outlineLevel="0" collapsed="false">
      <c r="A698" s="9" t="s">
        <v>3019</v>
      </c>
      <c r="B698" s="9" t="s">
        <v>2963</v>
      </c>
      <c r="C698" s="9" t="s">
        <v>3020</v>
      </c>
      <c r="D698" s="9" t="str">
        <f aca="false">C698&amp;" - "&amp;E698</f>
        <v>Vehicle Control Unit - Universal</v>
      </c>
      <c r="E698" s="9" t="s">
        <v>68</v>
      </c>
      <c r="F698" s="9" t="s">
        <v>2965</v>
      </c>
      <c r="G698" s="10" t="n">
        <f aca="false">IF($AK698=0,"",INDEX('Part types'!$P:$P,$AK698))</f>
        <v>15</v>
      </c>
      <c r="H698" s="10" t="n">
        <f aca="false">IF($AK698=0,"",INDEX('Part types'!$Q:$Q,$AK698))</f>
        <v>10</v>
      </c>
      <c r="I698" s="10" t="n">
        <f aca="false">IF($AK698=0,"",INDEX('Part types'!$R:$R,$AK698))</f>
        <v>8</v>
      </c>
      <c r="J698" s="10" t="n">
        <f aca="false">IF($AK698=0,"",INDEX('Part types'!$S:$S,$AK698))</f>
        <v>0.3</v>
      </c>
      <c r="K698" s="11" t="s">
        <v>2966</v>
      </c>
      <c r="L698" s="11" t="s">
        <v>3021</v>
      </c>
      <c r="M698" s="11" t="str">
        <f aca="false">L698&amp;" - "&amp;N698</f>
        <v>وحدة التحكم بالسيارة - عام</v>
      </c>
      <c r="N698" s="11" t="s">
        <v>72</v>
      </c>
      <c r="O698" s="11" t="s">
        <v>2968</v>
      </c>
      <c r="P698" s="10" t="n">
        <f aca="false">G698</f>
        <v>15</v>
      </c>
      <c r="Q698" s="10" t="n">
        <f aca="false">H698</f>
        <v>10</v>
      </c>
      <c r="R698" s="10" t="n">
        <f aca="false">I698</f>
        <v>8</v>
      </c>
      <c r="S698" s="10" t="n">
        <f aca="false">J698</f>
        <v>0.3</v>
      </c>
      <c r="T698" s="12" t="s">
        <v>2969</v>
      </c>
      <c r="U698" s="12" t="s">
        <v>3022</v>
      </c>
      <c r="V698" s="9" t="str">
        <f aca="false">U698&amp;" - "&amp;W698</f>
        <v>整车控制器 - 通用</v>
      </c>
      <c r="W698" s="12" t="s">
        <v>76</v>
      </c>
      <c r="X698" s="12" t="s">
        <v>2971</v>
      </c>
      <c r="Y698" s="10" t="n">
        <f aca="false">G698</f>
        <v>15</v>
      </c>
      <c r="Z698" s="10" t="n">
        <f aca="false">H698</f>
        <v>10</v>
      </c>
      <c r="AA698" s="10" t="n">
        <f aca="false">I698</f>
        <v>8</v>
      </c>
      <c r="AB698" s="10" t="n">
        <f aca="false">J698</f>
        <v>0.3</v>
      </c>
      <c r="AC698" s="9" t="s">
        <v>2972</v>
      </c>
      <c r="AD698" s="9" t="s">
        <v>3023</v>
      </c>
      <c r="AE698" s="9" t="str">
        <f aca="false">IF($AK698=0,"",INDEX('Part types'!$T:$T,$AK698)&amp;"")</f>
        <v>Electrified (hybrid, plug-in, range extender, EV)</v>
      </c>
      <c r="AF698" s="9" t="str">
        <f aca="false">IF($AK698=0,"",INDEX('Part types'!$U:$U,$AK698)&amp;"")</f>
        <v/>
      </c>
      <c r="AG698" s="9" t="str">
        <f aca="false">IF($AK698=0,"",INDEX('Part types'!$V:$V,$AK698)&amp;"")</f>
        <v>Estimate: size class S</v>
      </c>
      <c r="AH698" s="9" t="str">
        <f aca="false">IF($AK698=0,"",INDEX('Part types'!$W:$W,$AK698)&amp;"")</f>
        <v>VCU</v>
      </c>
      <c r="AI698" s="11" t="str">
        <f aca="false">IF($AK698=0,"",INDEX('Part types'!$X:$X,$AK698)&amp;"")</f>
        <v>VCU</v>
      </c>
      <c r="AJ698" s="9" t="str">
        <f aca="false">IF($AK698=0,"",INDEX('Part types'!$Y:$Y,$AK698)&amp;"")</f>
        <v>VCU</v>
      </c>
      <c r="AK698" s="9" t="n">
        <f aca="false">IFERROR(MATCH($AD698,'Part types'!$E:$E,0),0)</f>
        <v>489</v>
      </c>
    </row>
    <row r="699" customFormat="false" ht="15" hidden="false" customHeight="false" outlineLevel="0" collapsed="false">
      <c r="A699" s="9" t="s">
        <v>3024</v>
      </c>
      <c r="B699" s="9" t="s">
        <v>2963</v>
      </c>
      <c r="C699" s="9" t="s">
        <v>3025</v>
      </c>
      <c r="D699" s="9" t="str">
        <f aca="false">C699&amp;" - "&amp;E699</f>
        <v>High-Voltage Cable - Universal</v>
      </c>
      <c r="E699" s="9" t="s">
        <v>68</v>
      </c>
      <c r="F699" s="9" t="s">
        <v>237</v>
      </c>
      <c r="G699" s="10" t="n">
        <f aca="false">IF($AK699=0,"",INDEX('Part types'!$P:$P,$AK699))</f>
        <v>30</v>
      </c>
      <c r="H699" s="10" t="n">
        <f aca="false">IF($AK699=0,"",INDEX('Part types'!$Q:$Q,$AK699))</f>
        <v>20</v>
      </c>
      <c r="I699" s="10" t="n">
        <f aca="false">IF($AK699=0,"",INDEX('Part types'!$R:$R,$AK699))</f>
        <v>15</v>
      </c>
      <c r="J699" s="10" t="n">
        <f aca="false">IF($AK699=0,"",INDEX('Part types'!$S:$S,$AK699))</f>
        <v>1.8</v>
      </c>
      <c r="K699" s="11" t="s">
        <v>2966</v>
      </c>
      <c r="L699" s="11" t="s">
        <v>3026</v>
      </c>
      <c r="M699" s="11" t="str">
        <f aca="false">L699&amp;" - "&amp;N699</f>
        <v>كابل الجهد العالي - عام</v>
      </c>
      <c r="N699" s="11" t="s">
        <v>72</v>
      </c>
      <c r="O699" s="11" t="s">
        <v>239</v>
      </c>
      <c r="P699" s="10" t="n">
        <f aca="false">G699</f>
        <v>30</v>
      </c>
      <c r="Q699" s="10" t="n">
        <f aca="false">H699</f>
        <v>20</v>
      </c>
      <c r="R699" s="10" t="n">
        <f aca="false">I699</f>
        <v>15</v>
      </c>
      <c r="S699" s="10" t="n">
        <f aca="false">J699</f>
        <v>1.8</v>
      </c>
      <c r="T699" s="12" t="s">
        <v>2969</v>
      </c>
      <c r="U699" s="12" t="s">
        <v>3027</v>
      </c>
      <c r="V699" s="9" t="str">
        <f aca="false">U699&amp;" - "&amp;W699</f>
        <v>高压线缆 - 通用</v>
      </c>
      <c r="W699" s="12" t="s">
        <v>76</v>
      </c>
      <c r="X699" s="12" t="s">
        <v>241</v>
      </c>
      <c r="Y699" s="10" t="n">
        <f aca="false">G699</f>
        <v>30</v>
      </c>
      <c r="Z699" s="10" t="n">
        <f aca="false">H699</f>
        <v>20</v>
      </c>
      <c r="AA699" s="10" t="n">
        <f aca="false">I699</f>
        <v>15</v>
      </c>
      <c r="AB699" s="10" t="n">
        <f aca="false">J699</f>
        <v>1.8</v>
      </c>
      <c r="AC699" s="9" t="s">
        <v>2972</v>
      </c>
      <c r="AD699" s="9" t="s">
        <v>3028</v>
      </c>
      <c r="AE699" s="9" t="str">
        <f aca="false">IF($AK699=0,"",INDEX('Part types'!$T:$T,$AK699)&amp;"")</f>
        <v>Electrified (hybrid, plug-in, range extender, EV)</v>
      </c>
      <c r="AF699" s="9" t="str">
        <f aca="false">IF($AK699=0,"",INDEX('Part types'!$U:$U,$AK699)&amp;"")</f>
        <v/>
      </c>
      <c r="AG699" s="9" t="str">
        <f aca="false">IF($AK699=0,"",INDEX('Part types'!$V:$V,$AK699)&amp;"")</f>
        <v>Estimate: size class M2</v>
      </c>
      <c r="AH699" s="9" t="str">
        <f aca="false">IF($AK699=0,"",INDEX('Part types'!$W:$W,$AK699)&amp;"")</f>
        <v/>
      </c>
      <c r="AI699" s="11" t="str">
        <f aca="false">IF($AK699=0,"",INDEX('Part types'!$X:$X,$AK699)&amp;"")</f>
        <v/>
      </c>
      <c r="AJ699" s="9" t="str">
        <f aca="false">IF($AK699=0,"",INDEX('Part types'!$Y:$Y,$AK699)&amp;"")</f>
        <v/>
      </c>
      <c r="AK699" s="9" t="n">
        <f aca="false">IFERROR(MATCH($AD699,'Part types'!$E:$E,0),0)</f>
        <v>490</v>
      </c>
    </row>
    <row r="700" customFormat="false" ht="15" hidden="false" customHeight="false" outlineLevel="0" collapsed="false">
      <c r="A700" s="9" t="s">
        <v>3029</v>
      </c>
      <c r="B700" s="9" t="s">
        <v>2963</v>
      </c>
      <c r="C700" s="9" t="s">
        <v>3030</v>
      </c>
      <c r="D700" s="9" t="str">
        <f aca="false">C700&amp;" - "&amp;E700</f>
        <v>High-Voltage Cable Connector - Universal</v>
      </c>
      <c r="E700" s="9" t="s">
        <v>68</v>
      </c>
      <c r="F700" s="9" t="s">
        <v>237</v>
      </c>
      <c r="G700" s="10" t="n">
        <f aca="false">IF($AK700=0,"",INDEX('Part types'!$P:$P,$AK700))</f>
        <v>10</v>
      </c>
      <c r="H700" s="10" t="n">
        <f aca="false">IF($AK700=0,"",INDEX('Part types'!$Q:$Q,$AK700))</f>
        <v>8</v>
      </c>
      <c r="I700" s="10" t="n">
        <f aca="false">IF($AK700=0,"",INDEX('Part types'!$R:$R,$AK700))</f>
        <v>6</v>
      </c>
      <c r="J700" s="10" t="n">
        <f aca="false">IF($AK700=0,"",INDEX('Part types'!$S:$S,$AK700))</f>
        <v>0.1</v>
      </c>
      <c r="K700" s="11" t="s">
        <v>2966</v>
      </c>
      <c r="L700" s="11" t="s">
        <v>3031</v>
      </c>
      <c r="M700" s="11" t="str">
        <f aca="false">L700&amp;" - "&amp;N700</f>
        <v>وصلة كابل الجهد العالي - عام</v>
      </c>
      <c r="N700" s="11" t="s">
        <v>72</v>
      </c>
      <c r="O700" s="11" t="s">
        <v>239</v>
      </c>
      <c r="P700" s="10" t="n">
        <f aca="false">G700</f>
        <v>10</v>
      </c>
      <c r="Q700" s="10" t="n">
        <f aca="false">H700</f>
        <v>8</v>
      </c>
      <c r="R700" s="10" t="n">
        <f aca="false">I700</f>
        <v>6</v>
      </c>
      <c r="S700" s="10" t="n">
        <f aca="false">J700</f>
        <v>0.1</v>
      </c>
      <c r="T700" s="12" t="s">
        <v>2969</v>
      </c>
      <c r="U700" s="12" t="s">
        <v>3032</v>
      </c>
      <c r="V700" s="9" t="str">
        <f aca="false">U700&amp;" - "&amp;W700</f>
        <v>高压线束连接器 - 通用</v>
      </c>
      <c r="W700" s="12" t="s">
        <v>76</v>
      </c>
      <c r="X700" s="12" t="s">
        <v>241</v>
      </c>
      <c r="Y700" s="10" t="n">
        <f aca="false">G700</f>
        <v>10</v>
      </c>
      <c r="Z700" s="10" t="n">
        <f aca="false">H700</f>
        <v>8</v>
      </c>
      <c r="AA700" s="10" t="n">
        <f aca="false">I700</f>
        <v>6</v>
      </c>
      <c r="AB700" s="10" t="n">
        <f aca="false">J700</f>
        <v>0.1</v>
      </c>
      <c r="AC700" s="9" t="s">
        <v>2972</v>
      </c>
      <c r="AD700" s="9" t="s">
        <v>3033</v>
      </c>
      <c r="AE700" s="9" t="str">
        <f aca="false">IF($AK700=0,"",INDEX('Part types'!$T:$T,$AK700)&amp;"")</f>
        <v>Electrified (hybrid, plug-in, range extender, EV)</v>
      </c>
      <c r="AF700" s="9" t="str">
        <f aca="false">IF($AK700=0,"",INDEX('Part types'!$U:$U,$AK700)&amp;"")</f>
        <v/>
      </c>
      <c r="AG700" s="9" t="str">
        <f aca="false">IF($AK700=0,"",INDEX('Part types'!$V:$V,$AK700)&amp;"")</f>
        <v>Estimate: size class XS</v>
      </c>
      <c r="AH700" s="9" t="str">
        <f aca="false">IF($AK700=0,"",INDEX('Part types'!$W:$W,$AK700)&amp;"")</f>
        <v/>
      </c>
      <c r="AI700" s="11" t="str">
        <f aca="false">IF($AK700=0,"",INDEX('Part types'!$X:$X,$AK700)&amp;"")</f>
        <v/>
      </c>
      <c r="AJ700" s="9" t="str">
        <f aca="false">IF($AK700=0,"",INDEX('Part types'!$Y:$Y,$AK700)&amp;"")</f>
        <v/>
      </c>
      <c r="AK700" s="9" t="n">
        <f aca="false">IFERROR(MATCH($AD700,'Part types'!$E:$E,0),0)</f>
        <v>491</v>
      </c>
    </row>
    <row r="701" customFormat="false" ht="15" hidden="false" customHeight="false" outlineLevel="0" collapsed="false">
      <c r="A701" s="9" t="s">
        <v>3034</v>
      </c>
      <c r="B701" s="9" t="s">
        <v>2963</v>
      </c>
      <c r="C701" s="9" t="s">
        <v>3035</v>
      </c>
      <c r="D701" s="9" t="str">
        <f aca="false">C701&amp;" - "&amp;E701</f>
        <v>Electric A/C Compressor - Universal</v>
      </c>
      <c r="E701" s="9" t="s">
        <v>68</v>
      </c>
      <c r="F701" s="9" t="s">
        <v>2965</v>
      </c>
      <c r="G701" s="10" t="n">
        <f aca="false">IF($AK701=0,"",INDEX('Part types'!$P:$P,$AK701))</f>
        <v>30</v>
      </c>
      <c r="H701" s="10" t="n">
        <f aca="false">IF($AK701=0,"",INDEX('Part types'!$Q:$Q,$AK701))</f>
        <v>20</v>
      </c>
      <c r="I701" s="10" t="n">
        <f aca="false">IF($AK701=0,"",INDEX('Part types'!$R:$R,$AK701))</f>
        <v>20</v>
      </c>
      <c r="J701" s="10" t="n">
        <f aca="false">IF($AK701=0,"",INDEX('Part types'!$S:$S,$AK701))</f>
        <v>7</v>
      </c>
      <c r="K701" s="11" t="s">
        <v>2966</v>
      </c>
      <c r="L701" s="11" t="s">
        <v>3036</v>
      </c>
      <c r="M701" s="11" t="str">
        <f aca="false">L701&amp;" - "&amp;N701</f>
        <v>كمبروسر تكييف كهربائي - عام</v>
      </c>
      <c r="N701" s="11" t="s">
        <v>72</v>
      </c>
      <c r="O701" s="11" t="s">
        <v>2968</v>
      </c>
      <c r="P701" s="10" t="n">
        <f aca="false">G701</f>
        <v>30</v>
      </c>
      <c r="Q701" s="10" t="n">
        <f aca="false">H701</f>
        <v>20</v>
      </c>
      <c r="R701" s="10" t="n">
        <f aca="false">I701</f>
        <v>20</v>
      </c>
      <c r="S701" s="10" t="n">
        <f aca="false">J701</f>
        <v>7</v>
      </c>
      <c r="T701" s="12" t="s">
        <v>2969</v>
      </c>
      <c r="U701" s="12" t="s">
        <v>3037</v>
      </c>
      <c r="V701" s="9" t="str">
        <f aca="false">U701&amp;" - "&amp;W701</f>
        <v>电动空调压缩机 - 通用</v>
      </c>
      <c r="W701" s="12" t="s">
        <v>76</v>
      </c>
      <c r="X701" s="12" t="s">
        <v>2971</v>
      </c>
      <c r="Y701" s="10" t="n">
        <f aca="false">G701</f>
        <v>30</v>
      </c>
      <c r="Z701" s="10" t="n">
        <f aca="false">H701</f>
        <v>20</v>
      </c>
      <c r="AA701" s="10" t="n">
        <f aca="false">I701</f>
        <v>20</v>
      </c>
      <c r="AB701" s="10" t="n">
        <f aca="false">J701</f>
        <v>7</v>
      </c>
      <c r="AC701" s="9" t="s">
        <v>2972</v>
      </c>
      <c r="AD701" s="9" t="s">
        <v>3038</v>
      </c>
      <c r="AE701" s="9" t="str">
        <f aca="false">IF($AK701=0,"",INDEX('Part types'!$T:$T,$AK701)&amp;"")</f>
        <v>Electrified (hybrid, plug-in, range extender, EV)</v>
      </c>
      <c r="AF701" s="9" t="str">
        <f aca="false">IF($AK701=0,"",INDEX('Part types'!$U:$U,$AK701)&amp;"")</f>
        <v/>
      </c>
      <c r="AG701" s="9" t="str">
        <f aca="false">IF($AK701=0,"",INDEX('Part types'!$V:$V,$AK701)&amp;"")</f>
        <v>Estimate: item-specific</v>
      </c>
      <c r="AH701" s="9" t="str">
        <f aca="false">IF($AK701=0,"",INDEX('Part types'!$W:$W,$AK701)&amp;"")</f>
        <v/>
      </c>
      <c r="AI701" s="11" t="str">
        <f aca="false">IF($AK701=0,"",INDEX('Part types'!$X:$X,$AK701)&amp;"")</f>
        <v/>
      </c>
      <c r="AJ701" s="9" t="str">
        <f aca="false">IF($AK701=0,"",INDEX('Part types'!$Y:$Y,$AK701)&amp;"")</f>
        <v/>
      </c>
      <c r="AK701" s="9" t="n">
        <f aca="false">IFERROR(MATCH($AD701,'Part types'!$E:$E,0),0)</f>
        <v>492</v>
      </c>
    </row>
    <row r="702" customFormat="false" ht="15" hidden="false" customHeight="false" outlineLevel="0" collapsed="false">
      <c r="A702" s="9" t="s">
        <v>3039</v>
      </c>
      <c r="B702" s="9" t="s">
        <v>2963</v>
      </c>
      <c r="C702" s="9" t="s">
        <v>3040</v>
      </c>
      <c r="D702" s="9" t="str">
        <f aca="false">C702&amp;" - "&amp;E702</f>
        <v>HV Coolant Heater - Universal</v>
      </c>
      <c r="E702" s="9" t="s">
        <v>68</v>
      </c>
      <c r="F702" s="9" t="s">
        <v>2965</v>
      </c>
      <c r="G702" s="10" t="n">
        <f aca="false">IF($AK702=0,"",INDEX('Part types'!$P:$P,$AK702))</f>
        <v>30</v>
      </c>
      <c r="H702" s="10" t="n">
        <f aca="false">IF($AK702=0,"",INDEX('Part types'!$Q:$Q,$AK702))</f>
        <v>20</v>
      </c>
      <c r="I702" s="10" t="n">
        <f aca="false">IF($AK702=0,"",INDEX('Part types'!$R:$R,$AK702))</f>
        <v>15</v>
      </c>
      <c r="J702" s="10" t="n">
        <f aca="false">IF($AK702=0,"",INDEX('Part types'!$S:$S,$AK702))</f>
        <v>1.8</v>
      </c>
      <c r="K702" s="11" t="s">
        <v>2966</v>
      </c>
      <c r="L702" s="11" t="s">
        <v>3041</v>
      </c>
      <c r="M702" s="11" t="str">
        <f aca="false">L702&amp;" - "&amp;N702</f>
        <v>سخان سائل التبريد - عام</v>
      </c>
      <c r="N702" s="11" t="s">
        <v>72</v>
      </c>
      <c r="O702" s="11" t="s">
        <v>2968</v>
      </c>
      <c r="P702" s="10" t="n">
        <f aca="false">G702</f>
        <v>30</v>
      </c>
      <c r="Q702" s="10" t="n">
        <f aca="false">H702</f>
        <v>20</v>
      </c>
      <c r="R702" s="10" t="n">
        <f aca="false">I702</f>
        <v>15</v>
      </c>
      <c r="S702" s="10" t="n">
        <f aca="false">J702</f>
        <v>1.8</v>
      </c>
      <c r="T702" s="12" t="s">
        <v>2969</v>
      </c>
      <c r="U702" s="12" t="s">
        <v>3042</v>
      </c>
      <c r="V702" s="9" t="str">
        <f aca="false">U702&amp;" - "&amp;W702</f>
        <v>高压冷却液加热器 - 通用</v>
      </c>
      <c r="W702" s="12" t="s">
        <v>76</v>
      </c>
      <c r="X702" s="12" t="s">
        <v>2971</v>
      </c>
      <c r="Y702" s="10" t="n">
        <f aca="false">G702</f>
        <v>30</v>
      </c>
      <c r="Z702" s="10" t="n">
        <f aca="false">H702</f>
        <v>20</v>
      </c>
      <c r="AA702" s="10" t="n">
        <f aca="false">I702</f>
        <v>15</v>
      </c>
      <c r="AB702" s="10" t="n">
        <f aca="false">J702</f>
        <v>1.8</v>
      </c>
      <c r="AC702" s="9" t="s">
        <v>2972</v>
      </c>
      <c r="AD702" s="9" t="s">
        <v>3043</v>
      </c>
      <c r="AE702" s="9" t="str">
        <f aca="false">IF($AK702=0,"",INDEX('Part types'!$T:$T,$AK702)&amp;"")</f>
        <v>Electrified (hybrid, plug-in, range extender, EV)</v>
      </c>
      <c r="AF702" s="9" t="str">
        <f aca="false">IF($AK702=0,"",INDEX('Part types'!$U:$U,$AK702)&amp;"")</f>
        <v/>
      </c>
      <c r="AG702" s="9" t="str">
        <f aca="false">IF($AK702=0,"",INDEX('Part types'!$V:$V,$AK702)&amp;"")</f>
        <v>Estimate: size class M2</v>
      </c>
      <c r="AH702" s="9" t="str">
        <f aca="false">IF($AK702=0,"",INDEX('Part types'!$W:$W,$AK702)&amp;"")</f>
        <v>PTC</v>
      </c>
      <c r="AI702" s="11" t="str">
        <f aca="false">IF($AK702=0,"",INDEX('Part types'!$X:$X,$AK702)&amp;"")</f>
        <v>PTC</v>
      </c>
      <c r="AJ702" s="9" t="str">
        <f aca="false">IF($AK702=0,"",INDEX('Part types'!$Y:$Y,$AK702)&amp;"")</f>
        <v>PTC</v>
      </c>
      <c r="AK702" s="9" t="n">
        <f aca="false">IFERROR(MATCH($AD702,'Part types'!$E:$E,0),0)</f>
        <v>493</v>
      </c>
    </row>
    <row r="703" customFormat="false" ht="15" hidden="false" customHeight="false" outlineLevel="0" collapsed="false">
      <c r="A703" s="9" t="s">
        <v>3044</v>
      </c>
      <c r="B703" s="9" t="s">
        <v>2963</v>
      </c>
      <c r="C703" s="9" t="s">
        <v>3045</v>
      </c>
      <c r="D703" s="9" t="str">
        <f aca="false">C703&amp;" - "&amp;E703</f>
        <v>Electric Coolant Pump - Universal</v>
      </c>
      <c r="E703" s="9" t="s">
        <v>68</v>
      </c>
      <c r="F703" s="9" t="s">
        <v>2965</v>
      </c>
      <c r="G703" s="10" t="n">
        <f aca="false">IF($AK703=0,"",INDEX('Part types'!$P:$P,$AK703))</f>
        <v>25</v>
      </c>
      <c r="H703" s="10" t="n">
        <f aca="false">IF($AK703=0,"",INDEX('Part types'!$Q:$Q,$AK703))</f>
        <v>15</v>
      </c>
      <c r="I703" s="10" t="n">
        <f aca="false">IF($AK703=0,"",INDEX('Part types'!$R:$R,$AK703))</f>
        <v>10</v>
      </c>
      <c r="J703" s="10" t="n">
        <f aca="false">IF($AK703=0,"",INDEX('Part types'!$S:$S,$AK703))</f>
        <v>0.9</v>
      </c>
      <c r="K703" s="11" t="s">
        <v>2966</v>
      </c>
      <c r="L703" s="11" t="s">
        <v>3046</v>
      </c>
      <c r="M703" s="11" t="str">
        <f aca="false">L703&amp;" - "&amp;N703</f>
        <v>مضخة تبريد كهربائية - عام</v>
      </c>
      <c r="N703" s="11" t="s">
        <v>72</v>
      </c>
      <c r="O703" s="11" t="s">
        <v>2968</v>
      </c>
      <c r="P703" s="10" t="n">
        <f aca="false">G703</f>
        <v>25</v>
      </c>
      <c r="Q703" s="10" t="n">
        <f aca="false">H703</f>
        <v>15</v>
      </c>
      <c r="R703" s="10" t="n">
        <f aca="false">I703</f>
        <v>10</v>
      </c>
      <c r="S703" s="10" t="n">
        <f aca="false">J703</f>
        <v>0.9</v>
      </c>
      <c r="T703" s="12" t="s">
        <v>2969</v>
      </c>
      <c r="U703" s="12" t="s">
        <v>3047</v>
      </c>
      <c r="V703" s="9" t="str">
        <f aca="false">U703&amp;" - "&amp;W703</f>
        <v>电子水泵 - 通用</v>
      </c>
      <c r="W703" s="12" t="s">
        <v>76</v>
      </c>
      <c r="X703" s="12" t="s">
        <v>2971</v>
      </c>
      <c r="Y703" s="10" t="n">
        <f aca="false">G703</f>
        <v>25</v>
      </c>
      <c r="Z703" s="10" t="n">
        <f aca="false">H703</f>
        <v>15</v>
      </c>
      <c r="AA703" s="10" t="n">
        <f aca="false">I703</f>
        <v>10</v>
      </c>
      <c r="AB703" s="10" t="n">
        <f aca="false">J703</f>
        <v>0.9</v>
      </c>
      <c r="AC703" s="9" t="s">
        <v>2972</v>
      </c>
      <c r="AD703" s="9" t="s">
        <v>3048</v>
      </c>
      <c r="AE703" s="9" t="str">
        <f aca="false">IF($AK703=0,"",INDEX('Part types'!$T:$T,$AK703)&amp;"")</f>
        <v>Electrified (hybrid, plug-in, range extender, EV)</v>
      </c>
      <c r="AF703" s="9" t="str">
        <f aca="false">IF($AK703=0,"",INDEX('Part types'!$U:$U,$AK703)&amp;"")</f>
        <v/>
      </c>
      <c r="AG703" s="9" t="str">
        <f aca="false">IF($AK703=0,"",INDEX('Part types'!$V:$V,$AK703)&amp;"")</f>
        <v>Estimate: size class M</v>
      </c>
      <c r="AH703" s="9" t="str">
        <f aca="false">IF($AK703=0,"",INDEX('Part types'!$W:$W,$AK703)&amp;"")</f>
        <v/>
      </c>
      <c r="AI703" s="11" t="str">
        <f aca="false">IF($AK703=0,"",INDEX('Part types'!$X:$X,$AK703)&amp;"")</f>
        <v/>
      </c>
      <c r="AJ703" s="9" t="str">
        <f aca="false">IF($AK703=0,"",INDEX('Part types'!$Y:$Y,$AK703)&amp;"")</f>
        <v/>
      </c>
      <c r="AK703" s="9" t="n">
        <f aca="false">IFERROR(MATCH($AD703,'Part types'!$E:$E,0),0)</f>
        <v>494</v>
      </c>
    </row>
    <row r="704" customFormat="false" ht="15" hidden="false" customHeight="false" outlineLevel="0" collapsed="false">
      <c r="A704" s="9" t="s">
        <v>3049</v>
      </c>
      <c r="B704" s="9" t="s">
        <v>2963</v>
      </c>
      <c r="C704" s="9" t="s">
        <v>3050</v>
      </c>
      <c r="D704" s="9" t="str">
        <f aca="false">C704&amp;" - "&amp;E704</f>
        <v>Electric Vacuum Pump - Universal</v>
      </c>
      <c r="E704" s="9" t="s">
        <v>68</v>
      </c>
      <c r="F704" s="9" t="s">
        <v>69</v>
      </c>
      <c r="G704" s="10" t="n">
        <f aca="false">IF($AK704=0,"",INDEX('Part types'!$P:$P,$AK704))</f>
        <v>25</v>
      </c>
      <c r="H704" s="10" t="n">
        <f aca="false">IF($AK704=0,"",INDEX('Part types'!$Q:$Q,$AK704))</f>
        <v>15</v>
      </c>
      <c r="I704" s="10" t="n">
        <f aca="false">IF($AK704=0,"",INDEX('Part types'!$R:$R,$AK704))</f>
        <v>10</v>
      </c>
      <c r="J704" s="10" t="n">
        <f aca="false">IF($AK704=0,"",INDEX('Part types'!$S:$S,$AK704))</f>
        <v>0.9</v>
      </c>
      <c r="K704" s="11" t="s">
        <v>2966</v>
      </c>
      <c r="L704" s="11" t="s">
        <v>3051</v>
      </c>
      <c r="M704" s="11" t="str">
        <f aca="false">L704&amp;" - "&amp;N704</f>
        <v>مضخة تفريغ كهربائية - عام</v>
      </c>
      <c r="N704" s="11" t="s">
        <v>72</v>
      </c>
      <c r="O704" s="11" t="s">
        <v>73</v>
      </c>
      <c r="P704" s="10" t="n">
        <f aca="false">G704</f>
        <v>25</v>
      </c>
      <c r="Q704" s="10" t="n">
        <f aca="false">H704</f>
        <v>15</v>
      </c>
      <c r="R704" s="10" t="n">
        <f aca="false">I704</f>
        <v>10</v>
      </c>
      <c r="S704" s="10" t="n">
        <f aca="false">J704</f>
        <v>0.9</v>
      </c>
      <c r="T704" s="12" t="s">
        <v>2969</v>
      </c>
      <c r="U704" s="12" t="s">
        <v>3052</v>
      </c>
      <c r="V704" s="9" t="str">
        <f aca="false">U704&amp;" - "&amp;W704</f>
        <v>电动真空泵 - 通用</v>
      </c>
      <c r="W704" s="12" t="s">
        <v>76</v>
      </c>
      <c r="X704" s="12" t="s">
        <v>77</v>
      </c>
      <c r="Y704" s="10" t="n">
        <f aca="false">G704</f>
        <v>25</v>
      </c>
      <c r="Z704" s="10" t="n">
        <f aca="false">H704</f>
        <v>15</v>
      </c>
      <c r="AA704" s="10" t="n">
        <f aca="false">I704</f>
        <v>10</v>
      </c>
      <c r="AB704" s="10" t="n">
        <f aca="false">J704</f>
        <v>0.9</v>
      </c>
      <c r="AC704" s="9" t="s">
        <v>2972</v>
      </c>
      <c r="AD704" s="9" t="s">
        <v>3053</v>
      </c>
      <c r="AE704" s="9" t="str">
        <f aca="false">IF($AK704=0,"",INDEX('Part types'!$T:$T,$AK704)&amp;"")</f>
        <v>Electrified (hybrid, plug-in, range extender, EV)</v>
      </c>
      <c r="AF704" s="9" t="str">
        <f aca="false">IF($AK704=0,"",INDEX('Part types'!$U:$U,$AK704)&amp;"")</f>
        <v/>
      </c>
      <c r="AG704" s="9" t="str">
        <f aca="false">IF($AK704=0,"",INDEX('Part types'!$V:$V,$AK704)&amp;"")</f>
        <v>Estimate: size class M</v>
      </c>
      <c r="AH704" s="9" t="str">
        <f aca="false">IF($AK704=0,"",INDEX('Part types'!$W:$W,$AK704)&amp;"")</f>
        <v/>
      </c>
      <c r="AI704" s="11" t="str">
        <f aca="false">IF($AK704=0,"",INDEX('Part types'!$X:$X,$AK704)&amp;"")</f>
        <v/>
      </c>
      <c r="AJ704" s="9" t="str">
        <f aca="false">IF($AK704=0,"",INDEX('Part types'!$Y:$Y,$AK704)&amp;"")</f>
        <v/>
      </c>
      <c r="AK704" s="9" t="n">
        <f aca="false">IFERROR(MATCH($AD704,'Part types'!$E:$E,0),0)</f>
        <v>495</v>
      </c>
    </row>
    <row r="705" customFormat="false" ht="15" hidden="false" customHeight="false" outlineLevel="0" collapsed="false">
      <c r="A705" s="9" t="s">
        <v>3054</v>
      </c>
      <c r="B705" s="9" t="s">
        <v>2963</v>
      </c>
      <c r="C705" s="9" t="s">
        <v>3055</v>
      </c>
      <c r="D705" s="9" t="str">
        <f aca="false">C705&amp;" - "&amp;E705</f>
        <v>Electronic Brake Booster - Universal</v>
      </c>
      <c r="E705" s="9" t="s">
        <v>68</v>
      </c>
      <c r="F705" s="9" t="s">
        <v>831</v>
      </c>
      <c r="G705" s="10" t="n">
        <f aca="false">IF($AK705=0,"",INDEX('Part types'!$P:$P,$AK705))</f>
        <v>30</v>
      </c>
      <c r="H705" s="10" t="n">
        <f aca="false">IF($AK705=0,"",INDEX('Part types'!$Q:$Q,$AK705))</f>
        <v>30</v>
      </c>
      <c r="I705" s="10" t="n">
        <f aca="false">IF($AK705=0,"",INDEX('Part types'!$R:$R,$AK705))</f>
        <v>20</v>
      </c>
      <c r="J705" s="10" t="n">
        <f aca="false">IF($AK705=0,"",INDEX('Part types'!$S:$S,$AK705))</f>
        <v>5</v>
      </c>
      <c r="K705" s="11" t="s">
        <v>2966</v>
      </c>
      <c r="L705" s="11" t="s">
        <v>3056</v>
      </c>
      <c r="M705" s="11" t="str">
        <f aca="false">L705&amp;" - "&amp;N705</f>
        <v>مساعد فرامل إلكتروني - عام</v>
      </c>
      <c r="N705" s="11" t="s">
        <v>72</v>
      </c>
      <c r="O705" s="11" t="s">
        <v>833</v>
      </c>
      <c r="P705" s="10" t="n">
        <f aca="false">G705</f>
        <v>30</v>
      </c>
      <c r="Q705" s="10" t="n">
        <f aca="false">H705</f>
        <v>30</v>
      </c>
      <c r="R705" s="10" t="n">
        <f aca="false">I705</f>
        <v>20</v>
      </c>
      <c r="S705" s="10" t="n">
        <f aca="false">J705</f>
        <v>5</v>
      </c>
      <c r="T705" s="12" t="s">
        <v>2969</v>
      </c>
      <c r="U705" s="12" t="s">
        <v>3057</v>
      </c>
      <c r="V705" s="9" t="str">
        <f aca="false">U705&amp;" - "&amp;W705</f>
        <v>电子助力器 - 通用</v>
      </c>
      <c r="W705" s="12" t="s">
        <v>76</v>
      </c>
      <c r="X705" s="12" t="s">
        <v>835</v>
      </c>
      <c r="Y705" s="10" t="n">
        <f aca="false">G705</f>
        <v>30</v>
      </c>
      <c r="Z705" s="10" t="n">
        <f aca="false">H705</f>
        <v>30</v>
      </c>
      <c r="AA705" s="10" t="n">
        <f aca="false">I705</f>
        <v>20</v>
      </c>
      <c r="AB705" s="10" t="n">
        <f aca="false">J705</f>
        <v>5</v>
      </c>
      <c r="AC705" s="9" t="s">
        <v>2972</v>
      </c>
      <c r="AD705" s="9" t="s">
        <v>3058</v>
      </c>
      <c r="AE705" s="9" t="str">
        <f aca="false">IF($AK705=0,"",INDEX('Part types'!$T:$T,$AK705)&amp;"")</f>
        <v>Electrified (hybrid, plug-in, range extender, EV)</v>
      </c>
      <c r="AF705" s="9" t="str">
        <f aca="false">IF($AK705=0,"",INDEX('Part types'!$U:$U,$AK705)&amp;"")</f>
        <v/>
      </c>
      <c r="AG705" s="9" t="str">
        <f aca="false">IF($AK705=0,"",INDEX('Part types'!$V:$V,$AK705)&amp;"")</f>
        <v>Estimate: item-specific</v>
      </c>
      <c r="AH705" s="9" t="str">
        <f aca="false">IF($AK705=0,"",INDEX('Part types'!$W:$W,$AK705)&amp;"")</f>
        <v/>
      </c>
      <c r="AI705" s="11" t="str">
        <f aca="false">IF($AK705=0,"",INDEX('Part types'!$X:$X,$AK705)&amp;"")</f>
        <v>iBooster</v>
      </c>
      <c r="AJ705" s="9" t="str">
        <f aca="false">IF($AK705=0,"",INDEX('Part types'!$Y:$Y,$AK705)&amp;"")</f>
        <v>iBooster</v>
      </c>
      <c r="AK705" s="9" t="n">
        <f aca="false">IFERROR(MATCH($AD705,'Part types'!$E:$E,0),0)</f>
        <v>496</v>
      </c>
    </row>
    <row r="706" customFormat="false" ht="15" hidden="false" customHeight="false" outlineLevel="0" collapsed="false">
      <c r="A706" s="9" t="s">
        <v>3059</v>
      </c>
      <c r="B706" s="9" t="s">
        <v>2963</v>
      </c>
      <c r="C706" s="9" t="s">
        <v>3060</v>
      </c>
      <c r="D706" s="9" t="str">
        <f aca="false">C706&amp;" - "&amp;E706</f>
        <v>Heat Pump Unit - Universal</v>
      </c>
      <c r="E706" s="9" t="s">
        <v>68</v>
      </c>
      <c r="F706" s="9" t="s">
        <v>893</v>
      </c>
      <c r="G706" s="10" t="n">
        <f aca="false">IF($AK706=0,"",INDEX('Part types'!$P:$P,$AK706))</f>
        <v>40</v>
      </c>
      <c r="H706" s="10" t="n">
        <f aca="false">IF($AK706=0,"",INDEX('Part types'!$Q:$Q,$AK706))</f>
        <v>30</v>
      </c>
      <c r="I706" s="10" t="n">
        <f aca="false">IF($AK706=0,"",INDEX('Part types'!$R:$R,$AK706))</f>
        <v>25</v>
      </c>
      <c r="J706" s="10" t="n">
        <f aca="false">IF($AK706=0,"",INDEX('Part types'!$S:$S,$AK706))</f>
        <v>10</v>
      </c>
      <c r="K706" s="11" t="s">
        <v>2966</v>
      </c>
      <c r="L706" s="11" t="s">
        <v>3061</v>
      </c>
      <c r="M706" s="11" t="str">
        <f aca="false">L706&amp;" - "&amp;N706</f>
        <v>وحدة مضخة حرارية - عام</v>
      </c>
      <c r="N706" s="11" t="s">
        <v>72</v>
      </c>
      <c r="O706" s="11" t="s">
        <v>895</v>
      </c>
      <c r="P706" s="10" t="n">
        <f aca="false">G706</f>
        <v>40</v>
      </c>
      <c r="Q706" s="10" t="n">
        <f aca="false">H706</f>
        <v>30</v>
      </c>
      <c r="R706" s="10" t="n">
        <f aca="false">I706</f>
        <v>25</v>
      </c>
      <c r="S706" s="10" t="n">
        <f aca="false">J706</f>
        <v>10</v>
      </c>
      <c r="T706" s="12" t="s">
        <v>2969</v>
      </c>
      <c r="U706" s="12" t="s">
        <v>3062</v>
      </c>
      <c r="V706" s="9" t="str">
        <f aca="false">U706&amp;" - "&amp;W706</f>
        <v>热泵总成 - 通用</v>
      </c>
      <c r="W706" s="12" t="s">
        <v>76</v>
      </c>
      <c r="X706" s="12" t="s">
        <v>897</v>
      </c>
      <c r="Y706" s="10" t="n">
        <f aca="false">G706</f>
        <v>40</v>
      </c>
      <c r="Z706" s="10" t="n">
        <f aca="false">H706</f>
        <v>30</v>
      </c>
      <c r="AA706" s="10" t="n">
        <f aca="false">I706</f>
        <v>25</v>
      </c>
      <c r="AB706" s="10" t="n">
        <f aca="false">J706</f>
        <v>10</v>
      </c>
      <c r="AC706" s="9" t="s">
        <v>2972</v>
      </c>
      <c r="AD706" s="9" t="s">
        <v>3063</v>
      </c>
      <c r="AE706" s="9" t="str">
        <f aca="false">IF($AK706=0,"",INDEX('Part types'!$T:$T,$AK706)&amp;"")</f>
        <v>Electrified (hybrid, plug-in, range extender, EV)</v>
      </c>
      <c r="AF706" s="9" t="str">
        <f aca="false">IF($AK706=0,"",INDEX('Part types'!$U:$U,$AK706)&amp;"")</f>
        <v/>
      </c>
      <c r="AG706" s="9" t="str">
        <f aca="false">IF($AK706=0,"",INDEX('Part types'!$V:$V,$AK706)&amp;"")</f>
        <v>Estimate: item-specific</v>
      </c>
      <c r="AH706" s="9" t="str">
        <f aca="false">IF($AK706=0,"",INDEX('Part types'!$W:$W,$AK706)&amp;"")</f>
        <v/>
      </c>
      <c r="AI706" s="11" t="str">
        <f aca="false">IF($AK706=0,"",INDEX('Part types'!$X:$X,$AK706)&amp;"")</f>
        <v/>
      </c>
      <c r="AJ706" s="9" t="str">
        <f aca="false">IF($AK706=0,"",INDEX('Part types'!$Y:$Y,$AK706)&amp;"")</f>
        <v/>
      </c>
      <c r="AK706" s="9" t="n">
        <f aca="false">IFERROR(MATCH($AD706,'Part types'!$E:$E,0),0)</f>
        <v>497</v>
      </c>
    </row>
    <row r="707" customFormat="false" ht="15" hidden="false" customHeight="false" outlineLevel="0" collapsed="false">
      <c r="A707" s="9" t="s">
        <v>3064</v>
      </c>
      <c r="B707" s="9" t="s">
        <v>3065</v>
      </c>
      <c r="C707" s="9" t="s">
        <v>3066</v>
      </c>
      <c r="D707" s="9" t="str">
        <f aca="false">C707&amp;" - "&amp;E707</f>
        <v>Range Extender Engine - Universal</v>
      </c>
      <c r="E707" s="9" t="s">
        <v>68</v>
      </c>
      <c r="F707" s="9" t="s">
        <v>3067</v>
      </c>
      <c r="G707" s="10" t="n">
        <f aca="false">IF($AK707=0,"",INDEX('Part types'!$P:$P,$AK707))</f>
        <v>70</v>
      </c>
      <c r="H707" s="10" t="n">
        <f aca="false">IF($AK707=0,"",INDEX('Part types'!$Q:$Q,$AK707))</f>
        <v>50</v>
      </c>
      <c r="I707" s="10" t="n">
        <f aca="false">IF($AK707=0,"",INDEX('Part types'!$R:$R,$AK707))</f>
        <v>50</v>
      </c>
      <c r="J707" s="10" t="n">
        <f aca="false">IF($AK707=0,"",INDEX('Part types'!$S:$S,$AK707))</f>
        <v>70</v>
      </c>
      <c r="K707" s="11" t="s">
        <v>3068</v>
      </c>
      <c r="L707" s="11" t="s">
        <v>3069</v>
      </c>
      <c r="M707" s="11" t="str">
        <f aca="false">L707&amp;" - "&amp;N707</f>
        <v>محرك مولد المدى - عام</v>
      </c>
      <c r="N707" s="11" t="s">
        <v>72</v>
      </c>
      <c r="O707" s="11" t="s">
        <v>3070</v>
      </c>
      <c r="P707" s="10" t="n">
        <f aca="false">G707</f>
        <v>70</v>
      </c>
      <c r="Q707" s="10" t="n">
        <f aca="false">H707</f>
        <v>50</v>
      </c>
      <c r="R707" s="10" t="n">
        <f aca="false">I707</f>
        <v>50</v>
      </c>
      <c r="S707" s="10" t="n">
        <f aca="false">J707</f>
        <v>70</v>
      </c>
      <c r="T707" s="12" t="s">
        <v>3071</v>
      </c>
      <c r="U707" s="12" t="s">
        <v>3072</v>
      </c>
      <c r="V707" s="9" t="str">
        <f aca="false">U707&amp;" - "&amp;W707</f>
        <v>增程器发动机 - 通用</v>
      </c>
      <c r="W707" s="12" t="s">
        <v>76</v>
      </c>
      <c r="X707" s="12" t="s">
        <v>3073</v>
      </c>
      <c r="Y707" s="10" t="n">
        <f aca="false">G707</f>
        <v>70</v>
      </c>
      <c r="Z707" s="10" t="n">
        <f aca="false">H707</f>
        <v>50</v>
      </c>
      <c r="AA707" s="10" t="n">
        <f aca="false">I707</f>
        <v>50</v>
      </c>
      <c r="AB707" s="10" t="n">
        <f aca="false">J707</f>
        <v>70</v>
      </c>
      <c r="AC707" s="9" t="s">
        <v>3074</v>
      </c>
      <c r="AD707" s="9" t="s">
        <v>3075</v>
      </c>
      <c r="AE707" s="9" t="str">
        <f aca="false">IF($AK707=0,"",INDEX('Part types'!$T:$T,$AK707)&amp;"")</f>
        <v>Electrified (hybrid, plug-in, range extender, EV)</v>
      </c>
      <c r="AF707" s="9" t="str">
        <f aca="false">IF($AK707=0,"",INDEX('Part types'!$U:$U,$AK707)&amp;"")</f>
        <v>Heavy (over 30 kg)</v>
      </c>
      <c r="AG707" s="9" t="str">
        <f aca="false">IF($AK707=0,"",INDEX('Part types'!$V:$V,$AK707)&amp;"")</f>
        <v>Estimate: item-specific</v>
      </c>
      <c r="AH707" s="9" t="str">
        <f aca="false">IF($AK707=0,"",INDEX('Part types'!$W:$W,$AK707)&amp;"")</f>
        <v/>
      </c>
      <c r="AI707" s="11" t="str">
        <f aca="false">IF($AK707=0,"",INDEX('Part types'!$X:$X,$AK707)&amp;"")</f>
        <v/>
      </c>
      <c r="AJ707" s="9" t="str">
        <f aca="false">IF($AK707=0,"",INDEX('Part types'!$Y:$Y,$AK707)&amp;"")</f>
        <v/>
      </c>
      <c r="AK707" s="9" t="n">
        <f aca="false">IFERROR(MATCH($AD707,'Part types'!$E:$E,0),0)</f>
        <v>498</v>
      </c>
    </row>
    <row r="708" customFormat="false" ht="15" hidden="false" customHeight="false" outlineLevel="0" collapsed="false">
      <c r="A708" s="9" t="s">
        <v>3076</v>
      </c>
      <c r="B708" s="9" t="s">
        <v>3065</v>
      </c>
      <c r="C708" s="9" t="s">
        <v>3077</v>
      </c>
      <c r="D708" s="9" t="str">
        <f aca="false">C708&amp;" - "&amp;E708</f>
        <v>Range Extender Generator - Universal</v>
      </c>
      <c r="E708" s="9" t="s">
        <v>68</v>
      </c>
      <c r="F708" s="9" t="s">
        <v>3067</v>
      </c>
      <c r="G708" s="10" t="n">
        <f aca="false">IF($AK708=0,"",INDEX('Part types'!$P:$P,$AK708))</f>
        <v>40</v>
      </c>
      <c r="H708" s="10" t="n">
        <f aca="false">IF($AK708=0,"",INDEX('Part types'!$Q:$Q,$AK708))</f>
        <v>35</v>
      </c>
      <c r="I708" s="10" t="n">
        <f aca="false">IF($AK708=0,"",INDEX('Part types'!$R:$R,$AK708))</f>
        <v>35</v>
      </c>
      <c r="J708" s="10" t="n">
        <f aca="false">IF($AK708=0,"",INDEX('Part types'!$S:$S,$AK708))</f>
        <v>35</v>
      </c>
      <c r="K708" s="11" t="s">
        <v>3068</v>
      </c>
      <c r="L708" s="11" t="s">
        <v>3070</v>
      </c>
      <c r="M708" s="11" t="str">
        <f aca="false">L708&amp;" - "&amp;N708</f>
        <v>مولد مدى الشحن - عام</v>
      </c>
      <c r="N708" s="11" t="s">
        <v>72</v>
      </c>
      <c r="O708" s="11" t="s">
        <v>3070</v>
      </c>
      <c r="P708" s="10" t="n">
        <f aca="false">G708</f>
        <v>40</v>
      </c>
      <c r="Q708" s="10" t="n">
        <f aca="false">H708</f>
        <v>35</v>
      </c>
      <c r="R708" s="10" t="n">
        <f aca="false">I708</f>
        <v>35</v>
      </c>
      <c r="S708" s="10" t="n">
        <f aca="false">J708</f>
        <v>35</v>
      </c>
      <c r="T708" s="12" t="s">
        <v>3071</v>
      </c>
      <c r="U708" s="12" t="s">
        <v>3078</v>
      </c>
      <c r="V708" s="9" t="str">
        <f aca="false">U708&amp;" - "&amp;W708</f>
        <v>增程器发电机 - 通用</v>
      </c>
      <c r="W708" s="12" t="s">
        <v>76</v>
      </c>
      <c r="X708" s="12" t="s">
        <v>3073</v>
      </c>
      <c r="Y708" s="10" t="n">
        <f aca="false">G708</f>
        <v>40</v>
      </c>
      <c r="Z708" s="10" t="n">
        <f aca="false">H708</f>
        <v>35</v>
      </c>
      <c r="AA708" s="10" t="n">
        <f aca="false">I708</f>
        <v>35</v>
      </c>
      <c r="AB708" s="10" t="n">
        <f aca="false">J708</f>
        <v>35</v>
      </c>
      <c r="AC708" s="9" t="s">
        <v>3074</v>
      </c>
      <c r="AD708" s="9" t="s">
        <v>3079</v>
      </c>
      <c r="AE708" s="9" t="str">
        <f aca="false">IF($AK708=0,"",INDEX('Part types'!$T:$T,$AK708)&amp;"")</f>
        <v>Electrified (hybrid, plug-in, range extender, EV)</v>
      </c>
      <c r="AF708" s="9" t="str">
        <f aca="false">IF($AK708=0,"",INDEX('Part types'!$U:$U,$AK708)&amp;"")</f>
        <v>Heavy (over 30 kg)</v>
      </c>
      <c r="AG708" s="9" t="str">
        <f aca="false">IF($AK708=0,"",INDEX('Part types'!$V:$V,$AK708)&amp;"")</f>
        <v>Estimate: item-specific</v>
      </c>
      <c r="AH708" s="9" t="str">
        <f aca="false">IF($AK708=0,"",INDEX('Part types'!$W:$W,$AK708)&amp;"")</f>
        <v/>
      </c>
      <c r="AI708" s="11" t="str">
        <f aca="false">IF($AK708=0,"",INDEX('Part types'!$X:$X,$AK708)&amp;"")</f>
        <v>جنراتور</v>
      </c>
      <c r="AJ708" s="9" t="str">
        <f aca="false">IF($AK708=0,"",INDEX('Part types'!$Y:$Y,$AK708)&amp;"")</f>
        <v/>
      </c>
      <c r="AK708" s="9" t="n">
        <f aca="false">IFERROR(MATCH($AD708,'Part types'!$E:$E,0),0)</f>
        <v>499</v>
      </c>
    </row>
    <row r="709" customFormat="false" ht="15" hidden="false" customHeight="false" outlineLevel="0" collapsed="false">
      <c r="A709" s="9" t="s">
        <v>3080</v>
      </c>
      <c r="B709" s="9" t="s">
        <v>3065</v>
      </c>
      <c r="C709" s="9" t="s">
        <v>3081</v>
      </c>
      <c r="D709" s="9" t="str">
        <f aca="false">C709&amp;" - "&amp;E709</f>
        <v>Range Extender Mount - Universal</v>
      </c>
      <c r="E709" s="9" t="s">
        <v>68</v>
      </c>
      <c r="F709" s="9" t="s">
        <v>3067</v>
      </c>
      <c r="G709" s="10" t="n">
        <f aca="false">IF($AK709=0,"",INDEX('Part types'!$P:$P,$AK709))</f>
        <v>30</v>
      </c>
      <c r="H709" s="10" t="n">
        <f aca="false">IF($AK709=0,"",INDEX('Part types'!$Q:$Q,$AK709))</f>
        <v>20</v>
      </c>
      <c r="I709" s="10" t="n">
        <f aca="false">IF($AK709=0,"",INDEX('Part types'!$R:$R,$AK709))</f>
        <v>15</v>
      </c>
      <c r="J709" s="10" t="n">
        <f aca="false">IF($AK709=0,"",INDEX('Part types'!$S:$S,$AK709))</f>
        <v>1.8</v>
      </c>
      <c r="K709" s="11" t="s">
        <v>3068</v>
      </c>
      <c r="L709" s="11" t="s">
        <v>3082</v>
      </c>
      <c r="M709" s="11" t="str">
        <f aca="false">L709&amp;" - "&amp;N709</f>
        <v>قاعدة مولد المدى - عام</v>
      </c>
      <c r="N709" s="11" t="s">
        <v>72</v>
      </c>
      <c r="O709" s="11" t="s">
        <v>3070</v>
      </c>
      <c r="P709" s="10" t="n">
        <f aca="false">G709</f>
        <v>30</v>
      </c>
      <c r="Q709" s="10" t="n">
        <f aca="false">H709</f>
        <v>20</v>
      </c>
      <c r="R709" s="10" t="n">
        <f aca="false">I709</f>
        <v>15</v>
      </c>
      <c r="S709" s="10" t="n">
        <f aca="false">J709</f>
        <v>1.8</v>
      </c>
      <c r="T709" s="12" t="s">
        <v>3071</v>
      </c>
      <c r="U709" s="12" t="s">
        <v>3083</v>
      </c>
      <c r="V709" s="9" t="str">
        <f aca="false">U709&amp;" - "&amp;W709</f>
        <v>增程器悬置 - 通用</v>
      </c>
      <c r="W709" s="12" t="s">
        <v>76</v>
      </c>
      <c r="X709" s="12" t="s">
        <v>3073</v>
      </c>
      <c r="Y709" s="10" t="n">
        <f aca="false">G709</f>
        <v>30</v>
      </c>
      <c r="Z709" s="10" t="n">
        <f aca="false">H709</f>
        <v>20</v>
      </c>
      <c r="AA709" s="10" t="n">
        <f aca="false">I709</f>
        <v>15</v>
      </c>
      <c r="AB709" s="10" t="n">
        <f aca="false">J709</f>
        <v>1.8</v>
      </c>
      <c r="AC709" s="9" t="s">
        <v>3074</v>
      </c>
      <c r="AD709" s="9" t="s">
        <v>3084</v>
      </c>
      <c r="AE709" s="9" t="str">
        <f aca="false">IF($AK709=0,"",INDEX('Part types'!$T:$T,$AK709)&amp;"")</f>
        <v>Electrified (hybrid, plug-in, range extender, EV)</v>
      </c>
      <c r="AF709" s="9" t="str">
        <f aca="false">IF($AK709=0,"",INDEX('Part types'!$U:$U,$AK709)&amp;"")</f>
        <v/>
      </c>
      <c r="AG709" s="9" t="str">
        <f aca="false">IF($AK709=0,"",INDEX('Part types'!$V:$V,$AK709)&amp;"")</f>
        <v>Estimate: size class M2</v>
      </c>
      <c r="AH709" s="9" t="str">
        <f aca="false">IF($AK709=0,"",INDEX('Part types'!$W:$W,$AK709)&amp;"")</f>
        <v/>
      </c>
      <c r="AI709" s="11" t="str">
        <f aca="false">IF($AK709=0,"",INDEX('Part types'!$X:$X,$AK709)&amp;"")</f>
        <v/>
      </c>
      <c r="AJ709" s="9" t="str">
        <f aca="false">IF($AK709=0,"",INDEX('Part types'!$Y:$Y,$AK709)&amp;"")</f>
        <v/>
      </c>
      <c r="AK709" s="9" t="n">
        <f aca="false">IFERROR(MATCH($AD709,'Part types'!$E:$E,0),0)</f>
        <v>500</v>
      </c>
    </row>
    <row r="710" customFormat="false" ht="15" hidden="false" customHeight="false" outlineLevel="0" collapsed="false">
      <c r="A710" s="9" t="s">
        <v>3085</v>
      </c>
      <c r="B710" s="9" t="s">
        <v>3065</v>
      </c>
      <c r="C710" s="9" t="s">
        <v>3086</v>
      </c>
      <c r="D710" s="9" t="str">
        <f aca="false">C710&amp;" - "&amp;E710</f>
        <v>Hybrid Transmission - Universal</v>
      </c>
      <c r="E710" s="9" t="s">
        <v>68</v>
      </c>
      <c r="F710" s="9" t="s">
        <v>926</v>
      </c>
      <c r="G710" s="10" t="n">
        <f aca="false">IF($AK710=0,"",INDEX('Part types'!$P:$P,$AK710))</f>
        <v>60</v>
      </c>
      <c r="H710" s="10" t="n">
        <f aca="false">IF($AK710=0,"",INDEX('Part types'!$Q:$Q,$AK710))</f>
        <v>45</v>
      </c>
      <c r="I710" s="10" t="n">
        <f aca="false">IF($AK710=0,"",INDEX('Part types'!$R:$R,$AK710))</f>
        <v>45</v>
      </c>
      <c r="J710" s="10" t="n">
        <f aca="false">IF($AK710=0,"",INDEX('Part types'!$S:$S,$AK710))</f>
        <v>60</v>
      </c>
      <c r="K710" s="11" t="s">
        <v>3068</v>
      </c>
      <c r="L710" s="11" t="s">
        <v>3087</v>
      </c>
      <c r="M710" s="11" t="str">
        <f aca="false">L710&amp;" - "&amp;N710</f>
        <v>ناقل حركة هجين - عام</v>
      </c>
      <c r="N710" s="11" t="s">
        <v>72</v>
      </c>
      <c r="O710" s="11" t="s">
        <v>928</v>
      </c>
      <c r="P710" s="10" t="n">
        <f aca="false">G710</f>
        <v>60</v>
      </c>
      <c r="Q710" s="10" t="n">
        <f aca="false">H710</f>
        <v>45</v>
      </c>
      <c r="R710" s="10" t="n">
        <f aca="false">I710</f>
        <v>45</v>
      </c>
      <c r="S710" s="10" t="n">
        <f aca="false">J710</f>
        <v>60</v>
      </c>
      <c r="T710" s="12" t="s">
        <v>3071</v>
      </c>
      <c r="U710" s="12" t="s">
        <v>3088</v>
      </c>
      <c r="V710" s="9" t="str">
        <f aca="false">U710&amp;" - "&amp;W710</f>
        <v>混动变速箱 - 通用</v>
      </c>
      <c r="W710" s="12" t="s">
        <v>76</v>
      </c>
      <c r="X710" s="12" t="s">
        <v>930</v>
      </c>
      <c r="Y710" s="10" t="n">
        <f aca="false">G710</f>
        <v>60</v>
      </c>
      <c r="Z710" s="10" t="n">
        <f aca="false">H710</f>
        <v>45</v>
      </c>
      <c r="AA710" s="10" t="n">
        <f aca="false">I710</f>
        <v>45</v>
      </c>
      <c r="AB710" s="10" t="n">
        <f aca="false">J710</f>
        <v>60</v>
      </c>
      <c r="AC710" s="9" t="s">
        <v>3074</v>
      </c>
      <c r="AD710" s="9" t="s">
        <v>3089</v>
      </c>
      <c r="AE710" s="9" t="str">
        <f aca="false">IF($AK710=0,"",INDEX('Part types'!$T:$T,$AK710)&amp;"")</f>
        <v>Electrified (hybrid, plug-in, range extender, EV)</v>
      </c>
      <c r="AF710" s="9" t="str">
        <f aca="false">IF($AK710=0,"",INDEX('Part types'!$U:$U,$AK710)&amp;"")</f>
        <v>Heavy (over 30 kg)</v>
      </c>
      <c r="AG710" s="9" t="str">
        <f aca="false">IF($AK710=0,"",INDEX('Part types'!$V:$V,$AK710)&amp;"")</f>
        <v>Estimate: item-specific</v>
      </c>
      <c r="AH710" s="9" t="str">
        <f aca="false">IF($AK710=0,"",INDEX('Part types'!$W:$W,$AK710)&amp;"")</f>
        <v>e-CVT</v>
      </c>
      <c r="AI710" s="11" t="str">
        <f aca="false">IF($AK710=0,"",INDEX('Part types'!$X:$X,$AK710)&amp;"")</f>
        <v>e-CVT</v>
      </c>
      <c r="AJ710" s="9" t="str">
        <f aca="false">IF($AK710=0,"",INDEX('Part types'!$Y:$Y,$AK710)&amp;"")</f>
        <v>e-CVT</v>
      </c>
      <c r="AK710" s="9" t="n">
        <f aca="false">IFERROR(MATCH($AD710,'Part types'!$E:$E,0),0)</f>
        <v>501</v>
      </c>
    </row>
    <row r="711" customFormat="false" ht="15" hidden="false" customHeight="false" outlineLevel="0" collapsed="false">
      <c r="A711" s="9" t="s">
        <v>3090</v>
      </c>
      <c r="B711" s="9" t="s">
        <v>3065</v>
      </c>
      <c r="C711" s="9" t="s">
        <v>3091</v>
      </c>
      <c r="D711" s="9" t="str">
        <f aca="false">C711&amp;" - "&amp;E711</f>
        <v>Starter Generator - Universal</v>
      </c>
      <c r="E711" s="9" t="s">
        <v>68</v>
      </c>
      <c r="F711" s="9" t="s">
        <v>266</v>
      </c>
      <c r="G711" s="10" t="n">
        <f aca="false">IF($AK711=0,"",INDEX('Part types'!$P:$P,$AK711))</f>
        <v>30</v>
      </c>
      <c r="H711" s="10" t="n">
        <f aca="false">IF($AK711=0,"",INDEX('Part types'!$Q:$Q,$AK711))</f>
        <v>20</v>
      </c>
      <c r="I711" s="10" t="n">
        <f aca="false">IF($AK711=0,"",INDEX('Part types'!$R:$R,$AK711))</f>
        <v>15</v>
      </c>
      <c r="J711" s="10" t="n">
        <f aca="false">IF($AK711=0,"",INDEX('Part types'!$S:$S,$AK711))</f>
        <v>1.8</v>
      </c>
      <c r="K711" s="11" t="s">
        <v>3068</v>
      </c>
      <c r="L711" s="11" t="s">
        <v>3092</v>
      </c>
      <c r="M711" s="11" t="str">
        <f aca="false">L711&amp;" - "&amp;N711</f>
        <v>مولد ومارش مدمج - عام</v>
      </c>
      <c r="N711" s="11" t="s">
        <v>72</v>
      </c>
      <c r="O711" s="11" t="s">
        <v>269</v>
      </c>
      <c r="P711" s="10" t="n">
        <f aca="false">G711</f>
        <v>30</v>
      </c>
      <c r="Q711" s="10" t="n">
        <f aca="false">H711</f>
        <v>20</v>
      </c>
      <c r="R711" s="10" t="n">
        <f aca="false">I711</f>
        <v>15</v>
      </c>
      <c r="S711" s="10" t="n">
        <f aca="false">J711</f>
        <v>1.8</v>
      </c>
      <c r="T711" s="12" t="s">
        <v>3071</v>
      </c>
      <c r="U711" s="12" t="s">
        <v>3093</v>
      </c>
      <c r="V711" s="9" t="str">
        <f aca="false">U711&amp;" - "&amp;W711</f>
        <v>启动发电一体机 - 通用</v>
      </c>
      <c r="W711" s="12" t="s">
        <v>76</v>
      </c>
      <c r="X711" s="12" t="s">
        <v>272</v>
      </c>
      <c r="Y711" s="10" t="n">
        <f aca="false">G711</f>
        <v>30</v>
      </c>
      <c r="Z711" s="10" t="n">
        <f aca="false">H711</f>
        <v>20</v>
      </c>
      <c r="AA711" s="10" t="n">
        <f aca="false">I711</f>
        <v>15</v>
      </c>
      <c r="AB711" s="10" t="n">
        <f aca="false">J711</f>
        <v>1.8</v>
      </c>
      <c r="AC711" s="9" t="s">
        <v>3074</v>
      </c>
      <c r="AD711" s="9" t="s">
        <v>3094</v>
      </c>
      <c r="AE711" s="9" t="str">
        <f aca="false">IF($AK711=0,"",INDEX('Part types'!$T:$T,$AK711)&amp;"")</f>
        <v>Electrified (hybrid, plug-in, range extender, EV)</v>
      </c>
      <c r="AF711" s="9" t="str">
        <f aca="false">IF($AK711=0,"",INDEX('Part types'!$U:$U,$AK711)&amp;"")</f>
        <v/>
      </c>
      <c r="AG711" s="9" t="str">
        <f aca="false">IF($AK711=0,"",INDEX('Part types'!$V:$V,$AK711)&amp;"")</f>
        <v>Estimate: size class M2</v>
      </c>
      <c r="AH711" s="9" t="str">
        <f aca="false">IF($AK711=0,"",INDEX('Part types'!$W:$W,$AK711)&amp;"")</f>
        <v>BSG / ISG</v>
      </c>
      <c r="AI711" s="11" t="str">
        <f aca="false">IF($AK711=0,"",INDEX('Part types'!$X:$X,$AK711)&amp;"")</f>
        <v>BSG / ISG</v>
      </c>
      <c r="AJ711" s="9" t="str">
        <f aca="false">IF($AK711=0,"",INDEX('Part types'!$Y:$Y,$AK711)&amp;"")</f>
        <v>BSG/ISG</v>
      </c>
      <c r="AK711" s="9" t="n">
        <f aca="false">IFERROR(MATCH($AD711,'Part types'!$E:$E,0),0)</f>
        <v>502</v>
      </c>
    </row>
    <row r="712" customFormat="false" ht="15" hidden="false" customHeight="false" outlineLevel="0" collapsed="false">
      <c r="A712" s="9" t="s">
        <v>3095</v>
      </c>
      <c r="B712" s="9" t="s">
        <v>3065</v>
      </c>
      <c r="C712" s="9" t="s">
        <v>3096</v>
      </c>
      <c r="D712" s="9" t="str">
        <f aca="false">C712&amp;" - "&amp;E712</f>
        <v>Mild Hybrid Battery - Universal</v>
      </c>
      <c r="E712" s="9" t="s">
        <v>68</v>
      </c>
      <c r="F712" s="9" t="s">
        <v>2140</v>
      </c>
      <c r="G712" s="10" t="n">
        <f aca="false">IF($AK712=0,"",INDEX('Part types'!$P:$P,$AK712))</f>
        <v>35</v>
      </c>
      <c r="H712" s="10" t="n">
        <f aca="false">IF($AK712=0,"",INDEX('Part types'!$Q:$Q,$AK712))</f>
        <v>25</v>
      </c>
      <c r="I712" s="10" t="n">
        <f aca="false">IF($AK712=0,"",INDEX('Part types'!$R:$R,$AK712))</f>
        <v>15</v>
      </c>
      <c r="J712" s="10" t="n">
        <f aca="false">IF($AK712=0,"",INDEX('Part types'!$S:$S,$AK712))</f>
        <v>12</v>
      </c>
      <c r="K712" s="11" t="s">
        <v>3068</v>
      </c>
      <c r="L712" s="11" t="s">
        <v>3097</v>
      </c>
      <c r="M712" s="11" t="str">
        <f aca="false">L712&amp;" - "&amp;N712</f>
        <v>بطارية هجين خفيف 48 فولت - عام</v>
      </c>
      <c r="N712" s="11" t="s">
        <v>72</v>
      </c>
      <c r="O712" s="11" t="s">
        <v>2143</v>
      </c>
      <c r="P712" s="10" t="n">
        <f aca="false">G712</f>
        <v>35</v>
      </c>
      <c r="Q712" s="10" t="n">
        <f aca="false">H712</f>
        <v>25</v>
      </c>
      <c r="R712" s="10" t="n">
        <f aca="false">I712</f>
        <v>15</v>
      </c>
      <c r="S712" s="10" t="n">
        <f aca="false">J712</f>
        <v>12</v>
      </c>
      <c r="T712" s="12" t="s">
        <v>3071</v>
      </c>
      <c r="U712" s="9" t="s">
        <v>3098</v>
      </c>
      <c r="V712" s="9" t="str">
        <f aca="false">U712&amp;" - "&amp;W712</f>
        <v>48V轻混电池 - 通用</v>
      </c>
      <c r="W712" s="12" t="s">
        <v>76</v>
      </c>
      <c r="X712" s="12" t="s">
        <v>2146</v>
      </c>
      <c r="Y712" s="10" t="n">
        <f aca="false">G712</f>
        <v>35</v>
      </c>
      <c r="Z712" s="10" t="n">
        <f aca="false">H712</f>
        <v>25</v>
      </c>
      <c r="AA712" s="10" t="n">
        <f aca="false">I712</f>
        <v>15</v>
      </c>
      <c r="AB712" s="10" t="n">
        <f aca="false">J712</f>
        <v>12</v>
      </c>
      <c r="AC712" s="9" t="s">
        <v>3074</v>
      </c>
      <c r="AD712" s="9" t="s">
        <v>3099</v>
      </c>
      <c r="AE712" s="9" t="str">
        <f aca="false">IF($AK712=0,"",INDEX('Part types'!$T:$T,$AK712)&amp;"")</f>
        <v>Electrified (hybrid, plug-in, range extender, EV)</v>
      </c>
      <c r="AF712" s="9" t="str">
        <f aca="false">IF($AK712=0,"",INDEX('Part types'!$U:$U,$AK712)&amp;"")</f>
        <v>Battery (restricted)</v>
      </c>
      <c r="AG712" s="9" t="str">
        <f aca="false">IF($AK712=0,"",INDEX('Part types'!$V:$V,$AK712)&amp;"")</f>
        <v>Estimate: item-specific</v>
      </c>
      <c r="AH712" s="9" t="str">
        <f aca="false">IF($AK712=0,"",INDEX('Part types'!$W:$W,$AK712)&amp;"")</f>
        <v>Mild Hybrid Battery 48 V</v>
      </c>
      <c r="AI712" s="11" t="str">
        <f aca="false">IF($AK712=0,"",INDEX('Part types'!$X:$X,$AK712)&amp;"")</f>
        <v/>
      </c>
      <c r="AJ712" s="9" t="str">
        <f aca="false">IF($AK712=0,"",INDEX('Part types'!$Y:$Y,$AK712)&amp;"")</f>
        <v/>
      </c>
      <c r="AK712" s="9" t="n">
        <f aca="false">IFERROR(MATCH($AD712,'Part types'!$E:$E,0),0)</f>
        <v>503</v>
      </c>
    </row>
    <row r="713" customFormat="false" ht="15" hidden="false" customHeight="false" outlineLevel="0" collapsed="false">
      <c r="A713" s="9" t="s">
        <v>3100</v>
      </c>
      <c r="B713" s="9" t="s">
        <v>3101</v>
      </c>
      <c r="C713" s="9" t="s">
        <v>3102</v>
      </c>
      <c r="D713" s="9" t="str">
        <f aca="false">C713&amp;" - "&amp;E713</f>
        <v>A/C Compressor - Universal</v>
      </c>
      <c r="E713" s="9" t="s">
        <v>68</v>
      </c>
      <c r="F713" s="9" t="s">
        <v>266</v>
      </c>
      <c r="G713" s="10" t="n">
        <f aca="false">IF($AK713=0,"",INDEX('Part types'!$P:$P,$AK713))</f>
        <v>30</v>
      </c>
      <c r="H713" s="10" t="n">
        <f aca="false">IF($AK713=0,"",INDEX('Part types'!$Q:$Q,$AK713))</f>
        <v>20</v>
      </c>
      <c r="I713" s="10" t="n">
        <f aca="false">IF($AK713=0,"",INDEX('Part types'!$R:$R,$AK713))</f>
        <v>20</v>
      </c>
      <c r="J713" s="10" t="n">
        <f aca="false">IF($AK713=0,"",INDEX('Part types'!$S:$S,$AK713))</f>
        <v>6</v>
      </c>
      <c r="K713" s="11" t="s">
        <v>3103</v>
      </c>
      <c r="L713" s="11" t="s">
        <v>3104</v>
      </c>
      <c r="M713" s="11" t="str">
        <f aca="false">L713&amp;" - "&amp;N713</f>
        <v>كمبروسر التكييف - عام</v>
      </c>
      <c r="N713" s="11" t="s">
        <v>72</v>
      </c>
      <c r="O713" s="11" t="s">
        <v>269</v>
      </c>
      <c r="P713" s="10" t="n">
        <f aca="false">G713</f>
        <v>30</v>
      </c>
      <c r="Q713" s="10" t="n">
        <f aca="false">H713</f>
        <v>20</v>
      </c>
      <c r="R713" s="10" t="n">
        <f aca="false">I713</f>
        <v>20</v>
      </c>
      <c r="S713" s="10" t="n">
        <f aca="false">J713</f>
        <v>6</v>
      </c>
      <c r="T713" s="12" t="s">
        <v>3105</v>
      </c>
      <c r="U713" s="12" t="s">
        <v>3106</v>
      </c>
      <c r="V713" s="9" t="str">
        <f aca="false">U713&amp;" - "&amp;W713</f>
        <v>空调压缩机 - 通用</v>
      </c>
      <c r="W713" s="12" t="s">
        <v>76</v>
      </c>
      <c r="X713" s="12" t="s">
        <v>272</v>
      </c>
      <c r="Y713" s="10" t="n">
        <f aca="false">G713</f>
        <v>30</v>
      </c>
      <c r="Z713" s="10" t="n">
        <f aca="false">H713</f>
        <v>20</v>
      </c>
      <c r="AA713" s="10" t="n">
        <f aca="false">I713</f>
        <v>20</v>
      </c>
      <c r="AB713" s="10" t="n">
        <f aca="false">J713</f>
        <v>6</v>
      </c>
      <c r="AC713" s="9" t="s">
        <v>3107</v>
      </c>
      <c r="AD713" s="9" t="s">
        <v>3108</v>
      </c>
      <c r="AE713" s="9" t="str">
        <f aca="false">IF($AK713=0,"",INDEX('Part types'!$T:$T,$AK713)&amp;"")</f>
        <v>Combustion engine (petrol, diesel, hybrid, range extender)</v>
      </c>
      <c r="AF713" s="9" t="str">
        <f aca="false">IF($AK713=0,"",INDEX('Part types'!$U:$U,$AK713)&amp;"")</f>
        <v/>
      </c>
      <c r="AG713" s="9" t="str">
        <f aca="false">IF($AK713=0,"",INDEX('Part types'!$V:$V,$AK713)&amp;"")</f>
        <v>Estimate: item-specific</v>
      </c>
      <c r="AH713" s="9" t="str">
        <f aca="false">IF($AK713=0,"",INDEX('Part types'!$W:$W,$AK713)&amp;"")</f>
        <v/>
      </c>
      <c r="AI713" s="11" t="str">
        <f aca="false">IF($AK713=0,"",INDEX('Part types'!$X:$X,$AK713)&amp;"")</f>
        <v/>
      </c>
      <c r="AJ713" s="9" t="str">
        <f aca="false">IF($AK713=0,"",INDEX('Part types'!$Y:$Y,$AK713)&amp;"")</f>
        <v/>
      </c>
      <c r="AK713" s="9" t="n">
        <f aca="false">IFERROR(MATCH($AD713,'Part types'!$E:$E,0),0)</f>
        <v>504</v>
      </c>
    </row>
    <row r="714" customFormat="false" ht="15" hidden="false" customHeight="false" outlineLevel="0" collapsed="false">
      <c r="A714" s="9" t="s">
        <v>3109</v>
      </c>
      <c r="B714" s="9" t="s">
        <v>3101</v>
      </c>
      <c r="C714" s="9" t="s">
        <v>3110</v>
      </c>
      <c r="D714" s="9" t="str">
        <f aca="false">C714&amp;" - "&amp;E714</f>
        <v>A/C Compressor Clutch - Universal</v>
      </c>
      <c r="E714" s="9" t="s">
        <v>68</v>
      </c>
      <c r="F714" s="9" t="s">
        <v>266</v>
      </c>
      <c r="G714" s="10" t="n">
        <f aca="false">IF($AK714=0,"",INDEX('Part types'!$P:$P,$AK714))</f>
        <v>15</v>
      </c>
      <c r="H714" s="10" t="n">
        <f aca="false">IF($AK714=0,"",INDEX('Part types'!$Q:$Q,$AK714))</f>
        <v>10</v>
      </c>
      <c r="I714" s="10" t="n">
        <f aca="false">IF($AK714=0,"",INDEX('Part types'!$R:$R,$AK714))</f>
        <v>8</v>
      </c>
      <c r="J714" s="10" t="n">
        <f aca="false">IF($AK714=0,"",INDEX('Part types'!$S:$S,$AK714))</f>
        <v>0.3</v>
      </c>
      <c r="K714" s="11" t="s">
        <v>3103</v>
      </c>
      <c r="L714" s="11" t="s">
        <v>3111</v>
      </c>
      <c r="M714" s="11" t="str">
        <f aca="false">L714&amp;" - "&amp;N714</f>
        <v>قابض كمبروسر التكييف - عام</v>
      </c>
      <c r="N714" s="11" t="s">
        <v>72</v>
      </c>
      <c r="O714" s="11" t="s">
        <v>269</v>
      </c>
      <c r="P714" s="10" t="n">
        <f aca="false">G714</f>
        <v>15</v>
      </c>
      <c r="Q714" s="10" t="n">
        <f aca="false">H714</f>
        <v>10</v>
      </c>
      <c r="R714" s="10" t="n">
        <f aca="false">I714</f>
        <v>8</v>
      </c>
      <c r="S714" s="10" t="n">
        <f aca="false">J714</f>
        <v>0.3</v>
      </c>
      <c r="T714" s="12" t="s">
        <v>3105</v>
      </c>
      <c r="U714" s="12" t="s">
        <v>3112</v>
      </c>
      <c r="V714" s="9" t="str">
        <f aca="false">U714&amp;" - "&amp;W714</f>
        <v>空调压缩机离合器 - 通用</v>
      </c>
      <c r="W714" s="12" t="s">
        <v>76</v>
      </c>
      <c r="X714" s="12" t="s">
        <v>272</v>
      </c>
      <c r="Y714" s="10" t="n">
        <f aca="false">G714</f>
        <v>15</v>
      </c>
      <c r="Z714" s="10" t="n">
        <f aca="false">H714</f>
        <v>10</v>
      </c>
      <c r="AA714" s="10" t="n">
        <f aca="false">I714</f>
        <v>8</v>
      </c>
      <c r="AB714" s="10" t="n">
        <f aca="false">J714</f>
        <v>0.3</v>
      </c>
      <c r="AC714" s="9" t="s">
        <v>3107</v>
      </c>
      <c r="AD714" s="9" t="s">
        <v>3113</v>
      </c>
      <c r="AE714" s="9" t="str">
        <f aca="false">IF($AK714=0,"",INDEX('Part types'!$T:$T,$AK714)&amp;"")</f>
        <v>Combustion engine (petrol, diesel, hybrid, range extender)</v>
      </c>
      <c r="AF714" s="9" t="str">
        <f aca="false">IF($AK714=0,"",INDEX('Part types'!$U:$U,$AK714)&amp;"")</f>
        <v/>
      </c>
      <c r="AG714" s="9" t="str">
        <f aca="false">IF($AK714=0,"",INDEX('Part types'!$V:$V,$AK714)&amp;"")</f>
        <v>Estimate: size class S</v>
      </c>
      <c r="AH714" s="9" t="str">
        <f aca="false">IF($AK714=0,"",INDEX('Part types'!$W:$W,$AK714)&amp;"")</f>
        <v/>
      </c>
      <c r="AI714" s="11" t="str">
        <f aca="false">IF($AK714=0,"",INDEX('Part types'!$X:$X,$AK714)&amp;"")</f>
        <v/>
      </c>
      <c r="AJ714" s="9" t="str">
        <f aca="false">IF($AK714=0,"",INDEX('Part types'!$Y:$Y,$AK714)&amp;"")</f>
        <v/>
      </c>
      <c r="AK714" s="9" t="n">
        <f aca="false">IFERROR(MATCH($AD714,'Part types'!$E:$E,0),0)</f>
        <v>505</v>
      </c>
    </row>
    <row r="715" customFormat="false" ht="15" hidden="false" customHeight="false" outlineLevel="0" collapsed="false">
      <c r="A715" s="9" t="s">
        <v>3114</v>
      </c>
      <c r="B715" s="9" t="s">
        <v>3101</v>
      </c>
      <c r="C715" s="9" t="s">
        <v>3115</v>
      </c>
      <c r="D715" s="9" t="str">
        <f aca="false">C715&amp;" - "&amp;E715</f>
        <v>A/C Condenser - Universal</v>
      </c>
      <c r="E715" s="9" t="s">
        <v>68</v>
      </c>
      <c r="F715" s="9" t="s">
        <v>496</v>
      </c>
      <c r="G715" s="10" t="n">
        <f aca="false">IF($AK715=0,"",INDEX('Part types'!$P:$P,$AK715))</f>
        <v>60</v>
      </c>
      <c r="H715" s="10" t="n">
        <f aca="false">IF($AK715=0,"",INDEX('Part types'!$Q:$Q,$AK715))</f>
        <v>40</v>
      </c>
      <c r="I715" s="10" t="n">
        <f aca="false">IF($AK715=0,"",INDEX('Part types'!$R:$R,$AK715))</f>
        <v>5</v>
      </c>
      <c r="J715" s="10" t="n">
        <f aca="false">IF($AK715=0,"",INDEX('Part types'!$S:$S,$AK715))</f>
        <v>4</v>
      </c>
      <c r="K715" s="11" t="s">
        <v>3103</v>
      </c>
      <c r="L715" s="11" t="s">
        <v>3116</v>
      </c>
      <c r="M715" s="11" t="str">
        <f aca="false">L715&amp;" - "&amp;N715</f>
        <v>مكثف التكييف - عام</v>
      </c>
      <c r="N715" s="11" t="s">
        <v>72</v>
      </c>
      <c r="O715" s="11" t="s">
        <v>498</v>
      </c>
      <c r="P715" s="10" t="n">
        <f aca="false">G715</f>
        <v>60</v>
      </c>
      <c r="Q715" s="10" t="n">
        <f aca="false">H715</f>
        <v>40</v>
      </c>
      <c r="R715" s="10" t="n">
        <f aca="false">I715</f>
        <v>5</v>
      </c>
      <c r="S715" s="10" t="n">
        <f aca="false">J715</f>
        <v>4</v>
      </c>
      <c r="T715" s="12" t="s">
        <v>3105</v>
      </c>
      <c r="U715" s="12" t="s">
        <v>3117</v>
      </c>
      <c r="V715" s="9" t="str">
        <f aca="false">U715&amp;" - "&amp;W715</f>
        <v>空调冷凝器 - 通用</v>
      </c>
      <c r="W715" s="12" t="s">
        <v>76</v>
      </c>
      <c r="X715" s="12" t="s">
        <v>500</v>
      </c>
      <c r="Y715" s="10" t="n">
        <f aca="false">G715</f>
        <v>60</v>
      </c>
      <c r="Z715" s="10" t="n">
        <f aca="false">H715</f>
        <v>40</v>
      </c>
      <c r="AA715" s="10" t="n">
        <f aca="false">I715</f>
        <v>5</v>
      </c>
      <c r="AB715" s="10" t="n">
        <f aca="false">J715</f>
        <v>4</v>
      </c>
      <c r="AC715" s="9" t="s">
        <v>3107</v>
      </c>
      <c r="AD715" s="9" t="s">
        <v>3118</v>
      </c>
      <c r="AE715" s="9" t="str">
        <f aca="false">IF($AK715=0,"",INDEX('Part types'!$T:$T,$AK715)&amp;"")</f>
        <v>All vehicles</v>
      </c>
      <c r="AF715" s="9" t="str">
        <f aca="false">IF($AK715=0,"",INDEX('Part types'!$U:$U,$AK715)&amp;"")</f>
        <v/>
      </c>
      <c r="AG715" s="9" t="str">
        <f aca="false">IF($AK715=0,"",INDEX('Part types'!$V:$V,$AK715)&amp;"")</f>
        <v>Estimate: item-specific</v>
      </c>
      <c r="AH715" s="9" t="str">
        <f aca="false">IF($AK715=0,"",INDEX('Part types'!$W:$W,$AK715)&amp;"")</f>
        <v/>
      </c>
      <c r="AI715" s="11" t="str">
        <f aca="false">IF($AK715=0,"",INDEX('Part types'!$X:$X,$AK715)&amp;"")</f>
        <v>كوندنسر</v>
      </c>
      <c r="AJ715" s="9" t="str">
        <f aca="false">IF($AK715=0,"",INDEX('Part types'!$Y:$Y,$AK715)&amp;"")</f>
        <v/>
      </c>
      <c r="AK715" s="9" t="n">
        <f aca="false">IFERROR(MATCH($AD715,'Part types'!$E:$E,0),0)</f>
        <v>506</v>
      </c>
    </row>
    <row r="716" customFormat="false" ht="15" hidden="false" customHeight="false" outlineLevel="0" collapsed="false">
      <c r="A716" s="9" t="s">
        <v>3119</v>
      </c>
      <c r="B716" s="9" t="s">
        <v>3101</v>
      </c>
      <c r="C716" s="9" t="s">
        <v>3120</v>
      </c>
      <c r="D716" s="9" t="str">
        <f aca="false">C716&amp;" - "&amp;E716</f>
        <v>A/C Evaporator - Universal</v>
      </c>
      <c r="E716" s="9" t="s">
        <v>68</v>
      </c>
      <c r="F716" s="9" t="s">
        <v>893</v>
      </c>
      <c r="G716" s="10" t="n">
        <f aca="false">IF($AK716=0,"",INDEX('Part types'!$P:$P,$AK716))</f>
        <v>30</v>
      </c>
      <c r="H716" s="10" t="n">
        <f aca="false">IF($AK716=0,"",INDEX('Part types'!$Q:$Q,$AK716))</f>
        <v>25</v>
      </c>
      <c r="I716" s="10" t="n">
        <f aca="false">IF($AK716=0,"",INDEX('Part types'!$R:$R,$AK716))</f>
        <v>8</v>
      </c>
      <c r="J716" s="10" t="n">
        <f aca="false">IF($AK716=0,"",INDEX('Part types'!$S:$S,$AK716))</f>
        <v>2</v>
      </c>
      <c r="K716" s="11" t="s">
        <v>3103</v>
      </c>
      <c r="L716" s="11" t="s">
        <v>3121</v>
      </c>
      <c r="M716" s="11" t="str">
        <f aca="false">L716&amp;" - "&amp;N716</f>
        <v>مبخر التكييف - عام</v>
      </c>
      <c r="N716" s="11" t="s">
        <v>72</v>
      </c>
      <c r="O716" s="11" t="s">
        <v>895</v>
      </c>
      <c r="P716" s="10" t="n">
        <f aca="false">G716</f>
        <v>30</v>
      </c>
      <c r="Q716" s="10" t="n">
        <f aca="false">H716</f>
        <v>25</v>
      </c>
      <c r="R716" s="10" t="n">
        <f aca="false">I716</f>
        <v>8</v>
      </c>
      <c r="S716" s="10" t="n">
        <f aca="false">J716</f>
        <v>2</v>
      </c>
      <c r="T716" s="12" t="s">
        <v>3105</v>
      </c>
      <c r="U716" s="12" t="s">
        <v>3122</v>
      </c>
      <c r="V716" s="9" t="str">
        <f aca="false">U716&amp;" - "&amp;W716</f>
        <v>空调蒸发器 - 通用</v>
      </c>
      <c r="W716" s="12" t="s">
        <v>76</v>
      </c>
      <c r="X716" s="12" t="s">
        <v>897</v>
      </c>
      <c r="Y716" s="10" t="n">
        <f aca="false">G716</f>
        <v>30</v>
      </c>
      <c r="Z716" s="10" t="n">
        <f aca="false">H716</f>
        <v>25</v>
      </c>
      <c r="AA716" s="10" t="n">
        <f aca="false">I716</f>
        <v>8</v>
      </c>
      <c r="AB716" s="10" t="n">
        <f aca="false">J716</f>
        <v>2</v>
      </c>
      <c r="AC716" s="9" t="s">
        <v>3107</v>
      </c>
      <c r="AD716" s="9" t="s">
        <v>3123</v>
      </c>
      <c r="AE716" s="9" t="str">
        <f aca="false">IF($AK716=0,"",INDEX('Part types'!$T:$T,$AK716)&amp;"")</f>
        <v>All vehicles</v>
      </c>
      <c r="AF716" s="9" t="str">
        <f aca="false">IF($AK716=0,"",INDEX('Part types'!$U:$U,$AK716)&amp;"")</f>
        <v/>
      </c>
      <c r="AG716" s="9" t="str">
        <f aca="false">IF($AK716=0,"",INDEX('Part types'!$V:$V,$AK716)&amp;"")</f>
        <v>Estimate: item-specific</v>
      </c>
      <c r="AH716" s="9" t="str">
        <f aca="false">IF($AK716=0,"",INDEX('Part types'!$W:$W,$AK716)&amp;"")</f>
        <v/>
      </c>
      <c r="AI716" s="11" t="str">
        <f aca="false">IF($AK716=0,"",INDEX('Part types'!$X:$X,$AK716)&amp;"")</f>
        <v>إيفابوريتر</v>
      </c>
      <c r="AJ716" s="9" t="str">
        <f aca="false">IF($AK716=0,"",INDEX('Part types'!$Y:$Y,$AK716)&amp;"")</f>
        <v/>
      </c>
      <c r="AK716" s="9" t="n">
        <f aca="false">IFERROR(MATCH($AD716,'Part types'!$E:$E,0),0)</f>
        <v>507</v>
      </c>
    </row>
    <row r="717" customFormat="false" ht="15" hidden="false" customHeight="false" outlineLevel="0" collapsed="false">
      <c r="A717" s="9" t="s">
        <v>3124</v>
      </c>
      <c r="B717" s="9" t="s">
        <v>3101</v>
      </c>
      <c r="C717" s="9" t="s">
        <v>3125</v>
      </c>
      <c r="D717" s="9" t="str">
        <f aca="false">C717&amp;" - "&amp;E717</f>
        <v>A/C Expansion Valve - Universal</v>
      </c>
      <c r="E717" s="9" t="s">
        <v>68</v>
      </c>
      <c r="F717" s="9" t="s">
        <v>893</v>
      </c>
      <c r="G717" s="10" t="n">
        <f aca="false">IF($AK717=0,"",INDEX('Part types'!$P:$P,$AK717))</f>
        <v>10</v>
      </c>
      <c r="H717" s="10" t="n">
        <f aca="false">IF($AK717=0,"",INDEX('Part types'!$Q:$Q,$AK717))</f>
        <v>8</v>
      </c>
      <c r="I717" s="10" t="n">
        <f aca="false">IF($AK717=0,"",INDEX('Part types'!$R:$R,$AK717))</f>
        <v>6</v>
      </c>
      <c r="J717" s="10" t="n">
        <f aca="false">IF($AK717=0,"",INDEX('Part types'!$S:$S,$AK717))</f>
        <v>0.1</v>
      </c>
      <c r="K717" s="11" t="s">
        <v>3103</v>
      </c>
      <c r="L717" s="11" t="s">
        <v>3126</v>
      </c>
      <c r="M717" s="11" t="str">
        <f aca="false">L717&amp;" - "&amp;N717</f>
        <v>صمام تمدد التكييف - عام</v>
      </c>
      <c r="N717" s="11" t="s">
        <v>72</v>
      </c>
      <c r="O717" s="11" t="s">
        <v>895</v>
      </c>
      <c r="P717" s="10" t="n">
        <f aca="false">G717</f>
        <v>10</v>
      </c>
      <c r="Q717" s="10" t="n">
        <f aca="false">H717</f>
        <v>8</v>
      </c>
      <c r="R717" s="10" t="n">
        <f aca="false">I717</f>
        <v>6</v>
      </c>
      <c r="S717" s="10" t="n">
        <f aca="false">J717</f>
        <v>0.1</v>
      </c>
      <c r="T717" s="12" t="s">
        <v>3105</v>
      </c>
      <c r="U717" s="12" t="s">
        <v>3127</v>
      </c>
      <c r="V717" s="9" t="str">
        <f aca="false">U717&amp;" - "&amp;W717</f>
        <v>空调膨胀阀 - 通用</v>
      </c>
      <c r="W717" s="12" t="s">
        <v>76</v>
      </c>
      <c r="X717" s="12" t="s">
        <v>897</v>
      </c>
      <c r="Y717" s="10" t="n">
        <f aca="false">G717</f>
        <v>10</v>
      </c>
      <c r="Z717" s="10" t="n">
        <f aca="false">H717</f>
        <v>8</v>
      </c>
      <c r="AA717" s="10" t="n">
        <f aca="false">I717</f>
        <v>6</v>
      </c>
      <c r="AB717" s="10" t="n">
        <f aca="false">J717</f>
        <v>0.1</v>
      </c>
      <c r="AC717" s="9" t="s">
        <v>3107</v>
      </c>
      <c r="AD717" s="9" t="s">
        <v>3128</v>
      </c>
      <c r="AE717" s="9" t="str">
        <f aca="false">IF($AK717=0,"",INDEX('Part types'!$T:$T,$AK717)&amp;"")</f>
        <v>All vehicles</v>
      </c>
      <c r="AF717" s="9" t="str">
        <f aca="false">IF($AK717=0,"",INDEX('Part types'!$U:$U,$AK717)&amp;"")</f>
        <v/>
      </c>
      <c r="AG717" s="9" t="str">
        <f aca="false">IF($AK717=0,"",INDEX('Part types'!$V:$V,$AK717)&amp;"")</f>
        <v>Estimate: size class XS</v>
      </c>
      <c r="AH717" s="9" t="str">
        <f aca="false">IF($AK717=0,"",INDEX('Part types'!$W:$W,$AK717)&amp;"")</f>
        <v/>
      </c>
      <c r="AI717" s="11" t="str">
        <f aca="false">IF($AK717=0,"",INDEX('Part types'!$X:$X,$AK717)&amp;"")</f>
        <v/>
      </c>
      <c r="AJ717" s="9" t="str">
        <f aca="false">IF($AK717=0,"",INDEX('Part types'!$Y:$Y,$AK717)&amp;"")</f>
        <v/>
      </c>
      <c r="AK717" s="9" t="n">
        <f aca="false">IFERROR(MATCH($AD717,'Part types'!$E:$E,0),0)</f>
        <v>508</v>
      </c>
    </row>
    <row r="718" customFormat="false" ht="15" hidden="false" customHeight="false" outlineLevel="0" collapsed="false">
      <c r="A718" s="9" t="s">
        <v>3129</v>
      </c>
      <c r="B718" s="9" t="s">
        <v>3101</v>
      </c>
      <c r="C718" s="9" t="s">
        <v>3130</v>
      </c>
      <c r="D718" s="9" t="str">
        <f aca="false">C718&amp;" - "&amp;E718</f>
        <v>A/C Receiver Drier - Universal</v>
      </c>
      <c r="E718" s="9" t="s">
        <v>68</v>
      </c>
      <c r="F718" s="9" t="s">
        <v>69</v>
      </c>
      <c r="G718" s="10" t="n">
        <f aca="false">IF($AK718=0,"",INDEX('Part types'!$P:$P,$AK718))</f>
        <v>15</v>
      </c>
      <c r="H718" s="10" t="n">
        <f aca="false">IF($AK718=0,"",INDEX('Part types'!$Q:$Q,$AK718))</f>
        <v>10</v>
      </c>
      <c r="I718" s="10" t="n">
        <f aca="false">IF($AK718=0,"",INDEX('Part types'!$R:$R,$AK718))</f>
        <v>8</v>
      </c>
      <c r="J718" s="10" t="n">
        <f aca="false">IF($AK718=0,"",INDEX('Part types'!$S:$S,$AK718))</f>
        <v>0.3</v>
      </c>
      <c r="K718" s="11" t="s">
        <v>3103</v>
      </c>
      <c r="L718" s="11" t="s">
        <v>3131</v>
      </c>
      <c r="M718" s="11" t="str">
        <f aca="false">L718&amp;" - "&amp;N718</f>
        <v>مجفف التكييف - عام</v>
      </c>
      <c r="N718" s="11" t="s">
        <v>72</v>
      </c>
      <c r="O718" s="11" t="s">
        <v>73</v>
      </c>
      <c r="P718" s="10" t="n">
        <f aca="false">G718</f>
        <v>15</v>
      </c>
      <c r="Q718" s="10" t="n">
        <f aca="false">H718</f>
        <v>10</v>
      </c>
      <c r="R718" s="10" t="n">
        <f aca="false">I718</f>
        <v>8</v>
      </c>
      <c r="S718" s="10" t="n">
        <f aca="false">J718</f>
        <v>0.3</v>
      </c>
      <c r="T718" s="12" t="s">
        <v>3105</v>
      </c>
      <c r="U718" s="12" t="s">
        <v>3132</v>
      </c>
      <c r="V718" s="9" t="str">
        <f aca="false">U718&amp;" - "&amp;W718</f>
        <v>空调储液干燥器 - 通用</v>
      </c>
      <c r="W718" s="12" t="s">
        <v>76</v>
      </c>
      <c r="X718" s="12" t="s">
        <v>77</v>
      </c>
      <c r="Y718" s="10" t="n">
        <f aca="false">G718</f>
        <v>15</v>
      </c>
      <c r="Z718" s="10" t="n">
        <f aca="false">H718</f>
        <v>10</v>
      </c>
      <c r="AA718" s="10" t="n">
        <f aca="false">I718</f>
        <v>8</v>
      </c>
      <c r="AB718" s="10" t="n">
        <f aca="false">J718</f>
        <v>0.3</v>
      </c>
      <c r="AC718" s="9" t="s">
        <v>3107</v>
      </c>
      <c r="AD718" s="9" t="s">
        <v>3133</v>
      </c>
      <c r="AE718" s="9" t="str">
        <f aca="false">IF($AK718=0,"",INDEX('Part types'!$T:$T,$AK718)&amp;"")</f>
        <v>All vehicles</v>
      </c>
      <c r="AF718" s="9" t="str">
        <f aca="false">IF($AK718=0,"",INDEX('Part types'!$U:$U,$AK718)&amp;"")</f>
        <v/>
      </c>
      <c r="AG718" s="9" t="str">
        <f aca="false">IF($AK718=0,"",INDEX('Part types'!$V:$V,$AK718)&amp;"")</f>
        <v>Estimate: size class S</v>
      </c>
      <c r="AH718" s="9" t="str">
        <f aca="false">IF($AK718=0,"",INDEX('Part types'!$W:$W,$AK718)&amp;"")</f>
        <v/>
      </c>
      <c r="AI718" s="11" t="str">
        <f aca="false">IF($AK718=0,"",INDEX('Part types'!$X:$X,$AK718)&amp;"")</f>
        <v>دراير</v>
      </c>
      <c r="AJ718" s="9" t="str">
        <f aca="false">IF($AK718=0,"",INDEX('Part types'!$Y:$Y,$AK718)&amp;"")</f>
        <v/>
      </c>
      <c r="AK718" s="9" t="n">
        <f aca="false">IFERROR(MATCH($AD718,'Part types'!$E:$E,0),0)</f>
        <v>509</v>
      </c>
    </row>
    <row r="719" customFormat="false" ht="15" hidden="false" customHeight="false" outlineLevel="0" collapsed="false">
      <c r="A719" s="9" t="s">
        <v>3134</v>
      </c>
      <c r="B719" s="9" t="s">
        <v>3101</v>
      </c>
      <c r="C719" s="9" t="s">
        <v>3135</v>
      </c>
      <c r="D719" s="9" t="str">
        <f aca="false">C719&amp;" - "&amp;E719</f>
        <v>A/C Accumulator - Universal</v>
      </c>
      <c r="E719" s="9" t="s">
        <v>68</v>
      </c>
      <c r="F719" s="9" t="s">
        <v>69</v>
      </c>
      <c r="G719" s="10" t="n">
        <f aca="false">IF($AK719=0,"",INDEX('Part types'!$P:$P,$AK719))</f>
        <v>25</v>
      </c>
      <c r="H719" s="10" t="n">
        <f aca="false">IF($AK719=0,"",INDEX('Part types'!$Q:$Q,$AK719))</f>
        <v>15</v>
      </c>
      <c r="I719" s="10" t="n">
        <f aca="false">IF($AK719=0,"",INDEX('Part types'!$R:$R,$AK719))</f>
        <v>10</v>
      </c>
      <c r="J719" s="10" t="n">
        <f aca="false">IF($AK719=0,"",INDEX('Part types'!$S:$S,$AK719))</f>
        <v>0.9</v>
      </c>
      <c r="K719" s="11" t="s">
        <v>3103</v>
      </c>
      <c r="L719" s="11" t="s">
        <v>3136</v>
      </c>
      <c r="M719" s="11" t="str">
        <f aca="false">L719&amp;" - "&amp;N719</f>
        <v>مجمع غاز التكييف - عام</v>
      </c>
      <c r="N719" s="11" t="s">
        <v>72</v>
      </c>
      <c r="O719" s="11" t="s">
        <v>73</v>
      </c>
      <c r="P719" s="10" t="n">
        <f aca="false">G719</f>
        <v>25</v>
      </c>
      <c r="Q719" s="10" t="n">
        <f aca="false">H719</f>
        <v>15</v>
      </c>
      <c r="R719" s="10" t="n">
        <f aca="false">I719</f>
        <v>10</v>
      </c>
      <c r="S719" s="10" t="n">
        <f aca="false">J719</f>
        <v>0.9</v>
      </c>
      <c r="T719" s="12" t="s">
        <v>3105</v>
      </c>
      <c r="U719" s="12" t="s">
        <v>3137</v>
      </c>
      <c r="V719" s="9" t="str">
        <f aca="false">U719&amp;" - "&amp;W719</f>
        <v>空调气液分离器 - 通用</v>
      </c>
      <c r="W719" s="12" t="s">
        <v>76</v>
      </c>
      <c r="X719" s="12" t="s">
        <v>77</v>
      </c>
      <c r="Y719" s="10" t="n">
        <f aca="false">G719</f>
        <v>25</v>
      </c>
      <c r="Z719" s="10" t="n">
        <f aca="false">H719</f>
        <v>15</v>
      </c>
      <c r="AA719" s="10" t="n">
        <f aca="false">I719</f>
        <v>10</v>
      </c>
      <c r="AB719" s="10" t="n">
        <f aca="false">J719</f>
        <v>0.9</v>
      </c>
      <c r="AC719" s="9" t="s">
        <v>3107</v>
      </c>
      <c r="AD719" s="9" t="s">
        <v>3138</v>
      </c>
      <c r="AE719" s="9" t="str">
        <f aca="false">IF($AK719=0,"",INDEX('Part types'!$T:$T,$AK719)&amp;"")</f>
        <v>All vehicles</v>
      </c>
      <c r="AF719" s="9" t="str">
        <f aca="false">IF($AK719=0,"",INDEX('Part types'!$U:$U,$AK719)&amp;"")</f>
        <v/>
      </c>
      <c r="AG719" s="9" t="str">
        <f aca="false">IF($AK719=0,"",INDEX('Part types'!$V:$V,$AK719)&amp;"")</f>
        <v>Estimate: size class M</v>
      </c>
      <c r="AH719" s="9" t="str">
        <f aca="false">IF($AK719=0,"",INDEX('Part types'!$W:$W,$AK719)&amp;"")</f>
        <v/>
      </c>
      <c r="AI719" s="11" t="str">
        <f aca="false">IF($AK719=0,"",INDEX('Part types'!$X:$X,$AK719)&amp;"")</f>
        <v/>
      </c>
      <c r="AJ719" s="9" t="str">
        <f aca="false">IF($AK719=0,"",INDEX('Part types'!$Y:$Y,$AK719)&amp;"")</f>
        <v/>
      </c>
      <c r="AK719" s="9" t="n">
        <f aca="false">IFERROR(MATCH($AD719,'Part types'!$E:$E,0),0)</f>
        <v>510</v>
      </c>
    </row>
    <row r="720" customFormat="false" ht="15" hidden="false" customHeight="false" outlineLevel="0" collapsed="false">
      <c r="A720" s="9" t="s">
        <v>3139</v>
      </c>
      <c r="B720" s="9" t="s">
        <v>3101</v>
      </c>
      <c r="C720" s="9" t="s">
        <v>3140</v>
      </c>
      <c r="D720" s="9" t="str">
        <f aca="false">C720&amp;" - "&amp;E720</f>
        <v>AC High-Pressure Hose - Universal</v>
      </c>
      <c r="E720" s="9" t="s">
        <v>68</v>
      </c>
      <c r="F720" s="9" t="s">
        <v>69</v>
      </c>
      <c r="G720" s="10" t="n">
        <f aca="false">IF($AK720=0,"",INDEX('Part types'!$P:$P,$AK720))</f>
        <v>25</v>
      </c>
      <c r="H720" s="10" t="n">
        <f aca="false">IF($AK720=0,"",INDEX('Part types'!$Q:$Q,$AK720))</f>
        <v>15</v>
      </c>
      <c r="I720" s="10" t="n">
        <f aca="false">IF($AK720=0,"",INDEX('Part types'!$R:$R,$AK720))</f>
        <v>10</v>
      </c>
      <c r="J720" s="10" t="n">
        <f aca="false">IF($AK720=0,"",INDEX('Part types'!$S:$S,$AK720))</f>
        <v>0.9</v>
      </c>
      <c r="K720" s="11" t="s">
        <v>3103</v>
      </c>
      <c r="L720" s="11" t="s">
        <v>3141</v>
      </c>
      <c r="M720" s="11" t="str">
        <f aca="false">L720&amp;" - "&amp;N720</f>
        <v>خرطوم تكييف عالي الضغط - عام</v>
      </c>
      <c r="N720" s="11" t="s">
        <v>72</v>
      </c>
      <c r="O720" s="11" t="s">
        <v>73</v>
      </c>
      <c r="P720" s="10" t="n">
        <f aca="false">G720</f>
        <v>25</v>
      </c>
      <c r="Q720" s="10" t="n">
        <f aca="false">H720</f>
        <v>15</v>
      </c>
      <c r="R720" s="10" t="n">
        <f aca="false">I720</f>
        <v>10</v>
      </c>
      <c r="S720" s="10" t="n">
        <f aca="false">J720</f>
        <v>0.9</v>
      </c>
      <c r="T720" s="12" t="s">
        <v>3105</v>
      </c>
      <c r="U720" s="12" t="s">
        <v>3142</v>
      </c>
      <c r="V720" s="9" t="str">
        <f aca="false">U720&amp;" - "&amp;W720</f>
        <v>空调高压管 - 通用</v>
      </c>
      <c r="W720" s="12" t="s">
        <v>76</v>
      </c>
      <c r="X720" s="12" t="s">
        <v>77</v>
      </c>
      <c r="Y720" s="10" t="n">
        <f aca="false">G720</f>
        <v>25</v>
      </c>
      <c r="Z720" s="10" t="n">
        <f aca="false">H720</f>
        <v>15</v>
      </c>
      <c r="AA720" s="10" t="n">
        <f aca="false">I720</f>
        <v>10</v>
      </c>
      <c r="AB720" s="10" t="n">
        <f aca="false">J720</f>
        <v>0.9</v>
      </c>
      <c r="AC720" s="9" t="s">
        <v>3107</v>
      </c>
      <c r="AD720" s="9" t="s">
        <v>3143</v>
      </c>
      <c r="AE720" s="9" t="str">
        <f aca="false">IF($AK720=0,"",INDEX('Part types'!$T:$T,$AK720)&amp;"")</f>
        <v>All vehicles</v>
      </c>
      <c r="AF720" s="9" t="str">
        <f aca="false">IF($AK720=0,"",INDEX('Part types'!$U:$U,$AK720)&amp;"")</f>
        <v/>
      </c>
      <c r="AG720" s="9" t="str">
        <f aca="false">IF($AK720=0,"",INDEX('Part types'!$V:$V,$AK720)&amp;"")</f>
        <v>Estimate: size class M</v>
      </c>
      <c r="AH720" s="9" t="str">
        <f aca="false">IF($AK720=0,"",INDEX('Part types'!$W:$W,$AK720)&amp;"")</f>
        <v>A/C Hose</v>
      </c>
      <c r="AI720" s="11" t="str">
        <f aca="false">IF($AK720=0,"",INDEX('Part types'!$X:$X,$AK720)&amp;"")</f>
        <v/>
      </c>
      <c r="AJ720" s="9" t="str">
        <f aca="false">IF($AK720=0,"",INDEX('Part types'!$Y:$Y,$AK720)&amp;"")</f>
        <v/>
      </c>
      <c r="AK720" s="9" t="n">
        <f aca="false">IFERROR(MATCH($AD720,'Part types'!$E:$E,0),0)</f>
        <v>511</v>
      </c>
    </row>
    <row r="721" customFormat="false" ht="15" hidden="false" customHeight="false" outlineLevel="0" collapsed="false">
      <c r="A721" s="9" t="s">
        <v>3144</v>
      </c>
      <c r="B721" s="9" t="s">
        <v>3101</v>
      </c>
      <c r="C721" s="9" t="s">
        <v>3145</v>
      </c>
      <c r="D721" s="9" t="str">
        <f aca="false">C721&amp;" - "&amp;E721</f>
        <v>AC Low-Pressure Hose - Universal</v>
      </c>
      <c r="E721" s="9" t="s">
        <v>68</v>
      </c>
      <c r="F721" s="9" t="s">
        <v>69</v>
      </c>
      <c r="G721" s="10" t="n">
        <f aca="false">IF($AK721=0,"",INDEX('Part types'!$P:$P,$AK721))</f>
        <v>25</v>
      </c>
      <c r="H721" s="10" t="n">
        <f aca="false">IF($AK721=0,"",INDEX('Part types'!$Q:$Q,$AK721))</f>
        <v>15</v>
      </c>
      <c r="I721" s="10" t="n">
        <f aca="false">IF($AK721=0,"",INDEX('Part types'!$R:$R,$AK721))</f>
        <v>10</v>
      </c>
      <c r="J721" s="10" t="n">
        <f aca="false">IF($AK721=0,"",INDEX('Part types'!$S:$S,$AK721))</f>
        <v>0.9</v>
      </c>
      <c r="K721" s="11" t="s">
        <v>3103</v>
      </c>
      <c r="L721" s="11" t="s">
        <v>3146</v>
      </c>
      <c r="M721" s="11" t="str">
        <f aca="false">L721&amp;" - "&amp;N721</f>
        <v>خرطوم تكييف منخفض الضغط - عام</v>
      </c>
      <c r="N721" s="11" t="s">
        <v>72</v>
      </c>
      <c r="O721" s="11" t="s">
        <v>73</v>
      </c>
      <c r="P721" s="10" t="n">
        <f aca="false">G721</f>
        <v>25</v>
      </c>
      <c r="Q721" s="10" t="n">
        <f aca="false">H721</f>
        <v>15</v>
      </c>
      <c r="R721" s="10" t="n">
        <f aca="false">I721</f>
        <v>10</v>
      </c>
      <c r="S721" s="10" t="n">
        <f aca="false">J721</f>
        <v>0.9</v>
      </c>
      <c r="T721" s="12" t="s">
        <v>3105</v>
      </c>
      <c r="U721" s="12" t="s">
        <v>3147</v>
      </c>
      <c r="V721" s="9" t="str">
        <f aca="false">U721&amp;" - "&amp;W721</f>
        <v>空调低压管 - 通用</v>
      </c>
      <c r="W721" s="12" t="s">
        <v>76</v>
      </c>
      <c r="X721" s="12" t="s">
        <v>77</v>
      </c>
      <c r="Y721" s="10" t="n">
        <f aca="false">G721</f>
        <v>25</v>
      </c>
      <c r="Z721" s="10" t="n">
        <f aca="false">H721</f>
        <v>15</v>
      </c>
      <c r="AA721" s="10" t="n">
        <f aca="false">I721</f>
        <v>10</v>
      </c>
      <c r="AB721" s="10" t="n">
        <f aca="false">J721</f>
        <v>0.9</v>
      </c>
      <c r="AC721" s="9" t="s">
        <v>3107</v>
      </c>
      <c r="AD721" s="9" t="s">
        <v>3148</v>
      </c>
      <c r="AE721" s="9" t="str">
        <f aca="false">IF($AK721=0,"",INDEX('Part types'!$T:$T,$AK721)&amp;"")</f>
        <v>All vehicles</v>
      </c>
      <c r="AF721" s="9" t="str">
        <f aca="false">IF($AK721=0,"",INDEX('Part types'!$U:$U,$AK721)&amp;"")</f>
        <v/>
      </c>
      <c r="AG721" s="9" t="str">
        <f aca="false">IF($AK721=0,"",INDEX('Part types'!$V:$V,$AK721)&amp;"")</f>
        <v>Estimate: size class M</v>
      </c>
      <c r="AH721" s="9" t="str">
        <f aca="false">IF($AK721=0,"",INDEX('Part types'!$W:$W,$AK721)&amp;"")</f>
        <v>A/C Hose</v>
      </c>
      <c r="AI721" s="11" t="str">
        <f aca="false">IF($AK721=0,"",INDEX('Part types'!$X:$X,$AK721)&amp;"")</f>
        <v/>
      </c>
      <c r="AJ721" s="9" t="str">
        <f aca="false">IF($AK721=0,"",INDEX('Part types'!$Y:$Y,$AK721)&amp;"")</f>
        <v/>
      </c>
      <c r="AK721" s="9" t="n">
        <f aca="false">IFERROR(MATCH($AD721,'Part types'!$E:$E,0),0)</f>
        <v>512</v>
      </c>
    </row>
    <row r="722" customFormat="false" ht="15" hidden="false" customHeight="false" outlineLevel="0" collapsed="false">
      <c r="A722" s="9" t="s">
        <v>3149</v>
      </c>
      <c r="B722" s="9" t="s">
        <v>3101</v>
      </c>
      <c r="C722" s="9" t="s">
        <v>3150</v>
      </c>
      <c r="D722" s="9" t="str">
        <f aca="false">C722&amp;" - "&amp;E722</f>
        <v>A/C Pressure Switch - Universal</v>
      </c>
      <c r="E722" s="9" t="s">
        <v>68</v>
      </c>
      <c r="F722" s="9" t="s">
        <v>69</v>
      </c>
      <c r="G722" s="10" t="n">
        <f aca="false">IF($AK722=0,"",INDEX('Part types'!$P:$P,$AK722))</f>
        <v>10</v>
      </c>
      <c r="H722" s="10" t="n">
        <f aca="false">IF($AK722=0,"",INDEX('Part types'!$Q:$Q,$AK722))</f>
        <v>8</v>
      </c>
      <c r="I722" s="10" t="n">
        <f aca="false">IF($AK722=0,"",INDEX('Part types'!$R:$R,$AK722))</f>
        <v>6</v>
      </c>
      <c r="J722" s="10" t="n">
        <f aca="false">IF($AK722=0,"",INDEX('Part types'!$S:$S,$AK722))</f>
        <v>0.1</v>
      </c>
      <c r="K722" s="11" t="s">
        <v>3103</v>
      </c>
      <c r="L722" s="11" t="s">
        <v>3151</v>
      </c>
      <c r="M722" s="11" t="str">
        <f aca="false">L722&amp;" - "&amp;N722</f>
        <v>مفتاح ضغط التكييف - عام</v>
      </c>
      <c r="N722" s="11" t="s">
        <v>72</v>
      </c>
      <c r="O722" s="11" t="s">
        <v>73</v>
      </c>
      <c r="P722" s="10" t="n">
        <f aca="false">G722</f>
        <v>10</v>
      </c>
      <c r="Q722" s="10" t="n">
        <f aca="false">H722</f>
        <v>8</v>
      </c>
      <c r="R722" s="10" t="n">
        <f aca="false">I722</f>
        <v>6</v>
      </c>
      <c r="S722" s="10" t="n">
        <f aca="false">J722</f>
        <v>0.1</v>
      </c>
      <c r="T722" s="12" t="s">
        <v>3105</v>
      </c>
      <c r="U722" s="12" t="s">
        <v>3152</v>
      </c>
      <c r="V722" s="9" t="str">
        <f aca="false">U722&amp;" - "&amp;W722</f>
        <v>空调压力开关 - 通用</v>
      </c>
      <c r="W722" s="12" t="s">
        <v>76</v>
      </c>
      <c r="X722" s="12" t="s">
        <v>77</v>
      </c>
      <c r="Y722" s="10" t="n">
        <f aca="false">G722</f>
        <v>10</v>
      </c>
      <c r="Z722" s="10" t="n">
        <f aca="false">H722</f>
        <v>8</v>
      </c>
      <c r="AA722" s="10" t="n">
        <f aca="false">I722</f>
        <v>6</v>
      </c>
      <c r="AB722" s="10" t="n">
        <f aca="false">J722</f>
        <v>0.1</v>
      </c>
      <c r="AC722" s="9" t="s">
        <v>3107</v>
      </c>
      <c r="AD722" s="9" t="s">
        <v>3153</v>
      </c>
      <c r="AE722" s="9" t="str">
        <f aca="false">IF($AK722=0,"",INDEX('Part types'!$T:$T,$AK722)&amp;"")</f>
        <v>All vehicles</v>
      </c>
      <c r="AF722" s="9" t="str">
        <f aca="false">IF($AK722=0,"",INDEX('Part types'!$U:$U,$AK722)&amp;"")</f>
        <v/>
      </c>
      <c r="AG722" s="9" t="str">
        <f aca="false">IF($AK722=0,"",INDEX('Part types'!$V:$V,$AK722)&amp;"")</f>
        <v>Estimate: size class XS</v>
      </c>
      <c r="AH722" s="9" t="str">
        <f aca="false">IF($AK722=0,"",INDEX('Part types'!$W:$W,$AK722)&amp;"")</f>
        <v/>
      </c>
      <c r="AI722" s="11" t="str">
        <f aca="false">IF($AK722=0,"",INDEX('Part types'!$X:$X,$AK722)&amp;"")</f>
        <v/>
      </c>
      <c r="AJ722" s="9" t="str">
        <f aca="false">IF($AK722=0,"",INDEX('Part types'!$Y:$Y,$AK722)&amp;"")</f>
        <v/>
      </c>
      <c r="AK722" s="9" t="n">
        <f aca="false">IFERROR(MATCH($AD722,'Part types'!$E:$E,0),0)</f>
        <v>513</v>
      </c>
    </row>
    <row r="723" customFormat="false" ht="15" hidden="false" customHeight="false" outlineLevel="0" collapsed="false">
      <c r="A723" s="9" t="s">
        <v>3154</v>
      </c>
      <c r="B723" s="9" t="s">
        <v>3101</v>
      </c>
      <c r="C723" s="9" t="s">
        <v>3155</v>
      </c>
      <c r="D723" s="9" t="str">
        <f aca="false">C723&amp;" - "&amp;E723</f>
        <v>AC O-Ring Kit - Universal</v>
      </c>
      <c r="E723" s="9" t="s">
        <v>68</v>
      </c>
      <c r="F723" s="9" t="s">
        <v>3156</v>
      </c>
      <c r="G723" s="10" t="n">
        <f aca="false">IF($AK723=0,"",INDEX('Part types'!$P:$P,$AK723))</f>
        <v>10</v>
      </c>
      <c r="H723" s="10" t="n">
        <f aca="false">IF($AK723=0,"",INDEX('Part types'!$Q:$Q,$AK723))</f>
        <v>8</v>
      </c>
      <c r="I723" s="10" t="n">
        <f aca="false">IF($AK723=0,"",INDEX('Part types'!$R:$R,$AK723))</f>
        <v>6</v>
      </c>
      <c r="J723" s="10" t="n">
        <f aca="false">IF($AK723=0,"",INDEX('Part types'!$S:$S,$AK723))</f>
        <v>0.1</v>
      </c>
      <c r="K723" s="11" t="s">
        <v>3103</v>
      </c>
      <c r="L723" s="11" t="s">
        <v>3157</v>
      </c>
      <c r="M723" s="11" t="str">
        <f aca="false">L723&amp;" - "&amp;N723</f>
        <v>طقم أورنج التكييف - عام</v>
      </c>
      <c r="N723" s="11" t="s">
        <v>72</v>
      </c>
      <c r="O723" s="11" t="s">
        <v>3158</v>
      </c>
      <c r="P723" s="10" t="n">
        <f aca="false">G723</f>
        <v>10</v>
      </c>
      <c r="Q723" s="10" t="n">
        <f aca="false">H723</f>
        <v>8</v>
      </c>
      <c r="R723" s="10" t="n">
        <f aca="false">I723</f>
        <v>6</v>
      </c>
      <c r="S723" s="10" t="n">
        <f aca="false">J723</f>
        <v>0.1</v>
      </c>
      <c r="T723" s="12" t="s">
        <v>3105</v>
      </c>
      <c r="U723" s="12" t="s">
        <v>3159</v>
      </c>
      <c r="V723" s="9" t="str">
        <f aca="false">U723&amp;" - "&amp;W723</f>
        <v>空调O型圈套装 - 通用</v>
      </c>
      <c r="W723" s="12" t="s">
        <v>76</v>
      </c>
      <c r="X723" s="12" t="s">
        <v>3160</v>
      </c>
      <c r="Y723" s="10" t="n">
        <f aca="false">G723</f>
        <v>10</v>
      </c>
      <c r="Z723" s="10" t="n">
        <f aca="false">H723</f>
        <v>8</v>
      </c>
      <c r="AA723" s="10" t="n">
        <f aca="false">I723</f>
        <v>6</v>
      </c>
      <c r="AB723" s="10" t="n">
        <f aca="false">J723</f>
        <v>0.1</v>
      </c>
      <c r="AC723" s="9" t="s">
        <v>3107</v>
      </c>
      <c r="AD723" s="9" t="s">
        <v>3161</v>
      </c>
      <c r="AE723" s="9" t="str">
        <f aca="false">IF($AK723=0,"",INDEX('Part types'!$T:$T,$AK723)&amp;"")</f>
        <v>All vehicles</v>
      </c>
      <c r="AF723" s="9" t="str">
        <f aca="false">IF($AK723=0,"",INDEX('Part types'!$U:$U,$AK723)&amp;"")</f>
        <v/>
      </c>
      <c r="AG723" s="9" t="str">
        <f aca="false">IF($AK723=0,"",INDEX('Part types'!$V:$V,$AK723)&amp;"")</f>
        <v>Estimate: size class XS</v>
      </c>
      <c r="AH723" s="9" t="str">
        <f aca="false">IF($AK723=0,"",INDEX('Part types'!$W:$W,$AK723)&amp;"")</f>
        <v>A/C O-Ring Seal Kit</v>
      </c>
      <c r="AI723" s="11" t="str">
        <f aca="false">IF($AK723=0,"",INDEX('Part types'!$X:$X,$AK723)&amp;"")</f>
        <v/>
      </c>
      <c r="AJ723" s="9" t="str">
        <f aca="false">IF($AK723=0,"",INDEX('Part types'!$Y:$Y,$AK723)&amp;"")</f>
        <v/>
      </c>
      <c r="AK723" s="9" t="n">
        <f aca="false">IFERROR(MATCH($AD723,'Part types'!$E:$E,0),0)</f>
        <v>514</v>
      </c>
    </row>
    <row r="724" customFormat="false" ht="15" hidden="false" customHeight="false" outlineLevel="0" collapsed="false">
      <c r="A724" s="9" t="s">
        <v>3162</v>
      </c>
      <c r="B724" s="9" t="s">
        <v>3101</v>
      </c>
      <c r="C724" s="9" t="s">
        <v>3163</v>
      </c>
      <c r="D724" s="9" t="str">
        <f aca="false">C724&amp;" - "&amp;E724</f>
        <v>Condenser Fan Motor - Universal</v>
      </c>
      <c r="E724" s="9" t="s">
        <v>68</v>
      </c>
      <c r="F724" s="9" t="s">
        <v>496</v>
      </c>
      <c r="G724" s="10" t="n">
        <f aca="false">IF($AK724=0,"",INDEX('Part types'!$P:$P,$AK724))</f>
        <v>30</v>
      </c>
      <c r="H724" s="10" t="n">
        <f aca="false">IF($AK724=0,"",INDEX('Part types'!$Q:$Q,$AK724))</f>
        <v>20</v>
      </c>
      <c r="I724" s="10" t="n">
        <f aca="false">IF($AK724=0,"",INDEX('Part types'!$R:$R,$AK724))</f>
        <v>15</v>
      </c>
      <c r="J724" s="10" t="n">
        <f aca="false">IF($AK724=0,"",INDEX('Part types'!$S:$S,$AK724))</f>
        <v>1.8</v>
      </c>
      <c r="K724" s="11" t="s">
        <v>3103</v>
      </c>
      <c r="L724" s="11" t="s">
        <v>3164</v>
      </c>
      <c r="M724" s="11" t="str">
        <f aca="false">L724&amp;" - "&amp;N724</f>
        <v>موتور مروحة المكثف - عام</v>
      </c>
      <c r="N724" s="11" t="s">
        <v>72</v>
      </c>
      <c r="O724" s="11" t="s">
        <v>498</v>
      </c>
      <c r="P724" s="10" t="n">
        <f aca="false">G724</f>
        <v>30</v>
      </c>
      <c r="Q724" s="10" t="n">
        <f aca="false">H724</f>
        <v>20</v>
      </c>
      <c r="R724" s="10" t="n">
        <f aca="false">I724</f>
        <v>15</v>
      </c>
      <c r="S724" s="10" t="n">
        <f aca="false">J724</f>
        <v>1.8</v>
      </c>
      <c r="T724" s="12" t="s">
        <v>3105</v>
      </c>
      <c r="U724" s="12" t="s">
        <v>3165</v>
      </c>
      <c r="V724" s="9" t="str">
        <f aca="false">U724&amp;" - "&amp;W724</f>
        <v>冷凝器风扇电机 - 通用</v>
      </c>
      <c r="W724" s="12" t="s">
        <v>76</v>
      </c>
      <c r="X724" s="12" t="s">
        <v>500</v>
      </c>
      <c r="Y724" s="10" t="n">
        <f aca="false">G724</f>
        <v>30</v>
      </c>
      <c r="Z724" s="10" t="n">
        <f aca="false">H724</f>
        <v>20</v>
      </c>
      <c r="AA724" s="10" t="n">
        <f aca="false">I724</f>
        <v>15</v>
      </c>
      <c r="AB724" s="10" t="n">
        <f aca="false">J724</f>
        <v>1.8</v>
      </c>
      <c r="AC724" s="9" t="s">
        <v>3107</v>
      </c>
      <c r="AD724" s="9" t="s">
        <v>3166</v>
      </c>
      <c r="AE724" s="9" t="str">
        <f aca="false">IF($AK724=0,"",INDEX('Part types'!$T:$T,$AK724)&amp;"")</f>
        <v>All vehicles</v>
      </c>
      <c r="AF724" s="9" t="str">
        <f aca="false">IF($AK724=0,"",INDEX('Part types'!$U:$U,$AK724)&amp;"")</f>
        <v/>
      </c>
      <c r="AG724" s="9" t="str">
        <f aca="false">IF($AK724=0,"",INDEX('Part types'!$V:$V,$AK724)&amp;"")</f>
        <v>Estimate: size class M2</v>
      </c>
      <c r="AH724" s="9" t="str">
        <f aca="false">IF($AK724=0,"",INDEX('Part types'!$W:$W,$AK724)&amp;"")</f>
        <v/>
      </c>
      <c r="AI724" s="11" t="str">
        <f aca="false">IF($AK724=0,"",INDEX('Part types'!$X:$X,$AK724)&amp;"")</f>
        <v/>
      </c>
      <c r="AJ724" s="9" t="str">
        <f aca="false">IF($AK724=0,"",INDEX('Part types'!$Y:$Y,$AK724)&amp;"")</f>
        <v/>
      </c>
      <c r="AK724" s="9" t="n">
        <f aca="false">IFERROR(MATCH($AD724,'Part types'!$E:$E,0),0)</f>
        <v>515</v>
      </c>
    </row>
    <row r="725" customFormat="false" ht="15" hidden="false" customHeight="false" outlineLevel="0" collapsed="false">
      <c r="A725" s="9" t="s">
        <v>3167</v>
      </c>
      <c r="B725" s="9" t="s">
        <v>3101</v>
      </c>
      <c r="C725" s="9" t="s">
        <v>3168</v>
      </c>
      <c r="D725" s="9" t="str">
        <f aca="false">C725&amp;" - "&amp;E725</f>
        <v>Blower Motor - Universal</v>
      </c>
      <c r="E725" s="9" t="s">
        <v>68</v>
      </c>
      <c r="F725" s="9" t="s">
        <v>893</v>
      </c>
      <c r="G725" s="10" t="n">
        <f aca="false">IF($AK725=0,"",INDEX('Part types'!$P:$P,$AK725))</f>
        <v>30</v>
      </c>
      <c r="H725" s="10" t="n">
        <f aca="false">IF($AK725=0,"",INDEX('Part types'!$Q:$Q,$AK725))</f>
        <v>20</v>
      </c>
      <c r="I725" s="10" t="n">
        <f aca="false">IF($AK725=0,"",INDEX('Part types'!$R:$R,$AK725))</f>
        <v>15</v>
      </c>
      <c r="J725" s="10" t="n">
        <f aca="false">IF($AK725=0,"",INDEX('Part types'!$S:$S,$AK725))</f>
        <v>1.8</v>
      </c>
      <c r="K725" s="11" t="s">
        <v>3103</v>
      </c>
      <c r="L725" s="11" t="s">
        <v>3169</v>
      </c>
      <c r="M725" s="11" t="str">
        <f aca="false">L725&amp;" - "&amp;N725</f>
        <v>موتور مروحة التكييف - عام</v>
      </c>
      <c r="N725" s="11" t="s">
        <v>72</v>
      </c>
      <c r="O725" s="11" t="s">
        <v>895</v>
      </c>
      <c r="P725" s="10" t="n">
        <f aca="false">G725</f>
        <v>30</v>
      </c>
      <c r="Q725" s="10" t="n">
        <f aca="false">H725</f>
        <v>20</v>
      </c>
      <c r="R725" s="10" t="n">
        <f aca="false">I725</f>
        <v>15</v>
      </c>
      <c r="S725" s="10" t="n">
        <f aca="false">J725</f>
        <v>1.8</v>
      </c>
      <c r="T725" s="12" t="s">
        <v>3105</v>
      </c>
      <c r="U725" s="12" t="s">
        <v>3170</v>
      </c>
      <c r="V725" s="9" t="str">
        <f aca="false">U725&amp;" - "&amp;W725</f>
        <v>鼓风机电机 - 通用</v>
      </c>
      <c r="W725" s="12" t="s">
        <v>76</v>
      </c>
      <c r="X725" s="12" t="s">
        <v>897</v>
      </c>
      <c r="Y725" s="10" t="n">
        <f aca="false">G725</f>
        <v>30</v>
      </c>
      <c r="Z725" s="10" t="n">
        <f aca="false">H725</f>
        <v>20</v>
      </c>
      <c r="AA725" s="10" t="n">
        <f aca="false">I725</f>
        <v>15</v>
      </c>
      <c r="AB725" s="10" t="n">
        <f aca="false">J725</f>
        <v>1.8</v>
      </c>
      <c r="AC725" s="9" t="s">
        <v>3107</v>
      </c>
      <c r="AD725" s="9" t="s">
        <v>3171</v>
      </c>
      <c r="AE725" s="9" t="str">
        <f aca="false">IF($AK725=0,"",INDEX('Part types'!$T:$T,$AK725)&amp;"")</f>
        <v>All vehicles</v>
      </c>
      <c r="AF725" s="9" t="str">
        <f aca="false">IF($AK725=0,"",INDEX('Part types'!$U:$U,$AK725)&amp;"")</f>
        <v/>
      </c>
      <c r="AG725" s="9" t="str">
        <f aca="false">IF($AK725=0,"",INDEX('Part types'!$V:$V,$AK725)&amp;"")</f>
        <v>Estimate: size class M2</v>
      </c>
      <c r="AH725" s="9" t="str">
        <f aca="false">IF($AK725=0,"",INDEX('Part types'!$W:$W,$AK725)&amp;"")</f>
        <v/>
      </c>
      <c r="AI725" s="11" t="str">
        <f aca="false">IF($AK725=0,"",INDEX('Part types'!$X:$X,$AK725)&amp;"")</f>
        <v>بلور</v>
      </c>
      <c r="AJ725" s="9" t="str">
        <f aca="false">IF($AK725=0,"",INDEX('Part types'!$Y:$Y,$AK725)&amp;"")</f>
        <v/>
      </c>
      <c r="AK725" s="9" t="n">
        <f aca="false">IFERROR(MATCH($AD725,'Part types'!$E:$E,0),0)</f>
        <v>516</v>
      </c>
    </row>
    <row r="726" customFormat="false" ht="15" hidden="false" customHeight="false" outlineLevel="0" collapsed="false">
      <c r="A726" s="9" t="s">
        <v>3172</v>
      </c>
      <c r="B726" s="9" t="s">
        <v>3101</v>
      </c>
      <c r="C726" s="9" t="s">
        <v>3173</v>
      </c>
      <c r="D726" s="9" t="str">
        <f aca="false">C726&amp;" - "&amp;E726</f>
        <v>Blower Motor Resistor - Universal</v>
      </c>
      <c r="E726" s="9" t="s">
        <v>68</v>
      </c>
      <c r="F726" s="9" t="s">
        <v>893</v>
      </c>
      <c r="G726" s="10" t="n">
        <f aca="false">IF($AK726=0,"",INDEX('Part types'!$P:$P,$AK726))</f>
        <v>10</v>
      </c>
      <c r="H726" s="10" t="n">
        <f aca="false">IF($AK726=0,"",INDEX('Part types'!$Q:$Q,$AK726))</f>
        <v>8</v>
      </c>
      <c r="I726" s="10" t="n">
        <f aca="false">IF($AK726=0,"",INDEX('Part types'!$R:$R,$AK726))</f>
        <v>6</v>
      </c>
      <c r="J726" s="10" t="n">
        <f aca="false">IF($AK726=0,"",INDEX('Part types'!$S:$S,$AK726))</f>
        <v>0.1</v>
      </c>
      <c r="K726" s="11" t="s">
        <v>3103</v>
      </c>
      <c r="L726" s="11" t="s">
        <v>3174</v>
      </c>
      <c r="M726" s="11" t="str">
        <f aca="false">L726&amp;" - "&amp;N726</f>
        <v>مقاومة مروحة التكييف - عام</v>
      </c>
      <c r="N726" s="11" t="s">
        <v>72</v>
      </c>
      <c r="O726" s="11" t="s">
        <v>895</v>
      </c>
      <c r="P726" s="10" t="n">
        <f aca="false">G726</f>
        <v>10</v>
      </c>
      <c r="Q726" s="10" t="n">
        <f aca="false">H726</f>
        <v>8</v>
      </c>
      <c r="R726" s="10" t="n">
        <f aca="false">I726</f>
        <v>6</v>
      </c>
      <c r="S726" s="10" t="n">
        <f aca="false">J726</f>
        <v>0.1</v>
      </c>
      <c r="T726" s="12" t="s">
        <v>3105</v>
      </c>
      <c r="U726" s="12" t="s">
        <v>3175</v>
      </c>
      <c r="V726" s="9" t="str">
        <f aca="false">U726&amp;" - "&amp;W726</f>
        <v>鼓风机调速电阻 - 通用</v>
      </c>
      <c r="W726" s="12" t="s">
        <v>76</v>
      </c>
      <c r="X726" s="12" t="s">
        <v>897</v>
      </c>
      <c r="Y726" s="10" t="n">
        <f aca="false">G726</f>
        <v>10</v>
      </c>
      <c r="Z726" s="10" t="n">
        <f aca="false">H726</f>
        <v>8</v>
      </c>
      <c r="AA726" s="10" t="n">
        <f aca="false">I726</f>
        <v>6</v>
      </c>
      <c r="AB726" s="10" t="n">
        <f aca="false">J726</f>
        <v>0.1</v>
      </c>
      <c r="AC726" s="9" t="s">
        <v>3107</v>
      </c>
      <c r="AD726" s="9" t="s">
        <v>3176</v>
      </c>
      <c r="AE726" s="9" t="str">
        <f aca="false">IF($AK726=0,"",INDEX('Part types'!$T:$T,$AK726)&amp;"")</f>
        <v>All vehicles</v>
      </c>
      <c r="AF726" s="9" t="str">
        <f aca="false">IF($AK726=0,"",INDEX('Part types'!$U:$U,$AK726)&amp;"")</f>
        <v/>
      </c>
      <c r="AG726" s="9" t="str">
        <f aca="false">IF($AK726=0,"",INDEX('Part types'!$V:$V,$AK726)&amp;"")</f>
        <v>Estimate: size class XS</v>
      </c>
      <c r="AH726" s="9" t="str">
        <f aca="false">IF($AK726=0,"",INDEX('Part types'!$W:$W,$AK726)&amp;"")</f>
        <v/>
      </c>
      <c r="AI726" s="11" t="str">
        <f aca="false">IF($AK726=0,"",INDEX('Part types'!$X:$X,$AK726)&amp;"")</f>
        <v/>
      </c>
      <c r="AJ726" s="9" t="str">
        <f aca="false">IF($AK726=0,"",INDEX('Part types'!$Y:$Y,$AK726)&amp;"")</f>
        <v/>
      </c>
      <c r="AK726" s="9" t="n">
        <f aca="false">IFERROR(MATCH($AD726,'Part types'!$E:$E,0),0)</f>
        <v>517</v>
      </c>
    </row>
    <row r="727" customFormat="false" ht="15" hidden="false" customHeight="false" outlineLevel="0" collapsed="false">
      <c r="A727" s="9" t="s">
        <v>3177</v>
      </c>
      <c r="B727" s="9" t="s">
        <v>3101</v>
      </c>
      <c r="C727" s="9" t="s">
        <v>3178</v>
      </c>
      <c r="D727" s="9" t="str">
        <f aca="false">C727&amp;" - "&amp;E727</f>
        <v>Blower Fan Wheel - Universal</v>
      </c>
      <c r="E727" s="9" t="s">
        <v>68</v>
      </c>
      <c r="F727" s="9" t="s">
        <v>893</v>
      </c>
      <c r="G727" s="10" t="n">
        <f aca="false">IF($AK727=0,"",INDEX('Part types'!$P:$P,$AK727))</f>
        <v>15</v>
      </c>
      <c r="H727" s="10" t="n">
        <f aca="false">IF($AK727=0,"",INDEX('Part types'!$Q:$Q,$AK727))</f>
        <v>10</v>
      </c>
      <c r="I727" s="10" t="n">
        <f aca="false">IF($AK727=0,"",INDEX('Part types'!$R:$R,$AK727))</f>
        <v>8</v>
      </c>
      <c r="J727" s="10" t="n">
        <f aca="false">IF($AK727=0,"",INDEX('Part types'!$S:$S,$AK727))</f>
        <v>0.3</v>
      </c>
      <c r="K727" s="11" t="s">
        <v>3103</v>
      </c>
      <c r="L727" s="11" t="s">
        <v>3179</v>
      </c>
      <c r="M727" s="11" t="str">
        <f aca="false">L727&amp;" - "&amp;N727</f>
        <v>ريشة مروحة التكييف - عام</v>
      </c>
      <c r="N727" s="11" t="s">
        <v>72</v>
      </c>
      <c r="O727" s="11" t="s">
        <v>895</v>
      </c>
      <c r="P727" s="10" t="n">
        <f aca="false">G727</f>
        <v>15</v>
      </c>
      <c r="Q727" s="10" t="n">
        <f aca="false">H727</f>
        <v>10</v>
      </c>
      <c r="R727" s="10" t="n">
        <f aca="false">I727</f>
        <v>8</v>
      </c>
      <c r="S727" s="10" t="n">
        <f aca="false">J727</f>
        <v>0.3</v>
      </c>
      <c r="T727" s="12" t="s">
        <v>3105</v>
      </c>
      <c r="U727" s="12" t="s">
        <v>3180</v>
      </c>
      <c r="V727" s="9" t="str">
        <f aca="false">U727&amp;" - "&amp;W727</f>
        <v>鼓风机风扇叶轮 - 通用</v>
      </c>
      <c r="W727" s="12" t="s">
        <v>76</v>
      </c>
      <c r="X727" s="12" t="s">
        <v>897</v>
      </c>
      <c r="Y727" s="10" t="n">
        <f aca="false">G727</f>
        <v>15</v>
      </c>
      <c r="Z727" s="10" t="n">
        <f aca="false">H727</f>
        <v>10</v>
      </c>
      <c r="AA727" s="10" t="n">
        <f aca="false">I727</f>
        <v>8</v>
      </c>
      <c r="AB727" s="10" t="n">
        <f aca="false">J727</f>
        <v>0.3</v>
      </c>
      <c r="AC727" s="9" t="s">
        <v>3107</v>
      </c>
      <c r="AD727" s="9" t="s">
        <v>3181</v>
      </c>
      <c r="AE727" s="9" t="str">
        <f aca="false">IF($AK727=0,"",INDEX('Part types'!$T:$T,$AK727)&amp;"")</f>
        <v>All vehicles</v>
      </c>
      <c r="AF727" s="9" t="str">
        <f aca="false">IF($AK727=0,"",INDEX('Part types'!$U:$U,$AK727)&amp;"")</f>
        <v/>
      </c>
      <c r="AG727" s="9" t="str">
        <f aca="false">IF($AK727=0,"",INDEX('Part types'!$V:$V,$AK727)&amp;"")</f>
        <v>Estimate: size class S</v>
      </c>
      <c r="AH727" s="9" t="str">
        <f aca="false">IF($AK727=0,"",INDEX('Part types'!$W:$W,$AK727)&amp;"")</f>
        <v/>
      </c>
      <c r="AI727" s="11" t="str">
        <f aca="false">IF($AK727=0,"",INDEX('Part types'!$X:$X,$AK727)&amp;"")</f>
        <v/>
      </c>
      <c r="AJ727" s="9" t="str">
        <f aca="false">IF($AK727=0,"",INDEX('Part types'!$Y:$Y,$AK727)&amp;"")</f>
        <v/>
      </c>
      <c r="AK727" s="9" t="n">
        <f aca="false">IFERROR(MATCH($AD727,'Part types'!$E:$E,0),0)</f>
        <v>518</v>
      </c>
    </row>
    <row r="728" customFormat="false" ht="15" hidden="false" customHeight="false" outlineLevel="0" collapsed="false">
      <c r="A728" s="9" t="s">
        <v>3182</v>
      </c>
      <c r="B728" s="9" t="s">
        <v>3101</v>
      </c>
      <c r="C728" s="9" t="s">
        <v>3183</v>
      </c>
      <c r="D728" s="9" t="str">
        <f aca="false">C728&amp;" - "&amp;E728</f>
        <v>Heater Core - Universal</v>
      </c>
      <c r="E728" s="9" t="s">
        <v>68</v>
      </c>
      <c r="F728" s="9" t="s">
        <v>893</v>
      </c>
      <c r="G728" s="10" t="n">
        <f aca="false">IF($AK728=0,"",INDEX('Part types'!$P:$P,$AK728))</f>
        <v>25</v>
      </c>
      <c r="H728" s="10" t="n">
        <f aca="false">IF($AK728=0,"",INDEX('Part types'!$Q:$Q,$AK728))</f>
        <v>20</v>
      </c>
      <c r="I728" s="10" t="n">
        <f aca="false">IF($AK728=0,"",INDEX('Part types'!$R:$R,$AK728))</f>
        <v>5</v>
      </c>
      <c r="J728" s="10" t="n">
        <f aca="false">IF($AK728=0,"",INDEX('Part types'!$S:$S,$AK728))</f>
        <v>1.2</v>
      </c>
      <c r="K728" s="11" t="s">
        <v>3103</v>
      </c>
      <c r="L728" s="11" t="s">
        <v>3184</v>
      </c>
      <c r="M728" s="11" t="str">
        <f aca="false">L728&amp;" - "&amp;N728</f>
        <v>رديتر الهيتر - عام</v>
      </c>
      <c r="N728" s="11" t="s">
        <v>72</v>
      </c>
      <c r="O728" s="11" t="s">
        <v>895</v>
      </c>
      <c r="P728" s="10" t="n">
        <f aca="false">G728</f>
        <v>25</v>
      </c>
      <c r="Q728" s="10" t="n">
        <f aca="false">H728</f>
        <v>20</v>
      </c>
      <c r="R728" s="10" t="n">
        <f aca="false">I728</f>
        <v>5</v>
      </c>
      <c r="S728" s="10" t="n">
        <f aca="false">J728</f>
        <v>1.2</v>
      </c>
      <c r="T728" s="12" t="s">
        <v>3105</v>
      </c>
      <c r="U728" s="12" t="s">
        <v>3185</v>
      </c>
      <c r="V728" s="9" t="str">
        <f aca="false">U728&amp;" - "&amp;W728</f>
        <v>暖风水箱 - 通用</v>
      </c>
      <c r="W728" s="12" t="s">
        <v>76</v>
      </c>
      <c r="X728" s="12" t="s">
        <v>897</v>
      </c>
      <c r="Y728" s="10" t="n">
        <f aca="false">G728</f>
        <v>25</v>
      </c>
      <c r="Z728" s="10" t="n">
        <f aca="false">H728</f>
        <v>20</v>
      </c>
      <c r="AA728" s="10" t="n">
        <f aca="false">I728</f>
        <v>5</v>
      </c>
      <c r="AB728" s="10" t="n">
        <f aca="false">J728</f>
        <v>1.2</v>
      </c>
      <c r="AC728" s="9" t="s">
        <v>3107</v>
      </c>
      <c r="AD728" s="9" t="s">
        <v>3186</v>
      </c>
      <c r="AE728" s="9" t="str">
        <f aca="false">IF($AK728=0,"",INDEX('Part types'!$T:$T,$AK728)&amp;"")</f>
        <v>Combustion engine (petrol, diesel, hybrid, range extender)</v>
      </c>
      <c r="AF728" s="9" t="str">
        <f aca="false">IF($AK728=0,"",INDEX('Part types'!$U:$U,$AK728)&amp;"")</f>
        <v/>
      </c>
      <c r="AG728" s="9" t="str">
        <f aca="false">IF($AK728=0,"",INDEX('Part types'!$V:$V,$AK728)&amp;"")</f>
        <v>Estimate: item-specific</v>
      </c>
      <c r="AH728" s="9" t="str">
        <f aca="false">IF($AK728=0,"",INDEX('Part types'!$W:$W,$AK728)&amp;"")</f>
        <v/>
      </c>
      <c r="AI728" s="11" t="str">
        <f aca="false">IF($AK728=0,"",INDEX('Part types'!$X:$X,$AK728)&amp;"")</f>
        <v>مبرد التدفئة</v>
      </c>
      <c r="AJ728" s="9" t="str">
        <f aca="false">IF($AK728=0,"",INDEX('Part types'!$Y:$Y,$AK728)&amp;"")</f>
        <v/>
      </c>
      <c r="AK728" s="9" t="n">
        <f aca="false">IFERROR(MATCH($AD728,'Part types'!$E:$E,0),0)</f>
        <v>519</v>
      </c>
    </row>
    <row r="729" customFormat="false" ht="15" hidden="false" customHeight="false" outlineLevel="0" collapsed="false">
      <c r="A729" s="9" t="s">
        <v>3187</v>
      </c>
      <c r="B729" s="9" t="s">
        <v>3101</v>
      </c>
      <c r="C729" s="9" t="s">
        <v>893</v>
      </c>
      <c r="D729" s="9" t="str">
        <f aca="false">C729&amp;" - "&amp;E729</f>
        <v>HVAC Housing - Universal</v>
      </c>
      <c r="E729" s="9" t="s">
        <v>68</v>
      </c>
      <c r="F729" s="9" t="s">
        <v>893</v>
      </c>
      <c r="G729" s="10" t="n">
        <f aca="false">IF($AK729=0,"",INDEX('Part types'!$P:$P,$AK729))</f>
        <v>60</v>
      </c>
      <c r="H729" s="10" t="n">
        <f aca="false">IF($AK729=0,"",INDEX('Part types'!$Q:$Q,$AK729))</f>
        <v>40</v>
      </c>
      <c r="I729" s="10" t="n">
        <f aca="false">IF($AK729=0,"",INDEX('Part types'!$R:$R,$AK729))</f>
        <v>30</v>
      </c>
      <c r="J729" s="10" t="n">
        <f aca="false">IF($AK729=0,"",INDEX('Part types'!$S:$S,$AK729))</f>
        <v>5</v>
      </c>
      <c r="K729" s="11" t="s">
        <v>3103</v>
      </c>
      <c r="L729" s="11" t="s">
        <v>895</v>
      </c>
      <c r="M729" s="11" t="str">
        <f aca="false">L729&amp;" - "&amp;N729</f>
        <v>صندوق التكييف - عام</v>
      </c>
      <c r="N729" s="11" t="s">
        <v>72</v>
      </c>
      <c r="O729" s="11" t="s">
        <v>895</v>
      </c>
      <c r="P729" s="10" t="n">
        <f aca="false">G729</f>
        <v>60</v>
      </c>
      <c r="Q729" s="10" t="n">
        <f aca="false">H729</f>
        <v>40</v>
      </c>
      <c r="R729" s="10" t="n">
        <f aca="false">I729</f>
        <v>30</v>
      </c>
      <c r="S729" s="10" t="n">
        <f aca="false">J729</f>
        <v>5</v>
      </c>
      <c r="T729" s="12" t="s">
        <v>3105</v>
      </c>
      <c r="U729" s="12" t="s">
        <v>3188</v>
      </c>
      <c r="V729" s="9" t="str">
        <f aca="false">U729&amp;" - "&amp;W729</f>
        <v>空调箱总成 - 通用</v>
      </c>
      <c r="W729" s="12" t="s">
        <v>76</v>
      </c>
      <c r="X729" s="12" t="s">
        <v>897</v>
      </c>
      <c r="Y729" s="10" t="n">
        <f aca="false">G729</f>
        <v>60</v>
      </c>
      <c r="Z729" s="10" t="n">
        <f aca="false">H729</f>
        <v>40</v>
      </c>
      <c r="AA729" s="10" t="n">
        <f aca="false">I729</f>
        <v>30</v>
      </c>
      <c r="AB729" s="10" t="n">
        <f aca="false">J729</f>
        <v>5</v>
      </c>
      <c r="AC729" s="9" t="s">
        <v>3107</v>
      </c>
      <c r="AD729" s="9" t="s">
        <v>3189</v>
      </c>
      <c r="AE729" s="9" t="str">
        <f aca="false">IF($AK729=0,"",INDEX('Part types'!$T:$T,$AK729)&amp;"")</f>
        <v>All vehicles</v>
      </c>
      <c r="AF729" s="9" t="str">
        <f aca="false">IF($AK729=0,"",INDEX('Part types'!$U:$U,$AK729)&amp;"")</f>
        <v/>
      </c>
      <c r="AG729" s="9" t="str">
        <f aca="false">IF($AK729=0,"",INDEX('Part types'!$V:$V,$AK729)&amp;"")</f>
        <v>Estimate: item-specific</v>
      </c>
      <c r="AH729" s="9" t="str">
        <f aca="false">IF($AK729=0,"",INDEX('Part types'!$W:$W,$AK729)&amp;"")</f>
        <v/>
      </c>
      <c r="AI729" s="11" t="str">
        <f aca="false">IF($AK729=0,"",INDEX('Part types'!$X:$X,$AK729)&amp;"")</f>
        <v/>
      </c>
      <c r="AJ729" s="9" t="str">
        <f aca="false">IF($AK729=0,"",INDEX('Part types'!$Y:$Y,$AK729)&amp;"")</f>
        <v/>
      </c>
      <c r="AK729" s="9" t="n">
        <f aca="false">IFERROR(MATCH($AD729,'Part types'!$E:$E,0),0)</f>
        <v>520</v>
      </c>
    </row>
    <row r="730" customFormat="false" ht="15" hidden="false" customHeight="false" outlineLevel="0" collapsed="false">
      <c r="A730" s="9" t="s">
        <v>3190</v>
      </c>
      <c r="B730" s="9" t="s">
        <v>3101</v>
      </c>
      <c r="C730" s="9" t="s">
        <v>3191</v>
      </c>
      <c r="D730" s="9" t="str">
        <f aca="false">C730&amp;" - "&amp;E730</f>
        <v>Blend Door Actuator - Universal</v>
      </c>
      <c r="E730" s="9" t="s">
        <v>68</v>
      </c>
      <c r="F730" s="9" t="s">
        <v>893</v>
      </c>
      <c r="G730" s="10" t="n">
        <f aca="false">IF($AK730=0,"",INDEX('Part types'!$P:$P,$AK730))</f>
        <v>15</v>
      </c>
      <c r="H730" s="10" t="n">
        <f aca="false">IF($AK730=0,"",INDEX('Part types'!$Q:$Q,$AK730))</f>
        <v>10</v>
      </c>
      <c r="I730" s="10" t="n">
        <f aca="false">IF($AK730=0,"",INDEX('Part types'!$R:$R,$AK730))</f>
        <v>8</v>
      </c>
      <c r="J730" s="10" t="n">
        <f aca="false">IF($AK730=0,"",INDEX('Part types'!$S:$S,$AK730))</f>
        <v>0.3</v>
      </c>
      <c r="K730" s="11" t="s">
        <v>3103</v>
      </c>
      <c r="L730" s="11" t="s">
        <v>3192</v>
      </c>
      <c r="M730" s="11" t="str">
        <f aca="false">L730&amp;" - "&amp;N730</f>
        <v>مشغل ريشة التكييف - عام</v>
      </c>
      <c r="N730" s="11" t="s">
        <v>72</v>
      </c>
      <c r="O730" s="11" t="s">
        <v>895</v>
      </c>
      <c r="P730" s="10" t="n">
        <f aca="false">G730</f>
        <v>15</v>
      </c>
      <c r="Q730" s="10" t="n">
        <f aca="false">H730</f>
        <v>10</v>
      </c>
      <c r="R730" s="10" t="n">
        <f aca="false">I730</f>
        <v>8</v>
      </c>
      <c r="S730" s="10" t="n">
        <f aca="false">J730</f>
        <v>0.3</v>
      </c>
      <c r="T730" s="12" t="s">
        <v>3105</v>
      </c>
      <c r="U730" s="12" t="s">
        <v>3193</v>
      </c>
      <c r="V730" s="9" t="str">
        <f aca="false">U730&amp;" - "&amp;W730</f>
        <v>空调风门执行器 - 通用</v>
      </c>
      <c r="W730" s="12" t="s">
        <v>76</v>
      </c>
      <c r="X730" s="12" t="s">
        <v>897</v>
      </c>
      <c r="Y730" s="10" t="n">
        <f aca="false">G730</f>
        <v>15</v>
      </c>
      <c r="Z730" s="10" t="n">
        <f aca="false">H730</f>
        <v>10</v>
      </c>
      <c r="AA730" s="10" t="n">
        <f aca="false">I730</f>
        <v>8</v>
      </c>
      <c r="AB730" s="10" t="n">
        <f aca="false">J730</f>
        <v>0.3</v>
      </c>
      <c r="AC730" s="9" t="s">
        <v>3107</v>
      </c>
      <c r="AD730" s="9" t="s">
        <v>3194</v>
      </c>
      <c r="AE730" s="9" t="str">
        <f aca="false">IF($AK730=0,"",INDEX('Part types'!$T:$T,$AK730)&amp;"")</f>
        <v>All vehicles</v>
      </c>
      <c r="AF730" s="9" t="str">
        <f aca="false">IF($AK730=0,"",INDEX('Part types'!$U:$U,$AK730)&amp;"")</f>
        <v/>
      </c>
      <c r="AG730" s="9" t="str">
        <f aca="false">IF($AK730=0,"",INDEX('Part types'!$V:$V,$AK730)&amp;"")</f>
        <v>Estimate: size class S</v>
      </c>
      <c r="AH730" s="9" t="str">
        <f aca="false">IF($AK730=0,"",INDEX('Part types'!$W:$W,$AK730)&amp;"")</f>
        <v>HVAC Blend Door Actuator</v>
      </c>
      <c r="AI730" s="11" t="str">
        <f aca="false">IF($AK730=0,"",INDEX('Part types'!$X:$X,$AK730)&amp;"")</f>
        <v/>
      </c>
      <c r="AJ730" s="9" t="str">
        <f aca="false">IF($AK730=0,"",INDEX('Part types'!$Y:$Y,$AK730)&amp;"")</f>
        <v/>
      </c>
      <c r="AK730" s="9" t="n">
        <f aca="false">IFERROR(MATCH($AD730,'Part types'!$E:$E,0),0)</f>
        <v>521</v>
      </c>
    </row>
    <row r="731" customFormat="false" ht="15" hidden="false" customHeight="false" outlineLevel="0" collapsed="false">
      <c r="A731" s="9" t="s">
        <v>3195</v>
      </c>
      <c r="B731" s="9" t="s">
        <v>3101</v>
      </c>
      <c r="C731" s="9" t="s">
        <v>3196</v>
      </c>
      <c r="D731" s="9" t="str">
        <f aca="false">C731&amp;" - "&amp;E731</f>
        <v>HVAC Control Panel - Universal</v>
      </c>
      <c r="E731" s="9" t="s">
        <v>68</v>
      </c>
      <c r="F731" s="9" t="s">
        <v>1162</v>
      </c>
      <c r="G731" s="10" t="n">
        <f aca="false">IF($AK731=0,"",INDEX('Part types'!$P:$P,$AK731))</f>
        <v>25</v>
      </c>
      <c r="H731" s="10" t="n">
        <f aca="false">IF($AK731=0,"",INDEX('Part types'!$Q:$Q,$AK731))</f>
        <v>15</v>
      </c>
      <c r="I731" s="10" t="n">
        <f aca="false">IF($AK731=0,"",INDEX('Part types'!$R:$R,$AK731))</f>
        <v>10</v>
      </c>
      <c r="J731" s="10" t="n">
        <f aca="false">IF($AK731=0,"",INDEX('Part types'!$S:$S,$AK731))</f>
        <v>0.9</v>
      </c>
      <c r="K731" s="11" t="s">
        <v>3103</v>
      </c>
      <c r="L731" s="11" t="s">
        <v>3197</v>
      </c>
      <c r="M731" s="11" t="str">
        <f aca="false">L731&amp;" - "&amp;N731</f>
        <v>لوحة تحكم التكييف - عام</v>
      </c>
      <c r="N731" s="11" t="s">
        <v>72</v>
      </c>
      <c r="O731" s="11" t="s">
        <v>1164</v>
      </c>
      <c r="P731" s="10" t="n">
        <f aca="false">G731</f>
        <v>25</v>
      </c>
      <c r="Q731" s="10" t="n">
        <f aca="false">H731</f>
        <v>15</v>
      </c>
      <c r="R731" s="10" t="n">
        <f aca="false">I731</f>
        <v>10</v>
      </c>
      <c r="S731" s="10" t="n">
        <f aca="false">J731</f>
        <v>0.9</v>
      </c>
      <c r="T731" s="12" t="s">
        <v>3105</v>
      </c>
      <c r="U731" s="12" t="s">
        <v>3198</v>
      </c>
      <c r="V731" s="9" t="str">
        <f aca="false">U731&amp;" - "&amp;W731</f>
        <v>空调控制面板 - 通用</v>
      </c>
      <c r="W731" s="12" t="s">
        <v>76</v>
      </c>
      <c r="X731" s="12" t="s">
        <v>1166</v>
      </c>
      <c r="Y731" s="10" t="n">
        <f aca="false">G731</f>
        <v>25</v>
      </c>
      <c r="Z731" s="10" t="n">
        <f aca="false">H731</f>
        <v>15</v>
      </c>
      <c r="AA731" s="10" t="n">
        <f aca="false">I731</f>
        <v>10</v>
      </c>
      <c r="AB731" s="10" t="n">
        <f aca="false">J731</f>
        <v>0.9</v>
      </c>
      <c r="AC731" s="9" t="s">
        <v>3107</v>
      </c>
      <c r="AD731" s="9" t="s">
        <v>3199</v>
      </c>
      <c r="AE731" s="9" t="str">
        <f aca="false">IF($AK731=0,"",INDEX('Part types'!$T:$T,$AK731)&amp;"")</f>
        <v>All vehicles</v>
      </c>
      <c r="AF731" s="9" t="str">
        <f aca="false">IF($AK731=0,"",INDEX('Part types'!$U:$U,$AK731)&amp;"")</f>
        <v/>
      </c>
      <c r="AG731" s="9" t="str">
        <f aca="false">IF($AK731=0,"",INDEX('Part types'!$V:$V,$AK731)&amp;"")</f>
        <v>Estimate: size class M</v>
      </c>
      <c r="AH731" s="9" t="str">
        <f aca="false">IF($AK731=0,"",INDEX('Part types'!$W:$W,$AK731)&amp;"")</f>
        <v/>
      </c>
      <c r="AI731" s="11" t="str">
        <f aca="false">IF($AK731=0,"",INDEX('Part types'!$X:$X,$AK731)&amp;"")</f>
        <v/>
      </c>
      <c r="AJ731" s="9" t="str">
        <f aca="false">IF($AK731=0,"",INDEX('Part types'!$Y:$Y,$AK731)&amp;"")</f>
        <v/>
      </c>
      <c r="AK731" s="9" t="n">
        <f aca="false">IFERROR(MATCH($AD731,'Part types'!$E:$E,0),0)</f>
        <v>522</v>
      </c>
    </row>
    <row r="732" customFormat="false" ht="15" hidden="false" customHeight="false" outlineLevel="0" collapsed="false">
      <c r="A732" s="9" t="s">
        <v>3200</v>
      </c>
      <c r="B732" s="9" t="s">
        <v>3101</v>
      </c>
      <c r="C732" s="9" t="s">
        <v>3201</v>
      </c>
      <c r="D732" s="9" t="str">
        <f aca="false">C732&amp;" - "&amp;E732</f>
        <v>Climate Control Module - Universal</v>
      </c>
      <c r="E732" s="9" t="s">
        <v>68</v>
      </c>
      <c r="F732" s="9" t="s">
        <v>2439</v>
      </c>
      <c r="G732" s="10" t="n">
        <f aca="false">IF($AK732=0,"",INDEX('Part types'!$P:$P,$AK732))</f>
        <v>15</v>
      </c>
      <c r="H732" s="10" t="n">
        <f aca="false">IF($AK732=0,"",INDEX('Part types'!$Q:$Q,$AK732))</f>
        <v>10</v>
      </c>
      <c r="I732" s="10" t="n">
        <f aca="false">IF($AK732=0,"",INDEX('Part types'!$R:$R,$AK732))</f>
        <v>8</v>
      </c>
      <c r="J732" s="10" t="n">
        <f aca="false">IF($AK732=0,"",INDEX('Part types'!$S:$S,$AK732))</f>
        <v>0.3</v>
      </c>
      <c r="K732" s="11" t="s">
        <v>3103</v>
      </c>
      <c r="L732" s="11" t="s">
        <v>3202</v>
      </c>
      <c r="M732" s="11" t="str">
        <f aca="false">L732&amp;" - "&amp;N732</f>
        <v>وحدة التحكم بالتكييف - عام</v>
      </c>
      <c r="N732" s="11" t="s">
        <v>72</v>
      </c>
      <c r="O732" s="11" t="s">
        <v>2441</v>
      </c>
      <c r="P732" s="10" t="n">
        <f aca="false">G732</f>
        <v>15</v>
      </c>
      <c r="Q732" s="10" t="n">
        <f aca="false">H732</f>
        <v>10</v>
      </c>
      <c r="R732" s="10" t="n">
        <f aca="false">I732</f>
        <v>8</v>
      </c>
      <c r="S732" s="10" t="n">
        <f aca="false">J732</f>
        <v>0.3</v>
      </c>
      <c r="T732" s="12" t="s">
        <v>3105</v>
      </c>
      <c r="U732" s="12" t="s">
        <v>3203</v>
      </c>
      <c r="V732" s="9" t="str">
        <f aca="false">U732&amp;" - "&amp;W732</f>
        <v>空调控制器 - 通用</v>
      </c>
      <c r="W732" s="12" t="s">
        <v>76</v>
      </c>
      <c r="X732" s="12" t="s">
        <v>2443</v>
      </c>
      <c r="Y732" s="10" t="n">
        <f aca="false">G732</f>
        <v>15</v>
      </c>
      <c r="Z732" s="10" t="n">
        <f aca="false">H732</f>
        <v>10</v>
      </c>
      <c r="AA732" s="10" t="n">
        <f aca="false">I732</f>
        <v>8</v>
      </c>
      <c r="AB732" s="10" t="n">
        <f aca="false">J732</f>
        <v>0.3</v>
      </c>
      <c r="AC732" s="9" t="s">
        <v>3107</v>
      </c>
      <c r="AD732" s="9" t="s">
        <v>3204</v>
      </c>
      <c r="AE732" s="9" t="str">
        <f aca="false">IF($AK732=0,"",INDEX('Part types'!$T:$T,$AK732)&amp;"")</f>
        <v>All vehicles</v>
      </c>
      <c r="AF732" s="9" t="str">
        <f aca="false">IF($AK732=0,"",INDEX('Part types'!$U:$U,$AK732)&amp;"")</f>
        <v/>
      </c>
      <c r="AG732" s="9" t="str">
        <f aca="false">IF($AK732=0,"",INDEX('Part types'!$V:$V,$AK732)&amp;"")</f>
        <v>Estimate: size class S</v>
      </c>
      <c r="AH732" s="9" t="str">
        <f aca="false">IF($AK732=0,"",INDEX('Part types'!$W:$W,$AK732)&amp;"")</f>
        <v/>
      </c>
      <c r="AI732" s="11" t="str">
        <f aca="false">IF($AK732=0,"",INDEX('Part types'!$X:$X,$AK732)&amp;"")</f>
        <v/>
      </c>
      <c r="AJ732" s="9" t="str">
        <f aca="false">IF($AK732=0,"",INDEX('Part types'!$Y:$Y,$AK732)&amp;"")</f>
        <v/>
      </c>
      <c r="AK732" s="9" t="n">
        <f aca="false">IFERROR(MATCH($AD732,'Part types'!$E:$E,0),0)</f>
        <v>523</v>
      </c>
    </row>
    <row r="733" customFormat="false" ht="15" hidden="false" customHeight="false" outlineLevel="0" collapsed="false">
      <c r="A733" s="9" t="s">
        <v>3205</v>
      </c>
      <c r="B733" s="9" t="s">
        <v>3101</v>
      </c>
      <c r="C733" s="9" t="s">
        <v>3206</v>
      </c>
      <c r="D733" s="9" t="str">
        <f aca="false">C733&amp;" - "&amp;E733</f>
        <v>Dashboard Air Vent - Left</v>
      </c>
      <c r="E733" s="9" t="s">
        <v>218</v>
      </c>
      <c r="F733" s="9" t="s">
        <v>2439</v>
      </c>
      <c r="G733" s="10" t="n">
        <f aca="false">IF($AK733=0,"",INDEX('Part types'!$P:$P,$AK733))</f>
        <v>15</v>
      </c>
      <c r="H733" s="10" t="n">
        <f aca="false">IF($AK733=0,"",INDEX('Part types'!$Q:$Q,$AK733))</f>
        <v>10</v>
      </c>
      <c r="I733" s="10" t="n">
        <f aca="false">IF($AK733=0,"",INDEX('Part types'!$R:$R,$AK733))</f>
        <v>8</v>
      </c>
      <c r="J733" s="10" t="n">
        <f aca="false">IF($AK733=0,"",INDEX('Part types'!$S:$S,$AK733))</f>
        <v>0.3</v>
      </c>
      <c r="K733" s="11" t="s">
        <v>3103</v>
      </c>
      <c r="L733" s="11" t="s">
        <v>3207</v>
      </c>
      <c r="M733" s="11" t="str">
        <f aca="false">L733&amp;" - "&amp;N733</f>
        <v>فتحة هواء لوحة القيادة - يسار</v>
      </c>
      <c r="N733" s="11" t="s">
        <v>220</v>
      </c>
      <c r="O733" s="11" t="s">
        <v>2441</v>
      </c>
      <c r="P733" s="10" t="n">
        <f aca="false">G733</f>
        <v>15</v>
      </c>
      <c r="Q733" s="10" t="n">
        <f aca="false">H733</f>
        <v>10</v>
      </c>
      <c r="R733" s="10" t="n">
        <f aca="false">I733</f>
        <v>8</v>
      </c>
      <c r="S733" s="10" t="n">
        <f aca="false">J733</f>
        <v>0.3</v>
      </c>
      <c r="T733" s="12" t="s">
        <v>3105</v>
      </c>
      <c r="U733" s="12" t="s">
        <v>3208</v>
      </c>
      <c r="V733" s="9" t="str">
        <f aca="false">U733&amp;" - "&amp;W733</f>
        <v>仪表台出风口 - 左侧</v>
      </c>
      <c r="W733" s="12" t="s">
        <v>222</v>
      </c>
      <c r="X733" s="12" t="s">
        <v>2443</v>
      </c>
      <c r="Y733" s="10" t="n">
        <f aca="false">G733</f>
        <v>15</v>
      </c>
      <c r="Z733" s="10" t="n">
        <f aca="false">H733</f>
        <v>10</v>
      </c>
      <c r="AA733" s="10" t="n">
        <f aca="false">I733</f>
        <v>8</v>
      </c>
      <c r="AB733" s="10" t="n">
        <f aca="false">J733</f>
        <v>0.3</v>
      </c>
      <c r="AC733" s="9" t="s">
        <v>3107</v>
      </c>
      <c r="AD733" s="9" t="s">
        <v>3209</v>
      </c>
      <c r="AE733" s="9" t="str">
        <f aca="false">IF($AK733=0,"",INDEX('Part types'!$T:$T,$AK733)&amp;"")</f>
        <v>All vehicles</v>
      </c>
      <c r="AF733" s="9" t="str">
        <f aca="false">IF($AK733=0,"",INDEX('Part types'!$U:$U,$AK733)&amp;"")</f>
        <v/>
      </c>
      <c r="AG733" s="9" t="str">
        <f aca="false">IF($AK733=0,"",INDEX('Part types'!$V:$V,$AK733)&amp;"")</f>
        <v>Estimate: size class S</v>
      </c>
      <c r="AH733" s="9" t="str">
        <f aca="false">IF($AK733=0,"",INDEX('Part types'!$W:$W,$AK733)&amp;"")</f>
        <v/>
      </c>
      <c r="AI733" s="11" t="str">
        <f aca="false">IF($AK733=0,"",INDEX('Part types'!$X:$X,$AK733)&amp;"")</f>
        <v/>
      </c>
      <c r="AJ733" s="9" t="str">
        <f aca="false">IF($AK733=0,"",INDEX('Part types'!$Y:$Y,$AK733)&amp;"")</f>
        <v/>
      </c>
      <c r="AK733" s="9" t="n">
        <f aca="false">IFERROR(MATCH($AD733,'Part types'!$E:$E,0),0)</f>
        <v>524</v>
      </c>
    </row>
    <row r="734" customFormat="false" ht="15" hidden="false" customHeight="false" outlineLevel="0" collapsed="false">
      <c r="A734" s="9" t="s">
        <v>3210</v>
      </c>
      <c r="B734" s="9" t="s">
        <v>3101</v>
      </c>
      <c r="C734" s="9" t="s">
        <v>3206</v>
      </c>
      <c r="D734" s="9" t="str">
        <f aca="false">C734&amp;" - "&amp;E734</f>
        <v>Dashboard Air Vent - Right</v>
      </c>
      <c r="E734" s="9" t="s">
        <v>225</v>
      </c>
      <c r="F734" s="9" t="s">
        <v>2439</v>
      </c>
      <c r="G734" s="10" t="n">
        <f aca="false">IF($AK734=0,"",INDEX('Part types'!$P:$P,$AK734))</f>
        <v>15</v>
      </c>
      <c r="H734" s="10" t="n">
        <f aca="false">IF($AK734=0,"",INDEX('Part types'!$Q:$Q,$AK734))</f>
        <v>10</v>
      </c>
      <c r="I734" s="10" t="n">
        <f aca="false">IF($AK734=0,"",INDEX('Part types'!$R:$R,$AK734))</f>
        <v>8</v>
      </c>
      <c r="J734" s="10" t="n">
        <f aca="false">IF($AK734=0,"",INDEX('Part types'!$S:$S,$AK734))</f>
        <v>0.3</v>
      </c>
      <c r="K734" s="11" t="s">
        <v>3103</v>
      </c>
      <c r="L734" s="11" t="s">
        <v>3207</v>
      </c>
      <c r="M734" s="11" t="str">
        <f aca="false">L734&amp;" - "&amp;N734</f>
        <v>فتحة هواء لوحة القيادة - يمين</v>
      </c>
      <c r="N734" s="11" t="s">
        <v>226</v>
      </c>
      <c r="O734" s="11" t="s">
        <v>2441</v>
      </c>
      <c r="P734" s="10" t="n">
        <f aca="false">G734</f>
        <v>15</v>
      </c>
      <c r="Q734" s="10" t="n">
        <f aca="false">H734</f>
        <v>10</v>
      </c>
      <c r="R734" s="10" t="n">
        <f aca="false">I734</f>
        <v>8</v>
      </c>
      <c r="S734" s="10" t="n">
        <f aca="false">J734</f>
        <v>0.3</v>
      </c>
      <c r="T734" s="12" t="s">
        <v>3105</v>
      </c>
      <c r="U734" s="12" t="s">
        <v>3208</v>
      </c>
      <c r="V734" s="9" t="str">
        <f aca="false">U734&amp;" - "&amp;W734</f>
        <v>仪表台出风口 - 右侧</v>
      </c>
      <c r="W734" s="12" t="s">
        <v>227</v>
      </c>
      <c r="X734" s="12" t="s">
        <v>2443</v>
      </c>
      <c r="Y734" s="10" t="n">
        <f aca="false">G734</f>
        <v>15</v>
      </c>
      <c r="Z734" s="10" t="n">
        <f aca="false">H734</f>
        <v>10</v>
      </c>
      <c r="AA734" s="10" t="n">
        <f aca="false">I734</f>
        <v>8</v>
      </c>
      <c r="AB734" s="10" t="n">
        <f aca="false">J734</f>
        <v>0.3</v>
      </c>
      <c r="AC734" s="9" t="s">
        <v>3107</v>
      </c>
      <c r="AD734" s="9" t="s">
        <v>3209</v>
      </c>
      <c r="AE734" s="9" t="str">
        <f aca="false">IF($AK734=0,"",INDEX('Part types'!$T:$T,$AK734)&amp;"")</f>
        <v>All vehicles</v>
      </c>
      <c r="AF734" s="9" t="str">
        <f aca="false">IF($AK734=0,"",INDEX('Part types'!$U:$U,$AK734)&amp;"")</f>
        <v/>
      </c>
      <c r="AG734" s="9" t="str">
        <f aca="false">IF($AK734=0,"",INDEX('Part types'!$V:$V,$AK734)&amp;"")</f>
        <v>Estimate: size class S</v>
      </c>
      <c r="AH734" s="9" t="str">
        <f aca="false">IF($AK734=0,"",INDEX('Part types'!$W:$W,$AK734)&amp;"")</f>
        <v/>
      </c>
      <c r="AI734" s="11" t="str">
        <f aca="false">IF($AK734=0,"",INDEX('Part types'!$X:$X,$AK734)&amp;"")</f>
        <v/>
      </c>
      <c r="AJ734" s="9" t="str">
        <f aca="false">IF($AK734=0,"",INDEX('Part types'!$Y:$Y,$AK734)&amp;"")</f>
        <v/>
      </c>
      <c r="AK734" s="9" t="n">
        <f aca="false">IFERROR(MATCH($AD734,'Part types'!$E:$E,0),0)</f>
        <v>524</v>
      </c>
    </row>
    <row r="735" customFormat="false" ht="15" hidden="false" customHeight="false" outlineLevel="0" collapsed="false">
      <c r="A735" s="9" t="s">
        <v>3211</v>
      </c>
      <c r="B735" s="9" t="s">
        <v>3101</v>
      </c>
      <c r="C735" s="9" t="s">
        <v>3212</v>
      </c>
      <c r="D735" s="9" t="str">
        <f aca="false">C735&amp;" - "&amp;E735</f>
        <v>Console Air Vent - Universal</v>
      </c>
      <c r="E735" s="9" t="s">
        <v>68</v>
      </c>
      <c r="F735" s="9" t="s">
        <v>1162</v>
      </c>
      <c r="G735" s="10" t="n">
        <f aca="false">IF($AK735=0,"",INDEX('Part types'!$P:$P,$AK735))</f>
        <v>15</v>
      </c>
      <c r="H735" s="10" t="n">
        <f aca="false">IF($AK735=0,"",INDEX('Part types'!$Q:$Q,$AK735))</f>
        <v>10</v>
      </c>
      <c r="I735" s="10" t="n">
        <f aca="false">IF($AK735=0,"",INDEX('Part types'!$R:$R,$AK735))</f>
        <v>8</v>
      </c>
      <c r="J735" s="10" t="n">
        <f aca="false">IF($AK735=0,"",INDEX('Part types'!$S:$S,$AK735))</f>
        <v>0.3</v>
      </c>
      <c r="K735" s="11" t="s">
        <v>3103</v>
      </c>
      <c r="L735" s="11" t="s">
        <v>3213</v>
      </c>
      <c r="M735" s="11" t="str">
        <f aca="false">L735&amp;" - "&amp;N735</f>
        <v>فتحة هواء الكونسول - عام</v>
      </c>
      <c r="N735" s="11" t="s">
        <v>72</v>
      </c>
      <c r="O735" s="11" t="s">
        <v>1164</v>
      </c>
      <c r="P735" s="10" t="n">
        <f aca="false">G735</f>
        <v>15</v>
      </c>
      <c r="Q735" s="10" t="n">
        <f aca="false">H735</f>
        <v>10</v>
      </c>
      <c r="R735" s="10" t="n">
        <f aca="false">I735</f>
        <v>8</v>
      </c>
      <c r="S735" s="10" t="n">
        <f aca="false">J735</f>
        <v>0.3</v>
      </c>
      <c r="T735" s="12" t="s">
        <v>3105</v>
      </c>
      <c r="U735" s="12" t="s">
        <v>3214</v>
      </c>
      <c r="V735" s="9" t="str">
        <f aca="false">U735&amp;" - "&amp;W735</f>
        <v>中控台出风口 - 通用</v>
      </c>
      <c r="W735" s="12" t="s">
        <v>76</v>
      </c>
      <c r="X735" s="12" t="s">
        <v>1166</v>
      </c>
      <c r="Y735" s="10" t="n">
        <f aca="false">G735</f>
        <v>15</v>
      </c>
      <c r="Z735" s="10" t="n">
        <f aca="false">H735</f>
        <v>10</v>
      </c>
      <c r="AA735" s="10" t="n">
        <f aca="false">I735</f>
        <v>8</v>
      </c>
      <c r="AB735" s="10" t="n">
        <f aca="false">J735</f>
        <v>0.3</v>
      </c>
      <c r="AC735" s="9" t="s">
        <v>3107</v>
      </c>
      <c r="AD735" s="9" t="s">
        <v>3215</v>
      </c>
      <c r="AE735" s="9" t="str">
        <f aca="false">IF($AK735=0,"",INDEX('Part types'!$T:$T,$AK735)&amp;"")</f>
        <v>All vehicles</v>
      </c>
      <c r="AF735" s="9" t="str">
        <f aca="false">IF($AK735=0,"",INDEX('Part types'!$U:$U,$AK735)&amp;"")</f>
        <v/>
      </c>
      <c r="AG735" s="9" t="str">
        <f aca="false">IF($AK735=0,"",INDEX('Part types'!$V:$V,$AK735)&amp;"")</f>
        <v>Estimate: size class S</v>
      </c>
      <c r="AH735" s="9" t="str">
        <f aca="false">IF($AK735=0,"",INDEX('Part types'!$W:$W,$AK735)&amp;"")</f>
        <v/>
      </c>
      <c r="AI735" s="11" t="str">
        <f aca="false">IF($AK735=0,"",INDEX('Part types'!$X:$X,$AK735)&amp;"")</f>
        <v/>
      </c>
      <c r="AJ735" s="9" t="str">
        <f aca="false">IF($AK735=0,"",INDEX('Part types'!$Y:$Y,$AK735)&amp;"")</f>
        <v/>
      </c>
      <c r="AK735" s="9" t="n">
        <f aca="false">IFERROR(MATCH($AD735,'Part types'!$E:$E,0),0)</f>
        <v>525</v>
      </c>
    </row>
    <row r="736" customFormat="false" ht="15" hidden="false" customHeight="false" outlineLevel="0" collapsed="false">
      <c r="A736" s="9" t="s">
        <v>3216</v>
      </c>
      <c r="B736" s="9" t="s">
        <v>3217</v>
      </c>
      <c r="C736" s="9" t="s">
        <v>3218</v>
      </c>
      <c r="D736" s="9" t="str">
        <f aca="false">C736&amp;" - "&amp;E736</f>
        <v>Wiper Blade Set - Front</v>
      </c>
      <c r="E736" s="9" t="s">
        <v>161</v>
      </c>
      <c r="F736" s="9" t="s">
        <v>3219</v>
      </c>
      <c r="G736" s="10" t="n">
        <f aca="false">IF($AK736=0,"",INDEX('Part types'!$P:$P,$AK736))</f>
        <v>25</v>
      </c>
      <c r="H736" s="10" t="n">
        <f aca="false">IF($AK736=0,"",INDEX('Part types'!$Q:$Q,$AK736))</f>
        <v>15</v>
      </c>
      <c r="I736" s="10" t="n">
        <f aca="false">IF($AK736=0,"",INDEX('Part types'!$R:$R,$AK736))</f>
        <v>10</v>
      </c>
      <c r="J736" s="10" t="n">
        <f aca="false">IF($AK736=0,"",INDEX('Part types'!$S:$S,$AK736))</f>
        <v>0.9</v>
      </c>
      <c r="K736" s="11" t="s">
        <v>3220</v>
      </c>
      <c r="L736" s="11" t="s">
        <v>3221</v>
      </c>
      <c r="M736" s="11" t="str">
        <f aca="false">L736&amp;" - "&amp;N736</f>
        <v>طقم مساحات - أمامي</v>
      </c>
      <c r="N736" s="11" t="s">
        <v>163</v>
      </c>
      <c r="O736" s="11" t="s">
        <v>3222</v>
      </c>
      <c r="P736" s="10" t="n">
        <f aca="false">G736</f>
        <v>25</v>
      </c>
      <c r="Q736" s="10" t="n">
        <f aca="false">H736</f>
        <v>15</v>
      </c>
      <c r="R736" s="10" t="n">
        <f aca="false">I736</f>
        <v>10</v>
      </c>
      <c r="S736" s="10" t="n">
        <f aca="false">J736</f>
        <v>0.9</v>
      </c>
      <c r="T736" s="12" t="s">
        <v>3223</v>
      </c>
      <c r="U736" s="12" t="s">
        <v>3224</v>
      </c>
      <c r="V736" s="9" t="str">
        <f aca="false">U736&amp;" - "&amp;W736</f>
        <v>雨刮片套装 - 前部</v>
      </c>
      <c r="W736" s="12" t="s">
        <v>165</v>
      </c>
      <c r="X736" s="12" t="s">
        <v>3225</v>
      </c>
      <c r="Y736" s="10" t="n">
        <f aca="false">G736</f>
        <v>25</v>
      </c>
      <c r="Z736" s="10" t="n">
        <f aca="false">H736</f>
        <v>15</v>
      </c>
      <c r="AA736" s="10" t="n">
        <f aca="false">I736</f>
        <v>10</v>
      </c>
      <c r="AB736" s="10" t="n">
        <f aca="false">J736</f>
        <v>0.9</v>
      </c>
      <c r="AC736" s="9" t="s">
        <v>3226</v>
      </c>
      <c r="AD736" s="9" t="s">
        <v>3227</v>
      </c>
      <c r="AE736" s="9" t="str">
        <f aca="false">IF($AK736=0,"",INDEX('Part types'!$T:$T,$AK736)&amp;"")</f>
        <v>All vehicles</v>
      </c>
      <c r="AF736" s="9" t="str">
        <f aca="false">IF($AK736=0,"",INDEX('Part types'!$U:$U,$AK736)&amp;"")</f>
        <v/>
      </c>
      <c r="AG736" s="9" t="str">
        <f aca="false">IF($AK736=0,"",INDEX('Part types'!$V:$V,$AK736)&amp;"")</f>
        <v>Estimate: size class M</v>
      </c>
      <c r="AH736" s="9" t="str">
        <f aca="false">IF($AK736=0,"",INDEX('Part types'!$W:$W,$AK736)&amp;"")</f>
        <v>Pair</v>
      </c>
      <c r="AI736" s="11" t="str">
        <f aca="false">IF($AK736=0,"",INDEX('Part types'!$X:$X,$AK736)&amp;"")</f>
        <v>زوج</v>
      </c>
      <c r="AJ736" s="9" t="str">
        <f aca="false">IF($AK736=0,"",INDEX('Part types'!$Y:$Y,$AK736)&amp;"")</f>
        <v>一对</v>
      </c>
      <c r="AK736" s="9" t="n">
        <f aca="false">IFERROR(MATCH($AD736,'Part types'!$E:$E,0),0)</f>
        <v>526</v>
      </c>
    </row>
    <row r="737" customFormat="false" ht="15" hidden="false" customHeight="false" outlineLevel="0" collapsed="false">
      <c r="A737" s="9" t="s">
        <v>3228</v>
      </c>
      <c r="B737" s="9" t="s">
        <v>3217</v>
      </c>
      <c r="C737" s="9" t="s">
        <v>3229</v>
      </c>
      <c r="D737" s="9" t="str">
        <f aca="false">C737&amp;" - "&amp;E737</f>
        <v>Wiper Blade - Rear</v>
      </c>
      <c r="E737" s="9" t="s">
        <v>168</v>
      </c>
      <c r="F737" s="9" t="s">
        <v>3219</v>
      </c>
      <c r="G737" s="10" t="n">
        <f aca="false">IF($AK737=0,"",INDEX('Part types'!$P:$P,$AK737))</f>
        <v>15</v>
      </c>
      <c r="H737" s="10" t="n">
        <f aca="false">IF($AK737=0,"",INDEX('Part types'!$Q:$Q,$AK737))</f>
        <v>10</v>
      </c>
      <c r="I737" s="10" t="n">
        <f aca="false">IF($AK737=0,"",INDEX('Part types'!$R:$R,$AK737))</f>
        <v>8</v>
      </c>
      <c r="J737" s="10" t="n">
        <f aca="false">IF($AK737=0,"",INDEX('Part types'!$S:$S,$AK737))</f>
        <v>0.3</v>
      </c>
      <c r="K737" s="11" t="s">
        <v>3220</v>
      </c>
      <c r="L737" s="11" t="s">
        <v>3230</v>
      </c>
      <c r="M737" s="11" t="str">
        <f aca="false">L737&amp;" - "&amp;N737</f>
        <v>شفرة مساحة - خلفي</v>
      </c>
      <c r="N737" s="11" t="s">
        <v>169</v>
      </c>
      <c r="O737" s="11" t="s">
        <v>3222</v>
      </c>
      <c r="P737" s="10" t="n">
        <f aca="false">G737</f>
        <v>15</v>
      </c>
      <c r="Q737" s="10" t="n">
        <f aca="false">H737</f>
        <v>10</v>
      </c>
      <c r="R737" s="10" t="n">
        <f aca="false">I737</f>
        <v>8</v>
      </c>
      <c r="S737" s="10" t="n">
        <f aca="false">J737</f>
        <v>0.3</v>
      </c>
      <c r="T737" s="12" t="s">
        <v>3223</v>
      </c>
      <c r="U737" s="12" t="s">
        <v>3231</v>
      </c>
      <c r="V737" s="9" t="str">
        <f aca="false">U737&amp;" - "&amp;W737</f>
        <v>雨刮片 - 后部</v>
      </c>
      <c r="W737" s="12" t="s">
        <v>170</v>
      </c>
      <c r="X737" s="12" t="s">
        <v>3225</v>
      </c>
      <c r="Y737" s="10" t="n">
        <f aca="false">G737</f>
        <v>15</v>
      </c>
      <c r="Z737" s="10" t="n">
        <f aca="false">H737</f>
        <v>10</v>
      </c>
      <c r="AA737" s="10" t="n">
        <f aca="false">I737</f>
        <v>8</v>
      </c>
      <c r="AB737" s="10" t="n">
        <f aca="false">J737</f>
        <v>0.3</v>
      </c>
      <c r="AC737" s="9" t="s">
        <v>3226</v>
      </c>
      <c r="AD737" s="9" t="s">
        <v>3232</v>
      </c>
      <c r="AE737" s="9" t="str">
        <f aca="false">IF($AK737=0,"",INDEX('Part types'!$T:$T,$AK737)&amp;"")</f>
        <v>All vehicles</v>
      </c>
      <c r="AF737" s="9" t="str">
        <f aca="false">IF($AK737=0,"",INDEX('Part types'!$U:$U,$AK737)&amp;"")</f>
        <v/>
      </c>
      <c r="AG737" s="9" t="str">
        <f aca="false">IF($AK737=0,"",INDEX('Part types'!$V:$V,$AK737)&amp;"")</f>
        <v>Estimate: size class S</v>
      </c>
      <c r="AH737" s="9" t="str">
        <f aca="false">IF($AK737=0,"",INDEX('Part types'!$W:$W,$AK737)&amp;"")</f>
        <v/>
      </c>
      <c r="AI737" s="11" t="str">
        <f aca="false">IF($AK737=0,"",INDEX('Part types'!$X:$X,$AK737)&amp;"")</f>
        <v>ريشة</v>
      </c>
      <c r="AJ737" s="9" t="str">
        <f aca="false">IF($AK737=0,"",INDEX('Part types'!$Y:$Y,$AK737)&amp;"")</f>
        <v/>
      </c>
      <c r="AK737" s="9" t="n">
        <f aca="false">IFERROR(MATCH($AD737,'Part types'!$E:$E,0),0)</f>
        <v>527</v>
      </c>
    </row>
    <row r="738" customFormat="false" ht="15" hidden="false" customHeight="false" outlineLevel="0" collapsed="false">
      <c r="A738" s="9" t="s">
        <v>3233</v>
      </c>
      <c r="B738" s="9" t="s">
        <v>3217</v>
      </c>
      <c r="C738" s="9" t="s">
        <v>3234</v>
      </c>
      <c r="D738" s="9" t="str">
        <f aca="false">C738&amp;" - "&amp;E738</f>
        <v>Blade Refill Rubber - Front</v>
      </c>
      <c r="E738" s="9" t="s">
        <v>161</v>
      </c>
      <c r="F738" s="9" t="s">
        <v>3219</v>
      </c>
      <c r="G738" s="10" t="n">
        <f aca="false">IF($AK738=0,"",INDEX('Part types'!$P:$P,$AK738))</f>
        <v>15</v>
      </c>
      <c r="H738" s="10" t="n">
        <f aca="false">IF($AK738=0,"",INDEX('Part types'!$Q:$Q,$AK738))</f>
        <v>10</v>
      </c>
      <c r="I738" s="10" t="n">
        <f aca="false">IF($AK738=0,"",INDEX('Part types'!$R:$R,$AK738))</f>
        <v>8</v>
      </c>
      <c r="J738" s="10" t="n">
        <f aca="false">IF($AK738=0,"",INDEX('Part types'!$S:$S,$AK738))</f>
        <v>0.3</v>
      </c>
      <c r="K738" s="11" t="s">
        <v>3220</v>
      </c>
      <c r="L738" s="11" t="s">
        <v>3235</v>
      </c>
      <c r="M738" s="11" t="str">
        <f aca="false">L738&amp;" - "&amp;N738</f>
        <v>مطاط مساحة - أمامي</v>
      </c>
      <c r="N738" s="11" t="s">
        <v>163</v>
      </c>
      <c r="O738" s="11" t="s">
        <v>3222</v>
      </c>
      <c r="P738" s="10" t="n">
        <f aca="false">G738</f>
        <v>15</v>
      </c>
      <c r="Q738" s="10" t="n">
        <f aca="false">H738</f>
        <v>10</v>
      </c>
      <c r="R738" s="10" t="n">
        <f aca="false">I738</f>
        <v>8</v>
      </c>
      <c r="S738" s="10" t="n">
        <f aca="false">J738</f>
        <v>0.3</v>
      </c>
      <c r="T738" s="12" t="s">
        <v>3223</v>
      </c>
      <c r="U738" s="12" t="s">
        <v>3236</v>
      </c>
      <c r="V738" s="9" t="str">
        <f aca="false">U738&amp;" - "&amp;W738</f>
        <v>雨刮胶条 - 前部</v>
      </c>
      <c r="W738" s="12" t="s">
        <v>165</v>
      </c>
      <c r="X738" s="12" t="s">
        <v>3225</v>
      </c>
      <c r="Y738" s="10" t="n">
        <f aca="false">G738</f>
        <v>15</v>
      </c>
      <c r="Z738" s="10" t="n">
        <f aca="false">H738</f>
        <v>10</v>
      </c>
      <c r="AA738" s="10" t="n">
        <f aca="false">I738</f>
        <v>8</v>
      </c>
      <c r="AB738" s="10" t="n">
        <f aca="false">J738</f>
        <v>0.3</v>
      </c>
      <c r="AC738" s="9" t="s">
        <v>3226</v>
      </c>
      <c r="AD738" s="9" t="s">
        <v>3237</v>
      </c>
      <c r="AE738" s="9" t="str">
        <f aca="false">IF($AK738=0,"",INDEX('Part types'!$T:$T,$AK738)&amp;"")</f>
        <v>All vehicles</v>
      </c>
      <c r="AF738" s="9" t="str">
        <f aca="false">IF($AK738=0,"",INDEX('Part types'!$U:$U,$AK738)&amp;"")</f>
        <v/>
      </c>
      <c r="AG738" s="9" t="str">
        <f aca="false">IF($AK738=0,"",INDEX('Part types'!$V:$V,$AK738)&amp;"")</f>
        <v>Estimate: size class S</v>
      </c>
      <c r="AH738" s="9" t="str">
        <f aca="false">IF($AK738=0,"",INDEX('Part types'!$W:$W,$AK738)&amp;"")</f>
        <v>Wiper Blade Refill Rubber</v>
      </c>
      <c r="AI738" s="11" t="str">
        <f aca="false">IF($AK738=0,"",INDEX('Part types'!$X:$X,$AK738)&amp;"")</f>
        <v>ريفيل</v>
      </c>
      <c r="AJ738" s="9" t="str">
        <f aca="false">IF($AK738=0,"",INDEX('Part types'!$Y:$Y,$AK738)&amp;"")</f>
        <v/>
      </c>
      <c r="AK738" s="9" t="n">
        <f aca="false">IFERROR(MATCH($AD738,'Part types'!$E:$E,0),0)</f>
        <v>528</v>
      </c>
    </row>
    <row r="739" customFormat="false" ht="15" hidden="false" customHeight="false" outlineLevel="0" collapsed="false">
      <c r="A739" s="9" t="s">
        <v>3238</v>
      </c>
      <c r="B739" s="9" t="s">
        <v>3217</v>
      </c>
      <c r="C739" s="9" t="s">
        <v>3234</v>
      </c>
      <c r="D739" s="9" t="str">
        <f aca="false">C739&amp;" - "&amp;E739</f>
        <v>Blade Refill Rubber - Rear</v>
      </c>
      <c r="E739" s="9" t="s">
        <v>168</v>
      </c>
      <c r="F739" s="9" t="s">
        <v>3219</v>
      </c>
      <c r="G739" s="10" t="n">
        <f aca="false">IF($AK739=0,"",INDEX('Part types'!$P:$P,$AK739))</f>
        <v>15</v>
      </c>
      <c r="H739" s="10" t="n">
        <f aca="false">IF($AK739=0,"",INDEX('Part types'!$Q:$Q,$AK739))</f>
        <v>10</v>
      </c>
      <c r="I739" s="10" t="n">
        <f aca="false">IF($AK739=0,"",INDEX('Part types'!$R:$R,$AK739))</f>
        <v>8</v>
      </c>
      <c r="J739" s="10" t="n">
        <f aca="false">IF($AK739=0,"",INDEX('Part types'!$S:$S,$AK739))</f>
        <v>0.3</v>
      </c>
      <c r="K739" s="11" t="s">
        <v>3220</v>
      </c>
      <c r="L739" s="11" t="s">
        <v>3235</v>
      </c>
      <c r="M739" s="11" t="str">
        <f aca="false">L739&amp;" - "&amp;N739</f>
        <v>مطاط مساحة - خلفي</v>
      </c>
      <c r="N739" s="11" t="s">
        <v>169</v>
      </c>
      <c r="O739" s="11" t="s">
        <v>3222</v>
      </c>
      <c r="P739" s="10" t="n">
        <f aca="false">G739</f>
        <v>15</v>
      </c>
      <c r="Q739" s="10" t="n">
        <f aca="false">H739</f>
        <v>10</v>
      </c>
      <c r="R739" s="10" t="n">
        <f aca="false">I739</f>
        <v>8</v>
      </c>
      <c r="S739" s="10" t="n">
        <f aca="false">J739</f>
        <v>0.3</v>
      </c>
      <c r="T739" s="12" t="s">
        <v>3223</v>
      </c>
      <c r="U739" s="12" t="s">
        <v>3236</v>
      </c>
      <c r="V739" s="9" t="str">
        <f aca="false">U739&amp;" - "&amp;W739</f>
        <v>雨刮胶条 - 后部</v>
      </c>
      <c r="W739" s="12" t="s">
        <v>170</v>
      </c>
      <c r="X739" s="12" t="s">
        <v>3225</v>
      </c>
      <c r="Y739" s="10" t="n">
        <f aca="false">G739</f>
        <v>15</v>
      </c>
      <c r="Z739" s="10" t="n">
        <f aca="false">H739</f>
        <v>10</v>
      </c>
      <c r="AA739" s="10" t="n">
        <f aca="false">I739</f>
        <v>8</v>
      </c>
      <c r="AB739" s="10" t="n">
        <f aca="false">J739</f>
        <v>0.3</v>
      </c>
      <c r="AC739" s="9" t="s">
        <v>3226</v>
      </c>
      <c r="AD739" s="9" t="s">
        <v>3237</v>
      </c>
      <c r="AE739" s="9" t="str">
        <f aca="false">IF($AK739=0,"",INDEX('Part types'!$T:$T,$AK739)&amp;"")</f>
        <v>All vehicles</v>
      </c>
      <c r="AF739" s="9" t="str">
        <f aca="false">IF($AK739=0,"",INDEX('Part types'!$U:$U,$AK739)&amp;"")</f>
        <v/>
      </c>
      <c r="AG739" s="9" t="str">
        <f aca="false">IF($AK739=0,"",INDEX('Part types'!$V:$V,$AK739)&amp;"")</f>
        <v>Estimate: size class S</v>
      </c>
      <c r="AH739" s="9" t="str">
        <f aca="false">IF($AK739=0,"",INDEX('Part types'!$W:$W,$AK739)&amp;"")</f>
        <v>Wiper Blade Refill Rubber</v>
      </c>
      <c r="AI739" s="11" t="str">
        <f aca="false">IF($AK739=0,"",INDEX('Part types'!$X:$X,$AK739)&amp;"")</f>
        <v>ريفيل</v>
      </c>
      <c r="AJ739" s="9" t="str">
        <f aca="false">IF($AK739=0,"",INDEX('Part types'!$Y:$Y,$AK739)&amp;"")</f>
        <v/>
      </c>
      <c r="AK739" s="9" t="n">
        <f aca="false">IFERROR(MATCH($AD739,'Part types'!$E:$E,0),0)</f>
        <v>528</v>
      </c>
    </row>
    <row r="740" customFormat="false" ht="15" hidden="false" customHeight="false" outlineLevel="0" collapsed="false">
      <c r="A740" s="9" t="s">
        <v>3239</v>
      </c>
      <c r="B740" s="9" t="s">
        <v>3217</v>
      </c>
      <c r="C740" s="9" t="s">
        <v>3240</v>
      </c>
      <c r="D740" s="9" t="str">
        <f aca="false">C740&amp;" - "&amp;E740</f>
        <v>Wiper Arm - Left</v>
      </c>
      <c r="E740" s="9" t="s">
        <v>218</v>
      </c>
      <c r="F740" s="9" t="s">
        <v>3219</v>
      </c>
      <c r="G740" s="10" t="n">
        <f aca="false">IF($AK740=0,"",INDEX('Part types'!$P:$P,$AK740))</f>
        <v>15</v>
      </c>
      <c r="H740" s="10" t="n">
        <f aca="false">IF($AK740=0,"",INDEX('Part types'!$Q:$Q,$AK740))</f>
        <v>10</v>
      </c>
      <c r="I740" s="10" t="n">
        <f aca="false">IF($AK740=0,"",INDEX('Part types'!$R:$R,$AK740))</f>
        <v>8</v>
      </c>
      <c r="J740" s="10" t="n">
        <f aca="false">IF($AK740=0,"",INDEX('Part types'!$S:$S,$AK740))</f>
        <v>0.3</v>
      </c>
      <c r="K740" s="11" t="s">
        <v>3220</v>
      </c>
      <c r="L740" s="11" t="s">
        <v>3241</v>
      </c>
      <c r="M740" s="11" t="str">
        <f aca="false">L740&amp;" - "&amp;N740</f>
        <v>ذراع المساحة - يسار</v>
      </c>
      <c r="N740" s="11" t="s">
        <v>220</v>
      </c>
      <c r="O740" s="11" t="s">
        <v>3222</v>
      </c>
      <c r="P740" s="10" t="n">
        <f aca="false">G740</f>
        <v>15</v>
      </c>
      <c r="Q740" s="10" t="n">
        <f aca="false">H740</f>
        <v>10</v>
      </c>
      <c r="R740" s="10" t="n">
        <f aca="false">I740</f>
        <v>8</v>
      </c>
      <c r="S740" s="10" t="n">
        <f aca="false">J740</f>
        <v>0.3</v>
      </c>
      <c r="T740" s="12" t="s">
        <v>3223</v>
      </c>
      <c r="U740" s="12" t="s">
        <v>3242</v>
      </c>
      <c r="V740" s="9" t="str">
        <f aca="false">U740&amp;" - "&amp;W740</f>
        <v>雨刮臂 - 左侧</v>
      </c>
      <c r="W740" s="12" t="s">
        <v>222</v>
      </c>
      <c r="X740" s="12" t="s">
        <v>3225</v>
      </c>
      <c r="Y740" s="10" t="n">
        <f aca="false">G740</f>
        <v>15</v>
      </c>
      <c r="Z740" s="10" t="n">
        <f aca="false">H740</f>
        <v>10</v>
      </c>
      <c r="AA740" s="10" t="n">
        <f aca="false">I740</f>
        <v>8</v>
      </c>
      <c r="AB740" s="10" t="n">
        <f aca="false">J740</f>
        <v>0.3</v>
      </c>
      <c r="AC740" s="9" t="s">
        <v>3226</v>
      </c>
      <c r="AD740" s="9" t="s">
        <v>3243</v>
      </c>
      <c r="AE740" s="9" t="str">
        <f aca="false">IF($AK740=0,"",INDEX('Part types'!$T:$T,$AK740)&amp;"")</f>
        <v>All vehicles</v>
      </c>
      <c r="AF740" s="9" t="str">
        <f aca="false">IF($AK740=0,"",INDEX('Part types'!$U:$U,$AK740)&amp;"")</f>
        <v/>
      </c>
      <c r="AG740" s="9" t="str">
        <f aca="false">IF($AK740=0,"",INDEX('Part types'!$V:$V,$AK740)&amp;"")</f>
        <v>Estimate: size class S</v>
      </c>
      <c r="AH740" s="9" t="str">
        <f aca="false">IF($AK740=0,"",INDEX('Part types'!$W:$W,$AK740)&amp;"")</f>
        <v/>
      </c>
      <c r="AI740" s="11" t="str">
        <f aca="false">IF($AK740=0,"",INDEX('Part types'!$X:$X,$AK740)&amp;"")</f>
        <v/>
      </c>
      <c r="AJ740" s="9" t="str">
        <f aca="false">IF($AK740=0,"",INDEX('Part types'!$Y:$Y,$AK740)&amp;"")</f>
        <v/>
      </c>
      <c r="AK740" s="9" t="n">
        <f aca="false">IFERROR(MATCH($AD740,'Part types'!$E:$E,0),0)</f>
        <v>529</v>
      </c>
    </row>
    <row r="741" customFormat="false" ht="15" hidden="false" customHeight="false" outlineLevel="0" collapsed="false">
      <c r="A741" s="9" t="s">
        <v>3244</v>
      </c>
      <c r="B741" s="9" t="s">
        <v>3217</v>
      </c>
      <c r="C741" s="9" t="s">
        <v>3240</v>
      </c>
      <c r="D741" s="9" t="str">
        <f aca="false">C741&amp;" - "&amp;E741</f>
        <v>Wiper Arm - Right</v>
      </c>
      <c r="E741" s="9" t="s">
        <v>225</v>
      </c>
      <c r="F741" s="9" t="s">
        <v>3219</v>
      </c>
      <c r="G741" s="10" t="n">
        <f aca="false">IF($AK741=0,"",INDEX('Part types'!$P:$P,$AK741))</f>
        <v>15</v>
      </c>
      <c r="H741" s="10" t="n">
        <f aca="false">IF($AK741=0,"",INDEX('Part types'!$Q:$Q,$AK741))</f>
        <v>10</v>
      </c>
      <c r="I741" s="10" t="n">
        <f aca="false">IF($AK741=0,"",INDEX('Part types'!$R:$R,$AK741))</f>
        <v>8</v>
      </c>
      <c r="J741" s="10" t="n">
        <f aca="false">IF($AK741=0,"",INDEX('Part types'!$S:$S,$AK741))</f>
        <v>0.3</v>
      </c>
      <c r="K741" s="11" t="s">
        <v>3220</v>
      </c>
      <c r="L741" s="11" t="s">
        <v>3241</v>
      </c>
      <c r="M741" s="11" t="str">
        <f aca="false">L741&amp;" - "&amp;N741</f>
        <v>ذراع المساحة - يمين</v>
      </c>
      <c r="N741" s="11" t="s">
        <v>226</v>
      </c>
      <c r="O741" s="11" t="s">
        <v>3222</v>
      </c>
      <c r="P741" s="10" t="n">
        <f aca="false">G741</f>
        <v>15</v>
      </c>
      <c r="Q741" s="10" t="n">
        <f aca="false">H741</f>
        <v>10</v>
      </c>
      <c r="R741" s="10" t="n">
        <f aca="false">I741</f>
        <v>8</v>
      </c>
      <c r="S741" s="10" t="n">
        <f aca="false">J741</f>
        <v>0.3</v>
      </c>
      <c r="T741" s="12" t="s">
        <v>3223</v>
      </c>
      <c r="U741" s="12" t="s">
        <v>3242</v>
      </c>
      <c r="V741" s="9" t="str">
        <f aca="false">U741&amp;" - "&amp;W741</f>
        <v>雨刮臂 - 右侧</v>
      </c>
      <c r="W741" s="12" t="s">
        <v>227</v>
      </c>
      <c r="X741" s="12" t="s">
        <v>3225</v>
      </c>
      <c r="Y741" s="10" t="n">
        <f aca="false">G741</f>
        <v>15</v>
      </c>
      <c r="Z741" s="10" t="n">
        <f aca="false">H741</f>
        <v>10</v>
      </c>
      <c r="AA741" s="10" t="n">
        <f aca="false">I741</f>
        <v>8</v>
      </c>
      <c r="AB741" s="10" t="n">
        <f aca="false">J741</f>
        <v>0.3</v>
      </c>
      <c r="AC741" s="9" t="s">
        <v>3226</v>
      </c>
      <c r="AD741" s="9" t="s">
        <v>3243</v>
      </c>
      <c r="AE741" s="9" t="str">
        <f aca="false">IF($AK741=0,"",INDEX('Part types'!$T:$T,$AK741)&amp;"")</f>
        <v>All vehicles</v>
      </c>
      <c r="AF741" s="9" t="str">
        <f aca="false">IF($AK741=0,"",INDEX('Part types'!$U:$U,$AK741)&amp;"")</f>
        <v/>
      </c>
      <c r="AG741" s="9" t="str">
        <f aca="false">IF($AK741=0,"",INDEX('Part types'!$V:$V,$AK741)&amp;"")</f>
        <v>Estimate: size class S</v>
      </c>
      <c r="AH741" s="9" t="str">
        <f aca="false">IF($AK741=0,"",INDEX('Part types'!$W:$W,$AK741)&amp;"")</f>
        <v/>
      </c>
      <c r="AI741" s="11" t="str">
        <f aca="false">IF($AK741=0,"",INDEX('Part types'!$X:$X,$AK741)&amp;"")</f>
        <v/>
      </c>
      <c r="AJ741" s="9" t="str">
        <f aca="false">IF($AK741=0,"",INDEX('Part types'!$Y:$Y,$AK741)&amp;"")</f>
        <v/>
      </c>
      <c r="AK741" s="9" t="n">
        <f aca="false">IFERROR(MATCH($AD741,'Part types'!$E:$E,0),0)</f>
        <v>529</v>
      </c>
    </row>
    <row r="742" customFormat="false" ht="15" hidden="false" customHeight="false" outlineLevel="0" collapsed="false">
      <c r="A742" s="9" t="s">
        <v>3245</v>
      </c>
      <c r="B742" s="9" t="s">
        <v>3217</v>
      </c>
      <c r="C742" s="9" t="s">
        <v>3246</v>
      </c>
      <c r="D742" s="9" t="str">
        <f aca="false">C742&amp;" - "&amp;E742</f>
        <v>Tailgate Wiper Arm - Rear</v>
      </c>
      <c r="E742" s="9" t="s">
        <v>168</v>
      </c>
      <c r="F742" s="9" t="s">
        <v>3219</v>
      </c>
      <c r="G742" s="10" t="n">
        <f aca="false">IF($AK742=0,"",INDEX('Part types'!$P:$P,$AK742))</f>
        <v>15</v>
      </c>
      <c r="H742" s="10" t="n">
        <f aca="false">IF($AK742=0,"",INDEX('Part types'!$Q:$Q,$AK742))</f>
        <v>10</v>
      </c>
      <c r="I742" s="10" t="n">
        <f aca="false">IF($AK742=0,"",INDEX('Part types'!$R:$R,$AK742))</f>
        <v>8</v>
      </c>
      <c r="J742" s="10" t="n">
        <f aca="false">IF($AK742=0,"",INDEX('Part types'!$S:$S,$AK742))</f>
        <v>0.3</v>
      </c>
      <c r="K742" s="11" t="s">
        <v>3220</v>
      </c>
      <c r="L742" s="11" t="s">
        <v>3247</v>
      </c>
      <c r="M742" s="11" t="str">
        <f aca="false">L742&amp;" - "&amp;N742</f>
        <v>ذراع مساحة الزجاج الخلفي - خلفي</v>
      </c>
      <c r="N742" s="11" t="s">
        <v>169</v>
      </c>
      <c r="O742" s="11" t="s">
        <v>3222</v>
      </c>
      <c r="P742" s="10" t="n">
        <f aca="false">G742</f>
        <v>15</v>
      </c>
      <c r="Q742" s="10" t="n">
        <f aca="false">H742</f>
        <v>10</v>
      </c>
      <c r="R742" s="10" t="n">
        <f aca="false">I742</f>
        <v>8</v>
      </c>
      <c r="S742" s="10" t="n">
        <f aca="false">J742</f>
        <v>0.3</v>
      </c>
      <c r="T742" s="12" t="s">
        <v>3223</v>
      </c>
      <c r="U742" s="12" t="s">
        <v>3248</v>
      </c>
      <c r="V742" s="9" t="str">
        <f aca="false">U742&amp;" - "&amp;W742</f>
        <v>后雨刮臂 - 后部</v>
      </c>
      <c r="W742" s="12" t="s">
        <v>170</v>
      </c>
      <c r="X742" s="12" t="s">
        <v>3225</v>
      </c>
      <c r="Y742" s="10" t="n">
        <f aca="false">G742</f>
        <v>15</v>
      </c>
      <c r="Z742" s="10" t="n">
        <f aca="false">H742</f>
        <v>10</v>
      </c>
      <c r="AA742" s="10" t="n">
        <f aca="false">I742</f>
        <v>8</v>
      </c>
      <c r="AB742" s="10" t="n">
        <f aca="false">J742</f>
        <v>0.3</v>
      </c>
      <c r="AC742" s="9" t="s">
        <v>3226</v>
      </c>
      <c r="AD742" s="9" t="s">
        <v>3249</v>
      </c>
      <c r="AE742" s="9" t="str">
        <f aca="false">IF($AK742=0,"",INDEX('Part types'!$T:$T,$AK742)&amp;"")</f>
        <v>All vehicles</v>
      </c>
      <c r="AF742" s="9" t="str">
        <f aca="false">IF($AK742=0,"",INDEX('Part types'!$U:$U,$AK742)&amp;"")</f>
        <v/>
      </c>
      <c r="AG742" s="9" t="str">
        <f aca="false">IF($AK742=0,"",INDEX('Part types'!$V:$V,$AK742)&amp;"")</f>
        <v>Estimate: size class S</v>
      </c>
      <c r="AH742" s="9" t="str">
        <f aca="false">IF($AK742=0,"",INDEX('Part types'!$W:$W,$AK742)&amp;"")</f>
        <v/>
      </c>
      <c r="AI742" s="11" t="str">
        <f aca="false">IF($AK742=0,"",INDEX('Part types'!$X:$X,$AK742)&amp;"")</f>
        <v/>
      </c>
      <c r="AJ742" s="9" t="str">
        <f aca="false">IF($AK742=0,"",INDEX('Part types'!$Y:$Y,$AK742)&amp;"")</f>
        <v/>
      </c>
      <c r="AK742" s="9" t="n">
        <f aca="false">IFERROR(MATCH($AD742,'Part types'!$E:$E,0),0)</f>
        <v>530</v>
      </c>
    </row>
    <row r="743" customFormat="false" ht="15" hidden="false" customHeight="false" outlineLevel="0" collapsed="false">
      <c r="A743" s="9" t="s">
        <v>3250</v>
      </c>
      <c r="B743" s="9" t="s">
        <v>3217</v>
      </c>
      <c r="C743" s="9" t="s">
        <v>3251</v>
      </c>
      <c r="D743" s="9" t="str">
        <f aca="false">C743&amp;" - "&amp;E743</f>
        <v>Wiper Motor - Front</v>
      </c>
      <c r="E743" s="9" t="s">
        <v>161</v>
      </c>
      <c r="F743" s="9" t="s">
        <v>3219</v>
      </c>
      <c r="G743" s="10" t="n">
        <f aca="false">IF($AK743=0,"",INDEX('Part types'!$P:$P,$AK743))</f>
        <v>30</v>
      </c>
      <c r="H743" s="10" t="n">
        <f aca="false">IF($AK743=0,"",INDEX('Part types'!$Q:$Q,$AK743))</f>
        <v>20</v>
      </c>
      <c r="I743" s="10" t="n">
        <f aca="false">IF($AK743=0,"",INDEX('Part types'!$R:$R,$AK743))</f>
        <v>15</v>
      </c>
      <c r="J743" s="10" t="n">
        <f aca="false">IF($AK743=0,"",INDEX('Part types'!$S:$S,$AK743))</f>
        <v>1.8</v>
      </c>
      <c r="K743" s="11" t="s">
        <v>3220</v>
      </c>
      <c r="L743" s="11" t="s">
        <v>3252</v>
      </c>
      <c r="M743" s="11" t="str">
        <f aca="false">L743&amp;" - "&amp;N743</f>
        <v>موتور المساحات - أمامي</v>
      </c>
      <c r="N743" s="11" t="s">
        <v>163</v>
      </c>
      <c r="O743" s="11" t="s">
        <v>3222</v>
      </c>
      <c r="P743" s="10" t="n">
        <f aca="false">G743</f>
        <v>30</v>
      </c>
      <c r="Q743" s="10" t="n">
        <f aca="false">H743</f>
        <v>20</v>
      </c>
      <c r="R743" s="10" t="n">
        <f aca="false">I743</f>
        <v>15</v>
      </c>
      <c r="S743" s="10" t="n">
        <f aca="false">J743</f>
        <v>1.8</v>
      </c>
      <c r="T743" s="12" t="s">
        <v>3223</v>
      </c>
      <c r="U743" s="12" t="s">
        <v>3253</v>
      </c>
      <c r="V743" s="9" t="str">
        <f aca="false">U743&amp;" - "&amp;W743</f>
        <v>雨刮电机 - 前部</v>
      </c>
      <c r="W743" s="12" t="s">
        <v>165</v>
      </c>
      <c r="X743" s="12" t="s">
        <v>3225</v>
      </c>
      <c r="Y743" s="10" t="n">
        <f aca="false">G743</f>
        <v>30</v>
      </c>
      <c r="Z743" s="10" t="n">
        <f aca="false">H743</f>
        <v>20</v>
      </c>
      <c r="AA743" s="10" t="n">
        <f aca="false">I743</f>
        <v>15</v>
      </c>
      <c r="AB743" s="10" t="n">
        <f aca="false">J743</f>
        <v>1.8</v>
      </c>
      <c r="AC743" s="9" t="s">
        <v>3226</v>
      </c>
      <c r="AD743" s="9" t="s">
        <v>3254</v>
      </c>
      <c r="AE743" s="9" t="str">
        <f aca="false">IF($AK743=0,"",INDEX('Part types'!$T:$T,$AK743)&amp;"")</f>
        <v>All vehicles</v>
      </c>
      <c r="AF743" s="9" t="str">
        <f aca="false">IF($AK743=0,"",INDEX('Part types'!$U:$U,$AK743)&amp;"")</f>
        <v/>
      </c>
      <c r="AG743" s="9" t="str">
        <f aca="false">IF($AK743=0,"",INDEX('Part types'!$V:$V,$AK743)&amp;"")</f>
        <v>Estimate: size class M2</v>
      </c>
      <c r="AH743" s="9" t="str">
        <f aca="false">IF($AK743=0,"",INDEX('Part types'!$W:$W,$AK743)&amp;"")</f>
        <v/>
      </c>
      <c r="AI743" s="11" t="str">
        <f aca="false">IF($AK743=0,"",INDEX('Part types'!$X:$X,$AK743)&amp;"")</f>
        <v/>
      </c>
      <c r="AJ743" s="9" t="str">
        <f aca="false">IF($AK743=0,"",INDEX('Part types'!$Y:$Y,$AK743)&amp;"")</f>
        <v/>
      </c>
      <c r="AK743" s="9" t="n">
        <f aca="false">IFERROR(MATCH($AD743,'Part types'!$E:$E,0),0)</f>
        <v>531</v>
      </c>
    </row>
    <row r="744" customFormat="false" ht="15" hidden="false" customHeight="false" outlineLevel="0" collapsed="false">
      <c r="A744" s="9" t="s">
        <v>3255</v>
      </c>
      <c r="B744" s="9" t="s">
        <v>3217</v>
      </c>
      <c r="C744" s="9" t="s">
        <v>3256</v>
      </c>
      <c r="D744" s="9" t="str">
        <f aca="false">C744&amp;" - "&amp;E744</f>
        <v>Tailgate Wiper Motor - Rear</v>
      </c>
      <c r="E744" s="9" t="s">
        <v>168</v>
      </c>
      <c r="F744" s="9" t="s">
        <v>3219</v>
      </c>
      <c r="G744" s="10" t="n">
        <f aca="false">IF($AK744=0,"",INDEX('Part types'!$P:$P,$AK744))</f>
        <v>25</v>
      </c>
      <c r="H744" s="10" t="n">
        <f aca="false">IF($AK744=0,"",INDEX('Part types'!$Q:$Q,$AK744))</f>
        <v>15</v>
      </c>
      <c r="I744" s="10" t="n">
        <f aca="false">IF($AK744=0,"",INDEX('Part types'!$R:$R,$AK744))</f>
        <v>10</v>
      </c>
      <c r="J744" s="10" t="n">
        <f aca="false">IF($AK744=0,"",INDEX('Part types'!$S:$S,$AK744))</f>
        <v>0.9</v>
      </c>
      <c r="K744" s="11" t="s">
        <v>3220</v>
      </c>
      <c r="L744" s="11" t="s">
        <v>3257</v>
      </c>
      <c r="M744" s="11" t="str">
        <f aca="false">L744&amp;" - "&amp;N744</f>
        <v>موتور مساحة الزجاج الخلفي - خلفي</v>
      </c>
      <c r="N744" s="11" t="s">
        <v>169</v>
      </c>
      <c r="O744" s="11" t="s">
        <v>3222</v>
      </c>
      <c r="P744" s="10" t="n">
        <f aca="false">G744</f>
        <v>25</v>
      </c>
      <c r="Q744" s="10" t="n">
        <f aca="false">H744</f>
        <v>15</v>
      </c>
      <c r="R744" s="10" t="n">
        <f aca="false">I744</f>
        <v>10</v>
      </c>
      <c r="S744" s="10" t="n">
        <f aca="false">J744</f>
        <v>0.9</v>
      </c>
      <c r="T744" s="12" t="s">
        <v>3223</v>
      </c>
      <c r="U744" s="12" t="s">
        <v>3258</v>
      </c>
      <c r="V744" s="9" t="str">
        <f aca="false">U744&amp;" - "&amp;W744</f>
        <v>后雨刮电机 - 后部</v>
      </c>
      <c r="W744" s="12" t="s">
        <v>170</v>
      </c>
      <c r="X744" s="12" t="s">
        <v>3225</v>
      </c>
      <c r="Y744" s="10" t="n">
        <f aca="false">G744</f>
        <v>25</v>
      </c>
      <c r="Z744" s="10" t="n">
        <f aca="false">H744</f>
        <v>15</v>
      </c>
      <c r="AA744" s="10" t="n">
        <f aca="false">I744</f>
        <v>10</v>
      </c>
      <c r="AB744" s="10" t="n">
        <f aca="false">J744</f>
        <v>0.9</v>
      </c>
      <c r="AC744" s="9" t="s">
        <v>3226</v>
      </c>
      <c r="AD744" s="9" t="s">
        <v>3259</v>
      </c>
      <c r="AE744" s="9" t="str">
        <f aca="false">IF($AK744=0,"",INDEX('Part types'!$T:$T,$AK744)&amp;"")</f>
        <v>All vehicles</v>
      </c>
      <c r="AF744" s="9" t="str">
        <f aca="false">IF($AK744=0,"",INDEX('Part types'!$U:$U,$AK744)&amp;"")</f>
        <v/>
      </c>
      <c r="AG744" s="9" t="str">
        <f aca="false">IF($AK744=0,"",INDEX('Part types'!$V:$V,$AK744)&amp;"")</f>
        <v>Estimate: size class M</v>
      </c>
      <c r="AH744" s="9" t="str">
        <f aca="false">IF($AK744=0,"",INDEX('Part types'!$W:$W,$AK744)&amp;"")</f>
        <v/>
      </c>
      <c r="AI744" s="11" t="str">
        <f aca="false">IF($AK744=0,"",INDEX('Part types'!$X:$X,$AK744)&amp;"")</f>
        <v/>
      </c>
      <c r="AJ744" s="9" t="str">
        <f aca="false">IF($AK744=0,"",INDEX('Part types'!$Y:$Y,$AK744)&amp;"")</f>
        <v/>
      </c>
      <c r="AK744" s="9" t="n">
        <f aca="false">IFERROR(MATCH($AD744,'Part types'!$E:$E,0),0)</f>
        <v>532</v>
      </c>
    </row>
    <row r="745" customFormat="false" ht="15" hidden="false" customHeight="false" outlineLevel="0" collapsed="false">
      <c r="A745" s="9" t="s">
        <v>3260</v>
      </c>
      <c r="B745" s="9" t="s">
        <v>3217</v>
      </c>
      <c r="C745" s="9" t="s">
        <v>3261</v>
      </c>
      <c r="D745" s="9" t="str">
        <f aca="false">C745&amp;" - "&amp;E745</f>
        <v>Wiper Linkage - Universal</v>
      </c>
      <c r="E745" s="9" t="s">
        <v>68</v>
      </c>
      <c r="F745" s="9" t="s">
        <v>3219</v>
      </c>
      <c r="G745" s="10" t="n">
        <f aca="false">IF($AK745=0,"",INDEX('Part types'!$P:$P,$AK745))</f>
        <v>30</v>
      </c>
      <c r="H745" s="10" t="n">
        <f aca="false">IF($AK745=0,"",INDEX('Part types'!$Q:$Q,$AK745))</f>
        <v>20</v>
      </c>
      <c r="I745" s="10" t="n">
        <f aca="false">IF($AK745=0,"",INDEX('Part types'!$R:$R,$AK745))</f>
        <v>15</v>
      </c>
      <c r="J745" s="10" t="n">
        <f aca="false">IF($AK745=0,"",INDEX('Part types'!$S:$S,$AK745))</f>
        <v>1.8</v>
      </c>
      <c r="K745" s="11" t="s">
        <v>3220</v>
      </c>
      <c r="L745" s="11" t="s">
        <v>3262</v>
      </c>
      <c r="M745" s="11" t="str">
        <f aca="false">L745&amp;" - "&amp;N745</f>
        <v>وصلات المساحات - عام</v>
      </c>
      <c r="N745" s="11" t="s">
        <v>72</v>
      </c>
      <c r="O745" s="11" t="s">
        <v>3222</v>
      </c>
      <c r="P745" s="10" t="n">
        <f aca="false">G745</f>
        <v>30</v>
      </c>
      <c r="Q745" s="10" t="n">
        <f aca="false">H745</f>
        <v>20</v>
      </c>
      <c r="R745" s="10" t="n">
        <f aca="false">I745</f>
        <v>15</v>
      </c>
      <c r="S745" s="10" t="n">
        <f aca="false">J745</f>
        <v>1.8</v>
      </c>
      <c r="T745" s="12" t="s">
        <v>3223</v>
      </c>
      <c r="U745" s="12" t="s">
        <v>3263</v>
      </c>
      <c r="V745" s="9" t="str">
        <f aca="false">U745&amp;" - "&amp;W745</f>
        <v>雨刮连杆总成 - 通用</v>
      </c>
      <c r="W745" s="12" t="s">
        <v>76</v>
      </c>
      <c r="X745" s="12" t="s">
        <v>3225</v>
      </c>
      <c r="Y745" s="10" t="n">
        <f aca="false">G745</f>
        <v>30</v>
      </c>
      <c r="Z745" s="10" t="n">
        <f aca="false">H745</f>
        <v>20</v>
      </c>
      <c r="AA745" s="10" t="n">
        <f aca="false">I745</f>
        <v>15</v>
      </c>
      <c r="AB745" s="10" t="n">
        <f aca="false">J745</f>
        <v>1.8</v>
      </c>
      <c r="AC745" s="9" t="s">
        <v>3226</v>
      </c>
      <c r="AD745" s="9" t="s">
        <v>3264</v>
      </c>
      <c r="AE745" s="9" t="str">
        <f aca="false">IF($AK745=0,"",INDEX('Part types'!$T:$T,$AK745)&amp;"")</f>
        <v>All vehicles</v>
      </c>
      <c r="AF745" s="9" t="str">
        <f aca="false">IF($AK745=0,"",INDEX('Part types'!$U:$U,$AK745)&amp;"")</f>
        <v/>
      </c>
      <c r="AG745" s="9" t="str">
        <f aca="false">IF($AK745=0,"",INDEX('Part types'!$V:$V,$AK745)&amp;"")</f>
        <v>Estimate: size class M2</v>
      </c>
      <c r="AH745" s="9" t="str">
        <f aca="false">IF($AK745=0,"",INDEX('Part types'!$W:$W,$AK745)&amp;"")</f>
        <v/>
      </c>
      <c r="AI745" s="11" t="str">
        <f aca="false">IF($AK745=0,"",INDEX('Part types'!$X:$X,$AK745)&amp;"")</f>
        <v/>
      </c>
      <c r="AJ745" s="9" t="str">
        <f aca="false">IF($AK745=0,"",INDEX('Part types'!$Y:$Y,$AK745)&amp;"")</f>
        <v/>
      </c>
      <c r="AK745" s="9" t="n">
        <f aca="false">IFERROR(MATCH($AD745,'Part types'!$E:$E,0),0)</f>
        <v>533</v>
      </c>
    </row>
    <row r="746" customFormat="false" ht="15" hidden="false" customHeight="false" outlineLevel="0" collapsed="false">
      <c r="A746" s="9" t="s">
        <v>3265</v>
      </c>
      <c r="B746" s="9" t="s">
        <v>3217</v>
      </c>
      <c r="C746" s="9" t="s">
        <v>3266</v>
      </c>
      <c r="D746" s="9" t="str">
        <f aca="false">C746&amp;" - "&amp;E746</f>
        <v>Arm Nut Cap - Left</v>
      </c>
      <c r="E746" s="9" t="s">
        <v>218</v>
      </c>
      <c r="F746" s="9" t="s">
        <v>3219</v>
      </c>
      <c r="G746" s="10" t="n">
        <f aca="false">IF($AK746=0,"",INDEX('Part types'!$P:$P,$AK746))</f>
        <v>6</v>
      </c>
      <c r="H746" s="10" t="n">
        <f aca="false">IF($AK746=0,"",INDEX('Part types'!$Q:$Q,$AK746))</f>
        <v>4</v>
      </c>
      <c r="I746" s="10" t="n">
        <f aca="false">IF($AK746=0,"",INDEX('Part types'!$R:$R,$AK746))</f>
        <v>3</v>
      </c>
      <c r="J746" s="10" t="n">
        <f aca="false">IF($AK746=0,"",INDEX('Part types'!$S:$S,$AK746))</f>
        <v>0.02</v>
      </c>
      <c r="K746" s="11" t="s">
        <v>3220</v>
      </c>
      <c r="L746" s="11" t="s">
        <v>3267</v>
      </c>
      <c r="M746" s="11" t="str">
        <f aca="false">L746&amp;" - "&amp;N746</f>
        <v>غطاء صامولة ذراع المساحة - يسار</v>
      </c>
      <c r="N746" s="11" t="s">
        <v>220</v>
      </c>
      <c r="O746" s="11" t="s">
        <v>3222</v>
      </c>
      <c r="P746" s="10" t="n">
        <f aca="false">G746</f>
        <v>6</v>
      </c>
      <c r="Q746" s="10" t="n">
        <f aca="false">H746</f>
        <v>4</v>
      </c>
      <c r="R746" s="10" t="n">
        <f aca="false">I746</f>
        <v>3</v>
      </c>
      <c r="S746" s="10" t="n">
        <f aca="false">J746</f>
        <v>0.02</v>
      </c>
      <c r="T746" s="12" t="s">
        <v>3223</v>
      </c>
      <c r="U746" s="12" t="s">
        <v>3268</v>
      </c>
      <c r="V746" s="9" t="str">
        <f aca="false">U746&amp;" - "&amp;W746</f>
        <v>雨刮臂螺母盖 - 左侧</v>
      </c>
      <c r="W746" s="12" t="s">
        <v>222</v>
      </c>
      <c r="X746" s="12" t="s">
        <v>3225</v>
      </c>
      <c r="Y746" s="10" t="n">
        <f aca="false">G746</f>
        <v>6</v>
      </c>
      <c r="Z746" s="10" t="n">
        <f aca="false">H746</f>
        <v>4</v>
      </c>
      <c r="AA746" s="10" t="n">
        <f aca="false">I746</f>
        <v>3</v>
      </c>
      <c r="AB746" s="10" t="n">
        <f aca="false">J746</f>
        <v>0.02</v>
      </c>
      <c r="AC746" s="9" t="s">
        <v>3226</v>
      </c>
      <c r="AD746" s="9" t="s">
        <v>3269</v>
      </c>
      <c r="AE746" s="9" t="str">
        <f aca="false">IF($AK746=0,"",INDEX('Part types'!$T:$T,$AK746)&amp;"")</f>
        <v>All vehicles</v>
      </c>
      <c r="AF746" s="9" t="str">
        <f aca="false">IF($AK746=0,"",INDEX('Part types'!$U:$U,$AK746)&amp;"")</f>
        <v/>
      </c>
      <c r="AG746" s="9" t="str">
        <f aca="false">IF($AK746=0,"",INDEX('Part types'!$V:$V,$AK746)&amp;"")</f>
        <v>Estimate: size class T</v>
      </c>
      <c r="AH746" s="9" t="str">
        <f aca="false">IF($AK746=0,"",INDEX('Part types'!$W:$W,$AK746)&amp;"")</f>
        <v>Wiper Arm Nut Cap</v>
      </c>
      <c r="AI746" s="11" t="str">
        <f aca="false">IF($AK746=0,"",INDEX('Part types'!$X:$X,$AK746)&amp;"")</f>
        <v/>
      </c>
      <c r="AJ746" s="9" t="str">
        <f aca="false">IF($AK746=0,"",INDEX('Part types'!$Y:$Y,$AK746)&amp;"")</f>
        <v/>
      </c>
      <c r="AK746" s="9" t="n">
        <f aca="false">IFERROR(MATCH($AD746,'Part types'!$E:$E,0),0)</f>
        <v>534</v>
      </c>
    </row>
    <row r="747" customFormat="false" ht="15" hidden="false" customHeight="false" outlineLevel="0" collapsed="false">
      <c r="A747" s="9" t="s">
        <v>3270</v>
      </c>
      <c r="B747" s="9" t="s">
        <v>3217</v>
      </c>
      <c r="C747" s="9" t="s">
        <v>3266</v>
      </c>
      <c r="D747" s="9" t="str">
        <f aca="false">C747&amp;" - "&amp;E747</f>
        <v>Arm Nut Cap - Right</v>
      </c>
      <c r="E747" s="9" t="s">
        <v>225</v>
      </c>
      <c r="F747" s="9" t="s">
        <v>3219</v>
      </c>
      <c r="G747" s="10" t="n">
        <f aca="false">IF($AK747=0,"",INDEX('Part types'!$P:$P,$AK747))</f>
        <v>6</v>
      </c>
      <c r="H747" s="10" t="n">
        <f aca="false">IF($AK747=0,"",INDEX('Part types'!$Q:$Q,$AK747))</f>
        <v>4</v>
      </c>
      <c r="I747" s="10" t="n">
        <f aca="false">IF($AK747=0,"",INDEX('Part types'!$R:$R,$AK747))</f>
        <v>3</v>
      </c>
      <c r="J747" s="10" t="n">
        <f aca="false">IF($AK747=0,"",INDEX('Part types'!$S:$S,$AK747))</f>
        <v>0.02</v>
      </c>
      <c r="K747" s="11" t="s">
        <v>3220</v>
      </c>
      <c r="L747" s="11" t="s">
        <v>3267</v>
      </c>
      <c r="M747" s="11" t="str">
        <f aca="false">L747&amp;" - "&amp;N747</f>
        <v>غطاء صامولة ذراع المساحة - يمين</v>
      </c>
      <c r="N747" s="11" t="s">
        <v>226</v>
      </c>
      <c r="O747" s="11" t="s">
        <v>3222</v>
      </c>
      <c r="P747" s="10" t="n">
        <f aca="false">G747</f>
        <v>6</v>
      </c>
      <c r="Q747" s="10" t="n">
        <f aca="false">H747</f>
        <v>4</v>
      </c>
      <c r="R747" s="10" t="n">
        <f aca="false">I747</f>
        <v>3</v>
      </c>
      <c r="S747" s="10" t="n">
        <f aca="false">J747</f>
        <v>0.02</v>
      </c>
      <c r="T747" s="12" t="s">
        <v>3223</v>
      </c>
      <c r="U747" s="12" t="s">
        <v>3268</v>
      </c>
      <c r="V747" s="9" t="str">
        <f aca="false">U747&amp;" - "&amp;W747</f>
        <v>雨刮臂螺母盖 - 右侧</v>
      </c>
      <c r="W747" s="12" t="s">
        <v>227</v>
      </c>
      <c r="X747" s="12" t="s">
        <v>3225</v>
      </c>
      <c r="Y747" s="10" t="n">
        <f aca="false">G747</f>
        <v>6</v>
      </c>
      <c r="Z747" s="10" t="n">
        <f aca="false">H747</f>
        <v>4</v>
      </c>
      <c r="AA747" s="10" t="n">
        <f aca="false">I747</f>
        <v>3</v>
      </c>
      <c r="AB747" s="10" t="n">
        <f aca="false">J747</f>
        <v>0.02</v>
      </c>
      <c r="AC747" s="9" t="s">
        <v>3226</v>
      </c>
      <c r="AD747" s="9" t="s">
        <v>3269</v>
      </c>
      <c r="AE747" s="9" t="str">
        <f aca="false">IF($AK747=0,"",INDEX('Part types'!$T:$T,$AK747)&amp;"")</f>
        <v>All vehicles</v>
      </c>
      <c r="AF747" s="9" t="str">
        <f aca="false">IF($AK747=0,"",INDEX('Part types'!$U:$U,$AK747)&amp;"")</f>
        <v/>
      </c>
      <c r="AG747" s="9" t="str">
        <f aca="false">IF($AK747=0,"",INDEX('Part types'!$V:$V,$AK747)&amp;"")</f>
        <v>Estimate: size class T</v>
      </c>
      <c r="AH747" s="9" t="str">
        <f aca="false">IF($AK747=0,"",INDEX('Part types'!$W:$W,$AK747)&amp;"")</f>
        <v>Wiper Arm Nut Cap</v>
      </c>
      <c r="AI747" s="11" t="str">
        <f aca="false">IF($AK747=0,"",INDEX('Part types'!$X:$X,$AK747)&amp;"")</f>
        <v/>
      </c>
      <c r="AJ747" s="9" t="str">
        <f aca="false">IF($AK747=0,"",INDEX('Part types'!$Y:$Y,$AK747)&amp;"")</f>
        <v/>
      </c>
      <c r="AK747" s="9" t="n">
        <f aca="false">IFERROR(MATCH($AD747,'Part types'!$E:$E,0),0)</f>
        <v>534</v>
      </c>
    </row>
    <row r="748" customFormat="false" ht="15" hidden="false" customHeight="false" outlineLevel="0" collapsed="false">
      <c r="A748" s="9" t="s">
        <v>3271</v>
      </c>
      <c r="B748" s="9" t="s">
        <v>3217</v>
      </c>
      <c r="C748" s="9" t="s">
        <v>3272</v>
      </c>
      <c r="D748" s="9" t="str">
        <f aca="false">C748&amp;" - "&amp;E748</f>
        <v>Wiper Switch - Universal</v>
      </c>
      <c r="E748" s="9" t="s">
        <v>68</v>
      </c>
      <c r="F748" s="9" t="s">
        <v>1863</v>
      </c>
      <c r="G748" s="10" t="n">
        <f aca="false">IF($AK748=0,"",INDEX('Part types'!$P:$P,$AK748))</f>
        <v>15</v>
      </c>
      <c r="H748" s="10" t="n">
        <f aca="false">IF($AK748=0,"",INDEX('Part types'!$Q:$Q,$AK748))</f>
        <v>10</v>
      </c>
      <c r="I748" s="10" t="n">
        <f aca="false">IF($AK748=0,"",INDEX('Part types'!$R:$R,$AK748))</f>
        <v>8</v>
      </c>
      <c r="J748" s="10" t="n">
        <f aca="false">IF($AK748=0,"",INDEX('Part types'!$S:$S,$AK748))</f>
        <v>0.3</v>
      </c>
      <c r="K748" s="11" t="s">
        <v>3220</v>
      </c>
      <c r="L748" s="11" t="s">
        <v>3273</v>
      </c>
      <c r="M748" s="11" t="str">
        <f aca="false">L748&amp;" - "&amp;N748</f>
        <v>مفتاح المساحات - عام</v>
      </c>
      <c r="N748" s="11" t="s">
        <v>72</v>
      </c>
      <c r="O748" s="11" t="s">
        <v>1864</v>
      </c>
      <c r="P748" s="10" t="n">
        <f aca="false">G748</f>
        <v>15</v>
      </c>
      <c r="Q748" s="10" t="n">
        <f aca="false">H748</f>
        <v>10</v>
      </c>
      <c r="R748" s="10" t="n">
        <f aca="false">I748</f>
        <v>8</v>
      </c>
      <c r="S748" s="10" t="n">
        <f aca="false">J748</f>
        <v>0.3</v>
      </c>
      <c r="T748" s="12" t="s">
        <v>3223</v>
      </c>
      <c r="U748" s="12" t="s">
        <v>3274</v>
      </c>
      <c r="V748" s="9" t="str">
        <f aca="false">U748&amp;" - "&amp;W748</f>
        <v>雨刮开关 - 通用</v>
      </c>
      <c r="W748" s="12" t="s">
        <v>76</v>
      </c>
      <c r="X748" s="12" t="s">
        <v>1865</v>
      </c>
      <c r="Y748" s="10" t="n">
        <f aca="false">G748</f>
        <v>15</v>
      </c>
      <c r="Z748" s="10" t="n">
        <f aca="false">H748</f>
        <v>10</v>
      </c>
      <c r="AA748" s="10" t="n">
        <f aca="false">I748</f>
        <v>8</v>
      </c>
      <c r="AB748" s="10" t="n">
        <f aca="false">J748</f>
        <v>0.3</v>
      </c>
      <c r="AC748" s="9" t="s">
        <v>3226</v>
      </c>
      <c r="AD748" s="9" t="s">
        <v>3275</v>
      </c>
      <c r="AE748" s="9" t="str">
        <f aca="false">IF($AK748=0,"",INDEX('Part types'!$T:$T,$AK748)&amp;"")</f>
        <v>All vehicles</v>
      </c>
      <c r="AF748" s="9" t="str">
        <f aca="false">IF($AK748=0,"",INDEX('Part types'!$U:$U,$AK748)&amp;"")</f>
        <v/>
      </c>
      <c r="AG748" s="9" t="str">
        <f aca="false">IF($AK748=0,"",INDEX('Part types'!$V:$V,$AK748)&amp;"")</f>
        <v>Estimate: size class S</v>
      </c>
      <c r="AH748" s="9" t="str">
        <f aca="false">IF($AK748=0,"",INDEX('Part types'!$W:$W,$AK748)&amp;"")</f>
        <v>Stalk</v>
      </c>
      <c r="AI748" s="11" t="str">
        <f aca="false">IF($AK748=0,"",INDEX('Part types'!$X:$X,$AK748)&amp;"")</f>
        <v/>
      </c>
      <c r="AJ748" s="9" t="str">
        <f aca="false">IF($AK748=0,"",INDEX('Part types'!$Y:$Y,$AK748)&amp;"")</f>
        <v>拨杆</v>
      </c>
      <c r="AK748" s="9" t="n">
        <f aca="false">IFERROR(MATCH($AD748,'Part types'!$E:$E,0),0)</f>
        <v>535</v>
      </c>
    </row>
    <row r="749" customFormat="false" ht="15" hidden="false" customHeight="false" outlineLevel="0" collapsed="false">
      <c r="A749" s="9" t="s">
        <v>3276</v>
      </c>
      <c r="B749" s="9" t="s">
        <v>3277</v>
      </c>
      <c r="C749" s="9" t="s">
        <v>3278</v>
      </c>
      <c r="D749" s="9" t="str">
        <f aca="false">C749&amp;" - "&amp;E749</f>
        <v>Washer Pump - Front</v>
      </c>
      <c r="E749" s="9" t="s">
        <v>161</v>
      </c>
      <c r="F749" s="9" t="s">
        <v>3219</v>
      </c>
      <c r="G749" s="10" t="n">
        <f aca="false">IF($AK749=0,"",INDEX('Part types'!$P:$P,$AK749))</f>
        <v>15</v>
      </c>
      <c r="H749" s="10" t="n">
        <f aca="false">IF($AK749=0,"",INDEX('Part types'!$Q:$Q,$AK749))</f>
        <v>10</v>
      </c>
      <c r="I749" s="10" t="n">
        <f aca="false">IF($AK749=0,"",INDEX('Part types'!$R:$R,$AK749))</f>
        <v>8</v>
      </c>
      <c r="J749" s="10" t="n">
        <f aca="false">IF($AK749=0,"",INDEX('Part types'!$S:$S,$AK749))</f>
        <v>0.3</v>
      </c>
      <c r="K749" s="11" t="s">
        <v>3279</v>
      </c>
      <c r="L749" s="11" t="s">
        <v>3280</v>
      </c>
      <c r="M749" s="11" t="str">
        <f aca="false">L749&amp;" - "&amp;N749</f>
        <v>طلمبة مياه الزجاج - أمامي</v>
      </c>
      <c r="N749" s="11" t="s">
        <v>163</v>
      </c>
      <c r="O749" s="11" t="s">
        <v>3222</v>
      </c>
      <c r="P749" s="10" t="n">
        <f aca="false">G749</f>
        <v>15</v>
      </c>
      <c r="Q749" s="10" t="n">
        <f aca="false">H749</f>
        <v>10</v>
      </c>
      <c r="R749" s="10" t="n">
        <f aca="false">I749</f>
        <v>8</v>
      </c>
      <c r="S749" s="10" t="n">
        <f aca="false">J749</f>
        <v>0.3</v>
      </c>
      <c r="T749" s="12" t="s">
        <v>3281</v>
      </c>
      <c r="U749" s="12" t="s">
        <v>3282</v>
      </c>
      <c r="V749" s="9" t="str">
        <f aca="false">U749&amp;" - "&amp;W749</f>
        <v>玻璃水泵 - 前部</v>
      </c>
      <c r="W749" s="12" t="s">
        <v>165</v>
      </c>
      <c r="X749" s="12" t="s">
        <v>3225</v>
      </c>
      <c r="Y749" s="10" t="n">
        <f aca="false">G749</f>
        <v>15</v>
      </c>
      <c r="Z749" s="10" t="n">
        <f aca="false">H749</f>
        <v>10</v>
      </c>
      <c r="AA749" s="10" t="n">
        <f aca="false">I749</f>
        <v>8</v>
      </c>
      <c r="AB749" s="10" t="n">
        <f aca="false">J749</f>
        <v>0.3</v>
      </c>
      <c r="AC749" s="9" t="s">
        <v>3283</v>
      </c>
      <c r="AD749" s="9" t="s">
        <v>3284</v>
      </c>
      <c r="AE749" s="9" t="str">
        <f aca="false">IF($AK749=0,"",INDEX('Part types'!$T:$T,$AK749)&amp;"")</f>
        <v>All vehicles</v>
      </c>
      <c r="AF749" s="9" t="str">
        <f aca="false">IF($AK749=0,"",INDEX('Part types'!$U:$U,$AK749)&amp;"")</f>
        <v/>
      </c>
      <c r="AG749" s="9" t="str">
        <f aca="false">IF($AK749=0,"",INDEX('Part types'!$V:$V,$AK749)&amp;"")</f>
        <v>Estimate: size class S</v>
      </c>
      <c r="AH749" s="9" t="str">
        <f aca="false">IF($AK749=0,"",INDEX('Part types'!$W:$W,$AK749)&amp;"")</f>
        <v/>
      </c>
      <c r="AI749" s="11" t="str">
        <f aca="false">IF($AK749=0,"",INDEX('Part types'!$X:$X,$AK749)&amp;"")</f>
        <v/>
      </c>
      <c r="AJ749" s="9" t="str">
        <f aca="false">IF($AK749=0,"",INDEX('Part types'!$Y:$Y,$AK749)&amp;"")</f>
        <v/>
      </c>
      <c r="AK749" s="9" t="n">
        <f aca="false">IFERROR(MATCH($AD749,'Part types'!$E:$E,0),0)</f>
        <v>536</v>
      </c>
    </row>
    <row r="750" customFormat="false" ht="15" hidden="false" customHeight="false" outlineLevel="0" collapsed="false">
      <c r="A750" s="9" t="s">
        <v>3285</v>
      </c>
      <c r="B750" s="9" t="s">
        <v>3277</v>
      </c>
      <c r="C750" s="9" t="s">
        <v>3278</v>
      </c>
      <c r="D750" s="9" t="str">
        <f aca="false">C750&amp;" - "&amp;E750</f>
        <v>Washer Pump - Rear</v>
      </c>
      <c r="E750" s="9" t="s">
        <v>168</v>
      </c>
      <c r="F750" s="9" t="s">
        <v>3219</v>
      </c>
      <c r="G750" s="10" t="n">
        <f aca="false">IF($AK750=0,"",INDEX('Part types'!$P:$P,$AK750))</f>
        <v>15</v>
      </c>
      <c r="H750" s="10" t="n">
        <f aca="false">IF($AK750=0,"",INDEX('Part types'!$Q:$Q,$AK750))</f>
        <v>10</v>
      </c>
      <c r="I750" s="10" t="n">
        <f aca="false">IF($AK750=0,"",INDEX('Part types'!$R:$R,$AK750))</f>
        <v>8</v>
      </c>
      <c r="J750" s="10" t="n">
        <f aca="false">IF($AK750=0,"",INDEX('Part types'!$S:$S,$AK750))</f>
        <v>0.3</v>
      </c>
      <c r="K750" s="11" t="s">
        <v>3279</v>
      </c>
      <c r="L750" s="11" t="s">
        <v>3280</v>
      </c>
      <c r="M750" s="11" t="str">
        <f aca="false">L750&amp;" - "&amp;N750</f>
        <v>طلمبة مياه الزجاج - خلفي</v>
      </c>
      <c r="N750" s="11" t="s">
        <v>169</v>
      </c>
      <c r="O750" s="11" t="s">
        <v>3222</v>
      </c>
      <c r="P750" s="10" t="n">
        <f aca="false">G750</f>
        <v>15</v>
      </c>
      <c r="Q750" s="10" t="n">
        <f aca="false">H750</f>
        <v>10</v>
      </c>
      <c r="R750" s="10" t="n">
        <f aca="false">I750</f>
        <v>8</v>
      </c>
      <c r="S750" s="10" t="n">
        <f aca="false">J750</f>
        <v>0.3</v>
      </c>
      <c r="T750" s="12" t="s">
        <v>3281</v>
      </c>
      <c r="U750" s="12" t="s">
        <v>3282</v>
      </c>
      <c r="V750" s="9" t="str">
        <f aca="false">U750&amp;" - "&amp;W750</f>
        <v>玻璃水泵 - 后部</v>
      </c>
      <c r="W750" s="12" t="s">
        <v>170</v>
      </c>
      <c r="X750" s="12" t="s">
        <v>3225</v>
      </c>
      <c r="Y750" s="10" t="n">
        <f aca="false">G750</f>
        <v>15</v>
      </c>
      <c r="Z750" s="10" t="n">
        <f aca="false">H750</f>
        <v>10</v>
      </c>
      <c r="AA750" s="10" t="n">
        <f aca="false">I750</f>
        <v>8</v>
      </c>
      <c r="AB750" s="10" t="n">
        <f aca="false">J750</f>
        <v>0.3</v>
      </c>
      <c r="AC750" s="9" t="s">
        <v>3283</v>
      </c>
      <c r="AD750" s="9" t="s">
        <v>3284</v>
      </c>
      <c r="AE750" s="9" t="str">
        <f aca="false">IF($AK750=0,"",INDEX('Part types'!$T:$T,$AK750)&amp;"")</f>
        <v>All vehicles</v>
      </c>
      <c r="AF750" s="9" t="str">
        <f aca="false">IF($AK750=0,"",INDEX('Part types'!$U:$U,$AK750)&amp;"")</f>
        <v/>
      </c>
      <c r="AG750" s="9" t="str">
        <f aca="false">IF($AK750=0,"",INDEX('Part types'!$V:$V,$AK750)&amp;"")</f>
        <v>Estimate: size class S</v>
      </c>
      <c r="AH750" s="9" t="str">
        <f aca="false">IF($AK750=0,"",INDEX('Part types'!$W:$W,$AK750)&amp;"")</f>
        <v/>
      </c>
      <c r="AI750" s="11" t="str">
        <f aca="false">IF($AK750=0,"",INDEX('Part types'!$X:$X,$AK750)&amp;"")</f>
        <v/>
      </c>
      <c r="AJ750" s="9" t="str">
        <f aca="false">IF($AK750=0,"",INDEX('Part types'!$Y:$Y,$AK750)&amp;"")</f>
        <v/>
      </c>
      <c r="AK750" s="9" t="n">
        <f aca="false">IFERROR(MATCH($AD750,'Part types'!$E:$E,0),0)</f>
        <v>536</v>
      </c>
    </row>
    <row r="751" customFormat="false" ht="15" hidden="false" customHeight="false" outlineLevel="0" collapsed="false">
      <c r="A751" s="9" t="s">
        <v>3286</v>
      </c>
      <c r="B751" s="9" t="s">
        <v>3277</v>
      </c>
      <c r="C751" s="9" t="s">
        <v>3287</v>
      </c>
      <c r="D751" s="9" t="str">
        <f aca="false">C751&amp;" - "&amp;E751</f>
        <v>Washer Fluid Reservoir - Universal</v>
      </c>
      <c r="E751" s="9" t="s">
        <v>68</v>
      </c>
      <c r="F751" s="9" t="s">
        <v>69</v>
      </c>
      <c r="G751" s="10" t="n">
        <f aca="false">IF($AK751=0,"",INDEX('Part types'!$P:$P,$AK751))</f>
        <v>40</v>
      </c>
      <c r="H751" s="10" t="n">
        <f aca="false">IF($AK751=0,"",INDEX('Part types'!$Q:$Q,$AK751))</f>
        <v>25</v>
      </c>
      <c r="I751" s="10" t="n">
        <f aca="false">IF($AK751=0,"",INDEX('Part types'!$R:$R,$AK751))</f>
        <v>15</v>
      </c>
      <c r="J751" s="10" t="n">
        <f aca="false">IF($AK751=0,"",INDEX('Part types'!$S:$S,$AK751))</f>
        <v>3</v>
      </c>
      <c r="K751" s="11" t="s">
        <v>3279</v>
      </c>
      <c r="L751" s="11" t="s">
        <v>3288</v>
      </c>
      <c r="M751" s="11" t="str">
        <f aca="false">L751&amp;" - "&amp;N751</f>
        <v>خزان مياه الزجاج - عام</v>
      </c>
      <c r="N751" s="11" t="s">
        <v>72</v>
      </c>
      <c r="O751" s="11" t="s">
        <v>73</v>
      </c>
      <c r="P751" s="10" t="n">
        <f aca="false">G751</f>
        <v>40</v>
      </c>
      <c r="Q751" s="10" t="n">
        <f aca="false">H751</f>
        <v>25</v>
      </c>
      <c r="R751" s="10" t="n">
        <f aca="false">I751</f>
        <v>15</v>
      </c>
      <c r="S751" s="10" t="n">
        <f aca="false">J751</f>
        <v>3</v>
      </c>
      <c r="T751" s="12" t="s">
        <v>3281</v>
      </c>
      <c r="U751" s="12" t="s">
        <v>3289</v>
      </c>
      <c r="V751" s="9" t="str">
        <f aca="false">U751&amp;" - "&amp;W751</f>
        <v>玻璃水壶 - 通用</v>
      </c>
      <c r="W751" s="12" t="s">
        <v>76</v>
      </c>
      <c r="X751" s="12" t="s">
        <v>77</v>
      </c>
      <c r="Y751" s="10" t="n">
        <f aca="false">G751</f>
        <v>40</v>
      </c>
      <c r="Z751" s="10" t="n">
        <f aca="false">H751</f>
        <v>25</v>
      </c>
      <c r="AA751" s="10" t="n">
        <f aca="false">I751</f>
        <v>15</v>
      </c>
      <c r="AB751" s="10" t="n">
        <f aca="false">J751</f>
        <v>3</v>
      </c>
      <c r="AC751" s="9" t="s">
        <v>3283</v>
      </c>
      <c r="AD751" s="9" t="s">
        <v>3290</v>
      </c>
      <c r="AE751" s="9" t="str">
        <f aca="false">IF($AK751=0,"",INDEX('Part types'!$T:$T,$AK751)&amp;"")</f>
        <v>All vehicles</v>
      </c>
      <c r="AF751" s="9" t="str">
        <f aca="false">IF($AK751=0,"",INDEX('Part types'!$U:$U,$AK751)&amp;"")</f>
        <v/>
      </c>
      <c r="AG751" s="9" t="str">
        <f aca="false">IF($AK751=0,"",INDEX('Part types'!$V:$V,$AK751)&amp;"")</f>
        <v>Estimate: size class L</v>
      </c>
      <c r="AH751" s="9" t="str">
        <f aca="false">IF($AK751=0,"",INDEX('Part types'!$W:$W,$AK751)&amp;"")</f>
        <v/>
      </c>
      <c r="AI751" s="11" t="str">
        <f aca="false">IF($AK751=0,"",INDEX('Part types'!$X:$X,$AK751)&amp;"")</f>
        <v/>
      </c>
      <c r="AJ751" s="9" t="str">
        <f aca="false">IF($AK751=0,"",INDEX('Part types'!$Y:$Y,$AK751)&amp;"")</f>
        <v/>
      </c>
      <c r="AK751" s="9" t="n">
        <f aca="false">IFERROR(MATCH($AD751,'Part types'!$E:$E,0),0)</f>
        <v>537</v>
      </c>
    </row>
    <row r="752" customFormat="false" ht="15" hidden="false" customHeight="false" outlineLevel="0" collapsed="false">
      <c r="A752" s="9" t="s">
        <v>3291</v>
      </c>
      <c r="B752" s="9" t="s">
        <v>3277</v>
      </c>
      <c r="C752" s="9" t="s">
        <v>3292</v>
      </c>
      <c r="D752" s="9" t="str">
        <f aca="false">C752&amp;" - "&amp;E752</f>
        <v>Washer Reservoir Cap - Universal</v>
      </c>
      <c r="E752" s="9" t="s">
        <v>68</v>
      </c>
      <c r="F752" s="9" t="s">
        <v>69</v>
      </c>
      <c r="G752" s="10" t="n">
        <f aca="false">IF($AK752=0,"",INDEX('Part types'!$P:$P,$AK752))</f>
        <v>10</v>
      </c>
      <c r="H752" s="10" t="n">
        <f aca="false">IF($AK752=0,"",INDEX('Part types'!$Q:$Q,$AK752))</f>
        <v>8</v>
      </c>
      <c r="I752" s="10" t="n">
        <f aca="false">IF($AK752=0,"",INDEX('Part types'!$R:$R,$AK752))</f>
        <v>6</v>
      </c>
      <c r="J752" s="10" t="n">
        <f aca="false">IF($AK752=0,"",INDEX('Part types'!$S:$S,$AK752))</f>
        <v>0.1</v>
      </c>
      <c r="K752" s="11" t="s">
        <v>3279</v>
      </c>
      <c r="L752" s="11" t="s">
        <v>3293</v>
      </c>
      <c r="M752" s="11" t="str">
        <f aca="false">L752&amp;" - "&amp;N752</f>
        <v>غطاء خزان مياه الزجاج - عام</v>
      </c>
      <c r="N752" s="11" t="s">
        <v>72</v>
      </c>
      <c r="O752" s="11" t="s">
        <v>73</v>
      </c>
      <c r="P752" s="10" t="n">
        <f aca="false">G752</f>
        <v>10</v>
      </c>
      <c r="Q752" s="10" t="n">
        <f aca="false">H752</f>
        <v>8</v>
      </c>
      <c r="R752" s="10" t="n">
        <f aca="false">I752</f>
        <v>6</v>
      </c>
      <c r="S752" s="10" t="n">
        <f aca="false">J752</f>
        <v>0.1</v>
      </c>
      <c r="T752" s="12" t="s">
        <v>3281</v>
      </c>
      <c r="U752" s="12" t="s">
        <v>3294</v>
      </c>
      <c r="V752" s="9" t="str">
        <f aca="false">U752&amp;" - "&amp;W752</f>
        <v>玻璃水壶盖 - 通用</v>
      </c>
      <c r="W752" s="12" t="s">
        <v>76</v>
      </c>
      <c r="X752" s="12" t="s">
        <v>77</v>
      </c>
      <c r="Y752" s="10" t="n">
        <f aca="false">G752</f>
        <v>10</v>
      </c>
      <c r="Z752" s="10" t="n">
        <f aca="false">H752</f>
        <v>8</v>
      </c>
      <c r="AA752" s="10" t="n">
        <f aca="false">I752</f>
        <v>6</v>
      </c>
      <c r="AB752" s="10" t="n">
        <f aca="false">J752</f>
        <v>0.1</v>
      </c>
      <c r="AC752" s="9" t="s">
        <v>3283</v>
      </c>
      <c r="AD752" s="9" t="s">
        <v>3295</v>
      </c>
      <c r="AE752" s="9" t="str">
        <f aca="false">IF($AK752=0,"",INDEX('Part types'!$T:$T,$AK752)&amp;"")</f>
        <v>All vehicles</v>
      </c>
      <c r="AF752" s="9" t="str">
        <f aca="false">IF($AK752=0,"",INDEX('Part types'!$U:$U,$AK752)&amp;"")</f>
        <v/>
      </c>
      <c r="AG752" s="9" t="str">
        <f aca="false">IF($AK752=0,"",INDEX('Part types'!$V:$V,$AK752)&amp;"")</f>
        <v>Estimate: size class XS</v>
      </c>
      <c r="AH752" s="9" t="str">
        <f aca="false">IF($AK752=0,"",INDEX('Part types'!$W:$W,$AK752)&amp;"")</f>
        <v/>
      </c>
      <c r="AI752" s="11" t="str">
        <f aca="false">IF($AK752=0,"",INDEX('Part types'!$X:$X,$AK752)&amp;"")</f>
        <v/>
      </c>
      <c r="AJ752" s="9" t="str">
        <f aca="false">IF($AK752=0,"",INDEX('Part types'!$Y:$Y,$AK752)&amp;"")</f>
        <v/>
      </c>
      <c r="AK752" s="9" t="n">
        <f aca="false">IFERROR(MATCH($AD752,'Part types'!$E:$E,0),0)</f>
        <v>538</v>
      </c>
    </row>
    <row r="753" customFormat="false" ht="15" hidden="false" customHeight="false" outlineLevel="0" collapsed="false">
      <c r="A753" s="9" t="s">
        <v>3296</v>
      </c>
      <c r="B753" s="9" t="s">
        <v>3277</v>
      </c>
      <c r="C753" s="9" t="s">
        <v>3297</v>
      </c>
      <c r="D753" s="9" t="str">
        <f aca="false">C753&amp;" - "&amp;E753</f>
        <v>Washer Nozzle - Front</v>
      </c>
      <c r="E753" s="9" t="s">
        <v>161</v>
      </c>
      <c r="F753" s="9" t="s">
        <v>3219</v>
      </c>
      <c r="G753" s="10" t="n">
        <f aca="false">IF($AK753=0,"",INDEX('Part types'!$P:$P,$AK753))</f>
        <v>10</v>
      </c>
      <c r="H753" s="10" t="n">
        <f aca="false">IF($AK753=0,"",INDEX('Part types'!$Q:$Q,$AK753))</f>
        <v>8</v>
      </c>
      <c r="I753" s="10" t="n">
        <f aca="false">IF($AK753=0,"",INDEX('Part types'!$R:$R,$AK753))</f>
        <v>6</v>
      </c>
      <c r="J753" s="10" t="n">
        <f aca="false">IF($AK753=0,"",INDEX('Part types'!$S:$S,$AK753))</f>
        <v>0.1</v>
      </c>
      <c r="K753" s="11" t="s">
        <v>3279</v>
      </c>
      <c r="L753" s="11" t="s">
        <v>3298</v>
      </c>
      <c r="M753" s="11" t="str">
        <f aca="false">L753&amp;" - "&amp;N753</f>
        <v>بخاخ مياه الزجاج - أمامي</v>
      </c>
      <c r="N753" s="11" t="s">
        <v>163</v>
      </c>
      <c r="O753" s="11" t="s">
        <v>3222</v>
      </c>
      <c r="P753" s="10" t="n">
        <f aca="false">G753</f>
        <v>10</v>
      </c>
      <c r="Q753" s="10" t="n">
        <f aca="false">H753</f>
        <v>8</v>
      </c>
      <c r="R753" s="10" t="n">
        <f aca="false">I753</f>
        <v>6</v>
      </c>
      <c r="S753" s="10" t="n">
        <f aca="false">J753</f>
        <v>0.1</v>
      </c>
      <c r="T753" s="12" t="s">
        <v>3281</v>
      </c>
      <c r="U753" s="12" t="s">
        <v>3299</v>
      </c>
      <c r="V753" s="9" t="str">
        <f aca="false">U753&amp;" - "&amp;W753</f>
        <v>玻璃水喷嘴 - 前部</v>
      </c>
      <c r="W753" s="12" t="s">
        <v>165</v>
      </c>
      <c r="X753" s="12" t="s">
        <v>3225</v>
      </c>
      <c r="Y753" s="10" t="n">
        <f aca="false">G753</f>
        <v>10</v>
      </c>
      <c r="Z753" s="10" t="n">
        <f aca="false">H753</f>
        <v>8</v>
      </c>
      <c r="AA753" s="10" t="n">
        <f aca="false">I753</f>
        <v>6</v>
      </c>
      <c r="AB753" s="10" t="n">
        <f aca="false">J753</f>
        <v>0.1</v>
      </c>
      <c r="AC753" s="9" t="s">
        <v>3283</v>
      </c>
      <c r="AD753" s="9" t="s">
        <v>3300</v>
      </c>
      <c r="AE753" s="9" t="str">
        <f aca="false">IF($AK753=0,"",INDEX('Part types'!$T:$T,$AK753)&amp;"")</f>
        <v>All vehicles</v>
      </c>
      <c r="AF753" s="9" t="str">
        <f aca="false">IF($AK753=0,"",INDEX('Part types'!$U:$U,$AK753)&amp;"")</f>
        <v/>
      </c>
      <c r="AG753" s="9" t="str">
        <f aca="false">IF($AK753=0,"",INDEX('Part types'!$V:$V,$AK753)&amp;"")</f>
        <v>Estimate: size class XS</v>
      </c>
      <c r="AH753" s="9" t="str">
        <f aca="false">IF($AK753=0,"",INDEX('Part types'!$W:$W,$AK753)&amp;"")</f>
        <v/>
      </c>
      <c r="AI753" s="11" t="str">
        <f aca="false">IF($AK753=0,"",INDEX('Part types'!$X:$X,$AK753)&amp;"")</f>
        <v/>
      </c>
      <c r="AJ753" s="9" t="str">
        <f aca="false">IF($AK753=0,"",INDEX('Part types'!$Y:$Y,$AK753)&amp;"")</f>
        <v/>
      </c>
      <c r="AK753" s="9" t="n">
        <f aca="false">IFERROR(MATCH($AD753,'Part types'!$E:$E,0),0)</f>
        <v>539</v>
      </c>
    </row>
    <row r="754" customFormat="false" ht="15" hidden="false" customHeight="false" outlineLevel="0" collapsed="false">
      <c r="A754" s="9" t="s">
        <v>3301</v>
      </c>
      <c r="B754" s="9" t="s">
        <v>3277</v>
      </c>
      <c r="C754" s="9" t="s">
        <v>3297</v>
      </c>
      <c r="D754" s="9" t="str">
        <f aca="false">C754&amp;" - "&amp;E754</f>
        <v>Washer Nozzle - Rear</v>
      </c>
      <c r="E754" s="9" t="s">
        <v>168</v>
      </c>
      <c r="F754" s="9" t="s">
        <v>3219</v>
      </c>
      <c r="G754" s="10" t="n">
        <f aca="false">IF($AK754=0,"",INDEX('Part types'!$P:$P,$AK754))</f>
        <v>10</v>
      </c>
      <c r="H754" s="10" t="n">
        <f aca="false">IF($AK754=0,"",INDEX('Part types'!$Q:$Q,$AK754))</f>
        <v>8</v>
      </c>
      <c r="I754" s="10" t="n">
        <f aca="false">IF($AK754=0,"",INDEX('Part types'!$R:$R,$AK754))</f>
        <v>6</v>
      </c>
      <c r="J754" s="10" t="n">
        <f aca="false">IF($AK754=0,"",INDEX('Part types'!$S:$S,$AK754))</f>
        <v>0.1</v>
      </c>
      <c r="K754" s="11" t="s">
        <v>3279</v>
      </c>
      <c r="L754" s="11" t="s">
        <v>3298</v>
      </c>
      <c r="M754" s="11" t="str">
        <f aca="false">L754&amp;" - "&amp;N754</f>
        <v>بخاخ مياه الزجاج - خلفي</v>
      </c>
      <c r="N754" s="11" t="s">
        <v>169</v>
      </c>
      <c r="O754" s="11" t="s">
        <v>3222</v>
      </c>
      <c r="P754" s="10" t="n">
        <f aca="false">G754</f>
        <v>10</v>
      </c>
      <c r="Q754" s="10" t="n">
        <f aca="false">H754</f>
        <v>8</v>
      </c>
      <c r="R754" s="10" t="n">
        <f aca="false">I754</f>
        <v>6</v>
      </c>
      <c r="S754" s="10" t="n">
        <f aca="false">J754</f>
        <v>0.1</v>
      </c>
      <c r="T754" s="12" t="s">
        <v>3281</v>
      </c>
      <c r="U754" s="12" t="s">
        <v>3299</v>
      </c>
      <c r="V754" s="9" t="str">
        <f aca="false">U754&amp;" - "&amp;W754</f>
        <v>玻璃水喷嘴 - 后部</v>
      </c>
      <c r="W754" s="12" t="s">
        <v>170</v>
      </c>
      <c r="X754" s="12" t="s">
        <v>3225</v>
      </c>
      <c r="Y754" s="10" t="n">
        <f aca="false">G754</f>
        <v>10</v>
      </c>
      <c r="Z754" s="10" t="n">
        <f aca="false">H754</f>
        <v>8</v>
      </c>
      <c r="AA754" s="10" t="n">
        <f aca="false">I754</f>
        <v>6</v>
      </c>
      <c r="AB754" s="10" t="n">
        <f aca="false">J754</f>
        <v>0.1</v>
      </c>
      <c r="AC754" s="9" t="s">
        <v>3283</v>
      </c>
      <c r="AD754" s="9" t="s">
        <v>3300</v>
      </c>
      <c r="AE754" s="9" t="str">
        <f aca="false">IF($AK754=0,"",INDEX('Part types'!$T:$T,$AK754)&amp;"")</f>
        <v>All vehicles</v>
      </c>
      <c r="AF754" s="9" t="str">
        <f aca="false">IF($AK754=0,"",INDEX('Part types'!$U:$U,$AK754)&amp;"")</f>
        <v/>
      </c>
      <c r="AG754" s="9" t="str">
        <f aca="false">IF($AK754=0,"",INDEX('Part types'!$V:$V,$AK754)&amp;"")</f>
        <v>Estimate: size class XS</v>
      </c>
      <c r="AH754" s="9" t="str">
        <f aca="false">IF($AK754=0,"",INDEX('Part types'!$W:$W,$AK754)&amp;"")</f>
        <v/>
      </c>
      <c r="AI754" s="11" t="str">
        <f aca="false">IF($AK754=0,"",INDEX('Part types'!$X:$X,$AK754)&amp;"")</f>
        <v/>
      </c>
      <c r="AJ754" s="9" t="str">
        <f aca="false">IF($AK754=0,"",INDEX('Part types'!$Y:$Y,$AK754)&amp;"")</f>
        <v/>
      </c>
      <c r="AK754" s="9" t="n">
        <f aca="false">IFERROR(MATCH($AD754,'Part types'!$E:$E,0),0)</f>
        <v>539</v>
      </c>
    </row>
    <row r="755" customFormat="false" ht="15" hidden="false" customHeight="false" outlineLevel="0" collapsed="false">
      <c r="A755" s="9" t="s">
        <v>3302</v>
      </c>
      <c r="B755" s="9" t="s">
        <v>3277</v>
      </c>
      <c r="C755" s="9" t="s">
        <v>3303</v>
      </c>
      <c r="D755" s="9" t="str">
        <f aca="false">C755&amp;" - "&amp;E755</f>
        <v>Headlamp Washer Nozzle - Left</v>
      </c>
      <c r="E755" s="9" t="s">
        <v>218</v>
      </c>
      <c r="F755" s="9" t="s">
        <v>2685</v>
      </c>
      <c r="G755" s="10" t="n">
        <f aca="false">IF($AK755=0,"",INDEX('Part types'!$P:$P,$AK755))</f>
        <v>15</v>
      </c>
      <c r="H755" s="10" t="n">
        <f aca="false">IF($AK755=0,"",INDEX('Part types'!$Q:$Q,$AK755))</f>
        <v>10</v>
      </c>
      <c r="I755" s="10" t="n">
        <f aca="false">IF($AK755=0,"",INDEX('Part types'!$R:$R,$AK755))</f>
        <v>8</v>
      </c>
      <c r="J755" s="10" t="n">
        <f aca="false">IF($AK755=0,"",INDEX('Part types'!$S:$S,$AK755))</f>
        <v>0.3</v>
      </c>
      <c r="K755" s="11" t="s">
        <v>3279</v>
      </c>
      <c r="L755" s="11" t="s">
        <v>3304</v>
      </c>
      <c r="M755" s="11" t="str">
        <f aca="false">L755&amp;" - "&amp;N755</f>
        <v>بخاخ غسيل المصابيح - يسار</v>
      </c>
      <c r="N755" s="11" t="s">
        <v>220</v>
      </c>
      <c r="O755" s="11" t="s">
        <v>2687</v>
      </c>
      <c r="P755" s="10" t="n">
        <f aca="false">G755</f>
        <v>15</v>
      </c>
      <c r="Q755" s="10" t="n">
        <f aca="false">H755</f>
        <v>10</v>
      </c>
      <c r="R755" s="10" t="n">
        <f aca="false">I755</f>
        <v>8</v>
      </c>
      <c r="S755" s="10" t="n">
        <f aca="false">J755</f>
        <v>0.3</v>
      </c>
      <c r="T755" s="12" t="s">
        <v>3281</v>
      </c>
      <c r="U755" s="12" t="s">
        <v>3305</v>
      </c>
      <c r="V755" s="9" t="str">
        <f aca="false">U755&amp;" - "&amp;W755</f>
        <v>大灯清洗喷嘴 - 左侧</v>
      </c>
      <c r="W755" s="12" t="s">
        <v>222</v>
      </c>
      <c r="X755" s="12" t="s">
        <v>2689</v>
      </c>
      <c r="Y755" s="10" t="n">
        <f aca="false">G755</f>
        <v>15</v>
      </c>
      <c r="Z755" s="10" t="n">
        <f aca="false">H755</f>
        <v>10</v>
      </c>
      <c r="AA755" s="10" t="n">
        <f aca="false">I755</f>
        <v>8</v>
      </c>
      <c r="AB755" s="10" t="n">
        <f aca="false">J755</f>
        <v>0.3</v>
      </c>
      <c r="AC755" s="9" t="s">
        <v>3283</v>
      </c>
      <c r="AD755" s="9" t="s">
        <v>3306</v>
      </c>
      <c r="AE755" s="9" t="str">
        <f aca="false">IF($AK755=0,"",INDEX('Part types'!$T:$T,$AK755)&amp;"")</f>
        <v>All vehicles</v>
      </c>
      <c r="AF755" s="9" t="str">
        <f aca="false">IF($AK755=0,"",INDEX('Part types'!$U:$U,$AK755)&amp;"")</f>
        <v/>
      </c>
      <c r="AG755" s="9" t="str">
        <f aca="false">IF($AK755=0,"",INDEX('Part types'!$V:$V,$AK755)&amp;"")</f>
        <v>Estimate: size class S</v>
      </c>
      <c r="AH755" s="9" t="str">
        <f aca="false">IF($AK755=0,"",INDEX('Part types'!$W:$W,$AK755)&amp;"")</f>
        <v/>
      </c>
      <c r="AI755" s="11" t="str">
        <f aca="false">IF($AK755=0,"",INDEX('Part types'!$X:$X,$AK755)&amp;"")</f>
        <v/>
      </c>
      <c r="AJ755" s="9" t="str">
        <f aca="false">IF($AK755=0,"",INDEX('Part types'!$Y:$Y,$AK755)&amp;"")</f>
        <v/>
      </c>
      <c r="AK755" s="9" t="n">
        <f aca="false">IFERROR(MATCH($AD755,'Part types'!$E:$E,0),0)</f>
        <v>540</v>
      </c>
    </row>
    <row r="756" customFormat="false" ht="15" hidden="false" customHeight="false" outlineLevel="0" collapsed="false">
      <c r="A756" s="9" t="s">
        <v>3307</v>
      </c>
      <c r="B756" s="9" t="s">
        <v>3277</v>
      </c>
      <c r="C756" s="9" t="s">
        <v>3303</v>
      </c>
      <c r="D756" s="9" t="str">
        <f aca="false">C756&amp;" - "&amp;E756</f>
        <v>Headlamp Washer Nozzle - Right</v>
      </c>
      <c r="E756" s="9" t="s">
        <v>225</v>
      </c>
      <c r="F756" s="9" t="s">
        <v>2685</v>
      </c>
      <c r="G756" s="10" t="n">
        <f aca="false">IF($AK756=0,"",INDEX('Part types'!$P:$P,$AK756))</f>
        <v>15</v>
      </c>
      <c r="H756" s="10" t="n">
        <f aca="false">IF($AK756=0,"",INDEX('Part types'!$Q:$Q,$AK756))</f>
        <v>10</v>
      </c>
      <c r="I756" s="10" t="n">
        <f aca="false">IF($AK756=0,"",INDEX('Part types'!$R:$R,$AK756))</f>
        <v>8</v>
      </c>
      <c r="J756" s="10" t="n">
        <f aca="false">IF($AK756=0,"",INDEX('Part types'!$S:$S,$AK756))</f>
        <v>0.3</v>
      </c>
      <c r="K756" s="11" t="s">
        <v>3279</v>
      </c>
      <c r="L756" s="11" t="s">
        <v>3304</v>
      </c>
      <c r="M756" s="11" t="str">
        <f aca="false">L756&amp;" - "&amp;N756</f>
        <v>بخاخ غسيل المصابيح - يمين</v>
      </c>
      <c r="N756" s="11" t="s">
        <v>226</v>
      </c>
      <c r="O756" s="11" t="s">
        <v>2687</v>
      </c>
      <c r="P756" s="10" t="n">
        <f aca="false">G756</f>
        <v>15</v>
      </c>
      <c r="Q756" s="10" t="n">
        <f aca="false">H756</f>
        <v>10</v>
      </c>
      <c r="R756" s="10" t="n">
        <f aca="false">I756</f>
        <v>8</v>
      </c>
      <c r="S756" s="10" t="n">
        <f aca="false">J756</f>
        <v>0.3</v>
      </c>
      <c r="T756" s="12" t="s">
        <v>3281</v>
      </c>
      <c r="U756" s="12" t="s">
        <v>3305</v>
      </c>
      <c r="V756" s="9" t="str">
        <f aca="false">U756&amp;" - "&amp;W756</f>
        <v>大灯清洗喷嘴 - 右侧</v>
      </c>
      <c r="W756" s="12" t="s">
        <v>227</v>
      </c>
      <c r="X756" s="12" t="s">
        <v>2689</v>
      </c>
      <c r="Y756" s="10" t="n">
        <f aca="false">G756</f>
        <v>15</v>
      </c>
      <c r="Z756" s="10" t="n">
        <f aca="false">H756</f>
        <v>10</v>
      </c>
      <c r="AA756" s="10" t="n">
        <f aca="false">I756</f>
        <v>8</v>
      </c>
      <c r="AB756" s="10" t="n">
        <f aca="false">J756</f>
        <v>0.3</v>
      </c>
      <c r="AC756" s="9" t="s">
        <v>3283</v>
      </c>
      <c r="AD756" s="9" t="s">
        <v>3306</v>
      </c>
      <c r="AE756" s="9" t="str">
        <f aca="false">IF($AK756=0,"",INDEX('Part types'!$T:$T,$AK756)&amp;"")</f>
        <v>All vehicles</v>
      </c>
      <c r="AF756" s="9" t="str">
        <f aca="false">IF($AK756=0,"",INDEX('Part types'!$U:$U,$AK756)&amp;"")</f>
        <v/>
      </c>
      <c r="AG756" s="9" t="str">
        <f aca="false">IF($AK756=0,"",INDEX('Part types'!$V:$V,$AK756)&amp;"")</f>
        <v>Estimate: size class S</v>
      </c>
      <c r="AH756" s="9" t="str">
        <f aca="false">IF($AK756=0,"",INDEX('Part types'!$W:$W,$AK756)&amp;"")</f>
        <v/>
      </c>
      <c r="AI756" s="11" t="str">
        <f aca="false">IF($AK756=0,"",INDEX('Part types'!$X:$X,$AK756)&amp;"")</f>
        <v/>
      </c>
      <c r="AJ756" s="9" t="str">
        <f aca="false">IF($AK756=0,"",INDEX('Part types'!$Y:$Y,$AK756)&amp;"")</f>
        <v/>
      </c>
      <c r="AK756" s="9" t="n">
        <f aca="false">IFERROR(MATCH($AD756,'Part types'!$E:$E,0),0)</f>
        <v>540</v>
      </c>
    </row>
    <row r="757" customFormat="false" ht="15" hidden="false" customHeight="false" outlineLevel="0" collapsed="false">
      <c r="A757" s="9" t="s">
        <v>3308</v>
      </c>
      <c r="B757" s="9" t="s">
        <v>3277</v>
      </c>
      <c r="C757" s="9" t="s">
        <v>3309</v>
      </c>
      <c r="D757" s="9" t="str">
        <f aca="false">C757&amp;" - "&amp;E757</f>
        <v>Washer Hose Set - Universal</v>
      </c>
      <c r="E757" s="9" t="s">
        <v>68</v>
      </c>
      <c r="F757" s="9" t="s">
        <v>3219</v>
      </c>
      <c r="G757" s="10" t="n">
        <f aca="false">IF($AK757=0,"",INDEX('Part types'!$P:$P,$AK757))</f>
        <v>15</v>
      </c>
      <c r="H757" s="10" t="n">
        <f aca="false">IF($AK757=0,"",INDEX('Part types'!$Q:$Q,$AK757))</f>
        <v>10</v>
      </c>
      <c r="I757" s="10" t="n">
        <f aca="false">IF($AK757=0,"",INDEX('Part types'!$R:$R,$AK757))</f>
        <v>8</v>
      </c>
      <c r="J757" s="10" t="n">
        <f aca="false">IF($AK757=0,"",INDEX('Part types'!$S:$S,$AK757))</f>
        <v>0.3</v>
      </c>
      <c r="K757" s="11" t="s">
        <v>3279</v>
      </c>
      <c r="L757" s="11" t="s">
        <v>3310</v>
      </c>
      <c r="M757" s="11" t="str">
        <f aca="false">L757&amp;" - "&amp;N757</f>
        <v>طقم خراطيم مياه الزجاج - عام</v>
      </c>
      <c r="N757" s="11" t="s">
        <v>72</v>
      </c>
      <c r="O757" s="11" t="s">
        <v>3222</v>
      </c>
      <c r="P757" s="10" t="n">
        <f aca="false">G757</f>
        <v>15</v>
      </c>
      <c r="Q757" s="10" t="n">
        <f aca="false">H757</f>
        <v>10</v>
      </c>
      <c r="R757" s="10" t="n">
        <f aca="false">I757</f>
        <v>8</v>
      </c>
      <c r="S757" s="10" t="n">
        <f aca="false">J757</f>
        <v>0.3</v>
      </c>
      <c r="T757" s="12" t="s">
        <v>3281</v>
      </c>
      <c r="U757" s="12" t="s">
        <v>3311</v>
      </c>
      <c r="V757" s="9" t="str">
        <f aca="false">U757&amp;" - "&amp;W757</f>
        <v>玻璃水软管套装 - 通用</v>
      </c>
      <c r="W757" s="12" t="s">
        <v>76</v>
      </c>
      <c r="X757" s="12" t="s">
        <v>3225</v>
      </c>
      <c r="Y757" s="10" t="n">
        <f aca="false">G757</f>
        <v>15</v>
      </c>
      <c r="Z757" s="10" t="n">
        <f aca="false">H757</f>
        <v>10</v>
      </c>
      <c r="AA757" s="10" t="n">
        <f aca="false">I757</f>
        <v>8</v>
      </c>
      <c r="AB757" s="10" t="n">
        <f aca="false">J757</f>
        <v>0.3</v>
      </c>
      <c r="AC757" s="9" t="s">
        <v>3283</v>
      </c>
      <c r="AD757" s="9" t="s">
        <v>3312</v>
      </c>
      <c r="AE757" s="9" t="str">
        <f aca="false">IF($AK757=0,"",INDEX('Part types'!$T:$T,$AK757)&amp;"")</f>
        <v>All vehicles</v>
      </c>
      <c r="AF757" s="9" t="str">
        <f aca="false">IF($AK757=0,"",INDEX('Part types'!$U:$U,$AK757)&amp;"")</f>
        <v/>
      </c>
      <c r="AG757" s="9" t="str">
        <f aca="false">IF($AK757=0,"",INDEX('Part types'!$V:$V,$AK757)&amp;"")</f>
        <v>Estimate: size class S</v>
      </c>
      <c r="AH757" s="9" t="str">
        <f aca="false">IF($AK757=0,"",INDEX('Part types'!$W:$W,$AK757)&amp;"")</f>
        <v/>
      </c>
      <c r="AI757" s="11" t="str">
        <f aca="false">IF($AK757=0,"",INDEX('Part types'!$X:$X,$AK757)&amp;"")</f>
        <v/>
      </c>
      <c r="AJ757" s="9" t="str">
        <f aca="false">IF($AK757=0,"",INDEX('Part types'!$Y:$Y,$AK757)&amp;"")</f>
        <v/>
      </c>
      <c r="AK757" s="9" t="n">
        <f aca="false">IFERROR(MATCH($AD757,'Part types'!$E:$E,0),0)</f>
        <v>541</v>
      </c>
    </row>
    <row r="758" customFormat="false" ht="15" hidden="false" customHeight="false" outlineLevel="0" collapsed="false">
      <c r="A758" s="9" t="s">
        <v>3313</v>
      </c>
      <c r="B758" s="9" t="s">
        <v>3277</v>
      </c>
      <c r="C758" s="9" t="s">
        <v>3314</v>
      </c>
      <c r="D758" s="9" t="str">
        <f aca="false">C758&amp;" - "&amp;E758</f>
        <v>Washer Check Valve - Universal</v>
      </c>
      <c r="E758" s="9" t="s">
        <v>68</v>
      </c>
      <c r="F758" s="9" t="s">
        <v>3219</v>
      </c>
      <c r="G758" s="10" t="n">
        <f aca="false">IF($AK758=0,"",INDEX('Part types'!$P:$P,$AK758))</f>
        <v>10</v>
      </c>
      <c r="H758" s="10" t="n">
        <f aca="false">IF($AK758=0,"",INDEX('Part types'!$Q:$Q,$AK758))</f>
        <v>8</v>
      </c>
      <c r="I758" s="10" t="n">
        <f aca="false">IF($AK758=0,"",INDEX('Part types'!$R:$R,$AK758))</f>
        <v>6</v>
      </c>
      <c r="J758" s="10" t="n">
        <f aca="false">IF($AK758=0,"",INDEX('Part types'!$S:$S,$AK758))</f>
        <v>0.1</v>
      </c>
      <c r="K758" s="11" t="s">
        <v>3279</v>
      </c>
      <c r="L758" s="11" t="s">
        <v>3315</v>
      </c>
      <c r="M758" s="11" t="str">
        <f aca="false">L758&amp;" - "&amp;N758</f>
        <v>صمام عدم رجوع مياه الزجاج - عام</v>
      </c>
      <c r="N758" s="11" t="s">
        <v>72</v>
      </c>
      <c r="O758" s="11" t="s">
        <v>3222</v>
      </c>
      <c r="P758" s="10" t="n">
        <f aca="false">G758</f>
        <v>10</v>
      </c>
      <c r="Q758" s="10" t="n">
        <f aca="false">H758</f>
        <v>8</v>
      </c>
      <c r="R758" s="10" t="n">
        <f aca="false">I758</f>
        <v>6</v>
      </c>
      <c r="S758" s="10" t="n">
        <f aca="false">J758</f>
        <v>0.1</v>
      </c>
      <c r="T758" s="12" t="s">
        <v>3281</v>
      </c>
      <c r="U758" s="12" t="s">
        <v>3316</v>
      </c>
      <c r="V758" s="9" t="str">
        <f aca="false">U758&amp;" - "&amp;W758</f>
        <v>玻璃水单向阀 - 通用</v>
      </c>
      <c r="W758" s="12" t="s">
        <v>76</v>
      </c>
      <c r="X758" s="12" t="s">
        <v>3225</v>
      </c>
      <c r="Y758" s="10" t="n">
        <f aca="false">G758</f>
        <v>10</v>
      </c>
      <c r="Z758" s="10" t="n">
        <f aca="false">H758</f>
        <v>8</v>
      </c>
      <c r="AA758" s="10" t="n">
        <f aca="false">I758</f>
        <v>6</v>
      </c>
      <c r="AB758" s="10" t="n">
        <f aca="false">J758</f>
        <v>0.1</v>
      </c>
      <c r="AC758" s="9" t="s">
        <v>3283</v>
      </c>
      <c r="AD758" s="9" t="s">
        <v>3317</v>
      </c>
      <c r="AE758" s="9" t="str">
        <f aca="false">IF($AK758=0,"",INDEX('Part types'!$T:$T,$AK758)&amp;"")</f>
        <v>All vehicles</v>
      </c>
      <c r="AF758" s="9" t="str">
        <f aca="false">IF($AK758=0,"",INDEX('Part types'!$U:$U,$AK758)&amp;"")</f>
        <v/>
      </c>
      <c r="AG758" s="9" t="str">
        <f aca="false">IF($AK758=0,"",INDEX('Part types'!$V:$V,$AK758)&amp;"")</f>
        <v>Estimate: size class XS</v>
      </c>
      <c r="AH758" s="9" t="str">
        <f aca="false">IF($AK758=0,"",INDEX('Part types'!$W:$W,$AK758)&amp;"")</f>
        <v/>
      </c>
      <c r="AI758" s="11" t="str">
        <f aca="false">IF($AK758=0,"",INDEX('Part types'!$X:$X,$AK758)&amp;"")</f>
        <v/>
      </c>
      <c r="AJ758" s="9" t="str">
        <f aca="false">IF($AK758=0,"",INDEX('Part types'!$Y:$Y,$AK758)&amp;"")</f>
        <v/>
      </c>
      <c r="AK758" s="9" t="n">
        <f aca="false">IFERROR(MATCH($AD758,'Part types'!$E:$E,0),0)</f>
        <v>542</v>
      </c>
    </row>
    <row r="759" customFormat="false" ht="15" hidden="false" customHeight="false" outlineLevel="0" collapsed="false">
      <c r="A759" s="9" t="s">
        <v>3318</v>
      </c>
      <c r="B759" s="9" t="s">
        <v>3319</v>
      </c>
      <c r="C759" s="9" t="s">
        <v>3320</v>
      </c>
      <c r="D759" s="9" t="str">
        <f aca="false">C759&amp;" - "&amp;E759</f>
        <v>Horn - Left</v>
      </c>
      <c r="E759" s="9" t="s">
        <v>218</v>
      </c>
      <c r="F759" s="9" t="s">
        <v>2583</v>
      </c>
      <c r="G759" s="10" t="n">
        <f aca="false">IF($AK759=0,"",INDEX('Part types'!$P:$P,$AK759))</f>
        <v>25</v>
      </c>
      <c r="H759" s="10" t="n">
        <f aca="false">IF($AK759=0,"",INDEX('Part types'!$Q:$Q,$AK759))</f>
        <v>15</v>
      </c>
      <c r="I759" s="10" t="n">
        <f aca="false">IF($AK759=0,"",INDEX('Part types'!$R:$R,$AK759))</f>
        <v>10</v>
      </c>
      <c r="J759" s="10" t="n">
        <f aca="false">IF($AK759=0,"",INDEX('Part types'!$S:$S,$AK759))</f>
        <v>0.9</v>
      </c>
      <c r="K759" s="11" t="s">
        <v>3321</v>
      </c>
      <c r="L759" s="11" t="s">
        <v>3322</v>
      </c>
      <c r="M759" s="11" t="str">
        <f aca="false">L759&amp;" - "&amp;N759</f>
        <v>بوري - يسار</v>
      </c>
      <c r="N759" s="11" t="s">
        <v>220</v>
      </c>
      <c r="O759" s="11" t="s">
        <v>2585</v>
      </c>
      <c r="P759" s="10" t="n">
        <f aca="false">G759</f>
        <v>25</v>
      </c>
      <c r="Q759" s="10" t="n">
        <f aca="false">H759</f>
        <v>15</v>
      </c>
      <c r="R759" s="10" t="n">
        <f aca="false">I759</f>
        <v>10</v>
      </c>
      <c r="S759" s="10" t="n">
        <f aca="false">J759</f>
        <v>0.9</v>
      </c>
      <c r="T759" s="12" t="s">
        <v>3323</v>
      </c>
      <c r="U759" s="12" t="s">
        <v>3324</v>
      </c>
      <c r="V759" s="9" t="str">
        <f aca="false">U759&amp;" - "&amp;W759</f>
        <v>喇叭 - 左侧</v>
      </c>
      <c r="W759" s="12" t="s">
        <v>222</v>
      </c>
      <c r="X759" s="12" t="s">
        <v>2587</v>
      </c>
      <c r="Y759" s="10" t="n">
        <f aca="false">G759</f>
        <v>25</v>
      </c>
      <c r="Z759" s="10" t="n">
        <f aca="false">H759</f>
        <v>15</v>
      </c>
      <c r="AA759" s="10" t="n">
        <f aca="false">I759</f>
        <v>10</v>
      </c>
      <c r="AB759" s="10" t="n">
        <f aca="false">J759</f>
        <v>0.9</v>
      </c>
      <c r="AC759" s="9" t="s">
        <v>3325</v>
      </c>
      <c r="AD759" s="9" t="s">
        <v>3326</v>
      </c>
      <c r="AE759" s="9" t="str">
        <f aca="false">IF($AK759=0,"",INDEX('Part types'!$T:$T,$AK759)&amp;"")</f>
        <v>All vehicles</v>
      </c>
      <c r="AF759" s="9" t="str">
        <f aca="false">IF($AK759=0,"",INDEX('Part types'!$U:$U,$AK759)&amp;"")</f>
        <v/>
      </c>
      <c r="AG759" s="9" t="str">
        <f aca="false">IF($AK759=0,"",INDEX('Part types'!$V:$V,$AK759)&amp;"")</f>
        <v>Estimate: size class M</v>
      </c>
      <c r="AH759" s="9" t="str">
        <f aca="false">IF($AK759=0,"",INDEX('Part types'!$W:$W,$AK759)&amp;"")</f>
        <v/>
      </c>
      <c r="AI759" s="11" t="str">
        <f aca="false">IF($AK759=0,"",INDEX('Part types'!$X:$X,$AK759)&amp;"")</f>
        <v>كلاكس</v>
      </c>
      <c r="AJ759" s="9" t="str">
        <f aca="false">IF($AK759=0,"",INDEX('Part types'!$Y:$Y,$AK759)&amp;"")</f>
        <v/>
      </c>
      <c r="AK759" s="9" t="n">
        <f aca="false">IFERROR(MATCH($AD759,'Part types'!$E:$E,0),0)</f>
        <v>543</v>
      </c>
    </row>
    <row r="760" customFormat="false" ht="15" hidden="false" customHeight="false" outlineLevel="0" collapsed="false">
      <c r="A760" s="9" t="s">
        <v>3327</v>
      </c>
      <c r="B760" s="9" t="s">
        <v>3319</v>
      </c>
      <c r="C760" s="9" t="s">
        <v>3320</v>
      </c>
      <c r="D760" s="9" t="str">
        <f aca="false">C760&amp;" - "&amp;E760</f>
        <v>Horn - Right</v>
      </c>
      <c r="E760" s="9" t="s">
        <v>225</v>
      </c>
      <c r="F760" s="9" t="s">
        <v>2583</v>
      </c>
      <c r="G760" s="10" t="n">
        <f aca="false">IF($AK760=0,"",INDEX('Part types'!$P:$P,$AK760))</f>
        <v>25</v>
      </c>
      <c r="H760" s="10" t="n">
        <f aca="false">IF($AK760=0,"",INDEX('Part types'!$Q:$Q,$AK760))</f>
        <v>15</v>
      </c>
      <c r="I760" s="10" t="n">
        <f aca="false">IF($AK760=0,"",INDEX('Part types'!$R:$R,$AK760))</f>
        <v>10</v>
      </c>
      <c r="J760" s="10" t="n">
        <f aca="false">IF($AK760=0,"",INDEX('Part types'!$S:$S,$AK760))</f>
        <v>0.9</v>
      </c>
      <c r="K760" s="11" t="s">
        <v>3321</v>
      </c>
      <c r="L760" s="11" t="s">
        <v>3322</v>
      </c>
      <c r="M760" s="11" t="str">
        <f aca="false">L760&amp;" - "&amp;N760</f>
        <v>بوري - يمين</v>
      </c>
      <c r="N760" s="11" t="s">
        <v>226</v>
      </c>
      <c r="O760" s="11" t="s">
        <v>2585</v>
      </c>
      <c r="P760" s="10" t="n">
        <f aca="false">G760</f>
        <v>25</v>
      </c>
      <c r="Q760" s="10" t="n">
        <f aca="false">H760</f>
        <v>15</v>
      </c>
      <c r="R760" s="10" t="n">
        <f aca="false">I760</f>
        <v>10</v>
      </c>
      <c r="S760" s="10" t="n">
        <f aca="false">J760</f>
        <v>0.9</v>
      </c>
      <c r="T760" s="12" t="s">
        <v>3323</v>
      </c>
      <c r="U760" s="12" t="s">
        <v>3324</v>
      </c>
      <c r="V760" s="9" t="str">
        <f aca="false">U760&amp;" - "&amp;W760</f>
        <v>喇叭 - 右侧</v>
      </c>
      <c r="W760" s="12" t="s">
        <v>227</v>
      </c>
      <c r="X760" s="12" t="s">
        <v>2587</v>
      </c>
      <c r="Y760" s="10" t="n">
        <f aca="false">G760</f>
        <v>25</v>
      </c>
      <c r="Z760" s="10" t="n">
        <f aca="false">H760</f>
        <v>15</v>
      </c>
      <c r="AA760" s="10" t="n">
        <f aca="false">I760</f>
        <v>10</v>
      </c>
      <c r="AB760" s="10" t="n">
        <f aca="false">J760</f>
        <v>0.9</v>
      </c>
      <c r="AC760" s="9" t="s">
        <v>3325</v>
      </c>
      <c r="AD760" s="9" t="s">
        <v>3326</v>
      </c>
      <c r="AE760" s="9" t="str">
        <f aca="false">IF($AK760=0,"",INDEX('Part types'!$T:$T,$AK760)&amp;"")</f>
        <v>All vehicles</v>
      </c>
      <c r="AF760" s="9" t="str">
        <f aca="false">IF($AK760=0,"",INDEX('Part types'!$U:$U,$AK760)&amp;"")</f>
        <v/>
      </c>
      <c r="AG760" s="9" t="str">
        <f aca="false">IF($AK760=0,"",INDEX('Part types'!$V:$V,$AK760)&amp;"")</f>
        <v>Estimate: size class M</v>
      </c>
      <c r="AH760" s="9" t="str">
        <f aca="false">IF($AK760=0,"",INDEX('Part types'!$W:$W,$AK760)&amp;"")</f>
        <v/>
      </c>
      <c r="AI760" s="11" t="str">
        <f aca="false">IF($AK760=0,"",INDEX('Part types'!$X:$X,$AK760)&amp;"")</f>
        <v>كلاكس</v>
      </c>
      <c r="AJ760" s="9" t="str">
        <f aca="false">IF($AK760=0,"",INDEX('Part types'!$Y:$Y,$AK760)&amp;"")</f>
        <v/>
      </c>
      <c r="AK760" s="9" t="n">
        <f aca="false">IFERROR(MATCH($AD760,'Part types'!$E:$E,0),0)</f>
        <v>543</v>
      </c>
    </row>
    <row r="761" customFormat="false" ht="15" hidden="false" customHeight="false" outlineLevel="0" collapsed="false">
      <c r="A761" s="9" t="s">
        <v>3328</v>
      </c>
      <c r="B761" s="9" t="s">
        <v>3319</v>
      </c>
      <c r="C761" s="9" t="s">
        <v>3329</v>
      </c>
      <c r="D761" s="9" t="str">
        <f aca="false">C761&amp;" - "&amp;E761</f>
        <v>Head Unit - Universal</v>
      </c>
      <c r="E761" s="9" t="s">
        <v>68</v>
      </c>
      <c r="F761" s="9" t="s">
        <v>2439</v>
      </c>
      <c r="G761" s="10" t="n">
        <f aca="false">IF($AK761=0,"",INDEX('Part types'!$P:$P,$AK761))</f>
        <v>25</v>
      </c>
      <c r="H761" s="10" t="n">
        <f aca="false">IF($AK761=0,"",INDEX('Part types'!$Q:$Q,$AK761))</f>
        <v>20</v>
      </c>
      <c r="I761" s="10" t="n">
        <f aca="false">IF($AK761=0,"",INDEX('Part types'!$R:$R,$AK761))</f>
        <v>15</v>
      </c>
      <c r="J761" s="10" t="n">
        <f aca="false">IF($AK761=0,"",INDEX('Part types'!$S:$S,$AK761))</f>
        <v>2</v>
      </c>
      <c r="K761" s="11" t="s">
        <v>3321</v>
      </c>
      <c r="L761" s="11" t="s">
        <v>3330</v>
      </c>
      <c r="M761" s="11" t="str">
        <f aca="false">L761&amp;" - "&amp;N761</f>
        <v>شاشة وراديو السيارة - عام</v>
      </c>
      <c r="N761" s="11" t="s">
        <v>72</v>
      </c>
      <c r="O761" s="11" t="s">
        <v>2441</v>
      </c>
      <c r="P761" s="10" t="n">
        <f aca="false">G761</f>
        <v>25</v>
      </c>
      <c r="Q761" s="10" t="n">
        <f aca="false">H761</f>
        <v>20</v>
      </c>
      <c r="R761" s="10" t="n">
        <f aca="false">I761</f>
        <v>15</v>
      </c>
      <c r="S761" s="10" t="n">
        <f aca="false">J761</f>
        <v>2</v>
      </c>
      <c r="T761" s="12" t="s">
        <v>3323</v>
      </c>
      <c r="U761" s="12" t="s">
        <v>3331</v>
      </c>
      <c r="V761" s="9" t="str">
        <f aca="false">U761&amp;" - "&amp;W761</f>
        <v>车载主机 - 通用</v>
      </c>
      <c r="W761" s="12" t="s">
        <v>76</v>
      </c>
      <c r="X761" s="12" t="s">
        <v>2443</v>
      </c>
      <c r="Y761" s="10" t="n">
        <f aca="false">G761</f>
        <v>25</v>
      </c>
      <c r="Z761" s="10" t="n">
        <f aca="false">H761</f>
        <v>20</v>
      </c>
      <c r="AA761" s="10" t="n">
        <f aca="false">I761</f>
        <v>15</v>
      </c>
      <c r="AB761" s="10" t="n">
        <f aca="false">J761</f>
        <v>2</v>
      </c>
      <c r="AC761" s="9" t="s">
        <v>3325</v>
      </c>
      <c r="AD761" s="9" t="s">
        <v>3332</v>
      </c>
      <c r="AE761" s="9" t="str">
        <f aca="false">IF($AK761=0,"",INDEX('Part types'!$T:$T,$AK761)&amp;"")</f>
        <v>All vehicles</v>
      </c>
      <c r="AF761" s="9" t="str">
        <f aca="false">IF($AK761=0,"",INDEX('Part types'!$U:$U,$AK761)&amp;"")</f>
        <v/>
      </c>
      <c r="AG761" s="9" t="str">
        <f aca="false">IF($AK761=0,"",INDEX('Part types'!$V:$V,$AK761)&amp;"")</f>
        <v>Estimate: item-specific</v>
      </c>
      <c r="AH761" s="9" t="str">
        <f aca="false">IF($AK761=0,"",INDEX('Part types'!$W:$W,$AK761)&amp;"")</f>
        <v>Radio / Multimedia</v>
      </c>
      <c r="AI761" s="11" t="str">
        <f aca="false">IF($AK761=0,"",INDEX('Part types'!$X:$X,$AK761)&amp;"")</f>
        <v/>
      </c>
      <c r="AJ761" s="9" t="str">
        <f aca="false">IF($AK761=0,"",INDEX('Part types'!$Y:$Y,$AK761)&amp;"")</f>
        <v>收音机/多媒体</v>
      </c>
      <c r="AK761" s="9" t="n">
        <f aca="false">IFERROR(MATCH($AD761,'Part types'!$E:$E,0),0)</f>
        <v>544</v>
      </c>
    </row>
    <row r="762" customFormat="false" ht="15" hidden="false" customHeight="false" outlineLevel="0" collapsed="false">
      <c r="A762" s="9" t="s">
        <v>3333</v>
      </c>
      <c r="B762" s="9" t="s">
        <v>3319</v>
      </c>
      <c r="C762" s="9" t="s">
        <v>3334</v>
      </c>
      <c r="D762" s="9" t="str">
        <f aca="false">C762&amp;" - "&amp;E762</f>
        <v>Touchscreen Display - Universal</v>
      </c>
      <c r="E762" s="9" t="s">
        <v>68</v>
      </c>
      <c r="F762" s="9" t="s">
        <v>2439</v>
      </c>
      <c r="G762" s="10" t="n">
        <f aca="false">IF($AK762=0,"",INDEX('Part types'!$P:$P,$AK762))</f>
        <v>30</v>
      </c>
      <c r="H762" s="10" t="n">
        <f aca="false">IF($AK762=0,"",INDEX('Part types'!$Q:$Q,$AK762))</f>
        <v>20</v>
      </c>
      <c r="I762" s="10" t="n">
        <f aca="false">IF($AK762=0,"",INDEX('Part types'!$R:$R,$AK762))</f>
        <v>15</v>
      </c>
      <c r="J762" s="10" t="n">
        <f aca="false">IF($AK762=0,"",INDEX('Part types'!$S:$S,$AK762))</f>
        <v>1.8</v>
      </c>
      <c r="K762" s="11" t="s">
        <v>3321</v>
      </c>
      <c r="L762" s="11" t="s">
        <v>3335</v>
      </c>
      <c r="M762" s="11" t="str">
        <f aca="false">L762&amp;" - "&amp;N762</f>
        <v>شاشة لمس - عام</v>
      </c>
      <c r="N762" s="11" t="s">
        <v>72</v>
      </c>
      <c r="O762" s="11" t="s">
        <v>2441</v>
      </c>
      <c r="P762" s="10" t="n">
        <f aca="false">G762</f>
        <v>30</v>
      </c>
      <c r="Q762" s="10" t="n">
        <f aca="false">H762</f>
        <v>20</v>
      </c>
      <c r="R762" s="10" t="n">
        <f aca="false">I762</f>
        <v>15</v>
      </c>
      <c r="S762" s="10" t="n">
        <f aca="false">J762</f>
        <v>1.8</v>
      </c>
      <c r="T762" s="12" t="s">
        <v>3323</v>
      </c>
      <c r="U762" s="12" t="s">
        <v>3336</v>
      </c>
      <c r="V762" s="9" t="str">
        <f aca="false">U762&amp;" - "&amp;W762</f>
        <v>触摸显示屏 - 通用</v>
      </c>
      <c r="W762" s="12" t="s">
        <v>76</v>
      </c>
      <c r="X762" s="12" t="s">
        <v>2443</v>
      </c>
      <c r="Y762" s="10" t="n">
        <f aca="false">G762</f>
        <v>30</v>
      </c>
      <c r="Z762" s="10" t="n">
        <f aca="false">H762</f>
        <v>20</v>
      </c>
      <c r="AA762" s="10" t="n">
        <f aca="false">I762</f>
        <v>15</v>
      </c>
      <c r="AB762" s="10" t="n">
        <f aca="false">J762</f>
        <v>1.8</v>
      </c>
      <c r="AC762" s="9" t="s">
        <v>3325</v>
      </c>
      <c r="AD762" s="9" t="s">
        <v>3337</v>
      </c>
      <c r="AE762" s="9" t="str">
        <f aca="false">IF($AK762=0,"",INDEX('Part types'!$T:$T,$AK762)&amp;"")</f>
        <v>All vehicles</v>
      </c>
      <c r="AF762" s="9" t="str">
        <f aca="false">IF($AK762=0,"",INDEX('Part types'!$U:$U,$AK762)&amp;"")</f>
        <v>Fragile</v>
      </c>
      <c r="AG762" s="9" t="str">
        <f aca="false">IF($AK762=0,"",INDEX('Part types'!$V:$V,$AK762)&amp;"")</f>
        <v>Estimate: size class M2</v>
      </c>
      <c r="AH762" s="9" t="str">
        <f aca="false">IF($AK762=0,"",INDEX('Part types'!$W:$W,$AK762)&amp;"")</f>
        <v/>
      </c>
      <c r="AI762" s="11" t="str">
        <f aca="false">IF($AK762=0,"",INDEX('Part types'!$X:$X,$AK762)&amp;"")</f>
        <v/>
      </c>
      <c r="AJ762" s="9" t="str">
        <f aca="false">IF($AK762=0,"",INDEX('Part types'!$Y:$Y,$AK762)&amp;"")</f>
        <v/>
      </c>
      <c r="AK762" s="9" t="n">
        <f aca="false">IFERROR(MATCH($AD762,'Part types'!$E:$E,0),0)</f>
        <v>545</v>
      </c>
    </row>
    <row r="763" customFormat="false" ht="15" hidden="false" customHeight="false" outlineLevel="0" collapsed="false">
      <c r="A763" s="9" t="s">
        <v>3338</v>
      </c>
      <c r="B763" s="9" t="s">
        <v>3319</v>
      </c>
      <c r="C763" s="9" t="s">
        <v>3339</v>
      </c>
      <c r="D763" s="9" t="str">
        <f aca="false">C763&amp;" - "&amp;E763</f>
        <v>Door Speaker - Front-Left</v>
      </c>
      <c r="E763" s="9" t="s">
        <v>1346</v>
      </c>
      <c r="F763" s="9" t="s">
        <v>2405</v>
      </c>
      <c r="G763" s="10" t="n">
        <f aca="false">IF($AK763=0,"",INDEX('Part types'!$P:$P,$AK763))</f>
        <v>25</v>
      </c>
      <c r="H763" s="10" t="n">
        <f aca="false">IF($AK763=0,"",INDEX('Part types'!$Q:$Q,$AK763))</f>
        <v>15</v>
      </c>
      <c r="I763" s="10" t="n">
        <f aca="false">IF($AK763=0,"",INDEX('Part types'!$R:$R,$AK763))</f>
        <v>10</v>
      </c>
      <c r="J763" s="10" t="n">
        <f aca="false">IF($AK763=0,"",INDEX('Part types'!$S:$S,$AK763))</f>
        <v>0.9</v>
      </c>
      <c r="K763" s="11" t="s">
        <v>3321</v>
      </c>
      <c r="L763" s="11" t="s">
        <v>3340</v>
      </c>
      <c r="M763" s="11" t="str">
        <f aca="false">L763&amp;" - "&amp;N763</f>
        <v>سماعة الباب - أمامي يسار</v>
      </c>
      <c r="N763" s="11" t="s">
        <v>1349</v>
      </c>
      <c r="O763" s="11" t="s">
        <v>2408</v>
      </c>
      <c r="P763" s="10" t="n">
        <f aca="false">G763</f>
        <v>25</v>
      </c>
      <c r="Q763" s="10" t="n">
        <f aca="false">H763</f>
        <v>15</v>
      </c>
      <c r="R763" s="10" t="n">
        <f aca="false">I763</f>
        <v>10</v>
      </c>
      <c r="S763" s="10" t="n">
        <f aca="false">J763</f>
        <v>0.9</v>
      </c>
      <c r="T763" s="12" t="s">
        <v>3323</v>
      </c>
      <c r="U763" s="12" t="s">
        <v>3341</v>
      </c>
      <c r="V763" s="9" t="str">
        <f aca="false">U763&amp;" - "&amp;W763</f>
        <v>车门喇叭 - 前左</v>
      </c>
      <c r="W763" s="12" t="s">
        <v>1352</v>
      </c>
      <c r="X763" s="12" t="s">
        <v>2411</v>
      </c>
      <c r="Y763" s="10" t="n">
        <f aca="false">G763</f>
        <v>25</v>
      </c>
      <c r="Z763" s="10" t="n">
        <f aca="false">H763</f>
        <v>15</v>
      </c>
      <c r="AA763" s="10" t="n">
        <f aca="false">I763</f>
        <v>10</v>
      </c>
      <c r="AB763" s="10" t="n">
        <f aca="false">J763</f>
        <v>0.9</v>
      </c>
      <c r="AC763" s="9" t="s">
        <v>3325</v>
      </c>
      <c r="AD763" s="9" t="s">
        <v>3342</v>
      </c>
      <c r="AE763" s="9" t="str">
        <f aca="false">IF($AK763=0,"",INDEX('Part types'!$T:$T,$AK763)&amp;"")</f>
        <v>All vehicles</v>
      </c>
      <c r="AF763" s="9" t="str">
        <f aca="false">IF($AK763=0,"",INDEX('Part types'!$U:$U,$AK763)&amp;"")</f>
        <v/>
      </c>
      <c r="AG763" s="9" t="str">
        <f aca="false">IF($AK763=0,"",INDEX('Part types'!$V:$V,$AK763)&amp;"")</f>
        <v>Estimate: size class M</v>
      </c>
      <c r="AH763" s="9" t="str">
        <f aca="false">IF($AK763=0,"",INDEX('Part types'!$W:$W,$AK763)&amp;"")</f>
        <v/>
      </c>
      <c r="AI763" s="11" t="str">
        <f aca="false">IF($AK763=0,"",INDEX('Part types'!$X:$X,$AK763)&amp;"")</f>
        <v/>
      </c>
      <c r="AJ763" s="9" t="str">
        <f aca="false">IF($AK763=0,"",INDEX('Part types'!$Y:$Y,$AK763)&amp;"")</f>
        <v>扬声器</v>
      </c>
      <c r="AK763" s="9" t="n">
        <f aca="false">IFERROR(MATCH($AD763,'Part types'!$E:$E,0),0)</f>
        <v>546</v>
      </c>
    </row>
    <row r="764" customFormat="false" ht="15" hidden="false" customHeight="false" outlineLevel="0" collapsed="false">
      <c r="A764" s="9" t="s">
        <v>3343</v>
      </c>
      <c r="B764" s="9" t="s">
        <v>3319</v>
      </c>
      <c r="C764" s="9" t="s">
        <v>3339</v>
      </c>
      <c r="D764" s="9" t="str">
        <f aca="false">C764&amp;" - "&amp;E764</f>
        <v>Door Speaker - Front-Right</v>
      </c>
      <c r="E764" s="9" t="s">
        <v>1356</v>
      </c>
      <c r="F764" s="9" t="s">
        <v>2405</v>
      </c>
      <c r="G764" s="10" t="n">
        <f aca="false">IF($AK764=0,"",INDEX('Part types'!$P:$P,$AK764))</f>
        <v>25</v>
      </c>
      <c r="H764" s="10" t="n">
        <f aca="false">IF($AK764=0,"",INDEX('Part types'!$Q:$Q,$AK764))</f>
        <v>15</v>
      </c>
      <c r="I764" s="10" t="n">
        <f aca="false">IF($AK764=0,"",INDEX('Part types'!$R:$R,$AK764))</f>
        <v>10</v>
      </c>
      <c r="J764" s="10" t="n">
        <f aca="false">IF($AK764=0,"",INDEX('Part types'!$S:$S,$AK764))</f>
        <v>0.9</v>
      </c>
      <c r="K764" s="11" t="s">
        <v>3321</v>
      </c>
      <c r="L764" s="11" t="s">
        <v>3340</v>
      </c>
      <c r="M764" s="11" t="str">
        <f aca="false">L764&amp;" - "&amp;N764</f>
        <v>سماعة الباب - أمامي يمين</v>
      </c>
      <c r="N764" s="11" t="s">
        <v>1357</v>
      </c>
      <c r="O764" s="11" t="s">
        <v>2408</v>
      </c>
      <c r="P764" s="10" t="n">
        <f aca="false">G764</f>
        <v>25</v>
      </c>
      <c r="Q764" s="10" t="n">
        <f aca="false">H764</f>
        <v>15</v>
      </c>
      <c r="R764" s="10" t="n">
        <f aca="false">I764</f>
        <v>10</v>
      </c>
      <c r="S764" s="10" t="n">
        <f aca="false">J764</f>
        <v>0.9</v>
      </c>
      <c r="T764" s="12" t="s">
        <v>3323</v>
      </c>
      <c r="U764" s="12" t="s">
        <v>3341</v>
      </c>
      <c r="V764" s="9" t="str">
        <f aca="false">U764&amp;" - "&amp;W764</f>
        <v>车门喇叭 - 前右</v>
      </c>
      <c r="W764" s="12" t="s">
        <v>1358</v>
      </c>
      <c r="X764" s="12" t="s">
        <v>2411</v>
      </c>
      <c r="Y764" s="10" t="n">
        <f aca="false">G764</f>
        <v>25</v>
      </c>
      <c r="Z764" s="10" t="n">
        <f aca="false">H764</f>
        <v>15</v>
      </c>
      <c r="AA764" s="10" t="n">
        <f aca="false">I764</f>
        <v>10</v>
      </c>
      <c r="AB764" s="10" t="n">
        <f aca="false">J764</f>
        <v>0.9</v>
      </c>
      <c r="AC764" s="9" t="s">
        <v>3325</v>
      </c>
      <c r="AD764" s="9" t="s">
        <v>3342</v>
      </c>
      <c r="AE764" s="9" t="str">
        <f aca="false">IF($AK764=0,"",INDEX('Part types'!$T:$T,$AK764)&amp;"")</f>
        <v>All vehicles</v>
      </c>
      <c r="AF764" s="9" t="str">
        <f aca="false">IF($AK764=0,"",INDEX('Part types'!$U:$U,$AK764)&amp;"")</f>
        <v/>
      </c>
      <c r="AG764" s="9" t="str">
        <f aca="false">IF($AK764=0,"",INDEX('Part types'!$V:$V,$AK764)&amp;"")</f>
        <v>Estimate: size class M</v>
      </c>
      <c r="AH764" s="9" t="str">
        <f aca="false">IF($AK764=0,"",INDEX('Part types'!$W:$W,$AK764)&amp;"")</f>
        <v/>
      </c>
      <c r="AI764" s="11" t="str">
        <f aca="false">IF($AK764=0,"",INDEX('Part types'!$X:$X,$AK764)&amp;"")</f>
        <v/>
      </c>
      <c r="AJ764" s="9" t="str">
        <f aca="false">IF($AK764=0,"",INDEX('Part types'!$Y:$Y,$AK764)&amp;"")</f>
        <v>扬声器</v>
      </c>
      <c r="AK764" s="9" t="n">
        <f aca="false">IFERROR(MATCH($AD764,'Part types'!$E:$E,0),0)</f>
        <v>546</v>
      </c>
    </row>
    <row r="765" customFormat="false" ht="15" hidden="false" customHeight="false" outlineLevel="0" collapsed="false">
      <c r="A765" s="9" t="s">
        <v>3344</v>
      </c>
      <c r="B765" s="9" t="s">
        <v>3319</v>
      </c>
      <c r="C765" s="9" t="s">
        <v>3339</v>
      </c>
      <c r="D765" s="9" t="str">
        <f aca="false">C765&amp;" - "&amp;E765</f>
        <v>Door Speaker - Rear-Left</v>
      </c>
      <c r="E765" s="9" t="s">
        <v>1360</v>
      </c>
      <c r="F765" s="9" t="s">
        <v>2405</v>
      </c>
      <c r="G765" s="10" t="n">
        <f aca="false">IF($AK765=0,"",INDEX('Part types'!$P:$P,$AK765))</f>
        <v>25</v>
      </c>
      <c r="H765" s="10" t="n">
        <f aca="false">IF($AK765=0,"",INDEX('Part types'!$Q:$Q,$AK765))</f>
        <v>15</v>
      </c>
      <c r="I765" s="10" t="n">
        <f aca="false">IF($AK765=0,"",INDEX('Part types'!$R:$R,$AK765))</f>
        <v>10</v>
      </c>
      <c r="J765" s="10" t="n">
        <f aca="false">IF($AK765=0,"",INDEX('Part types'!$S:$S,$AK765))</f>
        <v>0.9</v>
      </c>
      <c r="K765" s="11" t="s">
        <v>3321</v>
      </c>
      <c r="L765" s="11" t="s">
        <v>3340</v>
      </c>
      <c r="M765" s="11" t="str">
        <f aca="false">L765&amp;" - "&amp;N765</f>
        <v>سماعة الباب - خلفي يسار</v>
      </c>
      <c r="N765" s="11" t="s">
        <v>1361</v>
      </c>
      <c r="O765" s="11" t="s">
        <v>2408</v>
      </c>
      <c r="P765" s="10" t="n">
        <f aca="false">G765</f>
        <v>25</v>
      </c>
      <c r="Q765" s="10" t="n">
        <f aca="false">H765</f>
        <v>15</v>
      </c>
      <c r="R765" s="10" t="n">
        <f aca="false">I765</f>
        <v>10</v>
      </c>
      <c r="S765" s="10" t="n">
        <f aca="false">J765</f>
        <v>0.9</v>
      </c>
      <c r="T765" s="12" t="s">
        <v>3323</v>
      </c>
      <c r="U765" s="12" t="s">
        <v>3341</v>
      </c>
      <c r="V765" s="9" t="str">
        <f aca="false">U765&amp;" - "&amp;W765</f>
        <v>车门喇叭 - 后左</v>
      </c>
      <c r="W765" s="12" t="s">
        <v>1362</v>
      </c>
      <c r="X765" s="12" t="s">
        <v>2411</v>
      </c>
      <c r="Y765" s="10" t="n">
        <f aca="false">G765</f>
        <v>25</v>
      </c>
      <c r="Z765" s="10" t="n">
        <f aca="false">H765</f>
        <v>15</v>
      </c>
      <c r="AA765" s="10" t="n">
        <f aca="false">I765</f>
        <v>10</v>
      </c>
      <c r="AB765" s="10" t="n">
        <f aca="false">J765</f>
        <v>0.9</v>
      </c>
      <c r="AC765" s="9" t="s">
        <v>3325</v>
      </c>
      <c r="AD765" s="9" t="s">
        <v>3342</v>
      </c>
      <c r="AE765" s="9" t="str">
        <f aca="false">IF($AK765=0,"",INDEX('Part types'!$T:$T,$AK765)&amp;"")</f>
        <v>All vehicles</v>
      </c>
      <c r="AF765" s="9" t="str">
        <f aca="false">IF($AK765=0,"",INDEX('Part types'!$U:$U,$AK765)&amp;"")</f>
        <v/>
      </c>
      <c r="AG765" s="9" t="str">
        <f aca="false">IF($AK765=0,"",INDEX('Part types'!$V:$V,$AK765)&amp;"")</f>
        <v>Estimate: size class M</v>
      </c>
      <c r="AH765" s="9" t="str">
        <f aca="false">IF($AK765=0,"",INDEX('Part types'!$W:$W,$AK765)&amp;"")</f>
        <v/>
      </c>
      <c r="AI765" s="11" t="str">
        <f aca="false">IF($AK765=0,"",INDEX('Part types'!$X:$X,$AK765)&amp;"")</f>
        <v/>
      </c>
      <c r="AJ765" s="9" t="str">
        <f aca="false">IF($AK765=0,"",INDEX('Part types'!$Y:$Y,$AK765)&amp;"")</f>
        <v>扬声器</v>
      </c>
      <c r="AK765" s="9" t="n">
        <f aca="false">IFERROR(MATCH($AD765,'Part types'!$E:$E,0),0)</f>
        <v>546</v>
      </c>
    </row>
    <row r="766" customFormat="false" ht="15" hidden="false" customHeight="false" outlineLevel="0" collapsed="false">
      <c r="A766" s="9" t="s">
        <v>3345</v>
      </c>
      <c r="B766" s="9" t="s">
        <v>3319</v>
      </c>
      <c r="C766" s="9" t="s">
        <v>3339</v>
      </c>
      <c r="D766" s="9" t="str">
        <f aca="false">C766&amp;" - "&amp;E766</f>
        <v>Door Speaker - Rear-Right</v>
      </c>
      <c r="E766" s="9" t="s">
        <v>1364</v>
      </c>
      <c r="F766" s="9" t="s">
        <v>2405</v>
      </c>
      <c r="G766" s="10" t="n">
        <f aca="false">IF($AK766=0,"",INDEX('Part types'!$P:$P,$AK766))</f>
        <v>25</v>
      </c>
      <c r="H766" s="10" t="n">
        <f aca="false">IF($AK766=0,"",INDEX('Part types'!$Q:$Q,$AK766))</f>
        <v>15</v>
      </c>
      <c r="I766" s="10" t="n">
        <f aca="false">IF($AK766=0,"",INDEX('Part types'!$R:$R,$AK766))</f>
        <v>10</v>
      </c>
      <c r="J766" s="10" t="n">
        <f aca="false">IF($AK766=0,"",INDEX('Part types'!$S:$S,$AK766))</f>
        <v>0.9</v>
      </c>
      <c r="K766" s="11" t="s">
        <v>3321</v>
      </c>
      <c r="L766" s="11" t="s">
        <v>3340</v>
      </c>
      <c r="M766" s="11" t="str">
        <f aca="false">L766&amp;" - "&amp;N766</f>
        <v>سماعة الباب - خلفي يمين</v>
      </c>
      <c r="N766" s="11" t="s">
        <v>1365</v>
      </c>
      <c r="O766" s="11" t="s">
        <v>2408</v>
      </c>
      <c r="P766" s="10" t="n">
        <f aca="false">G766</f>
        <v>25</v>
      </c>
      <c r="Q766" s="10" t="n">
        <f aca="false">H766</f>
        <v>15</v>
      </c>
      <c r="R766" s="10" t="n">
        <f aca="false">I766</f>
        <v>10</v>
      </c>
      <c r="S766" s="10" t="n">
        <f aca="false">J766</f>
        <v>0.9</v>
      </c>
      <c r="T766" s="12" t="s">
        <v>3323</v>
      </c>
      <c r="U766" s="12" t="s">
        <v>3341</v>
      </c>
      <c r="V766" s="9" t="str">
        <f aca="false">U766&amp;" - "&amp;W766</f>
        <v>车门喇叭 - 后右</v>
      </c>
      <c r="W766" s="12" t="s">
        <v>1366</v>
      </c>
      <c r="X766" s="12" t="s">
        <v>2411</v>
      </c>
      <c r="Y766" s="10" t="n">
        <f aca="false">G766</f>
        <v>25</v>
      </c>
      <c r="Z766" s="10" t="n">
        <f aca="false">H766</f>
        <v>15</v>
      </c>
      <c r="AA766" s="10" t="n">
        <f aca="false">I766</f>
        <v>10</v>
      </c>
      <c r="AB766" s="10" t="n">
        <f aca="false">J766</f>
        <v>0.9</v>
      </c>
      <c r="AC766" s="9" t="s">
        <v>3325</v>
      </c>
      <c r="AD766" s="9" t="s">
        <v>3342</v>
      </c>
      <c r="AE766" s="9" t="str">
        <f aca="false">IF($AK766=0,"",INDEX('Part types'!$T:$T,$AK766)&amp;"")</f>
        <v>All vehicles</v>
      </c>
      <c r="AF766" s="9" t="str">
        <f aca="false">IF($AK766=0,"",INDEX('Part types'!$U:$U,$AK766)&amp;"")</f>
        <v/>
      </c>
      <c r="AG766" s="9" t="str">
        <f aca="false">IF($AK766=0,"",INDEX('Part types'!$V:$V,$AK766)&amp;"")</f>
        <v>Estimate: size class M</v>
      </c>
      <c r="AH766" s="9" t="str">
        <f aca="false">IF($AK766=0,"",INDEX('Part types'!$W:$W,$AK766)&amp;"")</f>
        <v/>
      </c>
      <c r="AI766" s="11" t="str">
        <f aca="false">IF($AK766=0,"",INDEX('Part types'!$X:$X,$AK766)&amp;"")</f>
        <v/>
      </c>
      <c r="AJ766" s="9" t="str">
        <f aca="false">IF($AK766=0,"",INDEX('Part types'!$Y:$Y,$AK766)&amp;"")</f>
        <v>扬声器</v>
      </c>
      <c r="AK766" s="9" t="n">
        <f aca="false">IFERROR(MATCH($AD766,'Part types'!$E:$E,0),0)</f>
        <v>546</v>
      </c>
    </row>
    <row r="767" customFormat="false" ht="15" hidden="false" customHeight="false" outlineLevel="0" collapsed="false">
      <c r="A767" s="9" t="s">
        <v>3346</v>
      </c>
      <c r="B767" s="9" t="s">
        <v>3319</v>
      </c>
      <c r="C767" s="9" t="s">
        <v>3347</v>
      </c>
      <c r="D767" s="9" t="str">
        <f aca="false">C767&amp;" - "&amp;E767</f>
        <v>Tweeter - Left</v>
      </c>
      <c r="E767" s="9" t="s">
        <v>218</v>
      </c>
      <c r="F767" s="9" t="s">
        <v>2405</v>
      </c>
      <c r="G767" s="10" t="n">
        <f aca="false">IF($AK767=0,"",INDEX('Part types'!$P:$P,$AK767))</f>
        <v>15</v>
      </c>
      <c r="H767" s="10" t="n">
        <f aca="false">IF($AK767=0,"",INDEX('Part types'!$Q:$Q,$AK767))</f>
        <v>10</v>
      </c>
      <c r="I767" s="10" t="n">
        <f aca="false">IF($AK767=0,"",INDEX('Part types'!$R:$R,$AK767))</f>
        <v>8</v>
      </c>
      <c r="J767" s="10" t="n">
        <f aca="false">IF($AK767=0,"",INDEX('Part types'!$S:$S,$AK767))</f>
        <v>0.3</v>
      </c>
      <c r="K767" s="11" t="s">
        <v>3321</v>
      </c>
      <c r="L767" s="11" t="s">
        <v>3348</v>
      </c>
      <c r="M767" s="11" t="str">
        <f aca="false">L767&amp;" - "&amp;N767</f>
        <v>سماعة صوت حاد - يسار</v>
      </c>
      <c r="N767" s="11" t="s">
        <v>220</v>
      </c>
      <c r="O767" s="11" t="s">
        <v>2408</v>
      </c>
      <c r="P767" s="10" t="n">
        <f aca="false">G767</f>
        <v>15</v>
      </c>
      <c r="Q767" s="10" t="n">
        <f aca="false">H767</f>
        <v>10</v>
      </c>
      <c r="R767" s="10" t="n">
        <f aca="false">I767</f>
        <v>8</v>
      </c>
      <c r="S767" s="10" t="n">
        <f aca="false">J767</f>
        <v>0.3</v>
      </c>
      <c r="T767" s="12" t="s">
        <v>3323</v>
      </c>
      <c r="U767" s="12" t="s">
        <v>3349</v>
      </c>
      <c r="V767" s="9" t="str">
        <f aca="false">U767&amp;" - "&amp;W767</f>
        <v>高音喇叭 - 左侧</v>
      </c>
      <c r="W767" s="12" t="s">
        <v>222</v>
      </c>
      <c r="X767" s="12" t="s">
        <v>2411</v>
      </c>
      <c r="Y767" s="10" t="n">
        <f aca="false">G767</f>
        <v>15</v>
      </c>
      <c r="Z767" s="10" t="n">
        <f aca="false">H767</f>
        <v>10</v>
      </c>
      <c r="AA767" s="10" t="n">
        <f aca="false">I767</f>
        <v>8</v>
      </c>
      <c r="AB767" s="10" t="n">
        <f aca="false">J767</f>
        <v>0.3</v>
      </c>
      <c r="AC767" s="9" t="s">
        <v>3325</v>
      </c>
      <c r="AD767" s="9" t="s">
        <v>3350</v>
      </c>
      <c r="AE767" s="9" t="str">
        <f aca="false">IF($AK767=0,"",INDEX('Part types'!$T:$T,$AK767)&amp;"")</f>
        <v>All vehicles</v>
      </c>
      <c r="AF767" s="9" t="str">
        <f aca="false">IF($AK767=0,"",INDEX('Part types'!$U:$U,$AK767)&amp;"")</f>
        <v/>
      </c>
      <c r="AG767" s="9" t="str">
        <f aca="false">IF($AK767=0,"",INDEX('Part types'!$V:$V,$AK767)&amp;"")</f>
        <v>Estimate: size class S</v>
      </c>
      <c r="AH767" s="9" t="str">
        <f aca="false">IF($AK767=0,"",INDEX('Part types'!$W:$W,$AK767)&amp;"")</f>
        <v/>
      </c>
      <c r="AI767" s="11" t="str">
        <f aca="false">IF($AK767=0,"",INDEX('Part types'!$X:$X,$AK767)&amp;"")</f>
        <v>تويتر</v>
      </c>
      <c r="AJ767" s="9" t="str">
        <f aca="false">IF($AK767=0,"",INDEX('Part types'!$Y:$Y,$AK767)&amp;"")</f>
        <v/>
      </c>
      <c r="AK767" s="9" t="n">
        <f aca="false">IFERROR(MATCH($AD767,'Part types'!$E:$E,0),0)</f>
        <v>547</v>
      </c>
    </row>
    <row r="768" customFormat="false" ht="15" hidden="false" customHeight="false" outlineLevel="0" collapsed="false">
      <c r="A768" s="9" t="s">
        <v>3351</v>
      </c>
      <c r="B768" s="9" t="s">
        <v>3319</v>
      </c>
      <c r="C768" s="9" t="s">
        <v>3347</v>
      </c>
      <c r="D768" s="9" t="str">
        <f aca="false">C768&amp;" - "&amp;E768</f>
        <v>Tweeter - Right</v>
      </c>
      <c r="E768" s="9" t="s">
        <v>225</v>
      </c>
      <c r="F768" s="9" t="s">
        <v>2405</v>
      </c>
      <c r="G768" s="10" t="n">
        <f aca="false">IF($AK768=0,"",INDEX('Part types'!$P:$P,$AK768))</f>
        <v>15</v>
      </c>
      <c r="H768" s="10" t="n">
        <f aca="false">IF($AK768=0,"",INDEX('Part types'!$Q:$Q,$AK768))</f>
        <v>10</v>
      </c>
      <c r="I768" s="10" t="n">
        <f aca="false">IF($AK768=0,"",INDEX('Part types'!$R:$R,$AK768))</f>
        <v>8</v>
      </c>
      <c r="J768" s="10" t="n">
        <f aca="false">IF($AK768=0,"",INDEX('Part types'!$S:$S,$AK768))</f>
        <v>0.3</v>
      </c>
      <c r="K768" s="11" t="s">
        <v>3321</v>
      </c>
      <c r="L768" s="11" t="s">
        <v>3348</v>
      </c>
      <c r="M768" s="11" t="str">
        <f aca="false">L768&amp;" - "&amp;N768</f>
        <v>سماعة صوت حاد - يمين</v>
      </c>
      <c r="N768" s="11" t="s">
        <v>226</v>
      </c>
      <c r="O768" s="11" t="s">
        <v>2408</v>
      </c>
      <c r="P768" s="10" t="n">
        <f aca="false">G768</f>
        <v>15</v>
      </c>
      <c r="Q768" s="10" t="n">
        <f aca="false">H768</f>
        <v>10</v>
      </c>
      <c r="R768" s="10" t="n">
        <f aca="false">I768</f>
        <v>8</v>
      </c>
      <c r="S768" s="10" t="n">
        <f aca="false">J768</f>
        <v>0.3</v>
      </c>
      <c r="T768" s="12" t="s">
        <v>3323</v>
      </c>
      <c r="U768" s="12" t="s">
        <v>3349</v>
      </c>
      <c r="V768" s="9" t="str">
        <f aca="false">U768&amp;" - "&amp;W768</f>
        <v>高音喇叭 - 右侧</v>
      </c>
      <c r="W768" s="12" t="s">
        <v>227</v>
      </c>
      <c r="X768" s="12" t="s">
        <v>2411</v>
      </c>
      <c r="Y768" s="10" t="n">
        <f aca="false">G768</f>
        <v>15</v>
      </c>
      <c r="Z768" s="10" t="n">
        <f aca="false">H768</f>
        <v>10</v>
      </c>
      <c r="AA768" s="10" t="n">
        <f aca="false">I768</f>
        <v>8</v>
      </c>
      <c r="AB768" s="10" t="n">
        <f aca="false">J768</f>
        <v>0.3</v>
      </c>
      <c r="AC768" s="9" t="s">
        <v>3325</v>
      </c>
      <c r="AD768" s="9" t="s">
        <v>3350</v>
      </c>
      <c r="AE768" s="9" t="str">
        <f aca="false">IF($AK768=0,"",INDEX('Part types'!$T:$T,$AK768)&amp;"")</f>
        <v>All vehicles</v>
      </c>
      <c r="AF768" s="9" t="str">
        <f aca="false">IF($AK768=0,"",INDEX('Part types'!$U:$U,$AK768)&amp;"")</f>
        <v/>
      </c>
      <c r="AG768" s="9" t="str">
        <f aca="false">IF($AK768=0,"",INDEX('Part types'!$V:$V,$AK768)&amp;"")</f>
        <v>Estimate: size class S</v>
      </c>
      <c r="AH768" s="9" t="str">
        <f aca="false">IF($AK768=0,"",INDEX('Part types'!$W:$W,$AK768)&amp;"")</f>
        <v/>
      </c>
      <c r="AI768" s="11" t="str">
        <f aca="false">IF($AK768=0,"",INDEX('Part types'!$X:$X,$AK768)&amp;"")</f>
        <v>تويتر</v>
      </c>
      <c r="AJ768" s="9" t="str">
        <f aca="false">IF($AK768=0,"",INDEX('Part types'!$Y:$Y,$AK768)&amp;"")</f>
        <v/>
      </c>
      <c r="AK768" s="9" t="n">
        <f aca="false">IFERROR(MATCH($AD768,'Part types'!$E:$E,0),0)</f>
        <v>547</v>
      </c>
    </row>
    <row r="769" customFormat="false" ht="15" hidden="false" customHeight="false" outlineLevel="0" collapsed="false">
      <c r="A769" s="9" t="s">
        <v>3352</v>
      </c>
      <c r="B769" s="9" t="s">
        <v>3319</v>
      </c>
      <c r="C769" s="9" t="s">
        <v>3353</v>
      </c>
      <c r="D769" s="9" t="str">
        <f aca="false">C769&amp;" - "&amp;E769</f>
        <v>Subwoofer - Universal</v>
      </c>
      <c r="E769" s="9" t="s">
        <v>68</v>
      </c>
      <c r="F769" s="9" t="s">
        <v>2106</v>
      </c>
      <c r="G769" s="10" t="n">
        <f aca="false">IF($AK769=0,"",INDEX('Part types'!$P:$P,$AK769))</f>
        <v>30</v>
      </c>
      <c r="H769" s="10" t="n">
        <f aca="false">IF($AK769=0,"",INDEX('Part types'!$Q:$Q,$AK769))</f>
        <v>20</v>
      </c>
      <c r="I769" s="10" t="n">
        <f aca="false">IF($AK769=0,"",INDEX('Part types'!$R:$R,$AK769))</f>
        <v>15</v>
      </c>
      <c r="J769" s="10" t="n">
        <f aca="false">IF($AK769=0,"",INDEX('Part types'!$S:$S,$AK769))</f>
        <v>1.8</v>
      </c>
      <c r="K769" s="11" t="s">
        <v>3321</v>
      </c>
      <c r="L769" s="11" t="s">
        <v>3354</v>
      </c>
      <c r="M769" s="11" t="str">
        <f aca="false">L769&amp;" - "&amp;N769</f>
        <v>سماعة باص - عام</v>
      </c>
      <c r="N769" s="11" t="s">
        <v>72</v>
      </c>
      <c r="O769" s="11" t="s">
        <v>2108</v>
      </c>
      <c r="P769" s="10" t="n">
        <f aca="false">G769</f>
        <v>30</v>
      </c>
      <c r="Q769" s="10" t="n">
        <f aca="false">H769</f>
        <v>20</v>
      </c>
      <c r="R769" s="10" t="n">
        <f aca="false">I769</f>
        <v>15</v>
      </c>
      <c r="S769" s="10" t="n">
        <f aca="false">J769</f>
        <v>1.8</v>
      </c>
      <c r="T769" s="12" t="s">
        <v>3323</v>
      </c>
      <c r="U769" s="12" t="s">
        <v>3355</v>
      </c>
      <c r="V769" s="9" t="str">
        <f aca="false">U769&amp;" - "&amp;W769</f>
        <v>低音炮 - 通用</v>
      </c>
      <c r="W769" s="12" t="s">
        <v>76</v>
      </c>
      <c r="X769" s="12" t="s">
        <v>2110</v>
      </c>
      <c r="Y769" s="10" t="n">
        <f aca="false">G769</f>
        <v>30</v>
      </c>
      <c r="Z769" s="10" t="n">
        <f aca="false">H769</f>
        <v>20</v>
      </c>
      <c r="AA769" s="10" t="n">
        <f aca="false">I769</f>
        <v>15</v>
      </c>
      <c r="AB769" s="10" t="n">
        <f aca="false">J769</f>
        <v>1.8</v>
      </c>
      <c r="AC769" s="9" t="s">
        <v>3325</v>
      </c>
      <c r="AD769" s="9" t="s">
        <v>3356</v>
      </c>
      <c r="AE769" s="9" t="str">
        <f aca="false">IF($AK769=0,"",INDEX('Part types'!$T:$T,$AK769)&amp;"")</f>
        <v>All vehicles</v>
      </c>
      <c r="AF769" s="9" t="str">
        <f aca="false">IF($AK769=0,"",INDEX('Part types'!$U:$U,$AK769)&amp;"")</f>
        <v/>
      </c>
      <c r="AG769" s="9" t="str">
        <f aca="false">IF($AK769=0,"",INDEX('Part types'!$V:$V,$AK769)&amp;"")</f>
        <v>Estimate: size class M2</v>
      </c>
      <c r="AH769" s="9" t="str">
        <f aca="false">IF($AK769=0,"",INDEX('Part types'!$W:$W,$AK769)&amp;"")</f>
        <v/>
      </c>
      <c r="AI769" s="11" t="str">
        <f aca="false">IF($AK769=0,"",INDEX('Part types'!$X:$X,$AK769)&amp;"")</f>
        <v>ساب ووفر</v>
      </c>
      <c r="AJ769" s="9" t="str">
        <f aca="false">IF($AK769=0,"",INDEX('Part types'!$Y:$Y,$AK769)&amp;"")</f>
        <v/>
      </c>
      <c r="AK769" s="9" t="n">
        <f aca="false">IFERROR(MATCH($AD769,'Part types'!$E:$E,0),0)</f>
        <v>548</v>
      </c>
    </row>
    <row r="770" customFormat="false" ht="15" hidden="false" customHeight="false" outlineLevel="0" collapsed="false">
      <c r="A770" s="9" t="s">
        <v>3357</v>
      </c>
      <c r="B770" s="9" t="s">
        <v>3319</v>
      </c>
      <c r="C770" s="9" t="s">
        <v>3358</v>
      </c>
      <c r="D770" s="9" t="str">
        <f aca="false">C770&amp;" - "&amp;E770</f>
        <v>Amplifier - Universal</v>
      </c>
      <c r="E770" s="9" t="s">
        <v>68</v>
      </c>
      <c r="F770" s="9" t="s">
        <v>2106</v>
      </c>
      <c r="G770" s="10" t="n">
        <f aca="false">IF($AK770=0,"",INDEX('Part types'!$P:$P,$AK770))</f>
        <v>25</v>
      </c>
      <c r="H770" s="10" t="n">
        <f aca="false">IF($AK770=0,"",INDEX('Part types'!$Q:$Q,$AK770))</f>
        <v>15</v>
      </c>
      <c r="I770" s="10" t="n">
        <f aca="false">IF($AK770=0,"",INDEX('Part types'!$R:$R,$AK770))</f>
        <v>10</v>
      </c>
      <c r="J770" s="10" t="n">
        <f aca="false">IF($AK770=0,"",INDEX('Part types'!$S:$S,$AK770))</f>
        <v>0.9</v>
      </c>
      <c r="K770" s="11" t="s">
        <v>3321</v>
      </c>
      <c r="L770" s="11" t="s">
        <v>3359</v>
      </c>
      <c r="M770" s="11" t="str">
        <f aca="false">L770&amp;" - "&amp;N770</f>
        <v>مضخم صوت - عام</v>
      </c>
      <c r="N770" s="11" t="s">
        <v>72</v>
      </c>
      <c r="O770" s="11" t="s">
        <v>2108</v>
      </c>
      <c r="P770" s="10" t="n">
        <f aca="false">G770</f>
        <v>25</v>
      </c>
      <c r="Q770" s="10" t="n">
        <f aca="false">H770</f>
        <v>15</v>
      </c>
      <c r="R770" s="10" t="n">
        <f aca="false">I770</f>
        <v>10</v>
      </c>
      <c r="S770" s="10" t="n">
        <f aca="false">J770</f>
        <v>0.9</v>
      </c>
      <c r="T770" s="12" t="s">
        <v>3323</v>
      </c>
      <c r="U770" s="12" t="s">
        <v>3360</v>
      </c>
      <c r="V770" s="9" t="str">
        <f aca="false">U770&amp;" - "&amp;W770</f>
        <v>功放 - 通用</v>
      </c>
      <c r="W770" s="12" t="s">
        <v>76</v>
      </c>
      <c r="X770" s="12" t="s">
        <v>2110</v>
      </c>
      <c r="Y770" s="10" t="n">
        <f aca="false">G770</f>
        <v>25</v>
      </c>
      <c r="Z770" s="10" t="n">
        <f aca="false">H770</f>
        <v>15</v>
      </c>
      <c r="AA770" s="10" t="n">
        <f aca="false">I770</f>
        <v>10</v>
      </c>
      <c r="AB770" s="10" t="n">
        <f aca="false">J770</f>
        <v>0.9</v>
      </c>
      <c r="AC770" s="9" t="s">
        <v>3325</v>
      </c>
      <c r="AD770" s="9" t="s">
        <v>3361</v>
      </c>
      <c r="AE770" s="9" t="str">
        <f aca="false">IF($AK770=0,"",INDEX('Part types'!$T:$T,$AK770)&amp;"")</f>
        <v>All vehicles</v>
      </c>
      <c r="AF770" s="9" t="str">
        <f aca="false">IF($AK770=0,"",INDEX('Part types'!$U:$U,$AK770)&amp;"")</f>
        <v/>
      </c>
      <c r="AG770" s="9" t="str">
        <f aca="false">IF($AK770=0,"",INDEX('Part types'!$V:$V,$AK770)&amp;"")</f>
        <v>Estimate: size class M</v>
      </c>
      <c r="AH770" s="9" t="str">
        <f aca="false">IF($AK770=0,"",INDEX('Part types'!$W:$W,$AK770)&amp;"")</f>
        <v/>
      </c>
      <c r="AI770" s="11" t="str">
        <f aca="false">IF($AK770=0,"",INDEX('Part types'!$X:$X,$AK770)&amp;"")</f>
        <v>أمبليفاير</v>
      </c>
      <c r="AJ770" s="9" t="str">
        <f aca="false">IF($AK770=0,"",INDEX('Part types'!$Y:$Y,$AK770)&amp;"")</f>
        <v/>
      </c>
      <c r="AK770" s="9" t="n">
        <f aca="false">IFERROR(MATCH($AD770,'Part types'!$E:$E,0),0)</f>
        <v>549</v>
      </c>
    </row>
    <row r="771" customFormat="false" ht="15" hidden="false" customHeight="false" outlineLevel="0" collapsed="false">
      <c r="A771" s="9" t="s">
        <v>3362</v>
      </c>
      <c r="B771" s="9" t="s">
        <v>3319</v>
      </c>
      <c r="C771" s="9" t="s">
        <v>3363</v>
      </c>
      <c r="D771" s="9" t="str">
        <f aca="false">C771&amp;" - "&amp;E771</f>
        <v>Antenna - Universal</v>
      </c>
      <c r="E771" s="9" t="s">
        <v>68</v>
      </c>
      <c r="F771" s="9" t="s">
        <v>3364</v>
      </c>
      <c r="G771" s="10" t="n">
        <f aca="false">IF($AK771=0,"",INDEX('Part types'!$P:$P,$AK771))</f>
        <v>15</v>
      </c>
      <c r="H771" s="10" t="n">
        <f aca="false">IF($AK771=0,"",INDEX('Part types'!$Q:$Q,$AK771))</f>
        <v>10</v>
      </c>
      <c r="I771" s="10" t="n">
        <f aca="false">IF($AK771=0,"",INDEX('Part types'!$R:$R,$AK771))</f>
        <v>8</v>
      </c>
      <c r="J771" s="10" t="n">
        <f aca="false">IF($AK771=0,"",INDEX('Part types'!$S:$S,$AK771))</f>
        <v>0.3</v>
      </c>
      <c r="K771" s="11" t="s">
        <v>3321</v>
      </c>
      <c r="L771" s="11" t="s">
        <v>3365</v>
      </c>
      <c r="M771" s="11" t="str">
        <f aca="false">L771&amp;" - "&amp;N771</f>
        <v>هوائي - عام</v>
      </c>
      <c r="N771" s="11" t="s">
        <v>72</v>
      </c>
      <c r="O771" s="11" t="s">
        <v>3366</v>
      </c>
      <c r="P771" s="10" t="n">
        <f aca="false">G771</f>
        <v>15</v>
      </c>
      <c r="Q771" s="10" t="n">
        <f aca="false">H771</f>
        <v>10</v>
      </c>
      <c r="R771" s="10" t="n">
        <f aca="false">I771</f>
        <v>8</v>
      </c>
      <c r="S771" s="10" t="n">
        <f aca="false">J771</f>
        <v>0.3</v>
      </c>
      <c r="T771" s="12" t="s">
        <v>3323</v>
      </c>
      <c r="U771" s="12" t="s">
        <v>3367</v>
      </c>
      <c r="V771" s="9" t="str">
        <f aca="false">U771&amp;" - "&amp;W771</f>
        <v>天线 - 通用</v>
      </c>
      <c r="W771" s="12" t="s">
        <v>76</v>
      </c>
      <c r="X771" s="12" t="s">
        <v>3368</v>
      </c>
      <c r="Y771" s="10" t="n">
        <f aca="false">G771</f>
        <v>15</v>
      </c>
      <c r="Z771" s="10" t="n">
        <f aca="false">H771</f>
        <v>10</v>
      </c>
      <c r="AA771" s="10" t="n">
        <f aca="false">I771</f>
        <v>8</v>
      </c>
      <c r="AB771" s="10" t="n">
        <f aca="false">J771</f>
        <v>0.3</v>
      </c>
      <c r="AC771" s="9" t="s">
        <v>3325</v>
      </c>
      <c r="AD771" s="9" t="s">
        <v>3369</v>
      </c>
      <c r="AE771" s="9" t="str">
        <f aca="false">IF($AK771=0,"",INDEX('Part types'!$T:$T,$AK771)&amp;"")</f>
        <v>All vehicles</v>
      </c>
      <c r="AF771" s="9" t="str">
        <f aca="false">IF($AK771=0,"",INDEX('Part types'!$U:$U,$AK771)&amp;"")</f>
        <v/>
      </c>
      <c r="AG771" s="9" t="str">
        <f aca="false">IF($AK771=0,"",INDEX('Part types'!$V:$V,$AK771)&amp;"")</f>
        <v>Estimate: size class S</v>
      </c>
      <c r="AH771" s="9" t="str">
        <f aca="false">IF($AK771=0,"",INDEX('Part types'!$W:$W,$AK771)&amp;"")</f>
        <v/>
      </c>
      <c r="AI771" s="11" t="str">
        <f aca="false">IF($AK771=0,"",INDEX('Part types'!$X:$X,$AK771)&amp;"")</f>
        <v>أنتينا</v>
      </c>
      <c r="AJ771" s="9" t="str">
        <f aca="false">IF($AK771=0,"",INDEX('Part types'!$Y:$Y,$AK771)&amp;"")</f>
        <v/>
      </c>
      <c r="AK771" s="9" t="n">
        <f aca="false">IFERROR(MATCH($AD771,'Part types'!$E:$E,0),0)</f>
        <v>550</v>
      </c>
    </row>
    <row r="772" customFormat="false" ht="15" hidden="false" customHeight="false" outlineLevel="0" collapsed="false">
      <c r="A772" s="9" t="s">
        <v>3370</v>
      </c>
      <c r="B772" s="9" t="s">
        <v>3319</v>
      </c>
      <c r="C772" s="9" t="s">
        <v>3371</v>
      </c>
      <c r="D772" s="9" t="str">
        <f aca="false">C772&amp;" - "&amp;E772</f>
        <v>Hands-Free Microphone - Universal</v>
      </c>
      <c r="E772" s="9" t="s">
        <v>68</v>
      </c>
      <c r="F772" s="9" t="s">
        <v>2848</v>
      </c>
      <c r="G772" s="10" t="n">
        <f aca="false">IF($AK772=0,"",INDEX('Part types'!$P:$P,$AK772))</f>
        <v>10</v>
      </c>
      <c r="H772" s="10" t="n">
        <f aca="false">IF($AK772=0,"",INDEX('Part types'!$Q:$Q,$AK772))</f>
        <v>8</v>
      </c>
      <c r="I772" s="10" t="n">
        <f aca="false">IF($AK772=0,"",INDEX('Part types'!$R:$R,$AK772))</f>
        <v>6</v>
      </c>
      <c r="J772" s="10" t="n">
        <f aca="false">IF($AK772=0,"",INDEX('Part types'!$S:$S,$AK772))</f>
        <v>0.1</v>
      </c>
      <c r="K772" s="11" t="s">
        <v>3321</v>
      </c>
      <c r="L772" s="11" t="s">
        <v>3372</v>
      </c>
      <c r="M772" s="11" t="str">
        <f aca="false">L772&amp;" - "&amp;N772</f>
        <v>ميكروفون الاتصال بدون استخدام اليدين - عام</v>
      </c>
      <c r="N772" s="11" t="s">
        <v>72</v>
      </c>
      <c r="O772" s="11" t="s">
        <v>2850</v>
      </c>
      <c r="P772" s="10" t="n">
        <f aca="false">G772</f>
        <v>10</v>
      </c>
      <c r="Q772" s="10" t="n">
        <f aca="false">H772</f>
        <v>8</v>
      </c>
      <c r="R772" s="10" t="n">
        <f aca="false">I772</f>
        <v>6</v>
      </c>
      <c r="S772" s="10" t="n">
        <f aca="false">J772</f>
        <v>0.1</v>
      </c>
      <c r="T772" s="12" t="s">
        <v>3323</v>
      </c>
      <c r="U772" s="12" t="s">
        <v>3373</v>
      </c>
      <c r="V772" s="9" t="str">
        <f aca="false">U772&amp;" - "&amp;W772</f>
        <v>免提麦克风 - 通用</v>
      </c>
      <c r="W772" s="12" t="s">
        <v>76</v>
      </c>
      <c r="X772" s="12" t="s">
        <v>2852</v>
      </c>
      <c r="Y772" s="10" t="n">
        <f aca="false">G772</f>
        <v>10</v>
      </c>
      <c r="Z772" s="10" t="n">
        <f aca="false">H772</f>
        <v>8</v>
      </c>
      <c r="AA772" s="10" t="n">
        <f aca="false">I772</f>
        <v>6</v>
      </c>
      <c r="AB772" s="10" t="n">
        <f aca="false">J772</f>
        <v>0.1</v>
      </c>
      <c r="AC772" s="9" t="s">
        <v>3325</v>
      </c>
      <c r="AD772" s="9" t="s">
        <v>3374</v>
      </c>
      <c r="AE772" s="9" t="str">
        <f aca="false">IF($AK772=0,"",INDEX('Part types'!$T:$T,$AK772)&amp;"")</f>
        <v>All vehicles</v>
      </c>
      <c r="AF772" s="9" t="str">
        <f aca="false">IF($AK772=0,"",INDEX('Part types'!$U:$U,$AK772)&amp;"")</f>
        <v/>
      </c>
      <c r="AG772" s="9" t="str">
        <f aca="false">IF($AK772=0,"",INDEX('Part types'!$V:$V,$AK772)&amp;"")</f>
        <v>Estimate: size class XS</v>
      </c>
      <c r="AH772" s="9" t="str">
        <f aca="false">IF($AK772=0,"",INDEX('Part types'!$W:$W,$AK772)&amp;"")</f>
        <v/>
      </c>
      <c r="AI772" s="11" t="str">
        <f aca="false">IF($AK772=0,"",INDEX('Part types'!$X:$X,$AK772)&amp;"")</f>
        <v/>
      </c>
      <c r="AJ772" s="9" t="str">
        <f aca="false">IF($AK772=0,"",INDEX('Part types'!$Y:$Y,$AK772)&amp;"")</f>
        <v/>
      </c>
      <c r="AK772" s="9" t="n">
        <f aca="false">IFERROR(MATCH($AD772,'Part types'!$E:$E,0),0)</f>
        <v>551</v>
      </c>
    </row>
    <row r="773" customFormat="false" ht="15" hidden="false" customHeight="false" outlineLevel="0" collapsed="false">
      <c r="A773" s="9" t="s">
        <v>3375</v>
      </c>
      <c r="B773" s="9" t="s">
        <v>3319</v>
      </c>
      <c r="C773" s="9" t="s">
        <v>3376</v>
      </c>
      <c r="D773" s="9" t="str">
        <f aca="false">C773&amp;" - "&amp;E773</f>
        <v>Bluetooth Module - Universal</v>
      </c>
      <c r="E773" s="9" t="s">
        <v>68</v>
      </c>
      <c r="F773" s="9" t="s">
        <v>1162</v>
      </c>
      <c r="G773" s="10" t="n">
        <f aca="false">IF($AK773=0,"",INDEX('Part types'!$P:$P,$AK773))</f>
        <v>15</v>
      </c>
      <c r="H773" s="10" t="n">
        <f aca="false">IF($AK773=0,"",INDEX('Part types'!$Q:$Q,$AK773))</f>
        <v>10</v>
      </c>
      <c r="I773" s="10" t="n">
        <f aca="false">IF($AK773=0,"",INDEX('Part types'!$R:$R,$AK773))</f>
        <v>8</v>
      </c>
      <c r="J773" s="10" t="n">
        <f aca="false">IF($AK773=0,"",INDEX('Part types'!$S:$S,$AK773))</f>
        <v>0.3</v>
      </c>
      <c r="K773" s="11" t="s">
        <v>3321</v>
      </c>
      <c r="L773" s="11" t="s">
        <v>3377</v>
      </c>
      <c r="M773" s="11" t="str">
        <f aca="false">L773&amp;" - "&amp;N773</f>
        <v>وحدة بلوتوث / USB - عام</v>
      </c>
      <c r="N773" s="11" t="s">
        <v>72</v>
      </c>
      <c r="O773" s="11" t="s">
        <v>1164</v>
      </c>
      <c r="P773" s="10" t="n">
        <f aca="false">G773</f>
        <v>15</v>
      </c>
      <c r="Q773" s="10" t="n">
        <f aca="false">H773</f>
        <v>10</v>
      </c>
      <c r="R773" s="10" t="n">
        <f aca="false">I773</f>
        <v>8</v>
      </c>
      <c r="S773" s="10" t="n">
        <f aca="false">J773</f>
        <v>0.3</v>
      </c>
      <c r="T773" s="12" t="s">
        <v>3323</v>
      </c>
      <c r="U773" s="12" t="s">
        <v>3378</v>
      </c>
      <c r="V773" s="9" t="str">
        <f aca="false">U773&amp;" - "&amp;W773</f>
        <v>蓝牙/USB模块 - 通用</v>
      </c>
      <c r="W773" s="12" t="s">
        <v>76</v>
      </c>
      <c r="X773" s="12" t="s">
        <v>1166</v>
      </c>
      <c r="Y773" s="10" t="n">
        <f aca="false">G773</f>
        <v>15</v>
      </c>
      <c r="Z773" s="10" t="n">
        <f aca="false">H773</f>
        <v>10</v>
      </c>
      <c r="AA773" s="10" t="n">
        <f aca="false">I773</f>
        <v>8</v>
      </c>
      <c r="AB773" s="10" t="n">
        <f aca="false">J773</f>
        <v>0.3</v>
      </c>
      <c r="AC773" s="9" t="s">
        <v>3325</v>
      </c>
      <c r="AD773" s="9" t="s">
        <v>3379</v>
      </c>
      <c r="AE773" s="9" t="str">
        <f aca="false">IF($AK773=0,"",INDEX('Part types'!$T:$T,$AK773)&amp;"")</f>
        <v>All vehicles</v>
      </c>
      <c r="AF773" s="9" t="str">
        <f aca="false">IF($AK773=0,"",INDEX('Part types'!$U:$U,$AK773)&amp;"")</f>
        <v/>
      </c>
      <c r="AG773" s="9" t="str">
        <f aca="false">IF($AK773=0,"",INDEX('Part types'!$V:$V,$AK773)&amp;"")</f>
        <v>Estimate: size class S</v>
      </c>
      <c r="AH773" s="9" t="str">
        <f aca="false">IF($AK773=0,"",INDEX('Part types'!$W:$W,$AK773)&amp;"")</f>
        <v>Bluetooth / USB Module</v>
      </c>
      <c r="AI773" s="11" t="str">
        <f aca="false">IF($AK773=0,"",INDEX('Part types'!$X:$X,$AK773)&amp;"")</f>
        <v/>
      </c>
      <c r="AJ773" s="9" t="str">
        <f aca="false">IF($AK773=0,"",INDEX('Part types'!$Y:$Y,$AK773)&amp;"")</f>
        <v/>
      </c>
      <c r="AK773" s="9" t="n">
        <f aca="false">IFERROR(MATCH($AD773,'Part types'!$E:$E,0),0)</f>
        <v>552</v>
      </c>
    </row>
    <row r="774" customFormat="false" ht="15" hidden="false" customHeight="false" outlineLevel="0" collapsed="false">
      <c r="A774" s="9" t="s">
        <v>3380</v>
      </c>
      <c r="B774" s="9" t="s">
        <v>3319</v>
      </c>
      <c r="C774" s="9" t="s">
        <v>3381</v>
      </c>
      <c r="D774" s="9" t="str">
        <f aca="false">C774&amp;" - "&amp;E774</f>
        <v>Seat-Back Entertainment Screen - Rear-Left</v>
      </c>
      <c r="E774" s="9" t="s">
        <v>1360</v>
      </c>
      <c r="F774" s="9" t="s">
        <v>2601</v>
      </c>
      <c r="G774" s="10" t="n">
        <f aca="false">IF($AK774=0,"",INDEX('Part types'!$P:$P,$AK774))</f>
        <v>30</v>
      </c>
      <c r="H774" s="10" t="n">
        <f aca="false">IF($AK774=0,"",INDEX('Part types'!$Q:$Q,$AK774))</f>
        <v>20</v>
      </c>
      <c r="I774" s="10" t="n">
        <f aca="false">IF($AK774=0,"",INDEX('Part types'!$R:$R,$AK774))</f>
        <v>15</v>
      </c>
      <c r="J774" s="10" t="n">
        <f aca="false">IF($AK774=0,"",INDEX('Part types'!$S:$S,$AK774))</f>
        <v>1.8</v>
      </c>
      <c r="K774" s="11" t="s">
        <v>3321</v>
      </c>
      <c r="L774" s="11" t="s">
        <v>3382</v>
      </c>
      <c r="M774" s="11" t="str">
        <f aca="false">L774&amp;" - "&amp;N774</f>
        <v>شاشة ترفيه ظهر المقعد - خلفي يسار</v>
      </c>
      <c r="N774" s="11" t="s">
        <v>1361</v>
      </c>
      <c r="O774" s="11" t="s">
        <v>2603</v>
      </c>
      <c r="P774" s="10" t="n">
        <f aca="false">G774</f>
        <v>30</v>
      </c>
      <c r="Q774" s="10" t="n">
        <f aca="false">H774</f>
        <v>20</v>
      </c>
      <c r="R774" s="10" t="n">
        <f aca="false">I774</f>
        <v>15</v>
      </c>
      <c r="S774" s="10" t="n">
        <f aca="false">J774</f>
        <v>1.8</v>
      </c>
      <c r="T774" s="12" t="s">
        <v>3323</v>
      </c>
      <c r="U774" s="12" t="s">
        <v>3383</v>
      </c>
      <c r="V774" s="9" t="str">
        <f aca="false">U774&amp;" - "&amp;W774</f>
        <v>座椅靠背娱乐屏 - 后左</v>
      </c>
      <c r="W774" s="12" t="s">
        <v>1362</v>
      </c>
      <c r="X774" s="12" t="s">
        <v>2605</v>
      </c>
      <c r="Y774" s="10" t="n">
        <f aca="false">G774</f>
        <v>30</v>
      </c>
      <c r="Z774" s="10" t="n">
        <f aca="false">H774</f>
        <v>20</v>
      </c>
      <c r="AA774" s="10" t="n">
        <f aca="false">I774</f>
        <v>15</v>
      </c>
      <c r="AB774" s="10" t="n">
        <f aca="false">J774</f>
        <v>1.8</v>
      </c>
      <c r="AC774" s="9" t="s">
        <v>3325</v>
      </c>
      <c r="AD774" s="9" t="s">
        <v>3384</v>
      </c>
      <c r="AE774" s="9" t="str">
        <f aca="false">IF($AK774=0,"",INDEX('Part types'!$T:$T,$AK774)&amp;"")</f>
        <v>All vehicles</v>
      </c>
      <c r="AF774" s="9" t="str">
        <f aca="false">IF($AK774=0,"",INDEX('Part types'!$U:$U,$AK774)&amp;"")</f>
        <v>Fragile</v>
      </c>
      <c r="AG774" s="9" t="str">
        <f aca="false">IF($AK774=0,"",INDEX('Part types'!$V:$V,$AK774)&amp;"")</f>
        <v>Estimate: size class M2</v>
      </c>
      <c r="AH774" s="9" t="str">
        <f aca="false">IF($AK774=0,"",INDEX('Part types'!$W:$W,$AK774)&amp;"")</f>
        <v/>
      </c>
      <c r="AI774" s="11" t="str">
        <f aca="false">IF($AK774=0,"",INDEX('Part types'!$X:$X,$AK774)&amp;"")</f>
        <v/>
      </c>
      <c r="AJ774" s="9" t="str">
        <f aca="false">IF($AK774=0,"",INDEX('Part types'!$Y:$Y,$AK774)&amp;"")</f>
        <v/>
      </c>
      <c r="AK774" s="9" t="n">
        <f aca="false">IFERROR(MATCH($AD774,'Part types'!$E:$E,0),0)</f>
        <v>553</v>
      </c>
    </row>
    <row r="775" customFormat="false" ht="15" hidden="false" customHeight="false" outlineLevel="0" collapsed="false">
      <c r="A775" s="9" t="s">
        <v>3385</v>
      </c>
      <c r="B775" s="9" t="s">
        <v>3319</v>
      </c>
      <c r="C775" s="9" t="s">
        <v>3381</v>
      </c>
      <c r="D775" s="9" t="str">
        <f aca="false">C775&amp;" - "&amp;E775</f>
        <v>Seat-Back Entertainment Screen - Rear-Right</v>
      </c>
      <c r="E775" s="9" t="s">
        <v>1364</v>
      </c>
      <c r="F775" s="9" t="s">
        <v>2601</v>
      </c>
      <c r="G775" s="10" t="n">
        <f aca="false">IF($AK775=0,"",INDEX('Part types'!$P:$P,$AK775))</f>
        <v>30</v>
      </c>
      <c r="H775" s="10" t="n">
        <f aca="false">IF($AK775=0,"",INDEX('Part types'!$Q:$Q,$AK775))</f>
        <v>20</v>
      </c>
      <c r="I775" s="10" t="n">
        <f aca="false">IF($AK775=0,"",INDEX('Part types'!$R:$R,$AK775))</f>
        <v>15</v>
      </c>
      <c r="J775" s="10" t="n">
        <f aca="false">IF($AK775=0,"",INDEX('Part types'!$S:$S,$AK775))</f>
        <v>1.8</v>
      </c>
      <c r="K775" s="11" t="s">
        <v>3321</v>
      </c>
      <c r="L775" s="11" t="s">
        <v>3382</v>
      </c>
      <c r="M775" s="11" t="str">
        <f aca="false">L775&amp;" - "&amp;N775</f>
        <v>شاشة ترفيه ظهر المقعد - خلفي يمين</v>
      </c>
      <c r="N775" s="11" t="s">
        <v>1365</v>
      </c>
      <c r="O775" s="11" t="s">
        <v>2603</v>
      </c>
      <c r="P775" s="10" t="n">
        <f aca="false">G775</f>
        <v>30</v>
      </c>
      <c r="Q775" s="10" t="n">
        <f aca="false">H775</f>
        <v>20</v>
      </c>
      <c r="R775" s="10" t="n">
        <f aca="false">I775</f>
        <v>15</v>
      </c>
      <c r="S775" s="10" t="n">
        <f aca="false">J775</f>
        <v>1.8</v>
      </c>
      <c r="T775" s="12" t="s">
        <v>3323</v>
      </c>
      <c r="U775" s="12" t="s">
        <v>3383</v>
      </c>
      <c r="V775" s="9" t="str">
        <f aca="false">U775&amp;" - "&amp;W775</f>
        <v>座椅靠背娱乐屏 - 后右</v>
      </c>
      <c r="W775" s="12" t="s">
        <v>1366</v>
      </c>
      <c r="X775" s="12" t="s">
        <v>2605</v>
      </c>
      <c r="Y775" s="10" t="n">
        <f aca="false">G775</f>
        <v>30</v>
      </c>
      <c r="Z775" s="10" t="n">
        <f aca="false">H775</f>
        <v>20</v>
      </c>
      <c r="AA775" s="10" t="n">
        <f aca="false">I775</f>
        <v>15</v>
      </c>
      <c r="AB775" s="10" t="n">
        <f aca="false">J775</f>
        <v>1.8</v>
      </c>
      <c r="AC775" s="9" t="s">
        <v>3325</v>
      </c>
      <c r="AD775" s="9" t="s">
        <v>3384</v>
      </c>
      <c r="AE775" s="9" t="str">
        <f aca="false">IF($AK775=0,"",INDEX('Part types'!$T:$T,$AK775)&amp;"")</f>
        <v>All vehicles</v>
      </c>
      <c r="AF775" s="9" t="str">
        <f aca="false">IF($AK775=0,"",INDEX('Part types'!$U:$U,$AK775)&amp;"")</f>
        <v>Fragile</v>
      </c>
      <c r="AG775" s="9" t="str">
        <f aca="false">IF($AK775=0,"",INDEX('Part types'!$V:$V,$AK775)&amp;"")</f>
        <v>Estimate: size class M2</v>
      </c>
      <c r="AH775" s="9" t="str">
        <f aca="false">IF($AK775=0,"",INDEX('Part types'!$W:$W,$AK775)&amp;"")</f>
        <v/>
      </c>
      <c r="AI775" s="11" t="str">
        <f aca="false">IF($AK775=0,"",INDEX('Part types'!$X:$X,$AK775)&amp;"")</f>
        <v/>
      </c>
      <c r="AJ775" s="9" t="str">
        <f aca="false">IF($AK775=0,"",INDEX('Part types'!$Y:$Y,$AK775)&amp;"")</f>
        <v/>
      </c>
      <c r="AK775" s="9" t="n">
        <f aca="false">IFERROR(MATCH($AD775,'Part types'!$E:$E,0),0)</f>
        <v>553</v>
      </c>
    </row>
    <row r="776" customFormat="false" ht="15" hidden="false" customHeight="false" outlineLevel="0" collapsed="false">
      <c r="A776" s="9" t="s">
        <v>3386</v>
      </c>
      <c r="B776" s="9" t="s">
        <v>3319</v>
      </c>
      <c r="C776" s="9" t="s">
        <v>3387</v>
      </c>
      <c r="D776" s="9" t="str">
        <f aca="false">C776&amp;" - "&amp;E776</f>
        <v>Dash Camera - Universal</v>
      </c>
      <c r="E776" s="9" t="s">
        <v>68</v>
      </c>
      <c r="F776" s="9" t="s">
        <v>2575</v>
      </c>
      <c r="G776" s="10" t="n">
        <f aca="false">IF($AK776=0,"",INDEX('Part types'!$P:$P,$AK776))</f>
        <v>15</v>
      </c>
      <c r="H776" s="10" t="n">
        <f aca="false">IF($AK776=0,"",INDEX('Part types'!$Q:$Q,$AK776))</f>
        <v>10</v>
      </c>
      <c r="I776" s="10" t="n">
        <f aca="false">IF($AK776=0,"",INDEX('Part types'!$R:$R,$AK776))</f>
        <v>8</v>
      </c>
      <c r="J776" s="10" t="n">
        <f aca="false">IF($AK776=0,"",INDEX('Part types'!$S:$S,$AK776))</f>
        <v>0.3</v>
      </c>
      <c r="K776" s="11" t="s">
        <v>3321</v>
      </c>
      <c r="L776" s="11" t="s">
        <v>3388</v>
      </c>
      <c r="M776" s="11" t="str">
        <f aca="false">L776&amp;" - "&amp;N776</f>
        <v>كاميرا لوحة القيادة - عام</v>
      </c>
      <c r="N776" s="11" t="s">
        <v>72</v>
      </c>
      <c r="O776" s="11" t="s">
        <v>2577</v>
      </c>
      <c r="P776" s="10" t="n">
        <f aca="false">G776</f>
        <v>15</v>
      </c>
      <c r="Q776" s="10" t="n">
        <f aca="false">H776</f>
        <v>10</v>
      </c>
      <c r="R776" s="10" t="n">
        <f aca="false">I776</f>
        <v>8</v>
      </c>
      <c r="S776" s="10" t="n">
        <f aca="false">J776</f>
        <v>0.3</v>
      </c>
      <c r="T776" s="12" t="s">
        <v>3323</v>
      </c>
      <c r="U776" s="12" t="s">
        <v>3389</v>
      </c>
      <c r="V776" s="9" t="str">
        <f aca="false">U776&amp;" - "&amp;W776</f>
        <v>行车记录仪 - 通用</v>
      </c>
      <c r="W776" s="12" t="s">
        <v>76</v>
      </c>
      <c r="X776" s="12" t="s">
        <v>2579</v>
      </c>
      <c r="Y776" s="10" t="n">
        <f aca="false">G776</f>
        <v>15</v>
      </c>
      <c r="Z776" s="10" t="n">
        <f aca="false">H776</f>
        <v>10</v>
      </c>
      <c r="AA776" s="10" t="n">
        <f aca="false">I776</f>
        <v>8</v>
      </c>
      <c r="AB776" s="10" t="n">
        <f aca="false">J776</f>
        <v>0.3</v>
      </c>
      <c r="AC776" s="9" t="s">
        <v>3325</v>
      </c>
      <c r="AD776" s="9" t="s">
        <v>3390</v>
      </c>
      <c r="AE776" s="9" t="str">
        <f aca="false">IF($AK776=0,"",INDEX('Part types'!$T:$T,$AK776)&amp;"")</f>
        <v>All vehicles</v>
      </c>
      <c r="AF776" s="9" t="str">
        <f aca="false">IF($AK776=0,"",INDEX('Part types'!$U:$U,$AK776)&amp;"")</f>
        <v/>
      </c>
      <c r="AG776" s="9" t="str">
        <f aca="false">IF($AK776=0,"",INDEX('Part types'!$V:$V,$AK776)&amp;"")</f>
        <v>Estimate: size class S</v>
      </c>
      <c r="AH776" s="9" t="str">
        <f aca="false">IF($AK776=0,"",INDEX('Part types'!$W:$W,$AK776)&amp;"")</f>
        <v/>
      </c>
      <c r="AI776" s="11" t="str">
        <f aca="false">IF($AK776=0,"",INDEX('Part types'!$X:$X,$AK776)&amp;"")</f>
        <v>داش كام</v>
      </c>
      <c r="AJ776" s="9" t="str">
        <f aca="false">IF($AK776=0,"",INDEX('Part types'!$Y:$Y,$AK776)&amp;"")</f>
        <v/>
      </c>
      <c r="AK776" s="9" t="n">
        <f aca="false">IFERROR(MATCH($AD776,'Part types'!$E:$E,0),0)</f>
        <v>554</v>
      </c>
    </row>
    <row r="777" customFormat="false" ht="15" hidden="false" customHeight="false" outlineLevel="0" collapsed="false">
      <c r="A777" s="9" t="s">
        <v>3391</v>
      </c>
      <c r="B777" s="9" t="s">
        <v>3319</v>
      </c>
      <c r="C777" s="9" t="s">
        <v>3392</v>
      </c>
      <c r="D777" s="9" t="str">
        <f aca="false">C777&amp;" - "&amp;E777</f>
        <v>Wireless Charging Pad - Universal</v>
      </c>
      <c r="E777" s="9" t="s">
        <v>68</v>
      </c>
      <c r="F777" s="9" t="s">
        <v>1162</v>
      </c>
      <c r="G777" s="10" t="n">
        <f aca="false">IF($AK777=0,"",INDEX('Part types'!$P:$P,$AK777))</f>
        <v>15</v>
      </c>
      <c r="H777" s="10" t="n">
        <f aca="false">IF($AK777=0,"",INDEX('Part types'!$Q:$Q,$AK777))</f>
        <v>10</v>
      </c>
      <c r="I777" s="10" t="n">
        <f aca="false">IF($AK777=0,"",INDEX('Part types'!$R:$R,$AK777))</f>
        <v>8</v>
      </c>
      <c r="J777" s="10" t="n">
        <f aca="false">IF($AK777=0,"",INDEX('Part types'!$S:$S,$AK777))</f>
        <v>0.3</v>
      </c>
      <c r="K777" s="11" t="s">
        <v>3321</v>
      </c>
      <c r="L777" s="11" t="s">
        <v>3393</v>
      </c>
      <c r="M777" s="11" t="str">
        <f aca="false">L777&amp;" - "&amp;N777</f>
        <v>شاحن لاسلكي - عام</v>
      </c>
      <c r="N777" s="11" t="s">
        <v>72</v>
      </c>
      <c r="O777" s="11" t="s">
        <v>1164</v>
      </c>
      <c r="P777" s="10" t="n">
        <f aca="false">G777</f>
        <v>15</v>
      </c>
      <c r="Q777" s="10" t="n">
        <f aca="false">H777</f>
        <v>10</v>
      </c>
      <c r="R777" s="10" t="n">
        <f aca="false">I777</f>
        <v>8</v>
      </c>
      <c r="S777" s="10" t="n">
        <f aca="false">J777</f>
        <v>0.3</v>
      </c>
      <c r="T777" s="12" t="s">
        <v>3323</v>
      </c>
      <c r="U777" s="12" t="s">
        <v>3394</v>
      </c>
      <c r="V777" s="9" t="str">
        <f aca="false">U777&amp;" - "&amp;W777</f>
        <v>无线充电板 - 通用</v>
      </c>
      <c r="W777" s="12" t="s">
        <v>76</v>
      </c>
      <c r="X777" s="12" t="s">
        <v>1166</v>
      </c>
      <c r="Y777" s="10" t="n">
        <f aca="false">G777</f>
        <v>15</v>
      </c>
      <c r="Z777" s="10" t="n">
        <f aca="false">H777</f>
        <v>10</v>
      </c>
      <c r="AA777" s="10" t="n">
        <f aca="false">I777</f>
        <v>8</v>
      </c>
      <c r="AB777" s="10" t="n">
        <f aca="false">J777</f>
        <v>0.3</v>
      </c>
      <c r="AC777" s="9" t="s">
        <v>3325</v>
      </c>
      <c r="AD777" s="9" t="s">
        <v>3395</v>
      </c>
      <c r="AE777" s="9" t="str">
        <f aca="false">IF($AK777=0,"",INDEX('Part types'!$T:$T,$AK777)&amp;"")</f>
        <v>All vehicles</v>
      </c>
      <c r="AF777" s="9" t="str">
        <f aca="false">IF($AK777=0,"",INDEX('Part types'!$U:$U,$AK777)&amp;"")</f>
        <v/>
      </c>
      <c r="AG777" s="9" t="str">
        <f aca="false">IF($AK777=0,"",INDEX('Part types'!$V:$V,$AK777)&amp;"")</f>
        <v>Estimate: size class S</v>
      </c>
      <c r="AH777" s="9" t="str">
        <f aca="false">IF($AK777=0,"",INDEX('Part types'!$W:$W,$AK777)&amp;"")</f>
        <v/>
      </c>
      <c r="AI777" s="11" t="str">
        <f aca="false">IF($AK777=0,"",INDEX('Part types'!$X:$X,$AK777)&amp;"")</f>
        <v/>
      </c>
      <c r="AJ777" s="9" t="str">
        <f aca="false">IF($AK777=0,"",INDEX('Part types'!$Y:$Y,$AK777)&amp;"")</f>
        <v/>
      </c>
      <c r="AK777" s="9" t="n">
        <f aca="false">IFERROR(MATCH($AD777,'Part types'!$E:$E,0),0)</f>
        <v>555</v>
      </c>
    </row>
    <row r="778" customFormat="false" ht="15" hidden="false" customHeight="false" outlineLevel="0" collapsed="false">
      <c r="A778" s="9" t="s">
        <v>3396</v>
      </c>
      <c r="B778" s="9" t="s">
        <v>3397</v>
      </c>
      <c r="C778" s="9" t="s">
        <v>3398</v>
      </c>
      <c r="D778" s="9" t="str">
        <f aca="false">C778&amp;" - "&amp;E778</f>
        <v>Bumper Cover - Front</v>
      </c>
      <c r="E778" s="9" t="s">
        <v>161</v>
      </c>
      <c r="F778" s="9" t="s">
        <v>2685</v>
      </c>
      <c r="G778" s="10" t="n">
        <f aca="false">IF($AK778=0,"",INDEX('Part types'!$P:$P,$AK778))</f>
        <v>170</v>
      </c>
      <c r="H778" s="10" t="n">
        <f aca="false">IF($AK778=0,"",INDEX('Part types'!$Q:$Q,$AK778))</f>
        <v>50</v>
      </c>
      <c r="I778" s="10" t="n">
        <f aca="false">IF($AK778=0,"",INDEX('Part types'!$R:$R,$AK778))</f>
        <v>45</v>
      </c>
      <c r="J778" s="10" t="n">
        <f aca="false">IF($AK778=0,"",INDEX('Part types'!$S:$S,$AK778))</f>
        <v>6.5</v>
      </c>
      <c r="K778" s="11" t="s">
        <v>3399</v>
      </c>
      <c r="L778" s="11" t="s">
        <v>3400</v>
      </c>
      <c r="M778" s="11" t="str">
        <f aca="false">L778&amp;" - "&amp;N778</f>
        <v>غطاء المصد - أمامي</v>
      </c>
      <c r="N778" s="11" t="s">
        <v>163</v>
      </c>
      <c r="O778" s="11" t="s">
        <v>2687</v>
      </c>
      <c r="P778" s="10" t="n">
        <f aca="false">G778</f>
        <v>170</v>
      </c>
      <c r="Q778" s="10" t="n">
        <f aca="false">H778</f>
        <v>50</v>
      </c>
      <c r="R778" s="10" t="n">
        <f aca="false">I778</f>
        <v>45</v>
      </c>
      <c r="S778" s="10" t="n">
        <f aca="false">J778</f>
        <v>6.5</v>
      </c>
      <c r="T778" s="12" t="s">
        <v>3401</v>
      </c>
      <c r="U778" s="12" t="s">
        <v>3402</v>
      </c>
      <c r="V778" s="9" t="str">
        <f aca="false">U778&amp;" - "&amp;W778</f>
        <v>保险杠外壳 - 前部</v>
      </c>
      <c r="W778" s="12" t="s">
        <v>165</v>
      </c>
      <c r="X778" s="12" t="s">
        <v>2689</v>
      </c>
      <c r="Y778" s="10" t="n">
        <f aca="false">G778</f>
        <v>170</v>
      </c>
      <c r="Z778" s="10" t="n">
        <f aca="false">H778</f>
        <v>50</v>
      </c>
      <c r="AA778" s="10" t="n">
        <f aca="false">I778</f>
        <v>45</v>
      </c>
      <c r="AB778" s="10" t="n">
        <f aca="false">J778</f>
        <v>6.5</v>
      </c>
      <c r="AC778" s="9" t="s">
        <v>3403</v>
      </c>
      <c r="AD778" s="9" t="s">
        <v>3404</v>
      </c>
      <c r="AE778" s="9" t="str">
        <f aca="false">IF($AK778=0,"",INDEX('Part types'!$T:$T,$AK778)&amp;"")</f>
        <v>All vehicles</v>
      </c>
      <c r="AF778" s="9" t="str">
        <f aca="false">IF($AK778=0,"",INDEX('Part types'!$U:$U,$AK778)&amp;"")</f>
        <v>Oversized (over 120 cm)</v>
      </c>
      <c r="AG778" s="9" t="str">
        <f aca="false">IF($AK778=0,"",INDEX('Part types'!$V:$V,$AK778)&amp;"")</f>
        <v>Estimate: item-specific</v>
      </c>
      <c r="AH778" s="9" t="str">
        <f aca="false">IF($AK778=0,"",INDEX('Part types'!$W:$W,$AK778)&amp;"")</f>
        <v/>
      </c>
      <c r="AI778" s="11" t="str">
        <f aca="false">IF($AK778=0,"",INDEX('Part types'!$X:$X,$AK778)&amp;"")</f>
        <v/>
      </c>
      <c r="AJ778" s="9" t="str">
        <f aca="false">IF($AK778=0,"",INDEX('Part types'!$Y:$Y,$AK778)&amp;"")</f>
        <v/>
      </c>
      <c r="AK778" s="9" t="n">
        <f aca="false">IFERROR(MATCH($AD778,'Part types'!$E:$E,0),0)</f>
        <v>556</v>
      </c>
    </row>
    <row r="779" customFormat="false" ht="15" hidden="false" customHeight="false" outlineLevel="0" collapsed="false">
      <c r="A779" s="9" t="s">
        <v>3405</v>
      </c>
      <c r="B779" s="9" t="s">
        <v>3397</v>
      </c>
      <c r="C779" s="9" t="s">
        <v>3398</v>
      </c>
      <c r="D779" s="9" t="str">
        <f aca="false">C779&amp;" - "&amp;E779</f>
        <v>Bumper Cover - Rear</v>
      </c>
      <c r="E779" s="9" t="s">
        <v>168</v>
      </c>
      <c r="F779" s="9" t="s">
        <v>2685</v>
      </c>
      <c r="G779" s="10" t="n">
        <f aca="false">IF($AK779=0,"",INDEX('Part types'!$P:$P,$AK779))</f>
        <v>170</v>
      </c>
      <c r="H779" s="10" t="n">
        <f aca="false">IF($AK779=0,"",INDEX('Part types'!$Q:$Q,$AK779))</f>
        <v>50</v>
      </c>
      <c r="I779" s="10" t="n">
        <f aca="false">IF($AK779=0,"",INDEX('Part types'!$R:$R,$AK779))</f>
        <v>45</v>
      </c>
      <c r="J779" s="10" t="n">
        <f aca="false">IF($AK779=0,"",INDEX('Part types'!$S:$S,$AK779))</f>
        <v>6.5</v>
      </c>
      <c r="K779" s="11" t="s">
        <v>3399</v>
      </c>
      <c r="L779" s="11" t="s">
        <v>3400</v>
      </c>
      <c r="M779" s="11" t="str">
        <f aca="false">L779&amp;" - "&amp;N779</f>
        <v>غطاء المصد - خلفي</v>
      </c>
      <c r="N779" s="11" t="s">
        <v>169</v>
      </c>
      <c r="O779" s="11" t="s">
        <v>2687</v>
      </c>
      <c r="P779" s="10" t="n">
        <f aca="false">G779</f>
        <v>170</v>
      </c>
      <c r="Q779" s="10" t="n">
        <f aca="false">H779</f>
        <v>50</v>
      </c>
      <c r="R779" s="10" t="n">
        <f aca="false">I779</f>
        <v>45</v>
      </c>
      <c r="S779" s="10" t="n">
        <f aca="false">J779</f>
        <v>6.5</v>
      </c>
      <c r="T779" s="12" t="s">
        <v>3401</v>
      </c>
      <c r="U779" s="12" t="s">
        <v>3402</v>
      </c>
      <c r="V779" s="9" t="str">
        <f aca="false">U779&amp;" - "&amp;W779</f>
        <v>保险杠外壳 - 后部</v>
      </c>
      <c r="W779" s="12" t="s">
        <v>170</v>
      </c>
      <c r="X779" s="12" t="s">
        <v>2689</v>
      </c>
      <c r="Y779" s="10" t="n">
        <f aca="false">G779</f>
        <v>170</v>
      </c>
      <c r="Z779" s="10" t="n">
        <f aca="false">H779</f>
        <v>50</v>
      </c>
      <c r="AA779" s="10" t="n">
        <f aca="false">I779</f>
        <v>45</v>
      </c>
      <c r="AB779" s="10" t="n">
        <f aca="false">J779</f>
        <v>6.5</v>
      </c>
      <c r="AC779" s="9" t="s">
        <v>3403</v>
      </c>
      <c r="AD779" s="9" t="s">
        <v>3404</v>
      </c>
      <c r="AE779" s="9" t="str">
        <f aca="false">IF($AK779=0,"",INDEX('Part types'!$T:$T,$AK779)&amp;"")</f>
        <v>All vehicles</v>
      </c>
      <c r="AF779" s="9" t="str">
        <f aca="false">IF($AK779=0,"",INDEX('Part types'!$U:$U,$AK779)&amp;"")</f>
        <v>Oversized (over 120 cm)</v>
      </c>
      <c r="AG779" s="9" t="str">
        <f aca="false">IF($AK779=0,"",INDEX('Part types'!$V:$V,$AK779)&amp;"")</f>
        <v>Estimate: item-specific</v>
      </c>
      <c r="AH779" s="9" t="str">
        <f aca="false">IF($AK779=0,"",INDEX('Part types'!$W:$W,$AK779)&amp;"")</f>
        <v/>
      </c>
      <c r="AI779" s="11" t="str">
        <f aca="false">IF($AK779=0,"",INDEX('Part types'!$X:$X,$AK779)&amp;"")</f>
        <v/>
      </c>
      <c r="AJ779" s="9" t="str">
        <f aca="false">IF($AK779=0,"",INDEX('Part types'!$Y:$Y,$AK779)&amp;"")</f>
        <v/>
      </c>
      <c r="AK779" s="9" t="n">
        <f aca="false">IFERROR(MATCH($AD779,'Part types'!$E:$E,0),0)</f>
        <v>556</v>
      </c>
    </row>
    <row r="780" customFormat="false" ht="15" hidden="false" customHeight="false" outlineLevel="0" collapsed="false">
      <c r="A780" s="9" t="s">
        <v>3406</v>
      </c>
      <c r="B780" s="9" t="s">
        <v>3397</v>
      </c>
      <c r="C780" s="9" t="s">
        <v>3407</v>
      </c>
      <c r="D780" s="9" t="str">
        <f aca="false">C780&amp;" - "&amp;E780</f>
        <v>Bumper Reinforcement Beam - Front</v>
      </c>
      <c r="E780" s="9" t="s">
        <v>161</v>
      </c>
      <c r="F780" s="9" t="s">
        <v>2685</v>
      </c>
      <c r="G780" s="10" t="n">
        <f aca="false">IF($AK780=0,"",INDEX('Part types'!$P:$P,$AK780))</f>
        <v>140</v>
      </c>
      <c r="H780" s="10" t="n">
        <f aca="false">IF($AK780=0,"",INDEX('Part types'!$Q:$Q,$AK780))</f>
        <v>15</v>
      </c>
      <c r="I780" s="10" t="n">
        <f aca="false">IF($AK780=0,"",INDEX('Part types'!$R:$R,$AK780))</f>
        <v>15</v>
      </c>
      <c r="J780" s="10" t="n">
        <f aca="false">IF($AK780=0,"",INDEX('Part types'!$S:$S,$AK780))</f>
        <v>7</v>
      </c>
      <c r="K780" s="11" t="s">
        <v>3399</v>
      </c>
      <c r="L780" s="11" t="s">
        <v>3408</v>
      </c>
      <c r="M780" s="11" t="str">
        <f aca="false">L780&amp;" - "&amp;N780</f>
        <v>عارضة المصد الداخلية - أمامي</v>
      </c>
      <c r="N780" s="11" t="s">
        <v>163</v>
      </c>
      <c r="O780" s="11" t="s">
        <v>2687</v>
      </c>
      <c r="P780" s="10" t="n">
        <f aca="false">G780</f>
        <v>140</v>
      </c>
      <c r="Q780" s="10" t="n">
        <f aca="false">H780</f>
        <v>15</v>
      </c>
      <c r="R780" s="10" t="n">
        <f aca="false">I780</f>
        <v>15</v>
      </c>
      <c r="S780" s="10" t="n">
        <f aca="false">J780</f>
        <v>7</v>
      </c>
      <c r="T780" s="12" t="s">
        <v>3401</v>
      </c>
      <c r="U780" s="12" t="s">
        <v>3409</v>
      </c>
      <c r="V780" s="9" t="str">
        <f aca="false">U780&amp;" - "&amp;W780</f>
        <v>保险杠防撞梁 - 前部</v>
      </c>
      <c r="W780" s="12" t="s">
        <v>165</v>
      </c>
      <c r="X780" s="12" t="s">
        <v>2689</v>
      </c>
      <c r="Y780" s="10" t="n">
        <f aca="false">G780</f>
        <v>140</v>
      </c>
      <c r="Z780" s="10" t="n">
        <f aca="false">H780</f>
        <v>15</v>
      </c>
      <c r="AA780" s="10" t="n">
        <f aca="false">I780</f>
        <v>15</v>
      </c>
      <c r="AB780" s="10" t="n">
        <f aca="false">J780</f>
        <v>7</v>
      </c>
      <c r="AC780" s="9" t="s">
        <v>3403</v>
      </c>
      <c r="AD780" s="9" t="s">
        <v>3410</v>
      </c>
      <c r="AE780" s="9" t="str">
        <f aca="false">IF($AK780=0,"",INDEX('Part types'!$T:$T,$AK780)&amp;"")</f>
        <v>All vehicles</v>
      </c>
      <c r="AF780" s="9" t="str">
        <f aca="false">IF($AK780=0,"",INDEX('Part types'!$U:$U,$AK780)&amp;"")</f>
        <v>Oversized (over 120 cm)</v>
      </c>
      <c r="AG780" s="9" t="str">
        <f aca="false">IF($AK780=0,"",INDEX('Part types'!$V:$V,$AK780)&amp;"")</f>
        <v>Estimate: item-specific</v>
      </c>
      <c r="AH780" s="9" t="str">
        <f aca="false">IF($AK780=0,"",INDEX('Part types'!$W:$W,$AK780)&amp;"")</f>
        <v/>
      </c>
      <c r="AI780" s="11" t="str">
        <f aca="false">IF($AK780=0,"",INDEX('Part types'!$X:$X,$AK780)&amp;"")</f>
        <v/>
      </c>
      <c r="AJ780" s="9" t="str">
        <f aca="false">IF($AK780=0,"",INDEX('Part types'!$Y:$Y,$AK780)&amp;"")</f>
        <v/>
      </c>
      <c r="AK780" s="9" t="n">
        <f aca="false">IFERROR(MATCH($AD780,'Part types'!$E:$E,0),0)</f>
        <v>557</v>
      </c>
    </row>
    <row r="781" customFormat="false" ht="15" hidden="false" customHeight="false" outlineLevel="0" collapsed="false">
      <c r="A781" s="9" t="s">
        <v>3411</v>
      </c>
      <c r="B781" s="9" t="s">
        <v>3397</v>
      </c>
      <c r="C781" s="9" t="s">
        <v>3407</v>
      </c>
      <c r="D781" s="9" t="str">
        <f aca="false">C781&amp;" - "&amp;E781</f>
        <v>Bumper Reinforcement Beam - Rear</v>
      </c>
      <c r="E781" s="9" t="s">
        <v>168</v>
      </c>
      <c r="F781" s="9" t="s">
        <v>2685</v>
      </c>
      <c r="G781" s="10" t="n">
        <f aca="false">IF($AK781=0,"",INDEX('Part types'!$P:$P,$AK781))</f>
        <v>140</v>
      </c>
      <c r="H781" s="10" t="n">
        <f aca="false">IF($AK781=0,"",INDEX('Part types'!$Q:$Q,$AK781))</f>
        <v>15</v>
      </c>
      <c r="I781" s="10" t="n">
        <f aca="false">IF($AK781=0,"",INDEX('Part types'!$R:$R,$AK781))</f>
        <v>15</v>
      </c>
      <c r="J781" s="10" t="n">
        <f aca="false">IF($AK781=0,"",INDEX('Part types'!$S:$S,$AK781))</f>
        <v>7</v>
      </c>
      <c r="K781" s="11" t="s">
        <v>3399</v>
      </c>
      <c r="L781" s="11" t="s">
        <v>3408</v>
      </c>
      <c r="M781" s="11" t="str">
        <f aca="false">L781&amp;" - "&amp;N781</f>
        <v>عارضة المصد الداخلية - خلفي</v>
      </c>
      <c r="N781" s="11" t="s">
        <v>169</v>
      </c>
      <c r="O781" s="11" t="s">
        <v>2687</v>
      </c>
      <c r="P781" s="10" t="n">
        <f aca="false">G781</f>
        <v>140</v>
      </c>
      <c r="Q781" s="10" t="n">
        <f aca="false">H781</f>
        <v>15</v>
      </c>
      <c r="R781" s="10" t="n">
        <f aca="false">I781</f>
        <v>15</v>
      </c>
      <c r="S781" s="10" t="n">
        <f aca="false">J781</f>
        <v>7</v>
      </c>
      <c r="T781" s="12" t="s">
        <v>3401</v>
      </c>
      <c r="U781" s="12" t="s">
        <v>3409</v>
      </c>
      <c r="V781" s="9" t="str">
        <f aca="false">U781&amp;" - "&amp;W781</f>
        <v>保险杠防撞梁 - 后部</v>
      </c>
      <c r="W781" s="12" t="s">
        <v>170</v>
      </c>
      <c r="X781" s="12" t="s">
        <v>2689</v>
      </c>
      <c r="Y781" s="10" t="n">
        <f aca="false">G781</f>
        <v>140</v>
      </c>
      <c r="Z781" s="10" t="n">
        <f aca="false">H781</f>
        <v>15</v>
      </c>
      <c r="AA781" s="10" t="n">
        <f aca="false">I781</f>
        <v>15</v>
      </c>
      <c r="AB781" s="10" t="n">
        <f aca="false">J781</f>
        <v>7</v>
      </c>
      <c r="AC781" s="9" t="s">
        <v>3403</v>
      </c>
      <c r="AD781" s="9" t="s">
        <v>3410</v>
      </c>
      <c r="AE781" s="9" t="str">
        <f aca="false">IF($AK781=0,"",INDEX('Part types'!$T:$T,$AK781)&amp;"")</f>
        <v>All vehicles</v>
      </c>
      <c r="AF781" s="9" t="str">
        <f aca="false">IF($AK781=0,"",INDEX('Part types'!$U:$U,$AK781)&amp;"")</f>
        <v>Oversized (over 120 cm)</v>
      </c>
      <c r="AG781" s="9" t="str">
        <f aca="false">IF($AK781=0,"",INDEX('Part types'!$V:$V,$AK781)&amp;"")</f>
        <v>Estimate: item-specific</v>
      </c>
      <c r="AH781" s="9" t="str">
        <f aca="false">IF($AK781=0,"",INDEX('Part types'!$W:$W,$AK781)&amp;"")</f>
        <v/>
      </c>
      <c r="AI781" s="11" t="str">
        <f aca="false">IF($AK781=0,"",INDEX('Part types'!$X:$X,$AK781)&amp;"")</f>
        <v/>
      </c>
      <c r="AJ781" s="9" t="str">
        <f aca="false">IF($AK781=0,"",INDEX('Part types'!$Y:$Y,$AK781)&amp;"")</f>
        <v/>
      </c>
      <c r="AK781" s="9" t="n">
        <f aca="false">IFERROR(MATCH($AD781,'Part types'!$E:$E,0),0)</f>
        <v>557</v>
      </c>
    </row>
    <row r="782" customFormat="false" ht="15" hidden="false" customHeight="false" outlineLevel="0" collapsed="false">
      <c r="A782" s="9" t="s">
        <v>3412</v>
      </c>
      <c r="B782" s="9" t="s">
        <v>3397</v>
      </c>
      <c r="C782" s="9" t="s">
        <v>3413</v>
      </c>
      <c r="D782" s="9" t="str">
        <f aca="false">C782&amp;" - "&amp;E782</f>
        <v>Bumper Energy Absorber - Front</v>
      </c>
      <c r="E782" s="9" t="s">
        <v>161</v>
      </c>
      <c r="F782" s="9" t="s">
        <v>2685</v>
      </c>
      <c r="G782" s="10" t="n">
        <f aca="false">IF($AK782=0,"",INDEX('Part types'!$P:$P,$AK782))</f>
        <v>30</v>
      </c>
      <c r="H782" s="10" t="n">
        <f aca="false">IF($AK782=0,"",INDEX('Part types'!$Q:$Q,$AK782))</f>
        <v>20</v>
      </c>
      <c r="I782" s="10" t="n">
        <f aca="false">IF($AK782=0,"",INDEX('Part types'!$R:$R,$AK782))</f>
        <v>15</v>
      </c>
      <c r="J782" s="10" t="n">
        <f aca="false">IF($AK782=0,"",INDEX('Part types'!$S:$S,$AK782))</f>
        <v>1.8</v>
      </c>
      <c r="K782" s="11" t="s">
        <v>3399</v>
      </c>
      <c r="L782" s="11" t="s">
        <v>3414</v>
      </c>
      <c r="M782" s="11" t="str">
        <f aca="false">L782&amp;" - "&amp;N782</f>
        <v>إسفنج امتصاص صدمات المصد - أمامي</v>
      </c>
      <c r="N782" s="11" t="s">
        <v>163</v>
      </c>
      <c r="O782" s="11" t="s">
        <v>2687</v>
      </c>
      <c r="P782" s="10" t="n">
        <f aca="false">G782</f>
        <v>30</v>
      </c>
      <c r="Q782" s="10" t="n">
        <f aca="false">H782</f>
        <v>20</v>
      </c>
      <c r="R782" s="10" t="n">
        <f aca="false">I782</f>
        <v>15</v>
      </c>
      <c r="S782" s="10" t="n">
        <f aca="false">J782</f>
        <v>1.8</v>
      </c>
      <c r="T782" s="12" t="s">
        <v>3401</v>
      </c>
      <c r="U782" s="12" t="s">
        <v>3415</v>
      </c>
      <c r="V782" s="9" t="str">
        <f aca="false">U782&amp;" - "&amp;W782</f>
        <v>保险杠吸能块 - 前部</v>
      </c>
      <c r="W782" s="12" t="s">
        <v>165</v>
      </c>
      <c r="X782" s="12" t="s">
        <v>2689</v>
      </c>
      <c r="Y782" s="10" t="n">
        <f aca="false">G782</f>
        <v>30</v>
      </c>
      <c r="Z782" s="10" t="n">
        <f aca="false">H782</f>
        <v>20</v>
      </c>
      <c r="AA782" s="10" t="n">
        <f aca="false">I782</f>
        <v>15</v>
      </c>
      <c r="AB782" s="10" t="n">
        <f aca="false">J782</f>
        <v>1.8</v>
      </c>
      <c r="AC782" s="9" t="s">
        <v>3403</v>
      </c>
      <c r="AD782" s="9" t="s">
        <v>3416</v>
      </c>
      <c r="AE782" s="9" t="str">
        <f aca="false">IF($AK782=0,"",INDEX('Part types'!$T:$T,$AK782)&amp;"")</f>
        <v>All vehicles</v>
      </c>
      <c r="AF782" s="9" t="str">
        <f aca="false">IF($AK782=0,"",INDEX('Part types'!$U:$U,$AK782)&amp;"")</f>
        <v/>
      </c>
      <c r="AG782" s="9" t="str">
        <f aca="false">IF($AK782=0,"",INDEX('Part types'!$V:$V,$AK782)&amp;"")</f>
        <v>Estimate: size class M2</v>
      </c>
      <c r="AH782" s="9" t="str">
        <f aca="false">IF($AK782=0,"",INDEX('Part types'!$W:$W,$AK782)&amp;"")</f>
        <v/>
      </c>
      <c r="AI782" s="11" t="str">
        <f aca="false">IF($AK782=0,"",INDEX('Part types'!$X:$X,$AK782)&amp;"")</f>
        <v/>
      </c>
      <c r="AJ782" s="9" t="str">
        <f aca="false">IF($AK782=0,"",INDEX('Part types'!$Y:$Y,$AK782)&amp;"")</f>
        <v/>
      </c>
      <c r="AK782" s="9" t="n">
        <f aca="false">IFERROR(MATCH($AD782,'Part types'!$E:$E,0),0)</f>
        <v>558</v>
      </c>
    </row>
    <row r="783" customFormat="false" ht="15" hidden="false" customHeight="false" outlineLevel="0" collapsed="false">
      <c r="A783" s="9" t="s">
        <v>3417</v>
      </c>
      <c r="B783" s="9" t="s">
        <v>3397</v>
      </c>
      <c r="C783" s="9" t="s">
        <v>3413</v>
      </c>
      <c r="D783" s="9" t="str">
        <f aca="false">C783&amp;" - "&amp;E783</f>
        <v>Bumper Energy Absorber - Rear</v>
      </c>
      <c r="E783" s="9" t="s">
        <v>168</v>
      </c>
      <c r="F783" s="9" t="s">
        <v>2685</v>
      </c>
      <c r="G783" s="10" t="n">
        <f aca="false">IF($AK783=0,"",INDEX('Part types'!$P:$P,$AK783))</f>
        <v>30</v>
      </c>
      <c r="H783" s="10" t="n">
        <f aca="false">IF($AK783=0,"",INDEX('Part types'!$Q:$Q,$AK783))</f>
        <v>20</v>
      </c>
      <c r="I783" s="10" t="n">
        <f aca="false">IF($AK783=0,"",INDEX('Part types'!$R:$R,$AK783))</f>
        <v>15</v>
      </c>
      <c r="J783" s="10" t="n">
        <f aca="false">IF($AK783=0,"",INDEX('Part types'!$S:$S,$AK783))</f>
        <v>1.8</v>
      </c>
      <c r="K783" s="11" t="s">
        <v>3399</v>
      </c>
      <c r="L783" s="11" t="s">
        <v>3414</v>
      </c>
      <c r="M783" s="11" t="str">
        <f aca="false">L783&amp;" - "&amp;N783</f>
        <v>إسفنج امتصاص صدمات المصد - خلفي</v>
      </c>
      <c r="N783" s="11" t="s">
        <v>169</v>
      </c>
      <c r="O783" s="11" t="s">
        <v>2687</v>
      </c>
      <c r="P783" s="10" t="n">
        <f aca="false">G783</f>
        <v>30</v>
      </c>
      <c r="Q783" s="10" t="n">
        <f aca="false">H783</f>
        <v>20</v>
      </c>
      <c r="R783" s="10" t="n">
        <f aca="false">I783</f>
        <v>15</v>
      </c>
      <c r="S783" s="10" t="n">
        <f aca="false">J783</f>
        <v>1.8</v>
      </c>
      <c r="T783" s="12" t="s">
        <v>3401</v>
      </c>
      <c r="U783" s="12" t="s">
        <v>3415</v>
      </c>
      <c r="V783" s="9" t="str">
        <f aca="false">U783&amp;" - "&amp;W783</f>
        <v>保险杠吸能块 - 后部</v>
      </c>
      <c r="W783" s="12" t="s">
        <v>170</v>
      </c>
      <c r="X783" s="12" t="s">
        <v>2689</v>
      </c>
      <c r="Y783" s="10" t="n">
        <f aca="false">G783</f>
        <v>30</v>
      </c>
      <c r="Z783" s="10" t="n">
        <f aca="false">H783</f>
        <v>20</v>
      </c>
      <c r="AA783" s="10" t="n">
        <f aca="false">I783</f>
        <v>15</v>
      </c>
      <c r="AB783" s="10" t="n">
        <f aca="false">J783</f>
        <v>1.8</v>
      </c>
      <c r="AC783" s="9" t="s">
        <v>3403</v>
      </c>
      <c r="AD783" s="9" t="s">
        <v>3416</v>
      </c>
      <c r="AE783" s="9" t="str">
        <f aca="false">IF($AK783=0,"",INDEX('Part types'!$T:$T,$AK783)&amp;"")</f>
        <v>All vehicles</v>
      </c>
      <c r="AF783" s="9" t="str">
        <f aca="false">IF($AK783=0,"",INDEX('Part types'!$U:$U,$AK783)&amp;"")</f>
        <v/>
      </c>
      <c r="AG783" s="9" t="str">
        <f aca="false">IF($AK783=0,"",INDEX('Part types'!$V:$V,$AK783)&amp;"")</f>
        <v>Estimate: size class M2</v>
      </c>
      <c r="AH783" s="9" t="str">
        <f aca="false">IF($AK783=0,"",INDEX('Part types'!$W:$W,$AK783)&amp;"")</f>
        <v/>
      </c>
      <c r="AI783" s="11" t="str">
        <f aca="false">IF($AK783=0,"",INDEX('Part types'!$X:$X,$AK783)&amp;"")</f>
        <v/>
      </c>
      <c r="AJ783" s="9" t="str">
        <f aca="false">IF($AK783=0,"",INDEX('Part types'!$Y:$Y,$AK783)&amp;"")</f>
        <v/>
      </c>
      <c r="AK783" s="9" t="n">
        <f aca="false">IFERROR(MATCH($AD783,'Part types'!$E:$E,0),0)</f>
        <v>558</v>
      </c>
    </row>
    <row r="784" customFormat="false" ht="15" hidden="false" customHeight="false" outlineLevel="0" collapsed="false">
      <c r="A784" s="9" t="s">
        <v>3418</v>
      </c>
      <c r="B784" s="9" t="s">
        <v>3397</v>
      </c>
      <c r="C784" s="9" t="s">
        <v>3419</v>
      </c>
      <c r="D784" s="9" t="str">
        <f aca="false">C784&amp;" - "&amp;E784</f>
        <v>Bumper Bracket - Front-Left</v>
      </c>
      <c r="E784" s="9" t="s">
        <v>1346</v>
      </c>
      <c r="F784" s="9" t="s">
        <v>2685</v>
      </c>
      <c r="G784" s="10" t="n">
        <f aca="false">IF($AK784=0,"",INDEX('Part types'!$P:$P,$AK784))</f>
        <v>25</v>
      </c>
      <c r="H784" s="10" t="n">
        <f aca="false">IF($AK784=0,"",INDEX('Part types'!$Q:$Q,$AK784))</f>
        <v>15</v>
      </c>
      <c r="I784" s="10" t="n">
        <f aca="false">IF($AK784=0,"",INDEX('Part types'!$R:$R,$AK784))</f>
        <v>10</v>
      </c>
      <c r="J784" s="10" t="n">
        <f aca="false">IF($AK784=0,"",INDEX('Part types'!$S:$S,$AK784))</f>
        <v>0.9</v>
      </c>
      <c r="K784" s="11" t="s">
        <v>3399</v>
      </c>
      <c r="L784" s="11" t="s">
        <v>3420</v>
      </c>
      <c r="M784" s="11" t="str">
        <f aca="false">L784&amp;" - "&amp;N784</f>
        <v>حامل المصد - أمامي يسار</v>
      </c>
      <c r="N784" s="11" t="s">
        <v>1349</v>
      </c>
      <c r="O784" s="11" t="s">
        <v>2687</v>
      </c>
      <c r="P784" s="10" t="n">
        <f aca="false">G784</f>
        <v>25</v>
      </c>
      <c r="Q784" s="10" t="n">
        <f aca="false">H784</f>
        <v>15</v>
      </c>
      <c r="R784" s="10" t="n">
        <f aca="false">I784</f>
        <v>10</v>
      </c>
      <c r="S784" s="10" t="n">
        <f aca="false">J784</f>
        <v>0.9</v>
      </c>
      <c r="T784" s="12" t="s">
        <v>3401</v>
      </c>
      <c r="U784" s="12" t="s">
        <v>3421</v>
      </c>
      <c r="V784" s="9" t="str">
        <f aca="false">U784&amp;" - "&amp;W784</f>
        <v>保险杠支架 - 前左</v>
      </c>
      <c r="W784" s="12" t="s">
        <v>1352</v>
      </c>
      <c r="X784" s="12" t="s">
        <v>2689</v>
      </c>
      <c r="Y784" s="10" t="n">
        <f aca="false">G784</f>
        <v>25</v>
      </c>
      <c r="Z784" s="10" t="n">
        <f aca="false">H784</f>
        <v>15</v>
      </c>
      <c r="AA784" s="10" t="n">
        <f aca="false">I784</f>
        <v>10</v>
      </c>
      <c r="AB784" s="10" t="n">
        <f aca="false">J784</f>
        <v>0.9</v>
      </c>
      <c r="AC784" s="9" t="s">
        <v>3403</v>
      </c>
      <c r="AD784" s="9" t="s">
        <v>3422</v>
      </c>
      <c r="AE784" s="9" t="str">
        <f aca="false">IF($AK784=0,"",INDEX('Part types'!$T:$T,$AK784)&amp;"")</f>
        <v>All vehicles</v>
      </c>
      <c r="AF784" s="9" t="str">
        <f aca="false">IF($AK784=0,"",INDEX('Part types'!$U:$U,$AK784)&amp;"")</f>
        <v/>
      </c>
      <c r="AG784" s="9" t="str">
        <f aca="false">IF($AK784=0,"",INDEX('Part types'!$V:$V,$AK784)&amp;"")</f>
        <v>Estimate: size class M</v>
      </c>
      <c r="AH784" s="9" t="str">
        <f aca="false">IF($AK784=0,"",INDEX('Part types'!$W:$W,$AK784)&amp;"")</f>
        <v/>
      </c>
      <c r="AI784" s="11" t="str">
        <f aca="false">IF($AK784=0,"",INDEX('Part types'!$X:$X,$AK784)&amp;"")</f>
        <v/>
      </c>
      <c r="AJ784" s="9" t="str">
        <f aca="false">IF($AK784=0,"",INDEX('Part types'!$Y:$Y,$AK784)&amp;"")</f>
        <v/>
      </c>
      <c r="AK784" s="9" t="n">
        <f aca="false">IFERROR(MATCH($AD784,'Part types'!$E:$E,0),0)</f>
        <v>559</v>
      </c>
    </row>
    <row r="785" customFormat="false" ht="15" hidden="false" customHeight="false" outlineLevel="0" collapsed="false">
      <c r="A785" s="9" t="s">
        <v>3423</v>
      </c>
      <c r="B785" s="9" t="s">
        <v>3397</v>
      </c>
      <c r="C785" s="9" t="s">
        <v>3419</v>
      </c>
      <c r="D785" s="9" t="str">
        <f aca="false">C785&amp;" - "&amp;E785</f>
        <v>Bumper Bracket - Front-Right</v>
      </c>
      <c r="E785" s="9" t="s">
        <v>1356</v>
      </c>
      <c r="F785" s="9" t="s">
        <v>2685</v>
      </c>
      <c r="G785" s="10" t="n">
        <f aca="false">IF($AK785=0,"",INDEX('Part types'!$P:$P,$AK785))</f>
        <v>25</v>
      </c>
      <c r="H785" s="10" t="n">
        <f aca="false">IF($AK785=0,"",INDEX('Part types'!$Q:$Q,$AK785))</f>
        <v>15</v>
      </c>
      <c r="I785" s="10" t="n">
        <f aca="false">IF($AK785=0,"",INDEX('Part types'!$R:$R,$AK785))</f>
        <v>10</v>
      </c>
      <c r="J785" s="10" t="n">
        <f aca="false">IF($AK785=0,"",INDEX('Part types'!$S:$S,$AK785))</f>
        <v>0.9</v>
      </c>
      <c r="K785" s="11" t="s">
        <v>3399</v>
      </c>
      <c r="L785" s="11" t="s">
        <v>3420</v>
      </c>
      <c r="M785" s="11" t="str">
        <f aca="false">L785&amp;" - "&amp;N785</f>
        <v>حامل المصد - أمامي يمين</v>
      </c>
      <c r="N785" s="11" t="s">
        <v>1357</v>
      </c>
      <c r="O785" s="11" t="s">
        <v>2687</v>
      </c>
      <c r="P785" s="10" t="n">
        <f aca="false">G785</f>
        <v>25</v>
      </c>
      <c r="Q785" s="10" t="n">
        <f aca="false">H785</f>
        <v>15</v>
      </c>
      <c r="R785" s="10" t="n">
        <f aca="false">I785</f>
        <v>10</v>
      </c>
      <c r="S785" s="10" t="n">
        <f aca="false">J785</f>
        <v>0.9</v>
      </c>
      <c r="T785" s="12" t="s">
        <v>3401</v>
      </c>
      <c r="U785" s="12" t="s">
        <v>3421</v>
      </c>
      <c r="V785" s="9" t="str">
        <f aca="false">U785&amp;" - "&amp;W785</f>
        <v>保险杠支架 - 前右</v>
      </c>
      <c r="W785" s="12" t="s">
        <v>1358</v>
      </c>
      <c r="X785" s="12" t="s">
        <v>2689</v>
      </c>
      <c r="Y785" s="10" t="n">
        <f aca="false">G785</f>
        <v>25</v>
      </c>
      <c r="Z785" s="10" t="n">
        <f aca="false">H785</f>
        <v>15</v>
      </c>
      <c r="AA785" s="10" t="n">
        <f aca="false">I785</f>
        <v>10</v>
      </c>
      <c r="AB785" s="10" t="n">
        <f aca="false">J785</f>
        <v>0.9</v>
      </c>
      <c r="AC785" s="9" t="s">
        <v>3403</v>
      </c>
      <c r="AD785" s="9" t="s">
        <v>3422</v>
      </c>
      <c r="AE785" s="9" t="str">
        <f aca="false">IF($AK785=0,"",INDEX('Part types'!$T:$T,$AK785)&amp;"")</f>
        <v>All vehicles</v>
      </c>
      <c r="AF785" s="9" t="str">
        <f aca="false">IF($AK785=0,"",INDEX('Part types'!$U:$U,$AK785)&amp;"")</f>
        <v/>
      </c>
      <c r="AG785" s="9" t="str">
        <f aca="false">IF($AK785=0,"",INDEX('Part types'!$V:$V,$AK785)&amp;"")</f>
        <v>Estimate: size class M</v>
      </c>
      <c r="AH785" s="9" t="str">
        <f aca="false">IF($AK785=0,"",INDEX('Part types'!$W:$W,$AK785)&amp;"")</f>
        <v/>
      </c>
      <c r="AI785" s="11" t="str">
        <f aca="false">IF($AK785=0,"",INDEX('Part types'!$X:$X,$AK785)&amp;"")</f>
        <v/>
      </c>
      <c r="AJ785" s="9" t="str">
        <f aca="false">IF($AK785=0,"",INDEX('Part types'!$Y:$Y,$AK785)&amp;"")</f>
        <v/>
      </c>
      <c r="AK785" s="9" t="n">
        <f aca="false">IFERROR(MATCH($AD785,'Part types'!$E:$E,0),0)</f>
        <v>559</v>
      </c>
    </row>
    <row r="786" customFormat="false" ht="15" hidden="false" customHeight="false" outlineLevel="0" collapsed="false">
      <c r="A786" s="9" t="s">
        <v>3424</v>
      </c>
      <c r="B786" s="9" t="s">
        <v>3397</v>
      </c>
      <c r="C786" s="9" t="s">
        <v>3419</v>
      </c>
      <c r="D786" s="9" t="str">
        <f aca="false">C786&amp;" - "&amp;E786</f>
        <v>Bumper Bracket - Rear-Left</v>
      </c>
      <c r="E786" s="9" t="s">
        <v>1360</v>
      </c>
      <c r="F786" s="9" t="s">
        <v>2685</v>
      </c>
      <c r="G786" s="10" t="n">
        <f aca="false">IF($AK786=0,"",INDEX('Part types'!$P:$P,$AK786))</f>
        <v>25</v>
      </c>
      <c r="H786" s="10" t="n">
        <f aca="false">IF($AK786=0,"",INDEX('Part types'!$Q:$Q,$AK786))</f>
        <v>15</v>
      </c>
      <c r="I786" s="10" t="n">
        <f aca="false">IF($AK786=0,"",INDEX('Part types'!$R:$R,$AK786))</f>
        <v>10</v>
      </c>
      <c r="J786" s="10" t="n">
        <f aca="false">IF($AK786=0,"",INDEX('Part types'!$S:$S,$AK786))</f>
        <v>0.9</v>
      </c>
      <c r="K786" s="11" t="s">
        <v>3399</v>
      </c>
      <c r="L786" s="11" t="s">
        <v>3420</v>
      </c>
      <c r="M786" s="11" t="str">
        <f aca="false">L786&amp;" - "&amp;N786</f>
        <v>حامل المصد - خلفي يسار</v>
      </c>
      <c r="N786" s="11" t="s">
        <v>1361</v>
      </c>
      <c r="O786" s="11" t="s">
        <v>2687</v>
      </c>
      <c r="P786" s="10" t="n">
        <f aca="false">G786</f>
        <v>25</v>
      </c>
      <c r="Q786" s="10" t="n">
        <f aca="false">H786</f>
        <v>15</v>
      </c>
      <c r="R786" s="10" t="n">
        <f aca="false">I786</f>
        <v>10</v>
      </c>
      <c r="S786" s="10" t="n">
        <f aca="false">J786</f>
        <v>0.9</v>
      </c>
      <c r="T786" s="12" t="s">
        <v>3401</v>
      </c>
      <c r="U786" s="12" t="s">
        <v>3421</v>
      </c>
      <c r="V786" s="9" t="str">
        <f aca="false">U786&amp;" - "&amp;W786</f>
        <v>保险杠支架 - 后左</v>
      </c>
      <c r="W786" s="12" t="s">
        <v>1362</v>
      </c>
      <c r="X786" s="12" t="s">
        <v>2689</v>
      </c>
      <c r="Y786" s="10" t="n">
        <f aca="false">G786</f>
        <v>25</v>
      </c>
      <c r="Z786" s="10" t="n">
        <f aca="false">H786</f>
        <v>15</v>
      </c>
      <c r="AA786" s="10" t="n">
        <f aca="false">I786</f>
        <v>10</v>
      </c>
      <c r="AB786" s="10" t="n">
        <f aca="false">J786</f>
        <v>0.9</v>
      </c>
      <c r="AC786" s="9" t="s">
        <v>3403</v>
      </c>
      <c r="AD786" s="9" t="s">
        <v>3422</v>
      </c>
      <c r="AE786" s="9" t="str">
        <f aca="false">IF($AK786=0,"",INDEX('Part types'!$T:$T,$AK786)&amp;"")</f>
        <v>All vehicles</v>
      </c>
      <c r="AF786" s="9" t="str">
        <f aca="false">IF($AK786=0,"",INDEX('Part types'!$U:$U,$AK786)&amp;"")</f>
        <v/>
      </c>
      <c r="AG786" s="9" t="str">
        <f aca="false">IF($AK786=0,"",INDEX('Part types'!$V:$V,$AK786)&amp;"")</f>
        <v>Estimate: size class M</v>
      </c>
      <c r="AH786" s="9" t="str">
        <f aca="false">IF($AK786=0,"",INDEX('Part types'!$W:$W,$AK786)&amp;"")</f>
        <v/>
      </c>
      <c r="AI786" s="11" t="str">
        <f aca="false">IF($AK786=0,"",INDEX('Part types'!$X:$X,$AK786)&amp;"")</f>
        <v/>
      </c>
      <c r="AJ786" s="9" t="str">
        <f aca="false">IF($AK786=0,"",INDEX('Part types'!$Y:$Y,$AK786)&amp;"")</f>
        <v/>
      </c>
      <c r="AK786" s="9" t="n">
        <f aca="false">IFERROR(MATCH($AD786,'Part types'!$E:$E,0),0)</f>
        <v>559</v>
      </c>
    </row>
    <row r="787" customFormat="false" ht="15" hidden="false" customHeight="false" outlineLevel="0" collapsed="false">
      <c r="A787" s="9" t="s">
        <v>3425</v>
      </c>
      <c r="B787" s="9" t="s">
        <v>3397</v>
      </c>
      <c r="C787" s="9" t="s">
        <v>3419</v>
      </c>
      <c r="D787" s="9" t="str">
        <f aca="false">C787&amp;" - "&amp;E787</f>
        <v>Bumper Bracket - Rear-Right</v>
      </c>
      <c r="E787" s="9" t="s">
        <v>1364</v>
      </c>
      <c r="F787" s="9" t="s">
        <v>2685</v>
      </c>
      <c r="G787" s="10" t="n">
        <f aca="false">IF($AK787=0,"",INDEX('Part types'!$P:$P,$AK787))</f>
        <v>25</v>
      </c>
      <c r="H787" s="10" t="n">
        <f aca="false">IF($AK787=0,"",INDEX('Part types'!$Q:$Q,$AK787))</f>
        <v>15</v>
      </c>
      <c r="I787" s="10" t="n">
        <f aca="false">IF($AK787=0,"",INDEX('Part types'!$R:$R,$AK787))</f>
        <v>10</v>
      </c>
      <c r="J787" s="10" t="n">
        <f aca="false">IF($AK787=0,"",INDEX('Part types'!$S:$S,$AK787))</f>
        <v>0.9</v>
      </c>
      <c r="K787" s="11" t="s">
        <v>3399</v>
      </c>
      <c r="L787" s="11" t="s">
        <v>3420</v>
      </c>
      <c r="M787" s="11" t="str">
        <f aca="false">L787&amp;" - "&amp;N787</f>
        <v>حامل المصد - خلفي يمين</v>
      </c>
      <c r="N787" s="11" t="s">
        <v>1365</v>
      </c>
      <c r="O787" s="11" t="s">
        <v>2687</v>
      </c>
      <c r="P787" s="10" t="n">
        <f aca="false">G787</f>
        <v>25</v>
      </c>
      <c r="Q787" s="10" t="n">
        <f aca="false">H787</f>
        <v>15</v>
      </c>
      <c r="R787" s="10" t="n">
        <f aca="false">I787</f>
        <v>10</v>
      </c>
      <c r="S787" s="10" t="n">
        <f aca="false">J787</f>
        <v>0.9</v>
      </c>
      <c r="T787" s="12" t="s">
        <v>3401</v>
      </c>
      <c r="U787" s="12" t="s">
        <v>3421</v>
      </c>
      <c r="V787" s="9" t="str">
        <f aca="false">U787&amp;" - "&amp;W787</f>
        <v>保险杠支架 - 后右</v>
      </c>
      <c r="W787" s="12" t="s">
        <v>1366</v>
      </c>
      <c r="X787" s="12" t="s">
        <v>2689</v>
      </c>
      <c r="Y787" s="10" t="n">
        <f aca="false">G787</f>
        <v>25</v>
      </c>
      <c r="Z787" s="10" t="n">
        <f aca="false">H787</f>
        <v>15</v>
      </c>
      <c r="AA787" s="10" t="n">
        <f aca="false">I787</f>
        <v>10</v>
      </c>
      <c r="AB787" s="10" t="n">
        <f aca="false">J787</f>
        <v>0.9</v>
      </c>
      <c r="AC787" s="9" t="s">
        <v>3403</v>
      </c>
      <c r="AD787" s="9" t="s">
        <v>3422</v>
      </c>
      <c r="AE787" s="9" t="str">
        <f aca="false">IF($AK787=0,"",INDEX('Part types'!$T:$T,$AK787)&amp;"")</f>
        <v>All vehicles</v>
      </c>
      <c r="AF787" s="9" t="str">
        <f aca="false">IF($AK787=0,"",INDEX('Part types'!$U:$U,$AK787)&amp;"")</f>
        <v/>
      </c>
      <c r="AG787" s="9" t="str">
        <f aca="false">IF($AK787=0,"",INDEX('Part types'!$V:$V,$AK787)&amp;"")</f>
        <v>Estimate: size class M</v>
      </c>
      <c r="AH787" s="9" t="str">
        <f aca="false">IF($AK787=0,"",INDEX('Part types'!$W:$W,$AK787)&amp;"")</f>
        <v/>
      </c>
      <c r="AI787" s="11" t="str">
        <f aca="false">IF($AK787=0,"",INDEX('Part types'!$X:$X,$AK787)&amp;"")</f>
        <v/>
      </c>
      <c r="AJ787" s="9" t="str">
        <f aca="false">IF($AK787=0,"",INDEX('Part types'!$Y:$Y,$AK787)&amp;"")</f>
        <v/>
      </c>
      <c r="AK787" s="9" t="n">
        <f aca="false">IFERROR(MATCH($AD787,'Part types'!$E:$E,0),0)</f>
        <v>559</v>
      </c>
    </row>
    <row r="788" customFormat="false" ht="15" hidden="false" customHeight="false" outlineLevel="0" collapsed="false">
      <c r="A788" s="9" t="s">
        <v>3426</v>
      </c>
      <c r="B788" s="9" t="s">
        <v>3397</v>
      </c>
      <c r="C788" s="9" t="s">
        <v>3427</v>
      </c>
      <c r="D788" s="9" t="str">
        <f aca="false">C788&amp;" - "&amp;E788</f>
        <v>Bumper Lower Grille - Front</v>
      </c>
      <c r="E788" s="9" t="s">
        <v>161</v>
      </c>
      <c r="F788" s="9" t="s">
        <v>2685</v>
      </c>
      <c r="G788" s="10" t="n">
        <f aca="false">IF($AK788=0,"",INDEX('Part types'!$P:$P,$AK788))</f>
        <v>30</v>
      </c>
      <c r="H788" s="10" t="n">
        <f aca="false">IF($AK788=0,"",INDEX('Part types'!$Q:$Q,$AK788))</f>
        <v>20</v>
      </c>
      <c r="I788" s="10" t="n">
        <f aca="false">IF($AK788=0,"",INDEX('Part types'!$R:$R,$AK788))</f>
        <v>15</v>
      </c>
      <c r="J788" s="10" t="n">
        <f aca="false">IF($AK788=0,"",INDEX('Part types'!$S:$S,$AK788))</f>
        <v>1.8</v>
      </c>
      <c r="K788" s="11" t="s">
        <v>3399</v>
      </c>
      <c r="L788" s="11" t="s">
        <v>3428</v>
      </c>
      <c r="M788" s="11" t="str">
        <f aca="false">L788&amp;" - "&amp;N788</f>
        <v>شبك المصد السفلي - أمامي</v>
      </c>
      <c r="N788" s="11" t="s">
        <v>163</v>
      </c>
      <c r="O788" s="11" t="s">
        <v>2687</v>
      </c>
      <c r="P788" s="10" t="n">
        <f aca="false">G788</f>
        <v>30</v>
      </c>
      <c r="Q788" s="10" t="n">
        <f aca="false">H788</f>
        <v>20</v>
      </c>
      <c r="R788" s="10" t="n">
        <f aca="false">I788</f>
        <v>15</v>
      </c>
      <c r="S788" s="10" t="n">
        <f aca="false">J788</f>
        <v>1.8</v>
      </c>
      <c r="T788" s="12" t="s">
        <v>3401</v>
      </c>
      <c r="U788" s="12" t="s">
        <v>3429</v>
      </c>
      <c r="V788" s="9" t="str">
        <f aca="false">U788&amp;" - "&amp;W788</f>
        <v>保险杠下格栅 - 前部</v>
      </c>
      <c r="W788" s="12" t="s">
        <v>165</v>
      </c>
      <c r="X788" s="12" t="s">
        <v>2689</v>
      </c>
      <c r="Y788" s="10" t="n">
        <f aca="false">G788</f>
        <v>30</v>
      </c>
      <c r="Z788" s="10" t="n">
        <f aca="false">H788</f>
        <v>20</v>
      </c>
      <c r="AA788" s="10" t="n">
        <f aca="false">I788</f>
        <v>15</v>
      </c>
      <c r="AB788" s="10" t="n">
        <f aca="false">J788</f>
        <v>1.8</v>
      </c>
      <c r="AC788" s="9" t="s">
        <v>3403</v>
      </c>
      <c r="AD788" s="9" t="s">
        <v>3430</v>
      </c>
      <c r="AE788" s="9" t="str">
        <f aca="false">IF($AK788=0,"",INDEX('Part types'!$T:$T,$AK788)&amp;"")</f>
        <v>All vehicles</v>
      </c>
      <c r="AF788" s="9" t="str">
        <f aca="false">IF($AK788=0,"",INDEX('Part types'!$U:$U,$AK788)&amp;"")</f>
        <v/>
      </c>
      <c r="AG788" s="9" t="str">
        <f aca="false">IF($AK788=0,"",INDEX('Part types'!$V:$V,$AK788)&amp;"")</f>
        <v>Estimate: size class M2</v>
      </c>
      <c r="AH788" s="9" t="str">
        <f aca="false">IF($AK788=0,"",INDEX('Part types'!$W:$W,$AK788)&amp;"")</f>
        <v/>
      </c>
      <c r="AI788" s="11" t="str">
        <f aca="false">IF($AK788=0,"",INDEX('Part types'!$X:$X,$AK788)&amp;"")</f>
        <v/>
      </c>
      <c r="AJ788" s="9" t="str">
        <f aca="false">IF($AK788=0,"",INDEX('Part types'!$Y:$Y,$AK788)&amp;"")</f>
        <v/>
      </c>
      <c r="AK788" s="9" t="n">
        <f aca="false">IFERROR(MATCH($AD788,'Part types'!$E:$E,0),0)</f>
        <v>560</v>
      </c>
    </row>
    <row r="789" customFormat="false" ht="15" hidden="false" customHeight="false" outlineLevel="0" collapsed="false">
      <c r="A789" s="9" t="s">
        <v>3431</v>
      </c>
      <c r="B789" s="9" t="s">
        <v>3397</v>
      </c>
      <c r="C789" s="9" t="s">
        <v>3427</v>
      </c>
      <c r="D789" s="9" t="str">
        <f aca="false">C789&amp;" - "&amp;E789</f>
        <v>Bumper Lower Grille - Rear</v>
      </c>
      <c r="E789" s="9" t="s">
        <v>168</v>
      </c>
      <c r="F789" s="9" t="s">
        <v>2685</v>
      </c>
      <c r="G789" s="10" t="n">
        <f aca="false">IF($AK789=0,"",INDEX('Part types'!$P:$P,$AK789))</f>
        <v>30</v>
      </c>
      <c r="H789" s="10" t="n">
        <f aca="false">IF($AK789=0,"",INDEX('Part types'!$Q:$Q,$AK789))</f>
        <v>20</v>
      </c>
      <c r="I789" s="10" t="n">
        <f aca="false">IF($AK789=0,"",INDEX('Part types'!$R:$R,$AK789))</f>
        <v>15</v>
      </c>
      <c r="J789" s="10" t="n">
        <f aca="false">IF($AK789=0,"",INDEX('Part types'!$S:$S,$AK789))</f>
        <v>1.8</v>
      </c>
      <c r="K789" s="11" t="s">
        <v>3399</v>
      </c>
      <c r="L789" s="11" t="s">
        <v>3428</v>
      </c>
      <c r="M789" s="11" t="str">
        <f aca="false">L789&amp;" - "&amp;N789</f>
        <v>شبك المصد السفلي - خلفي</v>
      </c>
      <c r="N789" s="11" t="s">
        <v>169</v>
      </c>
      <c r="O789" s="11" t="s">
        <v>2687</v>
      </c>
      <c r="P789" s="10" t="n">
        <f aca="false">G789</f>
        <v>30</v>
      </c>
      <c r="Q789" s="10" t="n">
        <f aca="false">H789</f>
        <v>20</v>
      </c>
      <c r="R789" s="10" t="n">
        <f aca="false">I789</f>
        <v>15</v>
      </c>
      <c r="S789" s="10" t="n">
        <f aca="false">J789</f>
        <v>1.8</v>
      </c>
      <c r="T789" s="12" t="s">
        <v>3401</v>
      </c>
      <c r="U789" s="12" t="s">
        <v>3429</v>
      </c>
      <c r="V789" s="9" t="str">
        <f aca="false">U789&amp;" - "&amp;W789</f>
        <v>保险杠下格栅 - 后部</v>
      </c>
      <c r="W789" s="12" t="s">
        <v>170</v>
      </c>
      <c r="X789" s="12" t="s">
        <v>2689</v>
      </c>
      <c r="Y789" s="10" t="n">
        <f aca="false">G789</f>
        <v>30</v>
      </c>
      <c r="Z789" s="10" t="n">
        <f aca="false">H789</f>
        <v>20</v>
      </c>
      <c r="AA789" s="10" t="n">
        <f aca="false">I789</f>
        <v>15</v>
      </c>
      <c r="AB789" s="10" t="n">
        <f aca="false">J789</f>
        <v>1.8</v>
      </c>
      <c r="AC789" s="9" t="s">
        <v>3403</v>
      </c>
      <c r="AD789" s="9" t="s">
        <v>3430</v>
      </c>
      <c r="AE789" s="9" t="str">
        <f aca="false">IF($AK789=0,"",INDEX('Part types'!$T:$T,$AK789)&amp;"")</f>
        <v>All vehicles</v>
      </c>
      <c r="AF789" s="9" t="str">
        <f aca="false">IF($AK789=0,"",INDEX('Part types'!$U:$U,$AK789)&amp;"")</f>
        <v/>
      </c>
      <c r="AG789" s="9" t="str">
        <f aca="false">IF($AK789=0,"",INDEX('Part types'!$V:$V,$AK789)&amp;"")</f>
        <v>Estimate: size class M2</v>
      </c>
      <c r="AH789" s="9" t="str">
        <f aca="false">IF($AK789=0,"",INDEX('Part types'!$W:$W,$AK789)&amp;"")</f>
        <v/>
      </c>
      <c r="AI789" s="11" t="str">
        <f aca="false">IF($AK789=0,"",INDEX('Part types'!$X:$X,$AK789)&amp;"")</f>
        <v/>
      </c>
      <c r="AJ789" s="9" t="str">
        <f aca="false">IF($AK789=0,"",INDEX('Part types'!$Y:$Y,$AK789)&amp;"")</f>
        <v/>
      </c>
      <c r="AK789" s="9" t="n">
        <f aca="false">IFERROR(MATCH($AD789,'Part types'!$E:$E,0),0)</f>
        <v>560</v>
      </c>
    </row>
    <row r="790" customFormat="false" ht="15" hidden="false" customHeight="false" outlineLevel="0" collapsed="false">
      <c r="A790" s="9" t="s">
        <v>3432</v>
      </c>
      <c r="B790" s="9" t="s">
        <v>3397</v>
      </c>
      <c r="C790" s="9" t="s">
        <v>3433</v>
      </c>
      <c r="D790" s="9" t="str">
        <f aca="false">C790&amp;" - "&amp;E790</f>
        <v>Bumper Lip - Front</v>
      </c>
      <c r="E790" s="9" t="s">
        <v>161</v>
      </c>
      <c r="F790" s="9" t="s">
        <v>2685</v>
      </c>
      <c r="G790" s="10" t="n">
        <f aca="false">IF($AK790=0,"",INDEX('Part types'!$P:$P,$AK790))</f>
        <v>50</v>
      </c>
      <c r="H790" s="10" t="n">
        <f aca="false">IF($AK790=0,"",INDEX('Part types'!$Q:$Q,$AK790))</f>
        <v>30</v>
      </c>
      <c r="I790" s="10" t="n">
        <f aca="false">IF($AK790=0,"",INDEX('Part types'!$R:$R,$AK790))</f>
        <v>20</v>
      </c>
      <c r="J790" s="10" t="n">
        <f aca="false">IF($AK790=0,"",INDEX('Part types'!$S:$S,$AK790))</f>
        <v>5</v>
      </c>
      <c r="K790" s="11" t="s">
        <v>3399</v>
      </c>
      <c r="L790" s="11" t="s">
        <v>3434</v>
      </c>
      <c r="M790" s="11" t="str">
        <f aca="false">L790&amp;" - "&amp;N790</f>
        <v>سبويلر المصد - أمامي</v>
      </c>
      <c r="N790" s="11" t="s">
        <v>163</v>
      </c>
      <c r="O790" s="11" t="s">
        <v>2687</v>
      </c>
      <c r="P790" s="10" t="n">
        <f aca="false">G790</f>
        <v>50</v>
      </c>
      <c r="Q790" s="10" t="n">
        <f aca="false">H790</f>
        <v>30</v>
      </c>
      <c r="R790" s="10" t="n">
        <f aca="false">I790</f>
        <v>20</v>
      </c>
      <c r="S790" s="10" t="n">
        <f aca="false">J790</f>
        <v>5</v>
      </c>
      <c r="T790" s="12" t="s">
        <v>3401</v>
      </c>
      <c r="U790" s="12" t="s">
        <v>3435</v>
      </c>
      <c r="V790" s="9" t="str">
        <f aca="false">U790&amp;" - "&amp;W790</f>
        <v>保险杠下扰流板 - 前部</v>
      </c>
      <c r="W790" s="12" t="s">
        <v>165</v>
      </c>
      <c r="X790" s="12" t="s">
        <v>2689</v>
      </c>
      <c r="Y790" s="10" t="n">
        <f aca="false">G790</f>
        <v>50</v>
      </c>
      <c r="Z790" s="10" t="n">
        <f aca="false">H790</f>
        <v>30</v>
      </c>
      <c r="AA790" s="10" t="n">
        <f aca="false">I790</f>
        <v>20</v>
      </c>
      <c r="AB790" s="10" t="n">
        <f aca="false">J790</f>
        <v>5</v>
      </c>
      <c r="AC790" s="9" t="s">
        <v>3403</v>
      </c>
      <c r="AD790" s="9" t="s">
        <v>3436</v>
      </c>
      <c r="AE790" s="9" t="str">
        <f aca="false">IF($AK790=0,"",INDEX('Part types'!$T:$T,$AK790)&amp;"")</f>
        <v>All vehicles</v>
      </c>
      <c r="AF790" s="9" t="str">
        <f aca="false">IF($AK790=0,"",INDEX('Part types'!$U:$U,$AK790)&amp;"")</f>
        <v/>
      </c>
      <c r="AG790" s="9" t="str">
        <f aca="false">IF($AK790=0,"",INDEX('Part types'!$V:$V,$AK790)&amp;"")</f>
        <v>Estimate: size class L2</v>
      </c>
      <c r="AH790" s="9" t="str">
        <f aca="false">IF($AK790=0,"",INDEX('Part types'!$W:$W,$AK790)&amp;"")</f>
        <v>Spoiler</v>
      </c>
      <c r="AI790" s="11" t="str">
        <f aca="false">IF($AK790=0,"",INDEX('Part types'!$X:$X,$AK790)&amp;"")</f>
        <v/>
      </c>
      <c r="AJ790" s="9" t="str">
        <f aca="false">IF($AK790=0,"",INDEX('Part types'!$Y:$Y,$AK790)&amp;"")</f>
        <v/>
      </c>
      <c r="AK790" s="9" t="n">
        <f aca="false">IFERROR(MATCH($AD790,'Part types'!$E:$E,0),0)</f>
        <v>561</v>
      </c>
    </row>
    <row r="791" customFormat="false" ht="15" hidden="false" customHeight="false" outlineLevel="0" collapsed="false">
      <c r="A791" s="9" t="s">
        <v>3437</v>
      </c>
      <c r="B791" s="9" t="s">
        <v>3397</v>
      </c>
      <c r="C791" s="9" t="s">
        <v>3433</v>
      </c>
      <c r="D791" s="9" t="str">
        <f aca="false">C791&amp;" - "&amp;E791</f>
        <v>Bumper Lip - Rear</v>
      </c>
      <c r="E791" s="9" t="s">
        <v>168</v>
      </c>
      <c r="F791" s="9" t="s">
        <v>2685</v>
      </c>
      <c r="G791" s="10" t="n">
        <f aca="false">IF($AK791=0,"",INDEX('Part types'!$P:$P,$AK791))</f>
        <v>50</v>
      </c>
      <c r="H791" s="10" t="n">
        <f aca="false">IF($AK791=0,"",INDEX('Part types'!$Q:$Q,$AK791))</f>
        <v>30</v>
      </c>
      <c r="I791" s="10" t="n">
        <f aca="false">IF($AK791=0,"",INDEX('Part types'!$R:$R,$AK791))</f>
        <v>20</v>
      </c>
      <c r="J791" s="10" t="n">
        <f aca="false">IF($AK791=0,"",INDEX('Part types'!$S:$S,$AK791))</f>
        <v>5</v>
      </c>
      <c r="K791" s="11" t="s">
        <v>3399</v>
      </c>
      <c r="L791" s="11" t="s">
        <v>3434</v>
      </c>
      <c r="M791" s="11" t="str">
        <f aca="false">L791&amp;" - "&amp;N791</f>
        <v>سبويلر المصد - خلفي</v>
      </c>
      <c r="N791" s="11" t="s">
        <v>169</v>
      </c>
      <c r="O791" s="11" t="s">
        <v>2687</v>
      </c>
      <c r="P791" s="10" t="n">
        <f aca="false">G791</f>
        <v>50</v>
      </c>
      <c r="Q791" s="10" t="n">
        <f aca="false">H791</f>
        <v>30</v>
      </c>
      <c r="R791" s="10" t="n">
        <f aca="false">I791</f>
        <v>20</v>
      </c>
      <c r="S791" s="10" t="n">
        <f aca="false">J791</f>
        <v>5</v>
      </c>
      <c r="T791" s="12" t="s">
        <v>3401</v>
      </c>
      <c r="U791" s="12" t="s">
        <v>3435</v>
      </c>
      <c r="V791" s="9" t="str">
        <f aca="false">U791&amp;" - "&amp;W791</f>
        <v>保险杠下扰流板 - 后部</v>
      </c>
      <c r="W791" s="12" t="s">
        <v>170</v>
      </c>
      <c r="X791" s="12" t="s">
        <v>2689</v>
      </c>
      <c r="Y791" s="10" t="n">
        <f aca="false">G791</f>
        <v>50</v>
      </c>
      <c r="Z791" s="10" t="n">
        <f aca="false">H791</f>
        <v>30</v>
      </c>
      <c r="AA791" s="10" t="n">
        <f aca="false">I791</f>
        <v>20</v>
      </c>
      <c r="AB791" s="10" t="n">
        <f aca="false">J791</f>
        <v>5</v>
      </c>
      <c r="AC791" s="9" t="s">
        <v>3403</v>
      </c>
      <c r="AD791" s="9" t="s">
        <v>3436</v>
      </c>
      <c r="AE791" s="9" t="str">
        <f aca="false">IF($AK791=0,"",INDEX('Part types'!$T:$T,$AK791)&amp;"")</f>
        <v>All vehicles</v>
      </c>
      <c r="AF791" s="9" t="str">
        <f aca="false">IF($AK791=0,"",INDEX('Part types'!$U:$U,$AK791)&amp;"")</f>
        <v/>
      </c>
      <c r="AG791" s="9" t="str">
        <f aca="false">IF($AK791=0,"",INDEX('Part types'!$V:$V,$AK791)&amp;"")</f>
        <v>Estimate: size class L2</v>
      </c>
      <c r="AH791" s="9" t="str">
        <f aca="false">IF($AK791=0,"",INDEX('Part types'!$W:$W,$AK791)&amp;"")</f>
        <v>Spoiler</v>
      </c>
      <c r="AI791" s="11" t="str">
        <f aca="false">IF($AK791=0,"",INDEX('Part types'!$X:$X,$AK791)&amp;"")</f>
        <v/>
      </c>
      <c r="AJ791" s="9" t="str">
        <f aca="false">IF($AK791=0,"",INDEX('Part types'!$Y:$Y,$AK791)&amp;"")</f>
        <v/>
      </c>
      <c r="AK791" s="9" t="n">
        <f aca="false">IFERROR(MATCH($AD791,'Part types'!$E:$E,0),0)</f>
        <v>561</v>
      </c>
    </row>
    <row r="792" customFormat="false" ht="15" hidden="false" customHeight="false" outlineLevel="0" collapsed="false">
      <c r="A792" s="9" t="s">
        <v>3438</v>
      </c>
      <c r="B792" s="9" t="s">
        <v>3397</v>
      </c>
      <c r="C792" s="9" t="s">
        <v>3439</v>
      </c>
      <c r="D792" s="9" t="str">
        <f aca="false">C792&amp;" - "&amp;E792</f>
        <v>Bumper Clip Set - Front</v>
      </c>
      <c r="E792" s="9" t="s">
        <v>161</v>
      </c>
      <c r="F792" s="9" t="s">
        <v>2685</v>
      </c>
      <c r="G792" s="10" t="n">
        <f aca="false">IF($AK792=0,"",INDEX('Part types'!$P:$P,$AK792))</f>
        <v>15</v>
      </c>
      <c r="H792" s="10" t="n">
        <f aca="false">IF($AK792=0,"",INDEX('Part types'!$Q:$Q,$AK792))</f>
        <v>10</v>
      </c>
      <c r="I792" s="10" t="n">
        <f aca="false">IF($AK792=0,"",INDEX('Part types'!$R:$R,$AK792))</f>
        <v>8</v>
      </c>
      <c r="J792" s="10" t="n">
        <f aca="false">IF($AK792=0,"",INDEX('Part types'!$S:$S,$AK792))</f>
        <v>0.3</v>
      </c>
      <c r="K792" s="11" t="s">
        <v>3399</v>
      </c>
      <c r="L792" s="11" t="s">
        <v>3440</v>
      </c>
      <c r="M792" s="11" t="str">
        <f aca="false">L792&amp;" - "&amp;N792</f>
        <v>طقم مشابك المصد - أمامي</v>
      </c>
      <c r="N792" s="11" t="s">
        <v>163</v>
      </c>
      <c r="O792" s="11" t="s">
        <v>2687</v>
      </c>
      <c r="P792" s="10" t="n">
        <f aca="false">G792</f>
        <v>15</v>
      </c>
      <c r="Q792" s="10" t="n">
        <f aca="false">H792</f>
        <v>10</v>
      </c>
      <c r="R792" s="10" t="n">
        <f aca="false">I792</f>
        <v>8</v>
      </c>
      <c r="S792" s="10" t="n">
        <f aca="false">J792</f>
        <v>0.3</v>
      </c>
      <c r="T792" s="12" t="s">
        <v>3401</v>
      </c>
      <c r="U792" s="12" t="s">
        <v>3441</v>
      </c>
      <c r="V792" s="9" t="str">
        <f aca="false">U792&amp;" - "&amp;W792</f>
        <v>保险杠卡扣套装 - 前部</v>
      </c>
      <c r="W792" s="12" t="s">
        <v>165</v>
      </c>
      <c r="X792" s="12" t="s">
        <v>2689</v>
      </c>
      <c r="Y792" s="10" t="n">
        <f aca="false">G792</f>
        <v>15</v>
      </c>
      <c r="Z792" s="10" t="n">
        <f aca="false">H792</f>
        <v>10</v>
      </c>
      <c r="AA792" s="10" t="n">
        <f aca="false">I792</f>
        <v>8</v>
      </c>
      <c r="AB792" s="10" t="n">
        <f aca="false">J792</f>
        <v>0.3</v>
      </c>
      <c r="AC792" s="9" t="s">
        <v>3403</v>
      </c>
      <c r="AD792" s="9" t="s">
        <v>3442</v>
      </c>
      <c r="AE792" s="9" t="str">
        <f aca="false">IF($AK792=0,"",INDEX('Part types'!$T:$T,$AK792)&amp;"")</f>
        <v>All vehicles</v>
      </c>
      <c r="AF792" s="9" t="str">
        <f aca="false">IF($AK792=0,"",INDEX('Part types'!$U:$U,$AK792)&amp;"")</f>
        <v/>
      </c>
      <c r="AG792" s="9" t="str">
        <f aca="false">IF($AK792=0,"",INDEX('Part types'!$V:$V,$AK792)&amp;"")</f>
        <v>Estimate: size class S</v>
      </c>
      <c r="AH792" s="9" t="str">
        <f aca="false">IF($AK792=0,"",INDEX('Part types'!$W:$W,$AK792)&amp;"")</f>
        <v/>
      </c>
      <c r="AI792" s="11" t="str">
        <f aca="false">IF($AK792=0,"",INDEX('Part types'!$X:$X,$AK792)&amp;"")</f>
        <v/>
      </c>
      <c r="AJ792" s="9" t="str">
        <f aca="false">IF($AK792=0,"",INDEX('Part types'!$Y:$Y,$AK792)&amp;"")</f>
        <v/>
      </c>
      <c r="AK792" s="9" t="n">
        <f aca="false">IFERROR(MATCH($AD792,'Part types'!$E:$E,0),0)</f>
        <v>562</v>
      </c>
    </row>
    <row r="793" customFormat="false" ht="15" hidden="false" customHeight="false" outlineLevel="0" collapsed="false">
      <c r="A793" s="9" t="s">
        <v>3443</v>
      </c>
      <c r="B793" s="9" t="s">
        <v>3397</v>
      </c>
      <c r="C793" s="9" t="s">
        <v>3439</v>
      </c>
      <c r="D793" s="9" t="str">
        <f aca="false">C793&amp;" - "&amp;E793</f>
        <v>Bumper Clip Set - Rear</v>
      </c>
      <c r="E793" s="9" t="s">
        <v>168</v>
      </c>
      <c r="F793" s="9" t="s">
        <v>2685</v>
      </c>
      <c r="G793" s="10" t="n">
        <f aca="false">IF($AK793=0,"",INDEX('Part types'!$P:$P,$AK793))</f>
        <v>15</v>
      </c>
      <c r="H793" s="10" t="n">
        <f aca="false">IF($AK793=0,"",INDEX('Part types'!$Q:$Q,$AK793))</f>
        <v>10</v>
      </c>
      <c r="I793" s="10" t="n">
        <f aca="false">IF($AK793=0,"",INDEX('Part types'!$R:$R,$AK793))</f>
        <v>8</v>
      </c>
      <c r="J793" s="10" t="n">
        <f aca="false">IF($AK793=0,"",INDEX('Part types'!$S:$S,$AK793))</f>
        <v>0.3</v>
      </c>
      <c r="K793" s="11" t="s">
        <v>3399</v>
      </c>
      <c r="L793" s="11" t="s">
        <v>3440</v>
      </c>
      <c r="M793" s="11" t="str">
        <f aca="false">L793&amp;" - "&amp;N793</f>
        <v>طقم مشابك المصد - خلفي</v>
      </c>
      <c r="N793" s="11" t="s">
        <v>169</v>
      </c>
      <c r="O793" s="11" t="s">
        <v>2687</v>
      </c>
      <c r="P793" s="10" t="n">
        <f aca="false">G793</f>
        <v>15</v>
      </c>
      <c r="Q793" s="10" t="n">
        <f aca="false">H793</f>
        <v>10</v>
      </c>
      <c r="R793" s="10" t="n">
        <f aca="false">I793</f>
        <v>8</v>
      </c>
      <c r="S793" s="10" t="n">
        <f aca="false">J793</f>
        <v>0.3</v>
      </c>
      <c r="T793" s="12" t="s">
        <v>3401</v>
      </c>
      <c r="U793" s="12" t="s">
        <v>3441</v>
      </c>
      <c r="V793" s="9" t="str">
        <f aca="false">U793&amp;" - "&amp;W793</f>
        <v>保险杠卡扣套装 - 后部</v>
      </c>
      <c r="W793" s="12" t="s">
        <v>170</v>
      </c>
      <c r="X793" s="12" t="s">
        <v>2689</v>
      </c>
      <c r="Y793" s="10" t="n">
        <f aca="false">G793</f>
        <v>15</v>
      </c>
      <c r="Z793" s="10" t="n">
        <f aca="false">H793</f>
        <v>10</v>
      </c>
      <c r="AA793" s="10" t="n">
        <f aca="false">I793</f>
        <v>8</v>
      </c>
      <c r="AB793" s="10" t="n">
        <f aca="false">J793</f>
        <v>0.3</v>
      </c>
      <c r="AC793" s="9" t="s">
        <v>3403</v>
      </c>
      <c r="AD793" s="9" t="s">
        <v>3442</v>
      </c>
      <c r="AE793" s="9" t="str">
        <f aca="false">IF($AK793=0,"",INDEX('Part types'!$T:$T,$AK793)&amp;"")</f>
        <v>All vehicles</v>
      </c>
      <c r="AF793" s="9" t="str">
        <f aca="false">IF($AK793=0,"",INDEX('Part types'!$U:$U,$AK793)&amp;"")</f>
        <v/>
      </c>
      <c r="AG793" s="9" t="str">
        <f aca="false">IF($AK793=0,"",INDEX('Part types'!$V:$V,$AK793)&amp;"")</f>
        <v>Estimate: size class S</v>
      </c>
      <c r="AH793" s="9" t="str">
        <f aca="false">IF($AK793=0,"",INDEX('Part types'!$W:$W,$AK793)&amp;"")</f>
        <v/>
      </c>
      <c r="AI793" s="11" t="str">
        <f aca="false">IF($AK793=0,"",INDEX('Part types'!$X:$X,$AK793)&amp;"")</f>
        <v/>
      </c>
      <c r="AJ793" s="9" t="str">
        <f aca="false">IF($AK793=0,"",INDEX('Part types'!$Y:$Y,$AK793)&amp;"")</f>
        <v/>
      </c>
      <c r="AK793" s="9" t="n">
        <f aca="false">IFERROR(MATCH($AD793,'Part types'!$E:$E,0),0)</f>
        <v>562</v>
      </c>
    </row>
    <row r="794" customFormat="false" ht="15" hidden="false" customHeight="false" outlineLevel="0" collapsed="false">
      <c r="A794" s="9" t="s">
        <v>3444</v>
      </c>
      <c r="B794" s="9" t="s">
        <v>3397</v>
      </c>
      <c r="C794" s="9" t="s">
        <v>3445</v>
      </c>
      <c r="D794" s="9" t="str">
        <f aca="false">C794&amp;" - "&amp;E794</f>
        <v>Tow Hook - Front</v>
      </c>
      <c r="E794" s="9" t="s">
        <v>161</v>
      </c>
      <c r="F794" s="9" t="s">
        <v>2685</v>
      </c>
      <c r="G794" s="10" t="n">
        <f aca="false">IF($AK794=0,"",INDEX('Part types'!$P:$P,$AK794))</f>
        <v>25</v>
      </c>
      <c r="H794" s="10" t="n">
        <f aca="false">IF($AK794=0,"",INDEX('Part types'!$Q:$Q,$AK794))</f>
        <v>15</v>
      </c>
      <c r="I794" s="10" t="n">
        <f aca="false">IF($AK794=0,"",INDEX('Part types'!$R:$R,$AK794))</f>
        <v>10</v>
      </c>
      <c r="J794" s="10" t="n">
        <f aca="false">IF($AK794=0,"",INDEX('Part types'!$S:$S,$AK794))</f>
        <v>0.9</v>
      </c>
      <c r="K794" s="11" t="s">
        <v>3399</v>
      </c>
      <c r="L794" s="11" t="s">
        <v>3446</v>
      </c>
      <c r="M794" s="11" t="str">
        <f aca="false">L794&amp;" - "&amp;N794</f>
        <v>خطاف السحب - أمامي</v>
      </c>
      <c r="N794" s="11" t="s">
        <v>163</v>
      </c>
      <c r="O794" s="11" t="s">
        <v>2687</v>
      </c>
      <c r="P794" s="10" t="n">
        <f aca="false">G794</f>
        <v>25</v>
      </c>
      <c r="Q794" s="10" t="n">
        <f aca="false">H794</f>
        <v>15</v>
      </c>
      <c r="R794" s="10" t="n">
        <f aca="false">I794</f>
        <v>10</v>
      </c>
      <c r="S794" s="10" t="n">
        <f aca="false">J794</f>
        <v>0.9</v>
      </c>
      <c r="T794" s="12" t="s">
        <v>3401</v>
      </c>
      <c r="U794" s="12" t="s">
        <v>3447</v>
      </c>
      <c r="V794" s="9" t="str">
        <f aca="false">U794&amp;" - "&amp;W794</f>
        <v>拖车钩 - 前部</v>
      </c>
      <c r="W794" s="12" t="s">
        <v>165</v>
      </c>
      <c r="X794" s="12" t="s">
        <v>2689</v>
      </c>
      <c r="Y794" s="10" t="n">
        <f aca="false">G794</f>
        <v>25</v>
      </c>
      <c r="Z794" s="10" t="n">
        <f aca="false">H794</f>
        <v>15</v>
      </c>
      <c r="AA794" s="10" t="n">
        <f aca="false">I794</f>
        <v>10</v>
      </c>
      <c r="AB794" s="10" t="n">
        <f aca="false">J794</f>
        <v>0.9</v>
      </c>
      <c r="AC794" s="9" t="s">
        <v>3403</v>
      </c>
      <c r="AD794" s="9" t="s">
        <v>3448</v>
      </c>
      <c r="AE794" s="9" t="str">
        <f aca="false">IF($AK794=0,"",INDEX('Part types'!$T:$T,$AK794)&amp;"")</f>
        <v>All vehicles</v>
      </c>
      <c r="AF794" s="9" t="str">
        <f aca="false">IF($AK794=0,"",INDEX('Part types'!$U:$U,$AK794)&amp;"")</f>
        <v/>
      </c>
      <c r="AG794" s="9" t="str">
        <f aca="false">IF($AK794=0,"",INDEX('Part types'!$V:$V,$AK794)&amp;"")</f>
        <v>Estimate: size class M</v>
      </c>
      <c r="AH794" s="9" t="str">
        <f aca="false">IF($AK794=0,"",INDEX('Part types'!$W:$W,$AK794)&amp;"")</f>
        <v/>
      </c>
      <c r="AI794" s="11" t="str">
        <f aca="false">IF($AK794=0,"",INDEX('Part types'!$X:$X,$AK794)&amp;"")</f>
        <v/>
      </c>
      <c r="AJ794" s="9" t="str">
        <f aca="false">IF($AK794=0,"",INDEX('Part types'!$Y:$Y,$AK794)&amp;"")</f>
        <v/>
      </c>
      <c r="AK794" s="9" t="n">
        <f aca="false">IFERROR(MATCH($AD794,'Part types'!$E:$E,0),0)</f>
        <v>563</v>
      </c>
    </row>
    <row r="795" customFormat="false" ht="15" hidden="false" customHeight="false" outlineLevel="0" collapsed="false">
      <c r="A795" s="9" t="s">
        <v>3449</v>
      </c>
      <c r="B795" s="9" t="s">
        <v>3397</v>
      </c>
      <c r="C795" s="9" t="s">
        <v>3445</v>
      </c>
      <c r="D795" s="9" t="str">
        <f aca="false">C795&amp;" - "&amp;E795</f>
        <v>Tow Hook - Rear</v>
      </c>
      <c r="E795" s="9" t="s">
        <v>168</v>
      </c>
      <c r="F795" s="9" t="s">
        <v>2685</v>
      </c>
      <c r="G795" s="10" t="n">
        <f aca="false">IF($AK795=0,"",INDEX('Part types'!$P:$P,$AK795))</f>
        <v>25</v>
      </c>
      <c r="H795" s="10" t="n">
        <f aca="false">IF($AK795=0,"",INDEX('Part types'!$Q:$Q,$AK795))</f>
        <v>15</v>
      </c>
      <c r="I795" s="10" t="n">
        <f aca="false">IF($AK795=0,"",INDEX('Part types'!$R:$R,$AK795))</f>
        <v>10</v>
      </c>
      <c r="J795" s="10" t="n">
        <f aca="false">IF($AK795=0,"",INDEX('Part types'!$S:$S,$AK795))</f>
        <v>0.9</v>
      </c>
      <c r="K795" s="11" t="s">
        <v>3399</v>
      </c>
      <c r="L795" s="11" t="s">
        <v>3446</v>
      </c>
      <c r="M795" s="11" t="str">
        <f aca="false">L795&amp;" - "&amp;N795</f>
        <v>خطاف السحب - خلفي</v>
      </c>
      <c r="N795" s="11" t="s">
        <v>169</v>
      </c>
      <c r="O795" s="11" t="s">
        <v>2687</v>
      </c>
      <c r="P795" s="10" t="n">
        <f aca="false">G795</f>
        <v>25</v>
      </c>
      <c r="Q795" s="10" t="n">
        <f aca="false">H795</f>
        <v>15</v>
      </c>
      <c r="R795" s="10" t="n">
        <f aca="false">I795</f>
        <v>10</v>
      </c>
      <c r="S795" s="10" t="n">
        <f aca="false">J795</f>
        <v>0.9</v>
      </c>
      <c r="T795" s="12" t="s">
        <v>3401</v>
      </c>
      <c r="U795" s="12" t="s">
        <v>3447</v>
      </c>
      <c r="V795" s="9" t="str">
        <f aca="false">U795&amp;" - "&amp;W795</f>
        <v>拖车钩 - 后部</v>
      </c>
      <c r="W795" s="12" t="s">
        <v>170</v>
      </c>
      <c r="X795" s="12" t="s">
        <v>2689</v>
      </c>
      <c r="Y795" s="10" t="n">
        <f aca="false">G795</f>
        <v>25</v>
      </c>
      <c r="Z795" s="10" t="n">
        <f aca="false">H795</f>
        <v>15</v>
      </c>
      <c r="AA795" s="10" t="n">
        <f aca="false">I795</f>
        <v>10</v>
      </c>
      <c r="AB795" s="10" t="n">
        <f aca="false">J795</f>
        <v>0.9</v>
      </c>
      <c r="AC795" s="9" t="s">
        <v>3403</v>
      </c>
      <c r="AD795" s="9" t="s">
        <v>3448</v>
      </c>
      <c r="AE795" s="9" t="str">
        <f aca="false">IF($AK795=0,"",INDEX('Part types'!$T:$T,$AK795)&amp;"")</f>
        <v>All vehicles</v>
      </c>
      <c r="AF795" s="9" t="str">
        <f aca="false">IF($AK795=0,"",INDEX('Part types'!$U:$U,$AK795)&amp;"")</f>
        <v/>
      </c>
      <c r="AG795" s="9" t="str">
        <f aca="false">IF($AK795=0,"",INDEX('Part types'!$V:$V,$AK795)&amp;"")</f>
        <v>Estimate: size class M</v>
      </c>
      <c r="AH795" s="9" t="str">
        <f aca="false">IF($AK795=0,"",INDEX('Part types'!$W:$W,$AK795)&amp;"")</f>
        <v/>
      </c>
      <c r="AI795" s="11" t="str">
        <f aca="false">IF($AK795=0,"",INDEX('Part types'!$X:$X,$AK795)&amp;"")</f>
        <v/>
      </c>
      <c r="AJ795" s="9" t="str">
        <f aca="false">IF($AK795=0,"",INDEX('Part types'!$Y:$Y,$AK795)&amp;"")</f>
        <v/>
      </c>
      <c r="AK795" s="9" t="n">
        <f aca="false">IFERROR(MATCH($AD795,'Part types'!$E:$E,0),0)</f>
        <v>563</v>
      </c>
    </row>
    <row r="796" customFormat="false" ht="15" hidden="false" customHeight="false" outlineLevel="0" collapsed="false">
      <c r="A796" s="9" t="s">
        <v>3450</v>
      </c>
      <c r="B796" s="9" t="s">
        <v>3397</v>
      </c>
      <c r="C796" s="9" t="s">
        <v>3451</v>
      </c>
      <c r="D796" s="9" t="str">
        <f aca="false">C796&amp;" - "&amp;E796</f>
        <v>Tow Hook Cover - Front</v>
      </c>
      <c r="E796" s="9" t="s">
        <v>161</v>
      </c>
      <c r="F796" s="9" t="s">
        <v>2685</v>
      </c>
      <c r="G796" s="10" t="n">
        <f aca="false">IF($AK796=0,"",INDEX('Part types'!$P:$P,$AK796))</f>
        <v>10</v>
      </c>
      <c r="H796" s="10" t="n">
        <f aca="false">IF($AK796=0,"",INDEX('Part types'!$Q:$Q,$AK796))</f>
        <v>8</v>
      </c>
      <c r="I796" s="10" t="n">
        <f aca="false">IF($AK796=0,"",INDEX('Part types'!$R:$R,$AK796))</f>
        <v>6</v>
      </c>
      <c r="J796" s="10" t="n">
        <f aca="false">IF($AK796=0,"",INDEX('Part types'!$S:$S,$AK796))</f>
        <v>0.1</v>
      </c>
      <c r="K796" s="11" t="s">
        <v>3399</v>
      </c>
      <c r="L796" s="11" t="s">
        <v>3452</v>
      </c>
      <c r="M796" s="11" t="str">
        <f aca="false">L796&amp;" - "&amp;N796</f>
        <v>غطاء خطاف السحب - أمامي</v>
      </c>
      <c r="N796" s="11" t="s">
        <v>163</v>
      </c>
      <c r="O796" s="11" t="s">
        <v>2687</v>
      </c>
      <c r="P796" s="10" t="n">
        <f aca="false">G796</f>
        <v>10</v>
      </c>
      <c r="Q796" s="10" t="n">
        <f aca="false">H796</f>
        <v>8</v>
      </c>
      <c r="R796" s="10" t="n">
        <f aca="false">I796</f>
        <v>6</v>
      </c>
      <c r="S796" s="10" t="n">
        <f aca="false">J796</f>
        <v>0.1</v>
      </c>
      <c r="T796" s="12" t="s">
        <v>3401</v>
      </c>
      <c r="U796" s="12" t="s">
        <v>3453</v>
      </c>
      <c r="V796" s="9" t="str">
        <f aca="false">U796&amp;" - "&amp;W796</f>
        <v>拖车钩盖板 - 前部</v>
      </c>
      <c r="W796" s="12" t="s">
        <v>165</v>
      </c>
      <c r="X796" s="12" t="s">
        <v>2689</v>
      </c>
      <c r="Y796" s="10" t="n">
        <f aca="false">G796</f>
        <v>10</v>
      </c>
      <c r="Z796" s="10" t="n">
        <f aca="false">H796</f>
        <v>8</v>
      </c>
      <c r="AA796" s="10" t="n">
        <f aca="false">I796</f>
        <v>6</v>
      </c>
      <c r="AB796" s="10" t="n">
        <f aca="false">J796</f>
        <v>0.1</v>
      </c>
      <c r="AC796" s="9" t="s">
        <v>3403</v>
      </c>
      <c r="AD796" s="9" t="s">
        <v>3454</v>
      </c>
      <c r="AE796" s="9" t="str">
        <f aca="false">IF($AK796=0,"",INDEX('Part types'!$T:$T,$AK796)&amp;"")</f>
        <v>All vehicles</v>
      </c>
      <c r="AF796" s="9" t="str">
        <f aca="false">IF($AK796=0,"",INDEX('Part types'!$U:$U,$AK796)&amp;"")</f>
        <v/>
      </c>
      <c r="AG796" s="9" t="str">
        <f aca="false">IF($AK796=0,"",INDEX('Part types'!$V:$V,$AK796)&amp;"")</f>
        <v>Estimate: size class XS</v>
      </c>
      <c r="AH796" s="9" t="str">
        <f aca="false">IF($AK796=0,"",INDEX('Part types'!$W:$W,$AK796)&amp;"")</f>
        <v/>
      </c>
      <c r="AI796" s="11" t="str">
        <f aca="false">IF($AK796=0,"",INDEX('Part types'!$X:$X,$AK796)&amp;"")</f>
        <v/>
      </c>
      <c r="AJ796" s="9" t="str">
        <f aca="false">IF($AK796=0,"",INDEX('Part types'!$Y:$Y,$AK796)&amp;"")</f>
        <v/>
      </c>
      <c r="AK796" s="9" t="n">
        <f aca="false">IFERROR(MATCH($AD796,'Part types'!$E:$E,0),0)</f>
        <v>564</v>
      </c>
    </row>
    <row r="797" customFormat="false" ht="15" hidden="false" customHeight="false" outlineLevel="0" collapsed="false">
      <c r="A797" s="9" t="s">
        <v>3455</v>
      </c>
      <c r="B797" s="9" t="s">
        <v>3397</v>
      </c>
      <c r="C797" s="9" t="s">
        <v>3451</v>
      </c>
      <c r="D797" s="9" t="str">
        <f aca="false">C797&amp;" - "&amp;E797</f>
        <v>Tow Hook Cover - Rear</v>
      </c>
      <c r="E797" s="9" t="s">
        <v>168</v>
      </c>
      <c r="F797" s="9" t="s">
        <v>2685</v>
      </c>
      <c r="G797" s="10" t="n">
        <f aca="false">IF($AK797=0,"",INDEX('Part types'!$P:$P,$AK797))</f>
        <v>10</v>
      </c>
      <c r="H797" s="10" t="n">
        <f aca="false">IF($AK797=0,"",INDEX('Part types'!$Q:$Q,$AK797))</f>
        <v>8</v>
      </c>
      <c r="I797" s="10" t="n">
        <f aca="false">IF($AK797=0,"",INDEX('Part types'!$R:$R,$AK797))</f>
        <v>6</v>
      </c>
      <c r="J797" s="10" t="n">
        <f aca="false">IF($AK797=0,"",INDEX('Part types'!$S:$S,$AK797))</f>
        <v>0.1</v>
      </c>
      <c r="K797" s="11" t="s">
        <v>3399</v>
      </c>
      <c r="L797" s="11" t="s">
        <v>3452</v>
      </c>
      <c r="M797" s="11" t="str">
        <f aca="false">L797&amp;" - "&amp;N797</f>
        <v>غطاء خطاف السحب - خلفي</v>
      </c>
      <c r="N797" s="11" t="s">
        <v>169</v>
      </c>
      <c r="O797" s="11" t="s">
        <v>2687</v>
      </c>
      <c r="P797" s="10" t="n">
        <f aca="false">G797</f>
        <v>10</v>
      </c>
      <c r="Q797" s="10" t="n">
        <f aca="false">H797</f>
        <v>8</v>
      </c>
      <c r="R797" s="10" t="n">
        <f aca="false">I797</f>
        <v>6</v>
      </c>
      <c r="S797" s="10" t="n">
        <f aca="false">J797</f>
        <v>0.1</v>
      </c>
      <c r="T797" s="12" t="s">
        <v>3401</v>
      </c>
      <c r="U797" s="12" t="s">
        <v>3453</v>
      </c>
      <c r="V797" s="9" t="str">
        <f aca="false">U797&amp;" - "&amp;W797</f>
        <v>拖车钩盖板 - 后部</v>
      </c>
      <c r="W797" s="12" t="s">
        <v>170</v>
      </c>
      <c r="X797" s="12" t="s">
        <v>2689</v>
      </c>
      <c r="Y797" s="10" t="n">
        <f aca="false">G797</f>
        <v>10</v>
      </c>
      <c r="Z797" s="10" t="n">
        <f aca="false">H797</f>
        <v>8</v>
      </c>
      <c r="AA797" s="10" t="n">
        <f aca="false">I797</f>
        <v>6</v>
      </c>
      <c r="AB797" s="10" t="n">
        <f aca="false">J797</f>
        <v>0.1</v>
      </c>
      <c r="AC797" s="9" t="s">
        <v>3403</v>
      </c>
      <c r="AD797" s="9" t="s">
        <v>3454</v>
      </c>
      <c r="AE797" s="9" t="str">
        <f aca="false">IF($AK797=0,"",INDEX('Part types'!$T:$T,$AK797)&amp;"")</f>
        <v>All vehicles</v>
      </c>
      <c r="AF797" s="9" t="str">
        <f aca="false">IF($AK797=0,"",INDEX('Part types'!$U:$U,$AK797)&amp;"")</f>
        <v/>
      </c>
      <c r="AG797" s="9" t="str">
        <f aca="false">IF($AK797=0,"",INDEX('Part types'!$V:$V,$AK797)&amp;"")</f>
        <v>Estimate: size class XS</v>
      </c>
      <c r="AH797" s="9" t="str">
        <f aca="false">IF($AK797=0,"",INDEX('Part types'!$W:$W,$AK797)&amp;"")</f>
        <v/>
      </c>
      <c r="AI797" s="11" t="str">
        <f aca="false">IF($AK797=0,"",INDEX('Part types'!$X:$X,$AK797)&amp;"")</f>
        <v/>
      </c>
      <c r="AJ797" s="9" t="str">
        <f aca="false">IF($AK797=0,"",INDEX('Part types'!$Y:$Y,$AK797)&amp;"")</f>
        <v/>
      </c>
      <c r="AK797" s="9" t="n">
        <f aca="false">IFERROR(MATCH($AD797,'Part types'!$E:$E,0),0)</f>
        <v>564</v>
      </c>
    </row>
    <row r="798" customFormat="false" ht="15" hidden="false" customHeight="false" outlineLevel="0" collapsed="false">
      <c r="A798" s="9" t="s">
        <v>3456</v>
      </c>
      <c r="B798" s="9" t="s">
        <v>3397</v>
      </c>
      <c r="C798" s="9" t="s">
        <v>3457</v>
      </c>
      <c r="D798" s="9" t="str">
        <f aca="false">C798&amp;" - "&amp;E798</f>
        <v>License Plate Bracket - Front</v>
      </c>
      <c r="E798" s="9" t="s">
        <v>161</v>
      </c>
      <c r="F798" s="9" t="s">
        <v>2685</v>
      </c>
      <c r="G798" s="10" t="n">
        <f aca="false">IF($AK798=0,"",INDEX('Part types'!$P:$P,$AK798))</f>
        <v>25</v>
      </c>
      <c r="H798" s="10" t="n">
        <f aca="false">IF($AK798=0,"",INDEX('Part types'!$Q:$Q,$AK798))</f>
        <v>15</v>
      </c>
      <c r="I798" s="10" t="n">
        <f aca="false">IF($AK798=0,"",INDEX('Part types'!$R:$R,$AK798))</f>
        <v>10</v>
      </c>
      <c r="J798" s="10" t="n">
        <f aca="false">IF($AK798=0,"",INDEX('Part types'!$S:$S,$AK798))</f>
        <v>0.9</v>
      </c>
      <c r="K798" s="11" t="s">
        <v>3399</v>
      </c>
      <c r="L798" s="11" t="s">
        <v>3458</v>
      </c>
      <c r="M798" s="11" t="str">
        <f aca="false">L798&amp;" - "&amp;N798</f>
        <v>حامل لوحة الأرقام - أمامي</v>
      </c>
      <c r="N798" s="11" t="s">
        <v>163</v>
      </c>
      <c r="O798" s="11" t="s">
        <v>2687</v>
      </c>
      <c r="P798" s="10" t="n">
        <f aca="false">G798</f>
        <v>25</v>
      </c>
      <c r="Q798" s="10" t="n">
        <f aca="false">H798</f>
        <v>15</v>
      </c>
      <c r="R798" s="10" t="n">
        <f aca="false">I798</f>
        <v>10</v>
      </c>
      <c r="S798" s="10" t="n">
        <f aca="false">J798</f>
        <v>0.9</v>
      </c>
      <c r="T798" s="12" t="s">
        <v>3401</v>
      </c>
      <c r="U798" s="12" t="s">
        <v>3459</v>
      </c>
      <c r="V798" s="9" t="str">
        <f aca="false">U798&amp;" - "&amp;W798</f>
        <v>牌照架 - 前部</v>
      </c>
      <c r="W798" s="12" t="s">
        <v>165</v>
      </c>
      <c r="X798" s="12" t="s">
        <v>2689</v>
      </c>
      <c r="Y798" s="10" t="n">
        <f aca="false">G798</f>
        <v>25</v>
      </c>
      <c r="Z798" s="10" t="n">
        <f aca="false">H798</f>
        <v>15</v>
      </c>
      <c r="AA798" s="10" t="n">
        <f aca="false">I798</f>
        <v>10</v>
      </c>
      <c r="AB798" s="10" t="n">
        <f aca="false">J798</f>
        <v>0.9</v>
      </c>
      <c r="AC798" s="9" t="s">
        <v>3403</v>
      </c>
      <c r="AD798" s="9" t="s">
        <v>3460</v>
      </c>
      <c r="AE798" s="9" t="str">
        <f aca="false">IF($AK798=0,"",INDEX('Part types'!$T:$T,$AK798)&amp;"")</f>
        <v>All vehicles</v>
      </c>
      <c r="AF798" s="9" t="str">
        <f aca="false">IF($AK798=0,"",INDEX('Part types'!$U:$U,$AK798)&amp;"")</f>
        <v/>
      </c>
      <c r="AG798" s="9" t="str">
        <f aca="false">IF($AK798=0,"",INDEX('Part types'!$V:$V,$AK798)&amp;"")</f>
        <v>Estimate: size class M</v>
      </c>
      <c r="AH798" s="9" t="str">
        <f aca="false">IF($AK798=0,"",INDEX('Part types'!$W:$W,$AK798)&amp;"")</f>
        <v/>
      </c>
      <c r="AI798" s="11" t="str">
        <f aca="false">IF($AK798=0,"",INDEX('Part types'!$X:$X,$AK798)&amp;"")</f>
        <v/>
      </c>
      <c r="AJ798" s="9" t="str">
        <f aca="false">IF($AK798=0,"",INDEX('Part types'!$Y:$Y,$AK798)&amp;"")</f>
        <v/>
      </c>
      <c r="AK798" s="9" t="n">
        <f aca="false">IFERROR(MATCH($AD798,'Part types'!$E:$E,0),0)</f>
        <v>565</v>
      </c>
    </row>
    <row r="799" customFormat="false" ht="15" hidden="false" customHeight="false" outlineLevel="0" collapsed="false">
      <c r="A799" s="9" t="s">
        <v>3461</v>
      </c>
      <c r="B799" s="9" t="s">
        <v>3397</v>
      </c>
      <c r="C799" s="9" t="s">
        <v>3457</v>
      </c>
      <c r="D799" s="9" t="str">
        <f aca="false">C799&amp;" - "&amp;E799</f>
        <v>License Plate Bracket - Rear</v>
      </c>
      <c r="E799" s="9" t="s">
        <v>168</v>
      </c>
      <c r="F799" s="9" t="s">
        <v>2685</v>
      </c>
      <c r="G799" s="10" t="n">
        <f aca="false">IF($AK799=0,"",INDEX('Part types'!$P:$P,$AK799))</f>
        <v>25</v>
      </c>
      <c r="H799" s="10" t="n">
        <f aca="false">IF($AK799=0,"",INDEX('Part types'!$Q:$Q,$AK799))</f>
        <v>15</v>
      </c>
      <c r="I799" s="10" t="n">
        <f aca="false">IF($AK799=0,"",INDEX('Part types'!$R:$R,$AK799))</f>
        <v>10</v>
      </c>
      <c r="J799" s="10" t="n">
        <f aca="false">IF($AK799=0,"",INDEX('Part types'!$S:$S,$AK799))</f>
        <v>0.9</v>
      </c>
      <c r="K799" s="11" t="s">
        <v>3399</v>
      </c>
      <c r="L799" s="11" t="s">
        <v>3458</v>
      </c>
      <c r="M799" s="11" t="str">
        <f aca="false">L799&amp;" - "&amp;N799</f>
        <v>حامل لوحة الأرقام - خلفي</v>
      </c>
      <c r="N799" s="11" t="s">
        <v>169</v>
      </c>
      <c r="O799" s="11" t="s">
        <v>2687</v>
      </c>
      <c r="P799" s="10" t="n">
        <f aca="false">G799</f>
        <v>25</v>
      </c>
      <c r="Q799" s="10" t="n">
        <f aca="false">H799</f>
        <v>15</v>
      </c>
      <c r="R799" s="10" t="n">
        <f aca="false">I799</f>
        <v>10</v>
      </c>
      <c r="S799" s="10" t="n">
        <f aca="false">J799</f>
        <v>0.9</v>
      </c>
      <c r="T799" s="12" t="s">
        <v>3401</v>
      </c>
      <c r="U799" s="12" t="s">
        <v>3459</v>
      </c>
      <c r="V799" s="9" t="str">
        <f aca="false">U799&amp;" - "&amp;W799</f>
        <v>牌照架 - 后部</v>
      </c>
      <c r="W799" s="12" t="s">
        <v>170</v>
      </c>
      <c r="X799" s="12" t="s">
        <v>2689</v>
      </c>
      <c r="Y799" s="10" t="n">
        <f aca="false">G799</f>
        <v>25</v>
      </c>
      <c r="Z799" s="10" t="n">
        <f aca="false">H799</f>
        <v>15</v>
      </c>
      <c r="AA799" s="10" t="n">
        <f aca="false">I799</f>
        <v>10</v>
      </c>
      <c r="AB799" s="10" t="n">
        <f aca="false">J799</f>
        <v>0.9</v>
      </c>
      <c r="AC799" s="9" t="s">
        <v>3403</v>
      </c>
      <c r="AD799" s="9" t="s">
        <v>3460</v>
      </c>
      <c r="AE799" s="9" t="str">
        <f aca="false">IF($AK799=0,"",INDEX('Part types'!$T:$T,$AK799)&amp;"")</f>
        <v>All vehicles</v>
      </c>
      <c r="AF799" s="9" t="str">
        <f aca="false">IF($AK799=0,"",INDEX('Part types'!$U:$U,$AK799)&amp;"")</f>
        <v/>
      </c>
      <c r="AG799" s="9" t="str">
        <f aca="false">IF($AK799=0,"",INDEX('Part types'!$V:$V,$AK799)&amp;"")</f>
        <v>Estimate: size class M</v>
      </c>
      <c r="AH799" s="9" t="str">
        <f aca="false">IF($AK799=0,"",INDEX('Part types'!$W:$W,$AK799)&amp;"")</f>
        <v/>
      </c>
      <c r="AI799" s="11" t="str">
        <f aca="false">IF($AK799=0,"",INDEX('Part types'!$X:$X,$AK799)&amp;"")</f>
        <v/>
      </c>
      <c r="AJ799" s="9" t="str">
        <f aca="false">IF($AK799=0,"",INDEX('Part types'!$Y:$Y,$AK799)&amp;"")</f>
        <v/>
      </c>
      <c r="AK799" s="9" t="n">
        <f aca="false">IFERROR(MATCH($AD799,'Part types'!$E:$E,0),0)</f>
        <v>565</v>
      </c>
    </row>
    <row r="800" customFormat="false" ht="15" hidden="false" customHeight="false" outlineLevel="0" collapsed="false">
      <c r="A800" s="9" t="s">
        <v>3462</v>
      </c>
      <c r="B800" s="9" t="s">
        <v>3463</v>
      </c>
      <c r="C800" s="9" t="s">
        <v>3464</v>
      </c>
      <c r="D800" s="9" t="str">
        <f aca="false">C800&amp;" - "&amp;E800</f>
        <v>Radiator Grille - Universal</v>
      </c>
      <c r="E800" s="9" t="s">
        <v>68</v>
      </c>
      <c r="F800" s="9" t="s">
        <v>2583</v>
      </c>
      <c r="G800" s="10" t="n">
        <f aca="false">IF($AK800=0,"",INDEX('Part types'!$P:$P,$AK800))</f>
        <v>90</v>
      </c>
      <c r="H800" s="10" t="n">
        <f aca="false">IF($AK800=0,"",INDEX('Part types'!$Q:$Q,$AK800))</f>
        <v>40</v>
      </c>
      <c r="I800" s="10" t="n">
        <f aca="false">IF($AK800=0,"",INDEX('Part types'!$R:$R,$AK800))</f>
        <v>12</v>
      </c>
      <c r="J800" s="10" t="n">
        <f aca="false">IF($AK800=0,"",INDEX('Part types'!$S:$S,$AK800))</f>
        <v>2.2</v>
      </c>
      <c r="K800" s="11" t="s">
        <v>3465</v>
      </c>
      <c r="L800" s="11" t="s">
        <v>3466</v>
      </c>
      <c r="M800" s="11" t="str">
        <f aca="false">L800&amp;" - "&amp;N800</f>
        <v>شبك الرديتر - عام</v>
      </c>
      <c r="N800" s="11" t="s">
        <v>72</v>
      </c>
      <c r="O800" s="11" t="s">
        <v>2585</v>
      </c>
      <c r="P800" s="10" t="n">
        <f aca="false">G800</f>
        <v>90</v>
      </c>
      <c r="Q800" s="10" t="n">
        <f aca="false">H800</f>
        <v>40</v>
      </c>
      <c r="R800" s="10" t="n">
        <f aca="false">I800</f>
        <v>12</v>
      </c>
      <c r="S800" s="10" t="n">
        <f aca="false">J800</f>
        <v>2.2</v>
      </c>
      <c r="T800" s="12" t="s">
        <v>3467</v>
      </c>
      <c r="U800" s="12" t="s">
        <v>3468</v>
      </c>
      <c r="V800" s="9" t="str">
        <f aca="false">U800&amp;" - "&amp;W800</f>
        <v>散热器格栅 - 通用</v>
      </c>
      <c r="W800" s="12" t="s">
        <v>76</v>
      </c>
      <c r="X800" s="12" t="s">
        <v>2587</v>
      </c>
      <c r="Y800" s="10" t="n">
        <f aca="false">G800</f>
        <v>90</v>
      </c>
      <c r="Z800" s="10" t="n">
        <f aca="false">H800</f>
        <v>40</v>
      </c>
      <c r="AA800" s="10" t="n">
        <f aca="false">I800</f>
        <v>12</v>
      </c>
      <c r="AB800" s="10" t="n">
        <f aca="false">J800</f>
        <v>2.2</v>
      </c>
      <c r="AC800" s="9" t="s">
        <v>3469</v>
      </c>
      <c r="AD800" s="9" t="s">
        <v>3470</v>
      </c>
      <c r="AE800" s="9" t="str">
        <f aca="false">IF($AK800=0,"",INDEX('Part types'!$T:$T,$AK800)&amp;"")</f>
        <v>All vehicles</v>
      </c>
      <c r="AF800" s="9" t="str">
        <f aca="false">IF($AK800=0,"",INDEX('Part types'!$U:$U,$AK800)&amp;"")</f>
        <v/>
      </c>
      <c r="AG800" s="9" t="str">
        <f aca="false">IF($AK800=0,"",INDEX('Part types'!$V:$V,$AK800)&amp;"")</f>
        <v>Estimate: item-specific</v>
      </c>
      <c r="AH800" s="9" t="str">
        <f aca="false">IF($AK800=0,"",INDEX('Part types'!$W:$W,$AK800)&amp;"")</f>
        <v/>
      </c>
      <c r="AI800" s="11" t="str">
        <f aca="false">IF($AK800=0,"",INDEX('Part types'!$X:$X,$AK800)&amp;"")</f>
        <v>الشبك الأمامي</v>
      </c>
      <c r="AJ800" s="9" t="str">
        <f aca="false">IF($AK800=0,"",INDEX('Part types'!$Y:$Y,$AK800)&amp;"")</f>
        <v>中网</v>
      </c>
      <c r="AK800" s="9" t="n">
        <f aca="false">IFERROR(MATCH($AD800,'Part types'!$E:$E,0),0)</f>
        <v>566</v>
      </c>
    </row>
    <row r="801" customFormat="false" ht="15" hidden="false" customHeight="false" outlineLevel="0" collapsed="false">
      <c r="A801" s="9" t="s">
        <v>3471</v>
      </c>
      <c r="B801" s="9" t="s">
        <v>3463</v>
      </c>
      <c r="C801" s="9" t="s">
        <v>3472</v>
      </c>
      <c r="D801" s="9" t="str">
        <f aca="false">C801&amp;" - "&amp;E801</f>
        <v>Radiator Support - Universal</v>
      </c>
      <c r="E801" s="9" t="s">
        <v>68</v>
      </c>
      <c r="F801" s="9" t="s">
        <v>2583</v>
      </c>
      <c r="G801" s="10" t="n">
        <f aca="false">IF($AK801=0,"",INDEX('Part types'!$P:$P,$AK801))</f>
        <v>100</v>
      </c>
      <c r="H801" s="10" t="n">
        <f aca="false">IF($AK801=0,"",INDEX('Part types'!$Q:$Q,$AK801))</f>
        <v>40</v>
      </c>
      <c r="I801" s="10" t="n">
        <f aca="false">IF($AK801=0,"",INDEX('Part types'!$R:$R,$AK801))</f>
        <v>30</v>
      </c>
      <c r="J801" s="10" t="n">
        <f aca="false">IF($AK801=0,"",INDEX('Part types'!$S:$S,$AK801))</f>
        <v>9</v>
      </c>
      <c r="K801" s="11" t="s">
        <v>3465</v>
      </c>
      <c r="L801" s="11" t="s">
        <v>3473</v>
      </c>
      <c r="M801" s="11" t="str">
        <f aca="false">L801&amp;" - "&amp;N801</f>
        <v>دعامة الرديتر - عام</v>
      </c>
      <c r="N801" s="11" t="s">
        <v>72</v>
      </c>
      <c r="O801" s="11" t="s">
        <v>2585</v>
      </c>
      <c r="P801" s="10" t="n">
        <f aca="false">G801</f>
        <v>100</v>
      </c>
      <c r="Q801" s="10" t="n">
        <f aca="false">H801</f>
        <v>40</v>
      </c>
      <c r="R801" s="10" t="n">
        <f aca="false">I801</f>
        <v>30</v>
      </c>
      <c r="S801" s="10" t="n">
        <f aca="false">J801</f>
        <v>9</v>
      </c>
      <c r="T801" s="12" t="s">
        <v>3467</v>
      </c>
      <c r="U801" s="12" t="s">
        <v>3474</v>
      </c>
      <c r="V801" s="9" t="str">
        <f aca="false">U801&amp;" - "&amp;W801</f>
        <v>散热器支架 - 通用</v>
      </c>
      <c r="W801" s="12" t="s">
        <v>76</v>
      </c>
      <c r="X801" s="12" t="s">
        <v>2587</v>
      </c>
      <c r="Y801" s="10" t="n">
        <f aca="false">G801</f>
        <v>100</v>
      </c>
      <c r="Z801" s="10" t="n">
        <f aca="false">H801</f>
        <v>40</v>
      </c>
      <c r="AA801" s="10" t="n">
        <f aca="false">I801</f>
        <v>30</v>
      </c>
      <c r="AB801" s="10" t="n">
        <f aca="false">J801</f>
        <v>9</v>
      </c>
      <c r="AC801" s="9" t="s">
        <v>3469</v>
      </c>
      <c r="AD801" s="9" t="s">
        <v>3475</v>
      </c>
      <c r="AE801" s="9" t="str">
        <f aca="false">IF($AK801=0,"",INDEX('Part types'!$T:$T,$AK801)&amp;"")</f>
        <v>All vehicles</v>
      </c>
      <c r="AF801" s="9" t="str">
        <f aca="false">IF($AK801=0,"",INDEX('Part types'!$U:$U,$AK801)&amp;"")</f>
        <v/>
      </c>
      <c r="AG801" s="9" t="str">
        <f aca="false">IF($AK801=0,"",INDEX('Part types'!$V:$V,$AK801)&amp;"")</f>
        <v>Estimate: item-specific</v>
      </c>
      <c r="AH801" s="9" t="str">
        <f aca="false">IF($AK801=0,"",INDEX('Part types'!$W:$W,$AK801)&amp;"")</f>
        <v>Core Support</v>
      </c>
      <c r="AI801" s="11" t="str">
        <f aca="false">IF($AK801=0,"",INDEX('Part types'!$X:$X,$AK801)&amp;"")</f>
        <v>كور سابورت</v>
      </c>
      <c r="AJ801" s="9" t="str">
        <f aca="false">IF($AK801=0,"",INDEX('Part types'!$Y:$Y,$AK801)&amp;"")</f>
        <v/>
      </c>
      <c r="AK801" s="9" t="n">
        <f aca="false">IFERROR(MATCH($AD801,'Part types'!$E:$E,0),0)</f>
        <v>567</v>
      </c>
    </row>
    <row r="802" customFormat="false" ht="15" hidden="false" customHeight="false" outlineLevel="0" collapsed="false">
      <c r="A802" s="9" t="s">
        <v>3476</v>
      </c>
      <c r="B802" s="9" t="s">
        <v>3463</v>
      </c>
      <c r="C802" s="9" t="s">
        <v>3477</v>
      </c>
      <c r="D802" s="9" t="str">
        <f aca="false">C802&amp;" - "&amp;E802</f>
        <v>Grille Emblem - Universal</v>
      </c>
      <c r="E802" s="9" t="s">
        <v>68</v>
      </c>
      <c r="F802" s="9" t="s">
        <v>2583</v>
      </c>
      <c r="G802" s="10" t="n">
        <f aca="false">IF($AK802=0,"",INDEX('Part types'!$P:$P,$AK802))</f>
        <v>10</v>
      </c>
      <c r="H802" s="10" t="n">
        <f aca="false">IF($AK802=0,"",INDEX('Part types'!$Q:$Q,$AK802))</f>
        <v>8</v>
      </c>
      <c r="I802" s="10" t="n">
        <f aca="false">IF($AK802=0,"",INDEX('Part types'!$R:$R,$AK802))</f>
        <v>6</v>
      </c>
      <c r="J802" s="10" t="n">
        <f aca="false">IF($AK802=0,"",INDEX('Part types'!$S:$S,$AK802))</f>
        <v>0.1</v>
      </c>
      <c r="K802" s="11" t="s">
        <v>3465</v>
      </c>
      <c r="L802" s="11" t="s">
        <v>3478</v>
      </c>
      <c r="M802" s="11" t="str">
        <f aca="false">L802&amp;" - "&amp;N802</f>
        <v>شعار الشبك - عام</v>
      </c>
      <c r="N802" s="11" t="s">
        <v>72</v>
      </c>
      <c r="O802" s="11" t="s">
        <v>2585</v>
      </c>
      <c r="P802" s="10" t="n">
        <f aca="false">G802</f>
        <v>10</v>
      </c>
      <c r="Q802" s="10" t="n">
        <f aca="false">H802</f>
        <v>8</v>
      </c>
      <c r="R802" s="10" t="n">
        <f aca="false">I802</f>
        <v>6</v>
      </c>
      <c r="S802" s="10" t="n">
        <f aca="false">J802</f>
        <v>0.1</v>
      </c>
      <c r="T802" s="12" t="s">
        <v>3467</v>
      </c>
      <c r="U802" s="12" t="s">
        <v>3479</v>
      </c>
      <c r="V802" s="9" t="str">
        <f aca="false">U802&amp;" - "&amp;W802</f>
        <v>中网车标 - 通用</v>
      </c>
      <c r="W802" s="12" t="s">
        <v>76</v>
      </c>
      <c r="X802" s="12" t="s">
        <v>2587</v>
      </c>
      <c r="Y802" s="10" t="n">
        <f aca="false">G802</f>
        <v>10</v>
      </c>
      <c r="Z802" s="10" t="n">
        <f aca="false">H802</f>
        <v>8</v>
      </c>
      <c r="AA802" s="10" t="n">
        <f aca="false">I802</f>
        <v>6</v>
      </c>
      <c r="AB802" s="10" t="n">
        <f aca="false">J802</f>
        <v>0.1</v>
      </c>
      <c r="AC802" s="9" t="s">
        <v>3469</v>
      </c>
      <c r="AD802" s="9" t="s">
        <v>3480</v>
      </c>
      <c r="AE802" s="9" t="str">
        <f aca="false">IF($AK802=0,"",INDEX('Part types'!$T:$T,$AK802)&amp;"")</f>
        <v>All vehicles</v>
      </c>
      <c r="AF802" s="9" t="str">
        <f aca="false">IF($AK802=0,"",INDEX('Part types'!$U:$U,$AK802)&amp;"")</f>
        <v/>
      </c>
      <c r="AG802" s="9" t="str">
        <f aca="false">IF($AK802=0,"",INDEX('Part types'!$V:$V,$AK802)&amp;"")</f>
        <v>Estimate: size class XS</v>
      </c>
      <c r="AH802" s="9" t="str">
        <f aca="false">IF($AK802=0,"",INDEX('Part types'!$W:$W,$AK802)&amp;"")</f>
        <v/>
      </c>
      <c r="AI802" s="11" t="str">
        <f aca="false">IF($AK802=0,"",INDEX('Part types'!$X:$X,$AK802)&amp;"")</f>
        <v/>
      </c>
      <c r="AJ802" s="9" t="str">
        <f aca="false">IF($AK802=0,"",INDEX('Part types'!$Y:$Y,$AK802)&amp;"")</f>
        <v/>
      </c>
      <c r="AK802" s="9" t="n">
        <f aca="false">IFERROR(MATCH($AD802,'Part types'!$E:$E,0),0)</f>
        <v>568</v>
      </c>
    </row>
    <row r="803" customFormat="false" ht="15" hidden="false" customHeight="false" outlineLevel="0" collapsed="false">
      <c r="A803" s="9" t="s">
        <v>3481</v>
      </c>
      <c r="B803" s="9" t="s">
        <v>3482</v>
      </c>
      <c r="C803" s="9" t="s">
        <v>3482</v>
      </c>
      <c r="D803" s="9" t="str">
        <f aca="false">C803&amp;" - "&amp;E803</f>
        <v>Hood - Universal</v>
      </c>
      <c r="E803" s="9" t="s">
        <v>68</v>
      </c>
      <c r="F803" s="9" t="s">
        <v>3482</v>
      </c>
      <c r="G803" s="10" t="n">
        <f aca="false">IF($AK803=0,"",INDEX('Part types'!$P:$P,$AK803))</f>
        <v>140</v>
      </c>
      <c r="H803" s="10" t="n">
        <f aca="false">IF($AK803=0,"",INDEX('Part types'!$Q:$Q,$AK803))</f>
        <v>110</v>
      </c>
      <c r="I803" s="10" t="n">
        <f aca="false">IF($AK803=0,"",INDEX('Part types'!$R:$R,$AK803))</f>
        <v>15</v>
      </c>
      <c r="J803" s="10" t="n">
        <f aca="false">IF($AK803=0,"",INDEX('Part types'!$S:$S,$AK803))</f>
        <v>14</v>
      </c>
      <c r="K803" s="11" t="s">
        <v>3483</v>
      </c>
      <c r="L803" s="11" t="s">
        <v>3484</v>
      </c>
      <c r="M803" s="11" t="str">
        <f aca="false">L803&amp;" - "&amp;N803</f>
        <v>غطاء المحرك - عام</v>
      </c>
      <c r="N803" s="11" t="s">
        <v>72</v>
      </c>
      <c r="O803" s="11" t="s">
        <v>3484</v>
      </c>
      <c r="P803" s="10" t="n">
        <f aca="false">G803</f>
        <v>140</v>
      </c>
      <c r="Q803" s="10" t="n">
        <f aca="false">H803</f>
        <v>110</v>
      </c>
      <c r="R803" s="10" t="n">
        <f aca="false">I803</f>
        <v>15</v>
      </c>
      <c r="S803" s="10" t="n">
        <f aca="false">J803</f>
        <v>14</v>
      </c>
      <c r="T803" s="12" t="s">
        <v>3485</v>
      </c>
      <c r="U803" s="12" t="s">
        <v>3485</v>
      </c>
      <c r="V803" s="9" t="str">
        <f aca="false">U803&amp;" - "&amp;W803</f>
        <v>发动机盖 - 通用</v>
      </c>
      <c r="W803" s="12" t="s">
        <v>76</v>
      </c>
      <c r="X803" s="12" t="s">
        <v>3485</v>
      </c>
      <c r="Y803" s="10" t="n">
        <f aca="false">G803</f>
        <v>140</v>
      </c>
      <c r="Z803" s="10" t="n">
        <f aca="false">H803</f>
        <v>110</v>
      </c>
      <c r="AA803" s="10" t="n">
        <f aca="false">I803</f>
        <v>15</v>
      </c>
      <c r="AB803" s="10" t="n">
        <f aca="false">J803</f>
        <v>14</v>
      </c>
      <c r="AC803" s="9" t="s">
        <v>3486</v>
      </c>
      <c r="AD803" s="9" t="s">
        <v>3487</v>
      </c>
      <c r="AE803" s="9" t="str">
        <f aca="false">IF($AK803=0,"",INDEX('Part types'!$T:$T,$AK803)&amp;"")</f>
        <v>All vehicles</v>
      </c>
      <c r="AF803" s="9" t="str">
        <f aca="false">IF($AK803=0,"",INDEX('Part types'!$U:$U,$AK803)&amp;"")</f>
        <v>Oversized (over 120 cm)</v>
      </c>
      <c r="AG803" s="9" t="str">
        <f aca="false">IF($AK803=0,"",INDEX('Part types'!$V:$V,$AK803)&amp;"")</f>
        <v>Estimate: item-specific</v>
      </c>
      <c r="AH803" s="9" t="str">
        <f aca="false">IF($AK803=0,"",INDEX('Part types'!$W:$W,$AK803)&amp;"")</f>
        <v>Bonnet</v>
      </c>
      <c r="AI803" s="11" t="str">
        <f aca="false">IF($AK803=0,"",INDEX('Part types'!$X:$X,$AK803)&amp;"")</f>
        <v>كبوت</v>
      </c>
      <c r="AJ803" s="9" t="str">
        <f aca="false">IF($AK803=0,"",INDEX('Part types'!$Y:$Y,$AK803)&amp;"")</f>
        <v/>
      </c>
      <c r="AK803" s="9" t="n">
        <f aca="false">IFERROR(MATCH($AD803,'Part types'!$E:$E,0),0)</f>
        <v>569</v>
      </c>
    </row>
    <row r="804" customFormat="false" ht="15" hidden="false" customHeight="false" outlineLevel="0" collapsed="false">
      <c r="A804" s="9" t="s">
        <v>3488</v>
      </c>
      <c r="B804" s="9" t="s">
        <v>3482</v>
      </c>
      <c r="C804" s="9" t="s">
        <v>3489</v>
      </c>
      <c r="D804" s="9" t="str">
        <f aca="false">C804&amp;" - "&amp;E804</f>
        <v>Hood Hinge - Left</v>
      </c>
      <c r="E804" s="9" t="s">
        <v>218</v>
      </c>
      <c r="F804" s="9" t="s">
        <v>3482</v>
      </c>
      <c r="G804" s="10" t="n">
        <f aca="false">IF($AK804=0,"",INDEX('Part types'!$P:$P,$AK804))</f>
        <v>15</v>
      </c>
      <c r="H804" s="10" t="n">
        <f aca="false">IF($AK804=0,"",INDEX('Part types'!$Q:$Q,$AK804))</f>
        <v>10</v>
      </c>
      <c r="I804" s="10" t="n">
        <f aca="false">IF($AK804=0,"",INDEX('Part types'!$R:$R,$AK804))</f>
        <v>8</v>
      </c>
      <c r="J804" s="10" t="n">
        <f aca="false">IF($AK804=0,"",INDEX('Part types'!$S:$S,$AK804))</f>
        <v>0.3</v>
      </c>
      <c r="K804" s="11" t="s">
        <v>3483</v>
      </c>
      <c r="L804" s="11" t="s">
        <v>3490</v>
      </c>
      <c r="M804" s="11" t="str">
        <f aca="false">L804&amp;" - "&amp;N804</f>
        <v>مفصلة الكبوت - يسار</v>
      </c>
      <c r="N804" s="11" t="s">
        <v>220</v>
      </c>
      <c r="O804" s="11" t="s">
        <v>3484</v>
      </c>
      <c r="P804" s="10" t="n">
        <f aca="false">G804</f>
        <v>15</v>
      </c>
      <c r="Q804" s="10" t="n">
        <f aca="false">H804</f>
        <v>10</v>
      </c>
      <c r="R804" s="10" t="n">
        <f aca="false">I804</f>
        <v>8</v>
      </c>
      <c r="S804" s="10" t="n">
        <f aca="false">J804</f>
        <v>0.3</v>
      </c>
      <c r="T804" s="12" t="s">
        <v>3485</v>
      </c>
      <c r="U804" s="12" t="s">
        <v>3491</v>
      </c>
      <c r="V804" s="9" t="str">
        <f aca="false">U804&amp;" - "&amp;W804</f>
        <v>发动机盖铰链 - 左侧</v>
      </c>
      <c r="W804" s="12" t="s">
        <v>222</v>
      </c>
      <c r="X804" s="12" t="s">
        <v>3485</v>
      </c>
      <c r="Y804" s="10" t="n">
        <f aca="false">G804</f>
        <v>15</v>
      </c>
      <c r="Z804" s="10" t="n">
        <f aca="false">H804</f>
        <v>10</v>
      </c>
      <c r="AA804" s="10" t="n">
        <f aca="false">I804</f>
        <v>8</v>
      </c>
      <c r="AB804" s="10" t="n">
        <f aca="false">J804</f>
        <v>0.3</v>
      </c>
      <c r="AC804" s="9" t="s">
        <v>3486</v>
      </c>
      <c r="AD804" s="9" t="s">
        <v>3492</v>
      </c>
      <c r="AE804" s="9" t="str">
        <f aca="false">IF($AK804=0,"",INDEX('Part types'!$T:$T,$AK804)&amp;"")</f>
        <v>All vehicles</v>
      </c>
      <c r="AF804" s="9" t="str">
        <f aca="false">IF($AK804=0,"",INDEX('Part types'!$U:$U,$AK804)&amp;"")</f>
        <v/>
      </c>
      <c r="AG804" s="9" t="str">
        <f aca="false">IF($AK804=0,"",INDEX('Part types'!$V:$V,$AK804)&amp;"")</f>
        <v>Estimate: size class S</v>
      </c>
      <c r="AH804" s="9" t="str">
        <f aca="false">IF($AK804=0,"",INDEX('Part types'!$W:$W,$AK804)&amp;"")</f>
        <v/>
      </c>
      <c r="AI804" s="11" t="str">
        <f aca="false">IF($AK804=0,"",INDEX('Part types'!$X:$X,$AK804)&amp;"")</f>
        <v/>
      </c>
      <c r="AJ804" s="9" t="str">
        <f aca="false">IF($AK804=0,"",INDEX('Part types'!$Y:$Y,$AK804)&amp;"")</f>
        <v/>
      </c>
      <c r="AK804" s="9" t="n">
        <f aca="false">IFERROR(MATCH($AD804,'Part types'!$E:$E,0),0)</f>
        <v>570</v>
      </c>
    </row>
    <row r="805" customFormat="false" ht="15" hidden="false" customHeight="false" outlineLevel="0" collapsed="false">
      <c r="A805" s="9" t="s">
        <v>3493</v>
      </c>
      <c r="B805" s="9" t="s">
        <v>3482</v>
      </c>
      <c r="C805" s="9" t="s">
        <v>3489</v>
      </c>
      <c r="D805" s="9" t="str">
        <f aca="false">C805&amp;" - "&amp;E805</f>
        <v>Hood Hinge - Right</v>
      </c>
      <c r="E805" s="9" t="s">
        <v>225</v>
      </c>
      <c r="F805" s="9" t="s">
        <v>3482</v>
      </c>
      <c r="G805" s="10" t="n">
        <f aca="false">IF($AK805=0,"",INDEX('Part types'!$P:$P,$AK805))</f>
        <v>15</v>
      </c>
      <c r="H805" s="10" t="n">
        <f aca="false">IF($AK805=0,"",INDEX('Part types'!$Q:$Q,$AK805))</f>
        <v>10</v>
      </c>
      <c r="I805" s="10" t="n">
        <f aca="false">IF($AK805=0,"",INDEX('Part types'!$R:$R,$AK805))</f>
        <v>8</v>
      </c>
      <c r="J805" s="10" t="n">
        <f aca="false">IF($AK805=0,"",INDEX('Part types'!$S:$S,$AK805))</f>
        <v>0.3</v>
      </c>
      <c r="K805" s="11" t="s">
        <v>3483</v>
      </c>
      <c r="L805" s="11" t="s">
        <v>3490</v>
      </c>
      <c r="M805" s="11" t="str">
        <f aca="false">L805&amp;" - "&amp;N805</f>
        <v>مفصلة الكبوت - يمين</v>
      </c>
      <c r="N805" s="11" t="s">
        <v>226</v>
      </c>
      <c r="O805" s="11" t="s">
        <v>3484</v>
      </c>
      <c r="P805" s="10" t="n">
        <f aca="false">G805</f>
        <v>15</v>
      </c>
      <c r="Q805" s="10" t="n">
        <f aca="false">H805</f>
        <v>10</v>
      </c>
      <c r="R805" s="10" t="n">
        <f aca="false">I805</f>
        <v>8</v>
      </c>
      <c r="S805" s="10" t="n">
        <f aca="false">J805</f>
        <v>0.3</v>
      </c>
      <c r="T805" s="12" t="s">
        <v>3485</v>
      </c>
      <c r="U805" s="12" t="s">
        <v>3491</v>
      </c>
      <c r="V805" s="9" t="str">
        <f aca="false">U805&amp;" - "&amp;W805</f>
        <v>发动机盖铰链 - 右侧</v>
      </c>
      <c r="W805" s="12" t="s">
        <v>227</v>
      </c>
      <c r="X805" s="12" t="s">
        <v>3485</v>
      </c>
      <c r="Y805" s="10" t="n">
        <f aca="false">G805</f>
        <v>15</v>
      </c>
      <c r="Z805" s="10" t="n">
        <f aca="false">H805</f>
        <v>10</v>
      </c>
      <c r="AA805" s="10" t="n">
        <f aca="false">I805</f>
        <v>8</v>
      </c>
      <c r="AB805" s="10" t="n">
        <f aca="false">J805</f>
        <v>0.3</v>
      </c>
      <c r="AC805" s="9" t="s">
        <v>3486</v>
      </c>
      <c r="AD805" s="9" t="s">
        <v>3492</v>
      </c>
      <c r="AE805" s="9" t="str">
        <f aca="false">IF($AK805=0,"",INDEX('Part types'!$T:$T,$AK805)&amp;"")</f>
        <v>All vehicles</v>
      </c>
      <c r="AF805" s="9" t="str">
        <f aca="false">IF($AK805=0,"",INDEX('Part types'!$U:$U,$AK805)&amp;"")</f>
        <v/>
      </c>
      <c r="AG805" s="9" t="str">
        <f aca="false">IF($AK805=0,"",INDEX('Part types'!$V:$V,$AK805)&amp;"")</f>
        <v>Estimate: size class S</v>
      </c>
      <c r="AH805" s="9" t="str">
        <f aca="false">IF($AK805=0,"",INDEX('Part types'!$W:$W,$AK805)&amp;"")</f>
        <v/>
      </c>
      <c r="AI805" s="11" t="str">
        <f aca="false">IF($AK805=0,"",INDEX('Part types'!$X:$X,$AK805)&amp;"")</f>
        <v/>
      </c>
      <c r="AJ805" s="9" t="str">
        <f aca="false">IF($AK805=0,"",INDEX('Part types'!$Y:$Y,$AK805)&amp;"")</f>
        <v/>
      </c>
      <c r="AK805" s="9" t="n">
        <f aca="false">IFERROR(MATCH($AD805,'Part types'!$E:$E,0),0)</f>
        <v>570</v>
      </c>
    </row>
    <row r="806" customFormat="false" ht="15" hidden="false" customHeight="false" outlineLevel="0" collapsed="false">
      <c r="A806" s="9" t="s">
        <v>3494</v>
      </c>
      <c r="B806" s="9" t="s">
        <v>3482</v>
      </c>
      <c r="C806" s="9" t="s">
        <v>3495</v>
      </c>
      <c r="D806" s="9" t="str">
        <f aca="false">C806&amp;" - "&amp;E806</f>
        <v>Hood Latch - Universal</v>
      </c>
      <c r="E806" s="9" t="s">
        <v>68</v>
      </c>
      <c r="F806" s="9" t="s">
        <v>2583</v>
      </c>
      <c r="G806" s="10" t="n">
        <f aca="false">IF($AK806=0,"",INDEX('Part types'!$P:$P,$AK806))</f>
        <v>15</v>
      </c>
      <c r="H806" s="10" t="n">
        <f aca="false">IF($AK806=0,"",INDEX('Part types'!$Q:$Q,$AK806))</f>
        <v>10</v>
      </c>
      <c r="I806" s="10" t="n">
        <f aca="false">IF($AK806=0,"",INDEX('Part types'!$R:$R,$AK806))</f>
        <v>8</v>
      </c>
      <c r="J806" s="10" t="n">
        <f aca="false">IF($AK806=0,"",INDEX('Part types'!$S:$S,$AK806))</f>
        <v>0.3</v>
      </c>
      <c r="K806" s="11" t="s">
        <v>3483</v>
      </c>
      <c r="L806" s="11" t="s">
        <v>3496</v>
      </c>
      <c r="M806" s="11" t="str">
        <f aca="false">L806&amp;" - "&amp;N806</f>
        <v>قفل الكبوت - عام</v>
      </c>
      <c r="N806" s="11" t="s">
        <v>72</v>
      </c>
      <c r="O806" s="11" t="s">
        <v>2585</v>
      </c>
      <c r="P806" s="10" t="n">
        <f aca="false">G806</f>
        <v>15</v>
      </c>
      <c r="Q806" s="10" t="n">
        <f aca="false">H806</f>
        <v>10</v>
      </c>
      <c r="R806" s="10" t="n">
        <f aca="false">I806</f>
        <v>8</v>
      </c>
      <c r="S806" s="10" t="n">
        <f aca="false">J806</f>
        <v>0.3</v>
      </c>
      <c r="T806" s="12" t="s">
        <v>3485</v>
      </c>
      <c r="U806" s="12" t="s">
        <v>3497</v>
      </c>
      <c r="V806" s="9" t="str">
        <f aca="false">U806&amp;" - "&amp;W806</f>
        <v>发动机盖锁 - 通用</v>
      </c>
      <c r="W806" s="12" t="s">
        <v>76</v>
      </c>
      <c r="X806" s="12" t="s">
        <v>2587</v>
      </c>
      <c r="Y806" s="10" t="n">
        <f aca="false">G806</f>
        <v>15</v>
      </c>
      <c r="Z806" s="10" t="n">
        <f aca="false">H806</f>
        <v>10</v>
      </c>
      <c r="AA806" s="10" t="n">
        <f aca="false">I806</f>
        <v>8</v>
      </c>
      <c r="AB806" s="10" t="n">
        <f aca="false">J806</f>
        <v>0.3</v>
      </c>
      <c r="AC806" s="9" t="s">
        <v>3486</v>
      </c>
      <c r="AD806" s="9" t="s">
        <v>3498</v>
      </c>
      <c r="AE806" s="9" t="str">
        <f aca="false">IF($AK806=0,"",INDEX('Part types'!$T:$T,$AK806)&amp;"")</f>
        <v>All vehicles</v>
      </c>
      <c r="AF806" s="9" t="str">
        <f aca="false">IF($AK806=0,"",INDEX('Part types'!$U:$U,$AK806)&amp;"")</f>
        <v/>
      </c>
      <c r="AG806" s="9" t="str">
        <f aca="false">IF($AK806=0,"",INDEX('Part types'!$V:$V,$AK806)&amp;"")</f>
        <v>Estimate: size class S</v>
      </c>
      <c r="AH806" s="9" t="str">
        <f aca="false">IF($AK806=0,"",INDEX('Part types'!$W:$W,$AK806)&amp;"")</f>
        <v/>
      </c>
      <c r="AI806" s="11" t="str">
        <f aca="false">IF($AK806=0,"",INDEX('Part types'!$X:$X,$AK806)&amp;"")</f>
        <v/>
      </c>
      <c r="AJ806" s="9" t="str">
        <f aca="false">IF($AK806=0,"",INDEX('Part types'!$Y:$Y,$AK806)&amp;"")</f>
        <v/>
      </c>
      <c r="AK806" s="9" t="n">
        <f aca="false">IFERROR(MATCH($AD806,'Part types'!$E:$E,0),0)</f>
        <v>571</v>
      </c>
    </row>
    <row r="807" customFormat="false" ht="15" hidden="false" customHeight="false" outlineLevel="0" collapsed="false">
      <c r="A807" s="9" t="s">
        <v>3499</v>
      </c>
      <c r="B807" s="9" t="s">
        <v>3482</v>
      </c>
      <c r="C807" s="9" t="s">
        <v>3500</v>
      </c>
      <c r="D807" s="9" t="str">
        <f aca="false">C807&amp;" - "&amp;E807</f>
        <v>Hood Release Cable - Universal</v>
      </c>
      <c r="E807" s="9" t="s">
        <v>68</v>
      </c>
      <c r="F807" s="9" t="s">
        <v>69</v>
      </c>
      <c r="G807" s="10" t="n">
        <f aca="false">IF($AK807=0,"",INDEX('Part types'!$P:$P,$AK807))</f>
        <v>25</v>
      </c>
      <c r="H807" s="10" t="n">
        <f aca="false">IF($AK807=0,"",INDEX('Part types'!$Q:$Q,$AK807))</f>
        <v>15</v>
      </c>
      <c r="I807" s="10" t="n">
        <f aca="false">IF($AK807=0,"",INDEX('Part types'!$R:$R,$AK807))</f>
        <v>10</v>
      </c>
      <c r="J807" s="10" t="n">
        <f aca="false">IF($AK807=0,"",INDEX('Part types'!$S:$S,$AK807))</f>
        <v>0.9</v>
      </c>
      <c r="K807" s="11" t="s">
        <v>3483</v>
      </c>
      <c r="L807" s="11" t="s">
        <v>3501</v>
      </c>
      <c r="M807" s="11" t="str">
        <f aca="false">L807&amp;" - "&amp;N807</f>
        <v>كابل فتح الكبوت - عام</v>
      </c>
      <c r="N807" s="11" t="s">
        <v>72</v>
      </c>
      <c r="O807" s="11" t="s">
        <v>73</v>
      </c>
      <c r="P807" s="10" t="n">
        <f aca="false">G807</f>
        <v>25</v>
      </c>
      <c r="Q807" s="10" t="n">
        <f aca="false">H807</f>
        <v>15</v>
      </c>
      <c r="R807" s="10" t="n">
        <f aca="false">I807</f>
        <v>10</v>
      </c>
      <c r="S807" s="10" t="n">
        <f aca="false">J807</f>
        <v>0.9</v>
      </c>
      <c r="T807" s="12" t="s">
        <v>3485</v>
      </c>
      <c r="U807" s="12" t="s">
        <v>3502</v>
      </c>
      <c r="V807" s="9" t="str">
        <f aca="false">U807&amp;" - "&amp;W807</f>
        <v>发动机盖拉索 - 通用</v>
      </c>
      <c r="W807" s="12" t="s">
        <v>76</v>
      </c>
      <c r="X807" s="12" t="s">
        <v>77</v>
      </c>
      <c r="Y807" s="10" t="n">
        <f aca="false">G807</f>
        <v>25</v>
      </c>
      <c r="Z807" s="10" t="n">
        <f aca="false">H807</f>
        <v>15</v>
      </c>
      <c r="AA807" s="10" t="n">
        <f aca="false">I807</f>
        <v>10</v>
      </c>
      <c r="AB807" s="10" t="n">
        <f aca="false">J807</f>
        <v>0.9</v>
      </c>
      <c r="AC807" s="9" t="s">
        <v>3486</v>
      </c>
      <c r="AD807" s="9" t="s">
        <v>3503</v>
      </c>
      <c r="AE807" s="9" t="str">
        <f aca="false">IF($AK807=0,"",INDEX('Part types'!$T:$T,$AK807)&amp;"")</f>
        <v>All vehicles</v>
      </c>
      <c r="AF807" s="9" t="str">
        <f aca="false">IF($AK807=0,"",INDEX('Part types'!$U:$U,$AK807)&amp;"")</f>
        <v/>
      </c>
      <c r="AG807" s="9" t="str">
        <f aca="false">IF($AK807=0,"",INDEX('Part types'!$V:$V,$AK807)&amp;"")</f>
        <v>Estimate: size class M</v>
      </c>
      <c r="AH807" s="9" t="str">
        <f aca="false">IF($AK807=0,"",INDEX('Part types'!$W:$W,$AK807)&amp;"")</f>
        <v/>
      </c>
      <c r="AI807" s="11" t="str">
        <f aca="false">IF($AK807=0,"",INDEX('Part types'!$X:$X,$AK807)&amp;"")</f>
        <v/>
      </c>
      <c r="AJ807" s="9" t="str">
        <f aca="false">IF($AK807=0,"",INDEX('Part types'!$Y:$Y,$AK807)&amp;"")</f>
        <v/>
      </c>
      <c r="AK807" s="9" t="n">
        <f aca="false">IFERROR(MATCH($AD807,'Part types'!$E:$E,0),0)</f>
        <v>572</v>
      </c>
    </row>
    <row r="808" customFormat="false" ht="15" hidden="false" customHeight="false" outlineLevel="0" collapsed="false">
      <c r="A808" s="9" t="s">
        <v>3504</v>
      </c>
      <c r="B808" s="9" t="s">
        <v>3482</v>
      </c>
      <c r="C808" s="9" t="s">
        <v>3505</v>
      </c>
      <c r="D808" s="9" t="str">
        <f aca="false">C808&amp;" - "&amp;E808</f>
        <v>Hood Gas Strut - Left</v>
      </c>
      <c r="E808" s="9" t="s">
        <v>218</v>
      </c>
      <c r="F808" s="9" t="s">
        <v>3482</v>
      </c>
      <c r="G808" s="10" t="n">
        <f aca="false">IF($AK808=0,"",INDEX('Part types'!$P:$P,$AK808))</f>
        <v>25</v>
      </c>
      <c r="H808" s="10" t="n">
        <f aca="false">IF($AK808=0,"",INDEX('Part types'!$Q:$Q,$AK808))</f>
        <v>15</v>
      </c>
      <c r="I808" s="10" t="n">
        <f aca="false">IF($AK808=0,"",INDEX('Part types'!$R:$R,$AK808))</f>
        <v>10</v>
      </c>
      <c r="J808" s="10" t="n">
        <f aca="false">IF($AK808=0,"",INDEX('Part types'!$S:$S,$AK808))</f>
        <v>0.9</v>
      </c>
      <c r="K808" s="11" t="s">
        <v>3483</v>
      </c>
      <c r="L808" s="11" t="s">
        <v>3506</v>
      </c>
      <c r="M808" s="11" t="str">
        <f aca="false">L808&amp;" - "&amp;N808</f>
        <v>ذراع دعم الكبوت - يسار</v>
      </c>
      <c r="N808" s="11" t="s">
        <v>220</v>
      </c>
      <c r="O808" s="11" t="s">
        <v>3484</v>
      </c>
      <c r="P808" s="10" t="n">
        <f aca="false">G808</f>
        <v>25</v>
      </c>
      <c r="Q808" s="10" t="n">
        <f aca="false">H808</f>
        <v>15</v>
      </c>
      <c r="R808" s="10" t="n">
        <f aca="false">I808</f>
        <v>10</v>
      </c>
      <c r="S808" s="10" t="n">
        <f aca="false">J808</f>
        <v>0.9</v>
      </c>
      <c r="T808" s="12" t="s">
        <v>3485</v>
      </c>
      <c r="U808" s="12" t="s">
        <v>3507</v>
      </c>
      <c r="V808" s="9" t="str">
        <f aca="false">U808&amp;" - "&amp;W808</f>
        <v>发动机盖支撑杆 - 左侧</v>
      </c>
      <c r="W808" s="12" t="s">
        <v>222</v>
      </c>
      <c r="X808" s="12" t="s">
        <v>3485</v>
      </c>
      <c r="Y808" s="10" t="n">
        <f aca="false">G808</f>
        <v>25</v>
      </c>
      <c r="Z808" s="10" t="n">
        <f aca="false">H808</f>
        <v>15</v>
      </c>
      <c r="AA808" s="10" t="n">
        <f aca="false">I808</f>
        <v>10</v>
      </c>
      <c r="AB808" s="10" t="n">
        <f aca="false">J808</f>
        <v>0.9</v>
      </c>
      <c r="AC808" s="9" t="s">
        <v>3486</v>
      </c>
      <c r="AD808" s="9" t="s">
        <v>3508</v>
      </c>
      <c r="AE808" s="9" t="str">
        <f aca="false">IF($AK808=0,"",INDEX('Part types'!$T:$T,$AK808)&amp;"")</f>
        <v>All vehicles</v>
      </c>
      <c r="AF808" s="9" t="str">
        <f aca="false">IF($AK808=0,"",INDEX('Part types'!$U:$U,$AK808)&amp;"")</f>
        <v/>
      </c>
      <c r="AG808" s="9" t="str">
        <f aca="false">IF($AK808=0,"",INDEX('Part types'!$V:$V,$AK808)&amp;"")</f>
        <v>Estimate: size class M</v>
      </c>
      <c r="AH808" s="9" t="str">
        <f aca="false">IF($AK808=0,"",INDEX('Part types'!$W:$W,$AK808)&amp;"")</f>
        <v/>
      </c>
      <c r="AI808" s="11" t="str">
        <f aca="false">IF($AK808=0,"",INDEX('Part types'!$X:$X,$AK808)&amp;"")</f>
        <v>غاز</v>
      </c>
      <c r="AJ808" s="9" t="str">
        <f aca="false">IF($AK808=0,"",INDEX('Part types'!$Y:$Y,$AK808)&amp;"")</f>
        <v/>
      </c>
      <c r="AK808" s="9" t="n">
        <f aca="false">IFERROR(MATCH($AD808,'Part types'!$E:$E,0),0)</f>
        <v>573</v>
      </c>
    </row>
    <row r="809" customFormat="false" ht="15" hidden="false" customHeight="false" outlineLevel="0" collapsed="false">
      <c r="A809" s="9" t="s">
        <v>3509</v>
      </c>
      <c r="B809" s="9" t="s">
        <v>3482</v>
      </c>
      <c r="C809" s="9" t="s">
        <v>3505</v>
      </c>
      <c r="D809" s="9" t="str">
        <f aca="false">C809&amp;" - "&amp;E809</f>
        <v>Hood Gas Strut - Right</v>
      </c>
      <c r="E809" s="9" t="s">
        <v>225</v>
      </c>
      <c r="F809" s="9" t="s">
        <v>3482</v>
      </c>
      <c r="G809" s="10" t="n">
        <f aca="false">IF($AK809=0,"",INDEX('Part types'!$P:$P,$AK809))</f>
        <v>25</v>
      </c>
      <c r="H809" s="10" t="n">
        <f aca="false">IF($AK809=0,"",INDEX('Part types'!$Q:$Q,$AK809))</f>
        <v>15</v>
      </c>
      <c r="I809" s="10" t="n">
        <f aca="false">IF($AK809=0,"",INDEX('Part types'!$R:$R,$AK809))</f>
        <v>10</v>
      </c>
      <c r="J809" s="10" t="n">
        <f aca="false">IF($AK809=0,"",INDEX('Part types'!$S:$S,$AK809))</f>
        <v>0.9</v>
      </c>
      <c r="K809" s="11" t="s">
        <v>3483</v>
      </c>
      <c r="L809" s="11" t="s">
        <v>3506</v>
      </c>
      <c r="M809" s="11" t="str">
        <f aca="false">L809&amp;" - "&amp;N809</f>
        <v>ذراع دعم الكبوت - يمين</v>
      </c>
      <c r="N809" s="11" t="s">
        <v>226</v>
      </c>
      <c r="O809" s="11" t="s">
        <v>3484</v>
      </c>
      <c r="P809" s="10" t="n">
        <f aca="false">G809</f>
        <v>25</v>
      </c>
      <c r="Q809" s="10" t="n">
        <f aca="false">H809</f>
        <v>15</v>
      </c>
      <c r="R809" s="10" t="n">
        <f aca="false">I809</f>
        <v>10</v>
      </c>
      <c r="S809" s="10" t="n">
        <f aca="false">J809</f>
        <v>0.9</v>
      </c>
      <c r="T809" s="12" t="s">
        <v>3485</v>
      </c>
      <c r="U809" s="12" t="s">
        <v>3507</v>
      </c>
      <c r="V809" s="9" t="str">
        <f aca="false">U809&amp;" - "&amp;W809</f>
        <v>发动机盖支撑杆 - 右侧</v>
      </c>
      <c r="W809" s="12" t="s">
        <v>227</v>
      </c>
      <c r="X809" s="12" t="s">
        <v>3485</v>
      </c>
      <c r="Y809" s="10" t="n">
        <f aca="false">G809</f>
        <v>25</v>
      </c>
      <c r="Z809" s="10" t="n">
        <f aca="false">H809</f>
        <v>15</v>
      </c>
      <c r="AA809" s="10" t="n">
        <f aca="false">I809</f>
        <v>10</v>
      </c>
      <c r="AB809" s="10" t="n">
        <f aca="false">J809</f>
        <v>0.9</v>
      </c>
      <c r="AC809" s="9" t="s">
        <v>3486</v>
      </c>
      <c r="AD809" s="9" t="s">
        <v>3508</v>
      </c>
      <c r="AE809" s="9" t="str">
        <f aca="false">IF($AK809=0,"",INDEX('Part types'!$T:$T,$AK809)&amp;"")</f>
        <v>All vehicles</v>
      </c>
      <c r="AF809" s="9" t="str">
        <f aca="false">IF($AK809=0,"",INDEX('Part types'!$U:$U,$AK809)&amp;"")</f>
        <v/>
      </c>
      <c r="AG809" s="9" t="str">
        <f aca="false">IF($AK809=0,"",INDEX('Part types'!$V:$V,$AK809)&amp;"")</f>
        <v>Estimate: size class M</v>
      </c>
      <c r="AH809" s="9" t="str">
        <f aca="false">IF($AK809=0,"",INDEX('Part types'!$W:$W,$AK809)&amp;"")</f>
        <v/>
      </c>
      <c r="AI809" s="11" t="str">
        <f aca="false">IF($AK809=0,"",INDEX('Part types'!$X:$X,$AK809)&amp;"")</f>
        <v>غاز</v>
      </c>
      <c r="AJ809" s="9" t="str">
        <f aca="false">IF($AK809=0,"",INDEX('Part types'!$Y:$Y,$AK809)&amp;"")</f>
        <v/>
      </c>
      <c r="AK809" s="9" t="n">
        <f aca="false">IFERROR(MATCH($AD809,'Part types'!$E:$E,0),0)</f>
        <v>573</v>
      </c>
    </row>
    <row r="810" customFormat="false" ht="15" hidden="false" customHeight="false" outlineLevel="0" collapsed="false">
      <c r="A810" s="9" t="s">
        <v>3510</v>
      </c>
      <c r="B810" s="9" t="s">
        <v>3482</v>
      </c>
      <c r="C810" s="9" t="s">
        <v>3511</v>
      </c>
      <c r="D810" s="9" t="str">
        <f aca="false">C810&amp;" - "&amp;E810</f>
        <v>Hood Insulation Pad - Universal</v>
      </c>
      <c r="E810" s="9" t="s">
        <v>68</v>
      </c>
      <c r="F810" s="9" t="s">
        <v>3482</v>
      </c>
      <c r="G810" s="10" t="n">
        <f aca="false">IF($AK810=0,"",INDEX('Part types'!$P:$P,$AK810))</f>
        <v>50</v>
      </c>
      <c r="H810" s="10" t="n">
        <f aca="false">IF($AK810=0,"",INDEX('Part types'!$Q:$Q,$AK810))</f>
        <v>30</v>
      </c>
      <c r="I810" s="10" t="n">
        <f aca="false">IF($AK810=0,"",INDEX('Part types'!$R:$R,$AK810))</f>
        <v>20</v>
      </c>
      <c r="J810" s="10" t="n">
        <f aca="false">IF($AK810=0,"",INDEX('Part types'!$S:$S,$AK810))</f>
        <v>5</v>
      </c>
      <c r="K810" s="11" t="s">
        <v>3483</v>
      </c>
      <c r="L810" s="11" t="s">
        <v>3512</v>
      </c>
      <c r="M810" s="11" t="str">
        <f aca="false">L810&amp;" - "&amp;N810</f>
        <v>عازل الكبوت - عام</v>
      </c>
      <c r="N810" s="11" t="s">
        <v>72</v>
      </c>
      <c r="O810" s="11" t="s">
        <v>3484</v>
      </c>
      <c r="P810" s="10" t="n">
        <f aca="false">G810</f>
        <v>50</v>
      </c>
      <c r="Q810" s="10" t="n">
        <f aca="false">H810</f>
        <v>30</v>
      </c>
      <c r="R810" s="10" t="n">
        <f aca="false">I810</f>
        <v>20</v>
      </c>
      <c r="S810" s="10" t="n">
        <f aca="false">J810</f>
        <v>5</v>
      </c>
      <c r="T810" s="12" t="s">
        <v>3485</v>
      </c>
      <c r="U810" s="12" t="s">
        <v>3513</v>
      </c>
      <c r="V810" s="9" t="str">
        <f aca="false">U810&amp;" - "&amp;W810</f>
        <v>发动机盖隔音垫 - 通用</v>
      </c>
      <c r="W810" s="12" t="s">
        <v>76</v>
      </c>
      <c r="X810" s="12" t="s">
        <v>3485</v>
      </c>
      <c r="Y810" s="10" t="n">
        <f aca="false">G810</f>
        <v>50</v>
      </c>
      <c r="Z810" s="10" t="n">
        <f aca="false">H810</f>
        <v>30</v>
      </c>
      <c r="AA810" s="10" t="n">
        <f aca="false">I810</f>
        <v>20</v>
      </c>
      <c r="AB810" s="10" t="n">
        <f aca="false">J810</f>
        <v>5</v>
      </c>
      <c r="AC810" s="9" t="s">
        <v>3486</v>
      </c>
      <c r="AD810" s="9" t="s">
        <v>3514</v>
      </c>
      <c r="AE810" s="9" t="str">
        <f aca="false">IF($AK810=0,"",INDEX('Part types'!$T:$T,$AK810)&amp;"")</f>
        <v>All vehicles</v>
      </c>
      <c r="AF810" s="9" t="str">
        <f aca="false">IF($AK810=0,"",INDEX('Part types'!$U:$U,$AK810)&amp;"")</f>
        <v/>
      </c>
      <c r="AG810" s="9" t="str">
        <f aca="false">IF($AK810=0,"",INDEX('Part types'!$V:$V,$AK810)&amp;"")</f>
        <v>Estimate: size class L2</v>
      </c>
      <c r="AH810" s="9" t="str">
        <f aca="false">IF($AK810=0,"",INDEX('Part types'!$W:$W,$AK810)&amp;"")</f>
        <v/>
      </c>
      <c r="AI810" s="11" t="str">
        <f aca="false">IF($AK810=0,"",INDEX('Part types'!$X:$X,$AK810)&amp;"")</f>
        <v/>
      </c>
      <c r="AJ810" s="9" t="str">
        <f aca="false">IF($AK810=0,"",INDEX('Part types'!$Y:$Y,$AK810)&amp;"")</f>
        <v/>
      </c>
      <c r="AK810" s="9" t="n">
        <f aca="false">IFERROR(MATCH($AD810,'Part types'!$E:$E,0),0)</f>
        <v>574</v>
      </c>
    </row>
    <row r="811" customFormat="false" ht="15" hidden="false" customHeight="false" outlineLevel="0" collapsed="false">
      <c r="A811" s="9" t="s">
        <v>3515</v>
      </c>
      <c r="B811" s="9" t="s">
        <v>3516</v>
      </c>
      <c r="C811" s="9" t="s">
        <v>2779</v>
      </c>
      <c r="D811" s="9" t="str">
        <f aca="false">C811&amp;" - "&amp;E811</f>
        <v>Fender - Left</v>
      </c>
      <c r="E811" s="9" t="s">
        <v>218</v>
      </c>
      <c r="F811" s="9" t="s">
        <v>2779</v>
      </c>
      <c r="G811" s="10" t="n">
        <f aca="false">IF($AK811=0,"",INDEX('Part types'!$P:$P,$AK811))</f>
        <v>110</v>
      </c>
      <c r="H811" s="10" t="n">
        <f aca="false">IF($AK811=0,"",INDEX('Part types'!$Q:$Q,$AK811))</f>
        <v>50</v>
      </c>
      <c r="I811" s="10" t="n">
        <f aca="false">IF($AK811=0,"",INDEX('Part types'!$R:$R,$AK811))</f>
        <v>30</v>
      </c>
      <c r="J811" s="10" t="n">
        <f aca="false">IF($AK811=0,"",INDEX('Part types'!$S:$S,$AK811))</f>
        <v>4.5</v>
      </c>
      <c r="K811" s="11" t="s">
        <v>3517</v>
      </c>
      <c r="L811" s="11" t="s">
        <v>3518</v>
      </c>
      <c r="M811" s="11" t="str">
        <f aca="false">L811&amp;" - "&amp;N811</f>
        <v>رفرف - يسار</v>
      </c>
      <c r="N811" s="11" t="s">
        <v>220</v>
      </c>
      <c r="O811" s="11" t="s">
        <v>2781</v>
      </c>
      <c r="P811" s="10" t="n">
        <f aca="false">G811</f>
        <v>110</v>
      </c>
      <c r="Q811" s="10" t="n">
        <f aca="false">H811</f>
        <v>50</v>
      </c>
      <c r="R811" s="10" t="n">
        <f aca="false">I811</f>
        <v>30</v>
      </c>
      <c r="S811" s="10" t="n">
        <f aca="false">J811</f>
        <v>4.5</v>
      </c>
      <c r="T811" s="12" t="s">
        <v>2783</v>
      </c>
      <c r="U811" s="12" t="s">
        <v>2783</v>
      </c>
      <c r="V811" s="9" t="str">
        <f aca="false">U811&amp;" - "&amp;W811</f>
        <v>翼子板 - 左侧</v>
      </c>
      <c r="W811" s="12" t="s">
        <v>222</v>
      </c>
      <c r="X811" s="12" t="s">
        <v>2783</v>
      </c>
      <c r="Y811" s="10" t="n">
        <f aca="false">G811</f>
        <v>110</v>
      </c>
      <c r="Z811" s="10" t="n">
        <f aca="false">H811</f>
        <v>50</v>
      </c>
      <c r="AA811" s="10" t="n">
        <f aca="false">I811</f>
        <v>30</v>
      </c>
      <c r="AB811" s="10" t="n">
        <f aca="false">J811</f>
        <v>4.5</v>
      </c>
      <c r="AC811" s="9" t="s">
        <v>3519</v>
      </c>
      <c r="AD811" s="9" t="s">
        <v>3520</v>
      </c>
      <c r="AE811" s="9" t="str">
        <f aca="false">IF($AK811=0,"",INDEX('Part types'!$T:$T,$AK811)&amp;"")</f>
        <v>All vehicles</v>
      </c>
      <c r="AF811" s="9" t="str">
        <f aca="false">IF($AK811=0,"",INDEX('Part types'!$U:$U,$AK811)&amp;"")</f>
        <v/>
      </c>
      <c r="AG811" s="9" t="str">
        <f aca="false">IF($AK811=0,"",INDEX('Part types'!$V:$V,$AK811)&amp;"")</f>
        <v>Estimate: item-specific</v>
      </c>
      <c r="AH811" s="9" t="str">
        <f aca="false">IF($AK811=0,"",INDEX('Part types'!$W:$W,$AK811)&amp;"")</f>
        <v/>
      </c>
      <c r="AI811" s="11" t="str">
        <f aca="false">IF($AK811=0,"",INDEX('Part types'!$X:$X,$AK811)&amp;"")</f>
        <v>جناح</v>
      </c>
      <c r="AJ811" s="9" t="str">
        <f aca="false">IF($AK811=0,"",INDEX('Part types'!$Y:$Y,$AK811)&amp;"")</f>
        <v/>
      </c>
      <c r="AK811" s="9" t="n">
        <f aca="false">IFERROR(MATCH($AD811,'Part types'!$E:$E,0),0)</f>
        <v>575</v>
      </c>
    </row>
    <row r="812" customFormat="false" ht="15" hidden="false" customHeight="false" outlineLevel="0" collapsed="false">
      <c r="A812" s="9" t="s">
        <v>3521</v>
      </c>
      <c r="B812" s="9" t="s">
        <v>3516</v>
      </c>
      <c r="C812" s="9" t="s">
        <v>2779</v>
      </c>
      <c r="D812" s="9" t="str">
        <f aca="false">C812&amp;" - "&amp;E812</f>
        <v>Fender - Right</v>
      </c>
      <c r="E812" s="9" t="s">
        <v>225</v>
      </c>
      <c r="F812" s="9" t="s">
        <v>2779</v>
      </c>
      <c r="G812" s="10" t="n">
        <f aca="false">IF($AK812=0,"",INDEX('Part types'!$P:$P,$AK812))</f>
        <v>110</v>
      </c>
      <c r="H812" s="10" t="n">
        <f aca="false">IF($AK812=0,"",INDEX('Part types'!$Q:$Q,$AK812))</f>
        <v>50</v>
      </c>
      <c r="I812" s="10" t="n">
        <f aca="false">IF($AK812=0,"",INDEX('Part types'!$R:$R,$AK812))</f>
        <v>30</v>
      </c>
      <c r="J812" s="10" t="n">
        <f aca="false">IF($AK812=0,"",INDEX('Part types'!$S:$S,$AK812))</f>
        <v>4.5</v>
      </c>
      <c r="K812" s="11" t="s">
        <v>3517</v>
      </c>
      <c r="L812" s="11" t="s">
        <v>3518</v>
      </c>
      <c r="M812" s="11" t="str">
        <f aca="false">L812&amp;" - "&amp;N812</f>
        <v>رفرف - يمين</v>
      </c>
      <c r="N812" s="11" t="s">
        <v>226</v>
      </c>
      <c r="O812" s="11" t="s">
        <v>2781</v>
      </c>
      <c r="P812" s="10" t="n">
        <f aca="false">G812</f>
        <v>110</v>
      </c>
      <c r="Q812" s="10" t="n">
        <f aca="false">H812</f>
        <v>50</v>
      </c>
      <c r="R812" s="10" t="n">
        <f aca="false">I812</f>
        <v>30</v>
      </c>
      <c r="S812" s="10" t="n">
        <f aca="false">J812</f>
        <v>4.5</v>
      </c>
      <c r="T812" s="12" t="s">
        <v>2783</v>
      </c>
      <c r="U812" s="12" t="s">
        <v>2783</v>
      </c>
      <c r="V812" s="9" t="str">
        <f aca="false">U812&amp;" - "&amp;W812</f>
        <v>翼子板 - 右侧</v>
      </c>
      <c r="W812" s="12" t="s">
        <v>227</v>
      </c>
      <c r="X812" s="12" t="s">
        <v>2783</v>
      </c>
      <c r="Y812" s="10" t="n">
        <f aca="false">G812</f>
        <v>110</v>
      </c>
      <c r="Z812" s="10" t="n">
        <f aca="false">H812</f>
        <v>50</v>
      </c>
      <c r="AA812" s="10" t="n">
        <f aca="false">I812</f>
        <v>30</v>
      </c>
      <c r="AB812" s="10" t="n">
        <f aca="false">J812</f>
        <v>4.5</v>
      </c>
      <c r="AC812" s="9" t="s">
        <v>3519</v>
      </c>
      <c r="AD812" s="9" t="s">
        <v>3520</v>
      </c>
      <c r="AE812" s="9" t="str">
        <f aca="false">IF($AK812=0,"",INDEX('Part types'!$T:$T,$AK812)&amp;"")</f>
        <v>All vehicles</v>
      </c>
      <c r="AF812" s="9" t="str">
        <f aca="false">IF($AK812=0,"",INDEX('Part types'!$U:$U,$AK812)&amp;"")</f>
        <v/>
      </c>
      <c r="AG812" s="9" t="str">
        <f aca="false">IF($AK812=0,"",INDEX('Part types'!$V:$V,$AK812)&amp;"")</f>
        <v>Estimate: item-specific</v>
      </c>
      <c r="AH812" s="9" t="str">
        <f aca="false">IF($AK812=0,"",INDEX('Part types'!$W:$W,$AK812)&amp;"")</f>
        <v/>
      </c>
      <c r="AI812" s="11" t="str">
        <f aca="false">IF($AK812=0,"",INDEX('Part types'!$X:$X,$AK812)&amp;"")</f>
        <v>جناح</v>
      </c>
      <c r="AJ812" s="9" t="str">
        <f aca="false">IF($AK812=0,"",INDEX('Part types'!$Y:$Y,$AK812)&amp;"")</f>
        <v/>
      </c>
      <c r="AK812" s="9" t="n">
        <f aca="false">IFERROR(MATCH($AD812,'Part types'!$E:$E,0),0)</f>
        <v>575</v>
      </c>
    </row>
    <row r="813" customFormat="false" ht="15" hidden="false" customHeight="false" outlineLevel="0" collapsed="false">
      <c r="A813" s="9" t="s">
        <v>3522</v>
      </c>
      <c r="B813" s="9" t="s">
        <v>3516</v>
      </c>
      <c r="C813" s="9" t="s">
        <v>3523</v>
      </c>
      <c r="D813" s="9" t="str">
        <f aca="false">C813&amp;" - "&amp;E813</f>
        <v>Fender Liner - Front-Left</v>
      </c>
      <c r="E813" s="9" t="s">
        <v>1346</v>
      </c>
      <c r="F813" s="9" t="s">
        <v>3524</v>
      </c>
      <c r="G813" s="10" t="n">
        <f aca="false">IF($AK813=0,"",INDEX('Part types'!$P:$P,$AK813))</f>
        <v>50</v>
      </c>
      <c r="H813" s="10" t="n">
        <f aca="false">IF($AK813=0,"",INDEX('Part types'!$Q:$Q,$AK813))</f>
        <v>30</v>
      </c>
      <c r="I813" s="10" t="n">
        <f aca="false">IF($AK813=0,"",INDEX('Part types'!$R:$R,$AK813))</f>
        <v>20</v>
      </c>
      <c r="J813" s="10" t="n">
        <f aca="false">IF($AK813=0,"",INDEX('Part types'!$S:$S,$AK813))</f>
        <v>5</v>
      </c>
      <c r="K813" s="11" t="s">
        <v>3517</v>
      </c>
      <c r="L813" s="11" t="s">
        <v>3525</v>
      </c>
      <c r="M813" s="11" t="str">
        <f aca="false">L813&amp;" - "&amp;N813</f>
        <v>بطانة الرفرف - أمامي يسار</v>
      </c>
      <c r="N813" s="11" t="s">
        <v>1349</v>
      </c>
      <c r="O813" s="11" t="s">
        <v>3526</v>
      </c>
      <c r="P813" s="10" t="n">
        <f aca="false">G813</f>
        <v>50</v>
      </c>
      <c r="Q813" s="10" t="n">
        <f aca="false">H813</f>
        <v>30</v>
      </c>
      <c r="R813" s="10" t="n">
        <f aca="false">I813</f>
        <v>20</v>
      </c>
      <c r="S813" s="10" t="n">
        <f aca="false">J813</f>
        <v>5</v>
      </c>
      <c r="T813" s="12" t="s">
        <v>2783</v>
      </c>
      <c r="U813" s="12" t="s">
        <v>3527</v>
      </c>
      <c r="V813" s="9" t="str">
        <f aca="false">U813&amp;" - "&amp;W813</f>
        <v>轮罩内衬 - 前左</v>
      </c>
      <c r="W813" s="12" t="s">
        <v>1352</v>
      </c>
      <c r="X813" s="12" t="s">
        <v>3528</v>
      </c>
      <c r="Y813" s="10" t="n">
        <f aca="false">G813</f>
        <v>50</v>
      </c>
      <c r="Z813" s="10" t="n">
        <f aca="false">H813</f>
        <v>30</v>
      </c>
      <c r="AA813" s="10" t="n">
        <f aca="false">I813</f>
        <v>20</v>
      </c>
      <c r="AB813" s="10" t="n">
        <f aca="false">J813</f>
        <v>5</v>
      </c>
      <c r="AC813" s="9" t="s">
        <v>3519</v>
      </c>
      <c r="AD813" s="9" t="s">
        <v>3529</v>
      </c>
      <c r="AE813" s="9" t="str">
        <f aca="false">IF($AK813=0,"",INDEX('Part types'!$T:$T,$AK813)&amp;"")</f>
        <v>All vehicles</v>
      </c>
      <c r="AF813" s="9" t="str">
        <f aca="false">IF($AK813=0,"",INDEX('Part types'!$U:$U,$AK813)&amp;"")</f>
        <v/>
      </c>
      <c r="AG813" s="9" t="str">
        <f aca="false">IF($AK813=0,"",INDEX('Part types'!$V:$V,$AK813)&amp;"")</f>
        <v>Estimate: size class L2</v>
      </c>
      <c r="AH813" s="9" t="str">
        <f aca="false">IF($AK813=0,"",INDEX('Part types'!$W:$W,$AK813)&amp;"")</f>
        <v>Wheel Arch Liner</v>
      </c>
      <c r="AI813" s="11" t="str">
        <f aca="false">IF($AK813=0,"",INDEX('Part types'!$X:$X,$AK813)&amp;"")</f>
        <v>حماية قوس العجلة</v>
      </c>
      <c r="AJ813" s="9" t="str">
        <f aca="false">IF($AK813=0,"",INDEX('Part types'!$Y:$Y,$AK813)&amp;"")</f>
        <v/>
      </c>
      <c r="AK813" s="9" t="n">
        <f aca="false">IFERROR(MATCH($AD813,'Part types'!$E:$E,0),0)</f>
        <v>576</v>
      </c>
    </row>
    <row r="814" customFormat="false" ht="15" hidden="false" customHeight="false" outlineLevel="0" collapsed="false">
      <c r="A814" s="9" t="s">
        <v>3530</v>
      </c>
      <c r="B814" s="9" t="s">
        <v>3516</v>
      </c>
      <c r="C814" s="9" t="s">
        <v>3523</v>
      </c>
      <c r="D814" s="9" t="str">
        <f aca="false">C814&amp;" - "&amp;E814</f>
        <v>Fender Liner - Front-Right</v>
      </c>
      <c r="E814" s="9" t="s">
        <v>1356</v>
      </c>
      <c r="F814" s="9" t="s">
        <v>3524</v>
      </c>
      <c r="G814" s="10" t="n">
        <f aca="false">IF($AK814=0,"",INDEX('Part types'!$P:$P,$AK814))</f>
        <v>50</v>
      </c>
      <c r="H814" s="10" t="n">
        <f aca="false">IF($AK814=0,"",INDEX('Part types'!$Q:$Q,$AK814))</f>
        <v>30</v>
      </c>
      <c r="I814" s="10" t="n">
        <f aca="false">IF($AK814=0,"",INDEX('Part types'!$R:$R,$AK814))</f>
        <v>20</v>
      </c>
      <c r="J814" s="10" t="n">
        <f aca="false">IF($AK814=0,"",INDEX('Part types'!$S:$S,$AK814))</f>
        <v>5</v>
      </c>
      <c r="K814" s="11" t="s">
        <v>3517</v>
      </c>
      <c r="L814" s="11" t="s">
        <v>3525</v>
      </c>
      <c r="M814" s="11" t="str">
        <f aca="false">L814&amp;" - "&amp;N814</f>
        <v>بطانة الرفرف - أمامي يمين</v>
      </c>
      <c r="N814" s="11" t="s">
        <v>1357</v>
      </c>
      <c r="O814" s="11" t="s">
        <v>3526</v>
      </c>
      <c r="P814" s="10" t="n">
        <f aca="false">G814</f>
        <v>50</v>
      </c>
      <c r="Q814" s="10" t="n">
        <f aca="false">H814</f>
        <v>30</v>
      </c>
      <c r="R814" s="10" t="n">
        <f aca="false">I814</f>
        <v>20</v>
      </c>
      <c r="S814" s="10" t="n">
        <f aca="false">J814</f>
        <v>5</v>
      </c>
      <c r="T814" s="12" t="s">
        <v>2783</v>
      </c>
      <c r="U814" s="12" t="s">
        <v>3527</v>
      </c>
      <c r="V814" s="9" t="str">
        <f aca="false">U814&amp;" - "&amp;W814</f>
        <v>轮罩内衬 - 前右</v>
      </c>
      <c r="W814" s="12" t="s">
        <v>1358</v>
      </c>
      <c r="X814" s="12" t="s">
        <v>3528</v>
      </c>
      <c r="Y814" s="10" t="n">
        <f aca="false">G814</f>
        <v>50</v>
      </c>
      <c r="Z814" s="10" t="n">
        <f aca="false">H814</f>
        <v>30</v>
      </c>
      <c r="AA814" s="10" t="n">
        <f aca="false">I814</f>
        <v>20</v>
      </c>
      <c r="AB814" s="10" t="n">
        <f aca="false">J814</f>
        <v>5</v>
      </c>
      <c r="AC814" s="9" t="s">
        <v>3519</v>
      </c>
      <c r="AD814" s="9" t="s">
        <v>3529</v>
      </c>
      <c r="AE814" s="9" t="str">
        <f aca="false">IF($AK814=0,"",INDEX('Part types'!$T:$T,$AK814)&amp;"")</f>
        <v>All vehicles</v>
      </c>
      <c r="AF814" s="9" t="str">
        <f aca="false">IF($AK814=0,"",INDEX('Part types'!$U:$U,$AK814)&amp;"")</f>
        <v/>
      </c>
      <c r="AG814" s="9" t="str">
        <f aca="false">IF($AK814=0,"",INDEX('Part types'!$V:$V,$AK814)&amp;"")</f>
        <v>Estimate: size class L2</v>
      </c>
      <c r="AH814" s="9" t="str">
        <f aca="false">IF($AK814=0,"",INDEX('Part types'!$W:$W,$AK814)&amp;"")</f>
        <v>Wheel Arch Liner</v>
      </c>
      <c r="AI814" s="11" t="str">
        <f aca="false">IF($AK814=0,"",INDEX('Part types'!$X:$X,$AK814)&amp;"")</f>
        <v>حماية قوس العجلة</v>
      </c>
      <c r="AJ814" s="9" t="str">
        <f aca="false">IF($AK814=0,"",INDEX('Part types'!$Y:$Y,$AK814)&amp;"")</f>
        <v/>
      </c>
      <c r="AK814" s="9" t="n">
        <f aca="false">IFERROR(MATCH($AD814,'Part types'!$E:$E,0),0)</f>
        <v>576</v>
      </c>
    </row>
    <row r="815" customFormat="false" ht="15" hidden="false" customHeight="false" outlineLevel="0" collapsed="false">
      <c r="A815" s="9" t="s">
        <v>3531</v>
      </c>
      <c r="B815" s="9" t="s">
        <v>3516</v>
      </c>
      <c r="C815" s="9" t="s">
        <v>3523</v>
      </c>
      <c r="D815" s="9" t="str">
        <f aca="false">C815&amp;" - "&amp;E815</f>
        <v>Fender Liner - Rear-Left</v>
      </c>
      <c r="E815" s="9" t="s">
        <v>1360</v>
      </c>
      <c r="F815" s="9" t="s">
        <v>3524</v>
      </c>
      <c r="G815" s="10" t="n">
        <f aca="false">IF($AK815=0,"",INDEX('Part types'!$P:$P,$AK815))</f>
        <v>50</v>
      </c>
      <c r="H815" s="10" t="n">
        <f aca="false">IF($AK815=0,"",INDEX('Part types'!$Q:$Q,$AK815))</f>
        <v>30</v>
      </c>
      <c r="I815" s="10" t="n">
        <f aca="false">IF($AK815=0,"",INDEX('Part types'!$R:$R,$AK815))</f>
        <v>20</v>
      </c>
      <c r="J815" s="10" t="n">
        <f aca="false">IF($AK815=0,"",INDEX('Part types'!$S:$S,$AK815))</f>
        <v>5</v>
      </c>
      <c r="K815" s="11" t="s">
        <v>3517</v>
      </c>
      <c r="L815" s="11" t="s">
        <v>3525</v>
      </c>
      <c r="M815" s="11" t="str">
        <f aca="false">L815&amp;" - "&amp;N815</f>
        <v>بطانة الرفرف - خلفي يسار</v>
      </c>
      <c r="N815" s="11" t="s">
        <v>1361</v>
      </c>
      <c r="O815" s="11" t="s">
        <v>3526</v>
      </c>
      <c r="P815" s="10" t="n">
        <f aca="false">G815</f>
        <v>50</v>
      </c>
      <c r="Q815" s="10" t="n">
        <f aca="false">H815</f>
        <v>30</v>
      </c>
      <c r="R815" s="10" t="n">
        <f aca="false">I815</f>
        <v>20</v>
      </c>
      <c r="S815" s="10" t="n">
        <f aca="false">J815</f>
        <v>5</v>
      </c>
      <c r="T815" s="12" t="s">
        <v>2783</v>
      </c>
      <c r="U815" s="12" t="s">
        <v>3527</v>
      </c>
      <c r="V815" s="9" t="str">
        <f aca="false">U815&amp;" - "&amp;W815</f>
        <v>轮罩内衬 - 后左</v>
      </c>
      <c r="W815" s="12" t="s">
        <v>1362</v>
      </c>
      <c r="X815" s="12" t="s">
        <v>3528</v>
      </c>
      <c r="Y815" s="10" t="n">
        <f aca="false">G815</f>
        <v>50</v>
      </c>
      <c r="Z815" s="10" t="n">
        <f aca="false">H815</f>
        <v>30</v>
      </c>
      <c r="AA815" s="10" t="n">
        <f aca="false">I815</f>
        <v>20</v>
      </c>
      <c r="AB815" s="10" t="n">
        <f aca="false">J815</f>
        <v>5</v>
      </c>
      <c r="AC815" s="9" t="s">
        <v>3519</v>
      </c>
      <c r="AD815" s="9" t="s">
        <v>3529</v>
      </c>
      <c r="AE815" s="9" t="str">
        <f aca="false">IF($AK815=0,"",INDEX('Part types'!$T:$T,$AK815)&amp;"")</f>
        <v>All vehicles</v>
      </c>
      <c r="AF815" s="9" t="str">
        <f aca="false">IF($AK815=0,"",INDEX('Part types'!$U:$U,$AK815)&amp;"")</f>
        <v/>
      </c>
      <c r="AG815" s="9" t="str">
        <f aca="false">IF($AK815=0,"",INDEX('Part types'!$V:$V,$AK815)&amp;"")</f>
        <v>Estimate: size class L2</v>
      </c>
      <c r="AH815" s="9" t="str">
        <f aca="false">IF($AK815=0,"",INDEX('Part types'!$W:$W,$AK815)&amp;"")</f>
        <v>Wheel Arch Liner</v>
      </c>
      <c r="AI815" s="11" t="str">
        <f aca="false">IF($AK815=0,"",INDEX('Part types'!$X:$X,$AK815)&amp;"")</f>
        <v>حماية قوس العجلة</v>
      </c>
      <c r="AJ815" s="9" t="str">
        <f aca="false">IF($AK815=0,"",INDEX('Part types'!$Y:$Y,$AK815)&amp;"")</f>
        <v/>
      </c>
      <c r="AK815" s="9" t="n">
        <f aca="false">IFERROR(MATCH($AD815,'Part types'!$E:$E,0),0)</f>
        <v>576</v>
      </c>
    </row>
    <row r="816" customFormat="false" ht="15" hidden="false" customHeight="false" outlineLevel="0" collapsed="false">
      <c r="A816" s="9" t="s">
        <v>3532</v>
      </c>
      <c r="B816" s="9" t="s">
        <v>3516</v>
      </c>
      <c r="C816" s="9" t="s">
        <v>3523</v>
      </c>
      <c r="D816" s="9" t="str">
        <f aca="false">C816&amp;" - "&amp;E816</f>
        <v>Fender Liner - Rear-Right</v>
      </c>
      <c r="E816" s="9" t="s">
        <v>1364</v>
      </c>
      <c r="F816" s="9" t="s">
        <v>3524</v>
      </c>
      <c r="G816" s="10" t="n">
        <f aca="false">IF($AK816=0,"",INDEX('Part types'!$P:$P,$AK816))</f>
        <v>50</v>
      </c>
      <c r="H816" s="10" t="n">
        <f aca="false">IF($AK816=0,"",INDEX('Part types'!$Q:$Q,$AK816))</f>
        <v>30</v>
      </c>
      <c r="I816" s="10" t="n">
        <f aca="false">IF($AK816=0,"",INDEX('Part types'!$R:$R,$AK816))</f>
        <v>20</v>
      </c>
      <c r="J816" s="10" t="n">
        <f aca="false">IF($AK816=0,"",INDEX('Part types'!$S:$S,$AK816))</f>
        <v>5</v>
      </c>
      <c r="K816" s="11" t="s">
        <v>3517</v>
      </c>
      <c r="L816" s="11" t="s">
        <v>3525</v>
      </c>
      <c r="M816" s="11" t="str">
        <f aca="false">L816&amp;" - "&amp;N816</f>
        <v>بطانة الرفرف - خلفي يمين</v>
      </c>
      <c r="N816" s="11" t="s">
        <v>1365</v>
      </c>
      <c r="O816" s="11" t="s">
        <v>3526</v>
      </c>
      <c r="P816" s="10" t="n">
        <f aca="false">G816</f>
        <v>50</v>
      </c>
      <c r="Q816" s="10" t="n">
        <f aca="false">H816</f>
        <v>30</v>
      </c>
      <c r="R816" s="10" t="n">
        <f aca="false">I816</f>
        <v>20</v>
      </c>
      <c r="S816" s="10" t="n">
        <f aca="false">J816</f>
        <v>5</v>
      </c>
      <c r="T816" s="12" t="s">
        <v>2783</v>
      </c>
      <c r="U816" s="12" t="s">
        <v>3527</v>
      </c>
      <c r="V816" s="9" t="str">
        <f aca="false">U816&amp;" - "&amp;W816</f>
        <v>轮罩内衬 - 后右</v>
      </c>
      <c r="W816" s="12" t="s">
        <v>1366</v>
      </c>
      <c r="X816" s="12" t="s">
        <v>3528</v>
      </c>
      <c r="Y816" s="10" t="n">
        <f aca="false">G816</f>
        <v>50</v>
      </c>
      <c r="Z816" s="10" t="n">
        <f aca="false">H816</f>
        <v>30</v>
      </c>
      <c r="AA816" s="10" t="n">
        <f aca="false">I816</f>
        <v>20</v>
      </c>
      <c r="AB816" s="10" t="n">
        <f aca="false">J816</f>
        <v>5</v>
      </c>
      <c r="AC816" s="9" t="s">
        <v>3519</v>
      </c>
      <c r="AD816" s="9" t="s">
        <v>3529</v>
      </c>
      <c r="AE816" s="9" t="str">
        <f aca="false">IF($AK816=0,"",INDEX('Part types'!$T:$T,$AK816)&amp;"")</f>
        <v>All vehicles</v>
      </c>
      <c r="AF816" s="9" t="str">
        <f aca="false">IF($AK816=0,"",INDEX('Part types'!$U:$U,$AK816)&amp;"")</f>
        <v/>
      </c>
      <c r="AG816" s="9" t="str">
        <f aca="false">IF($AK816=0,"",INDEX('Part types'!$V:$V,$AK816)&amp;"")</f>
        <v>Estimate: size class L2</v>
      </c>
      <c r="AH816" s="9" t="str">
        <f aca="false">IF($AK816=0,"",INDEX('Part types'!$W:$W,$AK816)&amp;"")</f>
        <v>Wheel Arch Liner</v>
      </c>
      <c r="AI816" s="11" t="str">
        <f aca="false">IF($AK816=0,"",INDEX('Part types'!$X:$X,$AK816)&amp;"")</f>
        <v>حماية قوس العجلة</v>
      </c>
      <c r="AJ816" s="9" t="str">
        <f aca="false">IF($AK816=0,"",INDEX('Part types'!$Y:$Y,$AK816)&amp;"")</f>
        <v/>
      </c>
      <c r="AK816" s="9" t="n">
        <f aca="false">IFERROR(MATCH($AD816,'Part types'!$E:$E,0),0)</f>
        <v>576</v>
      </c>
    </row>
    <row r="817" customFormat="false" ht="15" hidden="false" customHeight="false" outlineLevel="0" collapsed="false">
      <c r="A817" s="9" t="s">
        <v>3533</v>
      </c>
      <c r="B817" s="9" t="s">
        <v>3516</v>
      </c>
      <c r="C817" s="9" t="s">
        <v>3534</v>
      </c>
      <c r="D817" s="9" t="str">
        <f aca="false">C817&amp;" - "&amp;E817</f>
        <v>Wheel Arch Trim - Front-Left</v>
      </c>
      <c r="E817" s="9" t="s">
        <v>1346</v>
      </c>
      <c r="F817" s="9" t="s">
        <v>3524</v>
      </c>
      <c r="G817" s="10" t="n">
        <f aca="false">IF($AK817=0,"",INDEX('Part types'!$P:$P,$AK817))</f>
        <v>40</v>
      </c>
      <c r="H817" s="10" t="n">
        <f aca="false">IF($AK817=0,"",INDEX('Part types'!$Q:$Q,$AK817))</f>
        <v>25</v>
      </c>
      <c r="I817" s="10" t="n">
        <f aca="false">IF($AK817=0,"",INDEX('Part types'!$R:$R,$AK817))</f>
        <v>15</v>
      </c>
      <c r="J817" s="10" t="n">
        <f aca="false">IF($AK817=0,"",INDEX('Part types'!$S:$S,$AK817))</f>
        <v>3</v>
      </c>
      <c r="K817" s="11" t="s">
        <v>3517</v>
      </c>
      <c r="L817" s="11" t="s">
        <v>3535</v>
      </c>
      <c r="M817" s="11" t="str">
        <f aca="false">L817&amp;" - "&amp;N817</f>
        <v>حواف قوس العجلة - أمامي يسار</v>
      </c>
      <c r="N817" s="11" t="s">
        <v>1349</v>
      </c>
      <c r="O817" s="11" t="s">
        <v>3526</v>
      </c>
      <c r="P817" s="10" t="n">
        <f aca="false">G817</f>
        <v>40</v>
      </c>
      <c r="Q817" s="10" t="n">
        <f aca="false">H817</f>
        <v>25</v>
      </c>
      <c r="R817" s="10" t="n">
        <f aca="false">I817</f>
        <v>15</v>
      </c>
      <c r="S817" s="10" t="n">
        <f aca="false">J817</f>
        <v>3</v>
      </c>
      <c r="T817" s="12" t="s">
        <v>2783</v>
      </c>
      <c r="U817" s="12" t="s">
        <v>3536</v>
      </c>
      <c r="V817" s="9" t="str">
        <f aca="false">U817&amp;" - "&amp;W817</f>
        <v>轮眉 - 前左</v>
      </c>
      <c r="W817" s="12" t="s">
        <v>1352</v>
      </c>
      <c r="X817" s="12" t="s">
        <v>3528</v>
      </c>
      <c r="Y817" s="10" t="n">
        <f aca="false">G817</f>
        <v>40</v>
      </c>
      <c r="Z817" s="10" t="n">
        <f aca="false">H817</f>
        <v>25</v>
      </c>
      <c r="AA817" s="10" t="n">
        <f aca="false">I817</f>
        <v>15</v>
      </c>
      <c r="AB817" s="10" t="n">
        <f aca="false">J817</f>
        <v>3</v>
      </c>
      <c r="AC817" s="9" t="s">
        <v>3519</v>
      </c>
      <c r="AD817" s="9" t="s">
        <v>3537</v>
      </c>
      <c r="AE817" s="9" t="str">
        <f aca="false">IF($AK817=0,"",INDEX('Part types'!$T:$T,$AK817)&amp;"")</f>
        <v>All vehicles</v>
      </c>
      <c r="AF817" s="9" t="str">
        <f aca="false">IF($AK817=0,"",INDEX('Part types'!$U:$U,$AK817)&amp;"")</f>
        <v/>
      </c>
      <c r="AG817" s="9" t="str">
        <f aca="false">IF($AK817=0,"",INDEX('Part types'!$V:$V,$AK817)&amp;"")</f>
        <v>Estimate: size class L</v>
      </c>
      <c r="AH817" s="9" t="str">
        <f aca="false">IF($AK817=0,"",INDEX('Part types'!$W:$W,$AK817)&amp;"")</f>
        <v>Fender Flare</v>
      </c>
      <c r="AI817" s="11" t="str">
        <f aca="false">IF($AK817=0,"",INDEX('Part types'!$X:$X,$AK817)&amp;"")</f>
        <v/>
      </c>
      <c r="AJ817" s="9" t="str">
        <f aca="false">IF($AK817=0,"",INDEX('Part types'!$Y:$Y,$AK817)&amp;"")</f>
        <v/>
      </c>
      <c r="AK817" s="9" t="n">
        <f aca="false">IFERROR(MATCH($AD817,'Part types'!$E:$E,0),0)</f>
        <v>577</v>
      </c>
    </row>
    <row r="818" customFormat="false" ht="15" hidden="false" customHeight="false" outlineLevel="0" collapsed="false">
      <c r="A818" s="9" t="s">
        <v>3538</v>
      </c>
      <c r="B818" s="9" t="s">
        <v>3516</v>
      </c>
      <c r="C818" s="9" t="s">
        <v>3534</v>
      </c>
      <c r="D818" s="9" t="str">
        <f aca="false">C818&amp;" - "&amp;E818</f>
        <v>Wheel Arch Trim - Front-Right</v>
      </c>
      <c r="E818" s="9" t="s">
        <v>1356</v>
      </c>
      <c r="F818" s="9" t="s">
        <v>3524</v>
      </c>
      <c r="G818" s="10" t="n">
        <f aca="false">IF($AK818=0,"",INDEX('Part types'!$P:$P,$AK818))</f>
        <v>40</v>
      </c>
      <c r="H818" s="10" t="n">
        <f aca="false">IF($AK818=0,"",INDEX('Part types'!$Q:$Q,$AK818))</f>
        <v>25</v>
      </c>
      <c r="I818" s="10" t="n">
        <f aca="false">IF($AK818=0,"",INDEX('Part types'!$R:$R,$AK818))</f>
        <v>15</v>
      </c>
      <c r="J818" s="10" t="n">
        <f aca="false">IF($AK818=0,"",INDEX('Part types'!$S:$S,$AK818))</f>
        <v>3</v>
      </c>
      <c r="K818" s="11" t="s">
        <v>3517</v>
      </c>
      <c r="L818" s="11" t="s">
        <v>3535</v>
      </c>
      <c r="M818" s="11" t="str">
        <f aca="false">L818&amp;" - "&amp;N818</f>
        <v>حواف قوس العجلة - أمامي يمين</v>
      </c>
      <c r="N818" s="11" t="s">
        <v>1357</v>
      </c>
      <c r="O818" s="11" t="s">
        <v>3526</v>
      </c>
      <c r="P818" s="10" t="n">
        <f aca="false">G818</f>
        <v>40</v>
      </c>
      <c r="Q818" s="10" t="n">
        <f aca="false">H818</f>
        <v>25</v>
      </c>
      <c r="R818" s="10" t="n">
        <f aca="false">I818</f>
        <v>15</v>
      </c>
      <c r="S818" s="10" t="n">
        <f aca="false">J818</f>
        <v>3</v>
      </c>
      <c r="T818" s="12" t="s">
        <v>2783</v>
      </c>
      <c r="U818" s="12" t="s">
        <v>3536</v>
      </c>
      <c r="V818" s="9" t="str">
        <f aca="false">U818&amp;" - "&amp;W818</f>
        <v>轮眉 - 前右</v>
      </c>
      <c r="W818" s="12" t="s">
        <v>1358</v>
      </c>
      <c r="X818" s="12" t="s">
        <v>3528</v>
      </c>
      <c r="Y818" s="10" t="n">
        <f aca="false">G818</f>
        <v>40</v>
      </c>
      <c r="Z818" s="10" t="n">
        <f aca="false">H818</f>
        <v>25</v>
      </c>
      <c r="AA818" s="10" t="n">
        <f aca="false">I818</f>
        <v>15</v>
      </c>
      <c r="AB818" s="10" t="n">
        <f aca="false">J818</f>
        <v>3</v>
      </c>
      <c r="AC818" s="9" t="s">
        <v>3519</v>
      </c>
      <c r="AD818" s="9" t="s">
        <v>3537</v>
      </c>
      <c r="AE818" s="9" t="str">
        <f aca="false">IF($AK818=0,"",INDEX('Part types'!$T:$T,$AK818)&amp;"")</f>
        <v>All vehicles</v>
      </c>
      <c r="AF818" s="9" t="str">
        <f aca="false">IF($AK818=0,"",INDEX('Part types'!$U:$U,$AK818)&amp;"")</f>
        <v/>
      </c>
      <c r="AG818" s="9" t="str">
        <f aca="false">IF($AK818=0,"",INDEX('Part types'!$V:$V,$AK818)&amp;"")</f>
        <v>Estimate: size class L</v>
      </c>
      <c r="AH818" s="9" t="str">
        <f aca="false">IF($AK818=0,"",INDEX('Part types'!$W:$W,$AK818)&amp;"")</f>
        <v>Fender Flare</v>
      </c>
      <c r="AI818" s="11" t="str">
        <f aca="false">IF($AK818=0,"",INDEX('Part types'!$X:$X,$AK818)&amp;"")</f>
        <v/>
      </c>
      <c r="AJ818" s="9" t="str">
        <f aca="false">IF($AK818=0,"",INDEX('Part types'!$Y:$Y,$AK818)&amp;"")</f>
        <v/>
      </c>
      <c r="AK818" s="9" t="n">
        <f aca="false">IFERROR(MATCH($AD818,'Part types'!$E:$E,0),0)</f>
        <v>577</v>
      </c>
    </row>
    <row r="819" customFormat="false" ht="15" hidden="false" customHeight="false" outlineLevel="0" collapsed="false">
      <c r="A819" s="9" t="s">
        <v>3539</v>
      </c>
      <c r="B819" s="9" t="s">
        <v>3516</v>
      </c>
      <c r="C819" s="9" t="s">
        <v>3534</v>
      </c>
      <c r="D819" s="9" t="str">
        <f aca="false">C819&amp;" - "&amp;E819</f>
        <v>Wheel Arch Trim - Rear-Left</v>
      </c>
      <c r="E819" s="9" t="s">
        <v>1360</v>
      </c>
      <c r="F819" s="9" t="s">
        <v>3524</v>
      </c>
      <c r="G819" s="10" t="n">
        <f aca="false">IF($AK819=0,"",INDEX('Part types'!$P:$P,$AK819))</f>
        <v>40</v>
      </c>
      <c r="H819" s="10" t="n">
        <f aca="false">IF($AK819=0,"",INDEX('Part types'!$Q:$Q,$AK819))</f>
        <v>25</v>
      </c>
      <c r="I819" s="10" t="n">
        <f aca="false">IF($AK819=0,"",INDEX('Part types'!$R:$R,$AK819))</f>
        <v>15</v>
      </c>
      <c r="J819" s="10" t="n">
        <f aca="false">IF($AK819=0,"",INDEX('Part types'!$S:$S,$AK819))</f>
        <v>3</v>
      </c>
      <c r="K819" s="11" t="s">
        <v>3517</v>
      </c>
      <c r="L819" s="11" t="s">
        <v>3535</v>
      </c>
      <c r="M819" s="11" t="str">
        <f aca="false">L819&amp;" - "&amp;N819</f>
        <v>حواف قوس العجلة - خلفي يسار</v>
      </c>
      <c r="N819" s="11" t="s">
        <v>1361</v>
      </c>
      <c r="O819" s="11" t="s">
        <v>3526</v>
      </c>
      <c r="P819" s="10" t="n">
        <f aca="false">G819</f>
        <v>40</v>
      </c>
      <c r="Q819" s="10" t="n">
        <f aca="false">H819</f>
        <v>25</v>
      </c>
      <c r="R819" s="10" t="n">
        <f aca="false">I819</f>
        <v>15</v>
      </c>
      <c r="S819" s="10" t="n">
        <f aca="false">J819</f>
        <v>3</v>
      </c>
      <c r="T819" s="12" t="s">
        <v>2783</v>
      </c>
      <c r="U819" s="12" t="s">
        <v>3536</v>
      </c>
      <c r="V819" s="9" t="str">
        <f aca="false">U819&amp;" - "&amp;W819</f>
        <v>轮眉 - 后左</v>
      </c>
      <c r="W819" s="12" t="s">
        <v>1362</v>
      </c>
      <c r="X819" s="12" t="s">
        <v>3528</v>
      </c>
      <c r="Y819" s="10" t="n">
        <f aca="false">G819</f>
        <v>40</v>
      </c>
      <c r="Z819" s="10" t="n">
        <f aca="false">H819</f>
        <v>25</v>
      </c>
      <c r="AA819" s="10" t="n">
        <f aca="false">I819</f>
        <v>15</v>
      </c>
      <c r="AB819" s="10" t="n">
        <f aca="false">J819</f>
        <v>3</v>
      </c>
      <c r="AC819" s="9" t="s">
        <v>3519</v>
      </c>
      <c r="AD819" s="9" t="s">
        <v>3537</v>
      </c>
      <c r="AE819" s="9" t="str">
        <f aca="false">IF($AK819=0,"",INDEX('Part types'!$T:$T,$AK819)&amp;"")</f>
        <v>All vehicles</v>
      </c>
      <c r="AF819" s="9" t="str">
        <f aca="false">IF($AK819=0,"",INDEX('Part types'!$U:$U,$AK819)&amp;"")</f>
        <v/>
      </c>
      <c r="AG819" s="9" t="str">
        <f aca="false">IF($AK819=0,"",INDEX('Part types'!$V:$V,$AK819)&amp;"")</f>
        <v>Estimate: size class L</v>
      </c>
      <c r="AH819" s="9" t="str">
        <f aca="false">IF($AK819=0,"",INDEX('Part types'!$W:$W,$AK819)&amp;"")</f>
        <v>Fender Flare</v>
      </c>
      <c r="AI819" s="11" t="str">
        <f aca="false">IF($AK819=0,"",INDEX('Part types'!$X:$X,$AK819)&amp;"")</f>
        <v/>
      </c>
      <c r="AJ819" s="9" t="str">
        <f aca="false">IF($AK819=0,"",INDEX('Part types'!$Y:$Y,$AK819)&amp;"")</f>
        <v/>
      </c>
      <c r="AK819" s="9" t="n">
        <f aca="false">IFERROR(MATCH($AD819,'Part types'!$E:$E,0),0)</f>
        <v>577</v>
      </c>
    </row>
    <row r="820" customFormat="false" ht="15" hidden="false" customHeight="false" outlineLevel="0" collapsed="false">
      <c r="A820" s="9" t="s">
        <v>3540</v>
      </c>
      <c r="B820" s="9" t="s">
        <v>3516</v>
      </c>
      <c r="C820" s="9" t="s">
        <v>3534</v>
      </c>
      <c r="D820" s="9" t="str">
        <f aca="false">C820&amp;" - "&amp;E820</f>
        <v>Wheel Arch Trim - Rear-Right</v>
      </c>
      <c r="E820" s="9" t="s">
        <v>1364</v>
      </c>
      <c r="F820" s="9" t="s">
        <v>3524</v>
      </c>
      <c r="G820" s="10" t="n">
        <f aca="false">IF($AK820=0,"",INDEX('Part types'!$P:$P,$AK820))</f>
        <v>40</v>
      </c>
      <c r="H820" s="10" t="n">
        <f aca="false">IF($AK820=0,"",INDEX('Part types'!$Q:$Q,$AK820))</f>
        <v>25</v>
      </c>
      <c r="I820" s="10" t="n">
        <f aca="false">IF($AK820=0,"",INDEX('Part types'!$R:$R,$AK820))</f>
        <v>15</v>
      </c>
      <c r="J820" s="10" t="n">
        <f aca="false">IF($AK820=0,"",INDEX('Part types'!$S:$S,$AK820))</f>
        <v>3</v>
      </c>
      <c r="K820" s="11" t="s">
        <v>3517</v>
      </c>
      <c r="L820" s="11" t="s">
        <v>3535</v>
      </c>
      <c r="M820" s="11" t="str">
        <f aca="false">L820&amp;" - "&amp;N820</f>
        <v>حواف قوس العجلة - خلفي يمين</v>
      </c>
      <c r="N820" s="11" t="s">
        <v>1365</v>
      </c>
      <c r="O820" s="11" t="s">
        <v>3526</v>
      </c>
      <c r="P820" s="10" t="n">
        <f aca="false">G820</f>
        <v>40</v>
      </c>
      <c r="Q820" s="10" t="n">
        <f aca="false">H820</f>
        <v>25</v>
      </c>
      <c r="R820" s="10" t="n">
        <f aca="false">I820</f>
        <v>15</v>
      </c>
      <c r="S820" s="10" t="n">
        <f aca="false">J820</f>
        <v>3</v>
      </c>
      <c r="T820" s="12" t="s">
        <v>2783</v>
      </c>
      <c r="U820" s="12" t="s">
        <v>3536</v>
      </c>
      <c r="V820" s="9" t="str">
        <f aca="false">U820&amp;" - "&amp;W820</f>
        <v>轮眉 - 后右</v>
      </c>
      <c r="W820" s="12" t="s">
        <v>1366</v>
      </c>
      <c r="X820" s="12" t="s">
        <v>3528</v>
      </c>
      <c r="Y820" s="10" t="n">
        <f aca="false">G820</f>
        <v>40</v>
      </c>
      <c r="Z820" s="10" t="n">
        <f aca="false">H820</f>
        <v>25</v>
      </c>
      <c r="AA820" s="10" t="n">
        <f aca="false">I820</f>
        <v>15</v>
      </c>
      <c r="AB820" s="10" t="n">
        <f aca="false">J820</f>
        <v>3</v>
      </c>
      <c r="AC820" s="9" t="s">
        <v>3519</v>
      </c>
      <c r="AD820" s="9" t="s">
        <v>3537</v>
      </c>
      <c r="AE820" s="9" t="str">
        <f aca="false">IF($AK820=0,"",INDEX('Part types'!$T:$T,$AK820)&amp;"")</f>
        <v>All vehicles</v>
      </c>
      <c r="AF820" s="9" t="str">
        <f aca="false">IF($AK820=0,"",INDEX('Part types'!$U:$U,$AK820)&amp;"")</f>
        <v/>
      </c>
      <c r="AG820" s="9" t="str">
        <f aca="false">IF($AK820=0,"",INDEX('Part types'!$V:$V,$AK820)&amp;"")</f>
        <v>Estimate: size class L</v>
      </c>
      <c r="AH820" s="9" t="str">
        <f aca="false">IF($AK820=0,"",INDEX('Part types'!$W:$W,$AK820)&amp;"")</f>
        <v>Fender Flare</v>
      </c>
      <c r="AI820" s="11" t="str">
        <f aca="false">IF($AK820=0,"",INDEX('Part types'!$X:$X,$AK820)&amp;"")</f>
        <v/>
      </c>
      <c r="AJ820" s="9" t="str">
        <f aca="false">IF($AK820=0,"",INDEX('Part types'!$Y:$Y,$AK820)&amp;"")</f>
        <v/>
      </c>
      <c r="AK820" s="9" t="n">
        <f aca="false">IFERROR(MATCH($AD820,'Part types'!$E:$E,0),0)</f>
        <v>577</v>
      </c>
    </row>
    <row r="821" customFormat="false" ht="15" hidden="false" customHeight="false" outlineLevel="0" collapsed="false">
      <c r="A821" s="9" t="s">
        <v>3541</v>
      </c>
      <c r="B821" s="9" t="s">
        <v>3516</v>
      </c>
      <c r="C821" s="9" t="s">
        <v>3542</v>
      </c>
      <c r="D821" s="9" t="str">
        <f aca="false">C821&amp;" - "&amp;E821</f>
        <v>Mud Flap - Front-Left</v>
      </c>
      <c r="E821" s="9" t="s">
        <v>1346</v>
      </c>
      <c r="F821" s="9" t="s">
        <v>3524</v>
      </c>
      <c r="G821" s="10" t="n">
        <f aca="false">IF($AK821=0,"",INDEX('Part types'!$P:$P,$AK821))</f>
        <v>40</v>
      </c>
      <c r="H821" s="10" t="n">
        <f aca="false">IF($AK821=0,"",INDEX('Part types'!$Q:$Q,$AK821))</f>
        <v>25</v>
      </c>
      <c r="I821" s="10" t="n">
        <f aca="false">IF($AK821=0,"",INDEX('Part types'!$R:$R,$AK821))</f>
        <v>15</v>
      </c>
      <c r="J821" s="10" t="n">
        <f aca="false">IF($AK821=0,"",INDEX('Part types'!$S:$S,$AK821))</f>
        <v>3</v>
      </c>
      <c r="K821" s="11" t="s">
        <v>3517</v>
      </c>
      <c r="L821" s="11" t="s">
        <v>3543</v>
      </c>
      <c r="M821" s="11" t="str">
        <f aca="false">L821&amp;" - "&amp;N821</f>
        <v>واقي الطين - أمامي يسار</v>
      </c>
      <c r="N821" s="11" t="s">
        <v>1349</v>
      </c>
      <c r="O821" s="11" t="s">
        <v>3526</v>
      </c>
      <c r="P821" s="10" t="n">
        <f aca="false">G821</f>
        <v>40</v>
      </c>
      <c r="Q821" s="10" t="n">
        <f aca="false">H821</f>
        <v>25</v>
      </c>
      <c r="R821" s="10" t="n">
        <f aca="false">I821</f>
        <v>15</v>
      </c>
      <c r="S821" s="10" t="n">
        <f aca="false">J821</f>
        <v>3</v>
      </c>
      <c r="T821" s="12" t="s">
        <v>2783</v>
      </c>
      <c r="U821" s="12" t="s">
        <v>3544</v>
      </c>
      <c r="V821" s="9" t="str">
        <f aca="false">U821&amp;" - "&amp;W821</f>
        <v>挡泥板 - 前左</v>
      </c>
      <c r="W821" s="12" t="s">
        <v>1352</v>
      </c>
      <c r="X821" s="12" t="s">
        <v>3528</v>
      </c>
      <c r="Y821" s="10" t="n">
        <f aca="false">G821</f>
        <v>40</v>
      </c>
      <c r="Z821" s="10" t="n">
        <f aca="false">H821</f>
        <v>25</v>
      </c>
      <c r="AA821" s="10" t="n">
        <f aca="false">I821</f>
        <v>15</v>
      </c>
      <c r="AB821" s="10" t="n">
        <f aca="false">J821</f>
        <v>3</v>
      </c>
      <c r="AC821" s="9" t="s">
        <v>3519</v>
      </c>
      <c r="AD821" s="9" t="s">
        <v>3545</v>
      </c>
      <c r="AE821" s="9" t="str">
        <f aca="false">IF($AK821=0,"",INDEX('Part types'!$T:$T,$AK821)&amp;"")</f>
        <v>All vehicles</v>
      </c>
      <c r="AF821" s="9" t="str">
        <f aca="false">IF($AK821=0,"",INDEX('Part types'!$U:$U,$AK821)&amp;"")</f>
        <v/>
      </c>
      <c r="AG821" s="9" t="str">
        <f aca="false">IF($AK821=0,"",INDEX('Part types'!$V:$V,$AK821)&amp;"")</f>
        <v>Estimate: size class L</v>
      </c>
      <c r="AH821" s="9" t="str">
        <f aca="false">IF($AK821=0,"",INDEX('Part types'!$W:$W,$AK821)&amp;"")</f>
        <v/>
      </c>
      <c r="AI821" s="11" t="str">
        <f aca="false">IF($AK821=0,"",INDEX('Part types'!$X:$X,$AK821)&amp;"")</f>
        <v/>
      </c>
      <c r="AJ821" s="9" t="str">
        <f aca="false">IF($AK821=0,"",INDEX('Part types'!$Y:$Y,$AK821)&amp;"")</f>
        <v>挡泥皮</v>
      </c>
      <c r="AK821" s="9" t="n">
        <f aca="false">IFERROR(MATCH($AD821,'Part types'!$E:$E,0),0)</f>
        <v>578</v>
      </c>
    </row>
    <row r="822" customFormat="false" ht="15" hidden="false" customHeight="false" outlineLevel="0" collapsed="false">
      <c r="A822" s="9" t="s">
        <v>3546</v>
      </c>
      <c r="B822" s="9" t="s">
        <v>3516</v>
      </c>
      <c r="C822" s="9" t="s">
        <v>3542</v>
      </c>
      <c r="D822" s="9" t="str">
        <f aca="false">C822&amp;" - "&amp;E822</f>
        <v>Mud Flap - Front-Right</v>
      </c>
      <c r="E822" s="9" t="s">
        <v>1356</v>
      </c>
      <c r="F822" s="9" t="s">
        <v>3524</v>
      </c>
      <c r="G822" s="10" t="n">
        <f aca="false">IF($AK822=0,"",INDEX('Part types'!$P:$P,$AK822))</f>
        <v>40</v>
      </c>
      <c r="H822" s="10" t="n">
        <f aca="false">IF($AK822=0,"",INDEX('Part types'!$Q:$Q,$AK822))</f>
        <v>25</v>
      </c>
      <c r="I822" s="10" t="n">
        <f aca="false">IF($AK822=0,"",INDEX('Part types'!$R:$R,$AK822))</f>
        <v>15</v>
      </c>
      <c r="J822" s="10" t="n">
        <f aca="false">IF($AK822=0,"",INDEX('Part types'!$S:$S,$AK822))</f>
        <v>3</v>
      </c>
      <c r="K822" s="11" t="s">
        <v>3517</v>
      </c>
      <c r="L822" s="11" t="s">
        <v>3543</v>
      </c>
      <c r="M822" s="11" t="str">
        <f aca="false">L822&amp;" - "&amp;N822</f>
        <v>واقي الطين - أمامي يمين</v>
      </c>
      <c r="N822" s="11" t="s">
        <v>1357</v>
      </c>
      <c r="O822" s="11" t="s">
        <v>3526</v>
      </c>
      <c r="P822" s="10" t="n">
        <f aca="false">G822</f>
        <v>40</v>
      </c>
      <c r="Q822" s="10" t="n">
        <f aca="false">H822</f>
        <v>25</v>
      </c>
      <c r="R822" s="10" t="n">
        <f aca="false">I822</f>
        <v>15</v>
      </c>
      <c r="S822" s="10" t="n">
        <f aca="false">J822</f>
        <v>3</v>
      </c>
      <c r="T822" s="12" t="s">
        <v>2783</v>
      </c>
      <c r="U822" s="12" t="s">
        <v>3544</v>
      </c>
      <c r="V822" s="9" t="str">
        <f aca="false">U822&amp;" - "&amp;W822</f>
        <v>挡泥板 - 前右</v>
      </c>
      <c r="W822" s="12" t="s">
        <v>1358</v>
      </c>
      <c r="X822" s="12" t="s">
        <v>3528</v>
      </c>
      <c r="Y822" s="10" t="n">
        <f aca="false">G822</f>
        <v>40</v>
      </c>
      <c r="Z822" s="10" t="n">
        <f aca="false">H822</f>
        <v>25</v>
      </c>
      <c r="AA822" s="10" t="n">
        <f aca="false">I822</f>
        <v>15</v>
      </c>
      <c r="AB822" s="10" t="n">
        <f aca="false">J822</f>
        <v>3</v>
      </c>
      <c r="AC822" s="9" t="s">
        <v>3519</v>
      </c>
      <c r="AD822" s="9" t="s">
        <v>3545</v>
      </c>
      <c r="AE822" s="9" t="str">
        <f aca="false">IF($AK822=0,"",INDEX('Part types'!$T:$T,$AK822)&amp;"")</f>
        <v>All vehicles</v>
      </c>
      <c r="AF822" s="9" t="str">
        <f aca="false">IF($AK822=0,"",INDEX('Part types'!$U:$U,$AK822)&amp;"")</f>
        <v/>
      </c>
      <c r="AG822" s="9" t="str">
        <f aca="false">IF($AK822=0,"",INDEX('Part types'!$V:$V,$AK822)&amp;"")</f>
        <v>Estimate: size class L</v>
      </c>
      <c r="AH822" s="9" t="str">
        <f aca="false">IF($AK822=0,"",INDEX('Part types'!$W:$W,$AK822)&amp;"")</f>
        <v/>
      </c>
      <c r="AI822" s="11" t="str">
        <f aca="false">IF($AK822=0,"",INDEX('Part types'!$X:$X,$AK822)&amp;"")</f>
        <v/>
      </c>
      <c r="AJ822" s="9" t="str">
        <f aca="false">IF($AK822=0,"",INDEX('Part types'!$Y:$Y,$AK822)&amp;"")</f>
        <v>挡泥皮</v>
      </c>
      <c r="AK822" s="9" t="n">
        <f aca="false">IFERROR(MATCH($AD822,'Part types'!$E:$E,0),0)</f>
        <v>578</v>
      </c>
    </row>
    <row r="823" customFormat="false" ht="15" hidden="false" customHeight="false" outlineLevel="0" collapsed="false">
      <c r="A823" s="9" t="s">
        <v>3547</v>
      </c>
      <c r="B823" s="9" t="s">
        <v>3516</v>
      </c>
      <c r="C823" s="9" t="s">
        <v>3542</v>
      </c>
      <c r="D823" s="9" t="str">
        <f aca="false">C823&amp;" - "&amp;E823</f>
        <v>Mud Flap - Rear-Left</v>
      </c>
      <c r="E823" s="9" t="s">
        <v>1360</v>
      </c>
      <c r="F823" s="9" t="s">
        <v>3524</v>
      </c>
      <c r="G823" s="10" t="n">
        <f aca="false">IF($AK823=0,"",INDEX('Part types'!$P:$P,$AK823))</f>
        <v>40</v>
      </c>
      <c r="H823" s="10" t="n">
        <f aca="false">IF($AK823=0,"",INDEX('Part types'!$Q:$Q,$AK823))</f>
        <v>25</v>
      </c>
      <c r="I823" s="10" t="n">
        <f aca="false">IF($AK823=0,"",INDEX('Part types'!$R:$R,$AK823))</f>
        <v>15</v>
      </c>
      <c r="J823" s="10" t="n">
        <f aca="false">IF($AK823=0,"",INDEX('Part types'!$S:$S,$AK823))</f>
        <v>3</v>
      </c>
      <c r="K823" s="11" t="s">
        <v>3517</v>
      </c>
      <c r="L823" s="11" t="s">
        <v>3543</v>
      </c>
      <c r="M823" s="11" t="str">
        <f aca="false">L823&amp;" - "&amp;N823</f>
        <v>واقي الطين - خلفي يسار</v>
      </c>
      <c r="N823" s="11" t="s">
        <v>1361</v>
      </c>
      <c r="O823" s="11" t="s">
        <v>3526</v>
      </c>
      <c r="P823" s="10" t="n">
        <f aca="false">G823</f>
        <v>40</v>
      </c>
      <c r="Q823" s="10" t="n">
        <f aca="false">H823</f>
        <v>25</v>
      </c>
      <c r="R823" s="10" t="n">
        <f aca="false">I823</f>
        <v>15</v>
      </c>
      <c r="S823" s="10" t="n">
        <f aca="false">J823</f>
        <v>3</v>
      </c>
      <c r="T823" s="12" t="s">
        <v>2783</v>
      </c>
      <c r="U823" s="12" t="s">
        <v>3544</v>
      </c>
      <c r="V823" s="9" t="str">
        <f aca="false">U823&amp;" - "&amp;W823</f>
        <v>挡泥板 - 后左</v>
      </c>
      <c r="W823" s="12" t="s">
        <v>1362</v>
      </c>
      <c r="X823" s="12" t="s">
        <v>3528</v>
      </c>
      <c r="Y823" s="10" t="n">
        <f aca="false">G823</f>
        <v>40</v>
      </c>
      <c r="Z823" s="10" t="n">
        <f aca="false">H823</f>
        <v>25</v>
      </c>
      <c r="AA823" s="10" t="n">
        <f aca="false">I823</f>
        <v>15</v>
      </c>
      <c r="AB823" s="10" t="n">
        <f aca="false">J823</f>
        <v>3</v>
      </c>
      <c r="AC823" s="9" t="s">
        <v>3519</v>
      </c>
      <c r="AD823" s="9" t="s">
        <v>3545</v>
      </c>
      <c r="AE823" s="9" t="str">
        <f aca="false">IF($AK823=0,"",INDEX('Part types'!$T:$T,$AK823)&amp;"")</f>
        <v>All vehicles</v>
      </c>
      <c r="AF823" s="9" t="str">
        <f aca="false">IF($AK823=0,"",INDEX('Part types'!$U:$U,$AK823)&amp;"")</f>
        <v/>
      </c>
      <c r="AG823" s="9" t="str">
        <f aca="false">IF($AK823=0,"",INDEX('Part types'!$V:$V,$AK823)&amp;"")</f>
        <v>Estimate: size class L</v>
      </c>
      <c r="AH823" s="9" t="str">
        <f aca="false">IF($AK823=0,"",INDEX('Part types'!$W:$W,$AK823)&amp;"")</f>
        <v/>
      </c>
      <c r="AI823" s="11" t="str">
        <f aca="false">IF($AK823=0,"",INDEX('Part types'!$X:$X,$AK823)&amp;"")</f>
        <v/>
      </c>
      <c r="AJ823" s="9" t="str">
        <f aca="false">IF($AK823=0,"",INDEX('Part types'!$Y:$Y,$AK823)&amp;"")</f>
        <v>挡泥皮</v>
      </c>
      <c r="AK823" s="9" t="n">
        <f aca="false">IFERROR(MATCH($AD823,'Part types'!$E:$E,0),0)</f>
        <v>578</v>
      </c>
    </row>
    <row r="824" customFormat="false" ht="15" hidden="false" customHeight="false" outlineLevel="0" collapsed="false">
      <c r="A824" s="9" t="s">
        <v>3548</v>
      </c>
      <c r="B824" s="9" t="s">
        <v>3516</v>
      </c>
      <c r="C824" s="9" t="s">
        <v>3542</v>
      </c>
      <c r="D824" s="9" t="str">
        <f aca="false">C824&amp;" - "&amp;E824</f>
        <v>Mud Flap - Rear-Right</v>
      </c>
      <c r="E824" s="9" t="s">
        <v>1364</v>
      </c>
      <c r="F824" s="9" t="s">
        <v>3524</v>
      </c>
      <c r="G824" s="10" t="n">
        <f aca="false">IF($AK824=0,"",INDEX('Part types'!$P:$P,$AK824))</f>
        <v>40</v>
      </c>
      <c r="H824" s="10" t="n">
        <f aca="false">IF($AK824=0,"",INDEX('Part types'!$Q:$Q,$AK824))</f>
        <v>25</v>
      </c>
      <c r="I824" s="10" t="n">
        <f aca="false">IF($AK824=0,"",INDEX('Part types'!$R:$R,$AK824))</f>
        <v>15</v>
      </c>
      <c r="J824" s="10" t="n">
        <f aca="false">IF($AK824=0,"",INDEX('Part types'!$S:$S,$AK824))</f>
        <v>3</v>
      </c>
      <c r="K824" s="11" t="s">
        <v>3517</v>
      </c>
      <c r="L824" s="11" t="s">
        <v>3543</v>
      </c>
      <c r="M824" s="11" t="str">
        <f aca="false">L824&amp;" - "&amp;N824</f>
        <v>واقي الطين - خلفي يمين</v>
      </c>
      <c r="N824" s="11" t="s">
        <v>1365</v>
      </c>
      <c r="O824" s="11" t="s">
        <v>3526</v>
      </c>
      <c r="P824" s="10" t="n">
        <f aca="false">G824</f>
        <v>40</v>
      </c>
      <c r="Q824" s="10" t="n">
        <f aca="false">H824</f>
        <v>25</v>
      </c>
      <c r="R824" s="10" t="n">
        <f aca="false">I824</f>
        <v>15</v>
      </c>
      <c r="S824" s="10" t="n">
        <f aca="false">J824</f>
        <v>3</v>
      </c>
      <c r="T824" s="12" t="s">
        <v>2783</v>
      </c>
      <c r="U824" s="12" t="s">
        <v>3544</v>
      </c>
      <c r="V824" s="9" t="str">
        <f aca="false">U824&amp;" - "&amp;W824</f>
        <v>挡泥板 - 后右</v>
      </c>
      <c r="W824" s="12" t="s">
        <v>1366</v>
      </c>
      <c r="X824" s="12" t="s">
        <v>3528</v>
      </c>
      <c r="Y824" s="10" t="n">
        <f aca="false">G824</f>
        <v>40</v>
      </c>
      <c r="Z824" s="10" t="n">
        <f aca="false">H824</f>
        <v>25</v>
      </c>
      <c r="AA824" s="10" t="n">
        <f aca="false">I824</f>
        <v>15</v>
      </c>
      <c r="AB824" s="10" t="n">
        <f aca="false">J824</f>
        <v>3</v>
      </c>
      <c r="AC824" s="9" t="s">
        <v>3519</v>
      </c>
      <c r="AD824" s="9" t="s">
        <v>3545</v>
      </c>
      <c r="AE824" s="9" t="str">
        <f aca="false">IF($AK824=0,"",INDEX('Part types'!$T:$T,$AK824)&amp;"")</f>
        <v>All vehicles</v>
      </c>
      <c r="AF824" s="9" t="str">
        <f aca="false">IF($AK824=0,"",INDEX('Part types'!$U:$U,$AK824)&amp;"")</f>
        <v/>
      </c>
      <c r="AG824" s="9" t="str">
        <f aca="false">IF($AK824=0,"",INDEX('Part types'!$V:$V,$AK824)&amp;"")</f>
        <v>Estimate: size class L</v>
      </c>
      <c r="AH824" s="9" t="str">
        <f aca="false">IF($AK824=0,"",INDEX('Part types'!$W:$W,$AK824)&amp;"")</f>
        <v/>
      </c>
      <c r="AI824" s="11" t="str">
        <f aca="false">IF($AK824=0,"",INDEX('Part types'!$X:$X,$AK824)&amp;"")</f>
        <v/>
      </c>
      <c r="AJ824" s="9" t="str">
        <f aca="false">IF($AK824=0,"",INDEX('Part types'!$Y:$Y,$AK824)&amp;"")</f>
        <v>挡泥皮</v>
      </c>
      <c r="AK824" s="9" t="n">
        <f aca="false">IFERROR(MATCH($AD824,'Part types'!$E:$E,0),0)</f>
        <v>578</v>
      </c>
    </row>
    <row r="825" customFormat="false" ht="15" hidden="false" customHeight="false" outlineLevel="0" collapsed="false">
      <c r="A825" s="9" t="s">
        <v>3549</v>
      </c>
      <c r="B825" s="9" t="s">
        <v>3516</v>
      </c>
      <c r="C825" s="9" t="s">
        <v>3550</v>
      </c>
      <c r="D825" s="9" t="str">
        <f aca="false">C825&amp;" - "&amp;E825</f>
        <v>Rocker Panel - Left</v>
      </c>
      <c r="E825" s="9" t="s">
        <v>218</v>
      </c>
      <c r="F825" s="9" t="s">
        <v>2839</v>
      </c>
      <c r="G825" s="10" t="n">
        <f aca="false">IF($AK825=0,"",INDEX('Part types'!$P:$P,$AK825))</f>
        <v>170</v>
      </c>
      <c r="H825" s="10" t="n">
        <f aca="false">IF($AK825=0,"",INDEX('Part types'!$Q:$Q,$AK825))</f>
        <v>25</v>
      </c>
      <c r="I825" s="10" t="n">
        <f aca="false">IF($AK825=0,"",INDEX('Part types'!$R:$R,$AK825))</f>
        <v>15</v>
      </c>
      <c r="J825" s="10" t="n">
        <f aca="false">IF($AK825=0,"",INDEX('Part types'!$S:$S,$AK825))</f>
        <v>4</v>
      </c>
      <c r="K825" s="11" t="s">
        <v>3517</v>
      </c>
      <c r="L825" s="11" t="s">
        <v>3551</v>
      </c>
      <c r="M825" s="11" t="str">
        <f aca="false">L825&amp;" - "&amp;N825</f>
        <v>الجنب الجانبي - يسار</v>
      </c>
      <c r="N825" s="11" t="s">
        <v>220</v>
      </c>
      <c r="O825" s="11" t="s">
        <v>2841</v>
      </c>
      <c r="P825" s="10" t="n">
        <f aca="false">G825</f>
        <v>170</v>
      </c>
      <c r="Q825" s="10" t="n">
        <f aca="false">H825</f>
        <v>25</v>
      </c>
      <c r="R825" s="10" t="n">
        <f aca="false">I825</f>
        <v>15</v>
      </c>
      <c r="S825" s="10" t="n">
        <f aca="false">J825</f>
        <v>4</v>
      </c>
      <c r="T825" s="12" t="s">
        <v>2783</v>
      </c>
      <c r="U825" s="12" t="s">
        <v>3552</v>
      </c>
      <c r="V825" s="9" t="str">
        <f aca="false">U825&amp;" - "&amp;W825</f>
        <v>侧裙 - 左侧</v>
      </c>
      <c r="W825" s="12" t="s">
        <v>222</v>
      </c>
      <c r="X825" s="12" t="s">
        <v>2843</v>
      </c>
      <c r="Y825" s="10" t="n">
        <f aca="false">G825</f>
        <v>170</v>
      </c>
      <c r="Z825" s="10" t="n">
        <f aca="false">H825</f>
        <v>25</v>
      </c>
      <c r="AA825" s="10" t="n">
        <f aca="false">I825</f>
        <v>15</v>
      </c>
      <c r="AB825" s="10" t="n">
        <f aca="false">J825</f>
        <v>4</v>
      </c>
      <c r="AC825" s="9" t="s">
        <v>3519</v>
      </c>
      <c r="AD825" s="9" t="s">
        <v>3553</v>
      </c>
      <c r="AE825" s="9" t="str">
        <f aca="false">IF($AK825=0,"",INDEX('Part types'!$T:$T,$AK825)&amp;"")</f>
        <v>All vehicles</v>
      </c>
      <c r="AF825" s="9" t="str">
        <f aca="false">IF($AK825=0,"",INDEX('Part types'!$U:$U,$AK825)&amp;"")</f>
        <v>Oversized (over 120 cm)</v>
      </c>
      <c r="AG825" s="9" t="str">
        <f aca="false">IF($AK825=0,"",INDEX('Part types'!$V:$V,$AK825)&amp;"")</f>
        <v>Estimate: item-specific</v>
      </c>
      <c r="AH825" s="9" t="str">
        <f aca="false">IF($AK825=0,"",INDEX('Part types'!$W:$W,$AK825)&amp;"")</f>
        <v>Side Skirt</v>
      </c>
      <c r="AI825" s="11" t="str">
        <f aca="false">IF($AK825=0,"",INDEX('Part types'!$X:$X,$AK825)&amp;"")</f>
        <v>سكرت</v>
      </c>
      <c r="AJ825" s="9" t="str">
        <f aca="false">IF($AK825=0,"",INDEX('Part types'!$Y:$Y,$AK825)&amp;"")</f>
        <v/>
      </c>
      <c r="AK825" s="9" t="n">
        <f aca="false">IFERROR(MATCH($AD825,'Part types'!$E:$E,0),0)</f>
        <v>579</v>
      </c>
    </row>
    <row r="826" customFormat="false" ht="15" hidden="false" customHeight="false" outlineLevel="0" collapsed="false">
      <c r="A826" s="9" t="s">
        <v>3554</v>
      </c>
      <c r="B826" s="9" t="s">
        <v>3516</v>
      </c>
      <c r="C826" s="9" t="s">
        <v>3550</v>
      </c>
      <c r="D826" s="9" t="str">
        <f aca="false">C826&amp;" - "&amp;E826</f>
        <v>Rocker Panel - Right</v>
      </c>
      <c r="E826" s="9" t="s">
        <v>225</v>
      </c>
      <c r="F826" s="9" t="s">
        <v>2839</v>
      </c>
      <c r="G826" s="10" t="n">
        <f aca="false">IF($AK826=0,"",INDEX('Part types'!$P:$P,$AK826))</f>
        <v>170</v>
      </c>
      <c r="H826" s="10" t="n">
        <f aca="false">IF($AK826=0,"",INDEX('Part types'!$Q:$Q,$AK826))</f>
        <v>25</v>
      </c>
      <c r="I826" s="10" t="n">
        <f aca="false">IF($AK826=0,"",INDEX('Part types'!$R:$R,$AK826))</f>
        <v>15</v>
      </c>
      <c r="J826" s="10" t="n">
        <f aca="false">IF($AK826=0,"",INDEX('Part types'!$S:$S,$AK826))</f>
        <v>4</v>
      </c>
      <c r="K826" s="11" t="s">
        <v>3517</v>
      </c>
      <c r="L826" s="11" t="s">
        <v>3551</v>
      </c>
      <c r="M826" s="11" t="str">
        <f aca="false">L826&amp;" - "&amp;N826</f>
        <v>الجنب الجانبي - يمين</v>
      </c>
      <c r="N826" s="11" t="s">
        <v>226</v>
      </c>
      <c r="O826" s="11" t="s">
        <v>2841</v>
      </c>
      <c r="P826" s="10" t="n">
        <f aca="false">G826</f>
        <v>170</v>
      </c>
      <c r="Q826" s="10" t="n">
        <f aca="false">H826</f>
        <v>25</v>
      </c>
      <c r="R826" s="10" t="n">
        <f aca="false">I826</f>
        <v>15</v>
      </c>
      <c r="S826" s="10" t="n">
        <f aca="false">J826</f>
        <v>4</v>
      </c>
      <c r="T826" s="12" t="s">
        <v>2783</v>
      </c>
      <c r="U826" s="12" t="s">
        <v>3552</v>
      </c>
      <c r="V826" s="9" t="str">
        <f aca="false">U826&amp;" - "&amp;W826</f>
        <v>侧裙 - 右侧</v>
      </c>
      <c r="W826" s="12" t="s">
        <v>227</v>
      </c>
      <c r="X826" s="12" t="s">
        <v>2843</v>
      </c>
      <c r="Y826" s="10" t="n">
        <f aca="false">G826</f>
        <v>170</v>
      </c>
      <c r="Z826" s="10" t="n">
        <f aca="false">H826</f>
        <v>25</v>
      </c>
      <c r="AA826" s="10" t="n">
        <f aca="false">I826</f>
        <v>15</v>
      </c>
      <c r="AB826" s="10" t="n">
        <f aca="false">J826</f>
        <v>4</v>
      </c>
      <c r="AC826" s="9" t="s">
        <v>3519</v>
      </c>
      <c r="AD826" s="9" t="s">
        <v>3553</v>
      </c>
      <c r="AE826" s="9" t="str">
        <f aca="false">IF($AK826=0,"",INDEX('Part types'!$T:$T,$AK826)&amp;"")</f>
        <v>All vehicles</v>
      </c>
      <c r="AF826" s="9" t="str">
        <f aca="false">IF($AK826=0,"",INDEX('Part types'!$U:$U,$AK826)&amp;"")</f>
        <v>Oversized (over 120 cm)</v>
      </c>
      <c r="AG826" s="9" t="str">
        <f aca="false">IF($AK826=0,"",INDEX('Part types'!$V:$V,$AK826)&amp;"")</f>
        <v>Estimate: item-specific</v>
      </c>
      <c r="AH826" s="9" t="str">
        <f aca="false">IF($AK826=0,"",INDEX('Part types'!$W:$W,$AK826)&amp;"")</f>
        <v>Side Skirt</v>
      </c>
      <c r="AI826" s="11" t="str">
        <f aca="false">IF($AK826=0,"",INDEX('Part types'!$X:$X,$AK826)&amp;"")</f>
        <v>سكرت</v>
      </c>
      <c r="AJ826" s="9" t="str">
        <f aca="false">IF($AK826=0,"",INDEX('Part types'!$Y:$Y,$AK826)&amp;"")</f>
        <v/>
      </c>
      <c r="AK826" s="9" t="n">
        <f aca="false">IFERROR(MATCH($AD826,'Part types'!$E:$E,0),0)</f>
        <v>579</v>
      </c>
    </row>
    <row r="827" customFormat="false" ht="15" hidden="false" customHeight="false" outlineLevel="0" collapsed="false">
      <c r="A827" s="9" t="s">
        <v>3555</v>
      </c>
      <c r="B827" s="9" t="s">
        <v>3516</v>
      </c>
      <c r="C827" s="9" t="s">
        <v>3556</v>
      </c>
      <c r="D827" s="9" t="str">
        <f aca="false">C827&amp;" - "&amp;E827</f>
        <v>Quarter Panel - Left</v>
      </c>
      <c r="E827" s="9" t="s">
        <v>218</v>
      </c>
      <c r="F827" s="9" t="s">
        <v>2839</v>
      </c>
      <c r="G827" s="10" t="n">
        <f aca="false">IF($AK827=0,"",INDEX('Part types'!$P:$P,$AK827))</f>
        <v>130</v>
      </c>
      <c r="H827" s="10" t="n">
        <f aca="false">IF($AK827=0,"",INDEX('Part types'!$Q:$Q,$AK827))</f>
        <v>70</v>
      </c>
      <c r="I827" s="10" t="n">
        <f aca="false">IF($AK827=0,"",INDEX('Part types'!$R:$R,$AK827))</f>
        <v>30</v>
      </c>
      <c r="J827" s="10" t="n">
        <f aca="false">IF($AK827=0,"",INDEX('Part types'!$S:$S,$AK827))</f>
        <v>11</v>
      </c>
      <c r="K827" s="11" t="s">
        <v>3517</v>
      </c>
      <c r="L827" s="11" t="s">
        <v>3557</v>
      </c>
      <c r="M827" s="11" t="str">
        <f aca="false">L827&amp;" - "&amp;N827</f>
        <v>الرفرف الخلفي - يسار</v>
      </c>
      <c r="N827" s="11" t="s">
        <v>220</v>
      </c>
      <c r="O827" s="11" t="s">
        <v>2841</v>
      </c>
      <c r="P827" s="10" t="n">
        <f aca="false">G827</f>
        <v>130</v>
      </c>
      <c r="Q827" s="10" t="n">
        <f aca="false">H827</f>
        <v>70</v>
      </c>
      <c r="R827" s="10" t="n">
        <f aca="false">I827</f>
        <v>30</v>
      </c>
      <c r="S827" s="10" t="n">
        <f aca="false">J827</f>
        <v>11</v>
      </c>
      <c r="T827" s="12" t="s">
        <v>2783</v>
      </c>
      <c r="U827" s="12" t="s">
        <v>3558</v>
      </c>
      <c r="V827" s="9" t="str">
        <f aca="false">U827&amp;" - "&amp;W827</f>
        <v>后翼子板 - 左侧</v>
      </c>
      <c r="W827" s="12" t="s">
        <v>222</v>
      </c>
      <c r="X827" s="12" t="s">
        <v>2843</v>
      </c>
      <c r="Y827" s="10" t="n">
        <f aca="false">G827</f>
        <v>130</v>
      </c>
      <c r="Z827" s="10" t="n">
        <f aca="false">H827</f>
        <v>70</v>
      </c>
      <c r="AA827" s="10" t="n">
        <f aca="false">I827</f>
        <v>30</v>
      </c>
      <c r="AB827" s="10" t="n">
        <f aca="false">J827</f>
        <v>11</v>
      </c>
      <c r="AC827" s="9" t="s">
        <v>3519</v>
      </c>
      <c r="AD827" s="9" t="s">
        <v>3559</v>
      </c>
      <c r="AE827" s="9" t="str">
        <f aca="false">IF($AK827=0,"",INDEX('Part types'!$T:$T,$AK827)&amp;"")</f>
        <v>All vehicles</v>
      </c>
      <c r="AF827" s="9" t="str">
        <f aca="false">IF($AK827=0,"",INDEX('Part types'!$U:$U,$AK827)&amp;"")</f>
        <v>Oversized (over 120 cm)</v>
      </c>
      <c r="AG827" s="9" t="str">
        <f aca="false">IF($AK827=0,"",INDEX('Part types'!$V:$V,$AK827)&amp;"")</f>
        <v>Estimate: item-specific</v>
      </c>
      <c r="AH827" s="9" t="str">
        <f aca="false">IF($AK827=0,"",INDEX('Part types'!$W:$W,$AK827)&amp;"")</f>
        <v/>
      </c>
      <c r="AI827" s="11" t="str">
        <f aca="false">IF($AK827=0,"",INDEX('Part types'!$X:$X,$AK827)&amp;"")</f>
        <v>كوارتر</v>
      </c>
      <c r="AJ827" s="9" t="str">
        <f aca="false">IF($AK827=0,"",INDEX('Part types'!$Y:$Y,$AK827)&amp;"")</f>
        <v/>
      </c>
      <c r="AK827" s="9" t="n">
        <f aca="false">IFERROR(MATCH($AD827,'Part types'!$E:$E,0),0)</f>
        <v>580</v>
      </c>
    </row>
    <row r="828" customFormat="false" ht="15" hidden="false" customHeight="false" outlineLevel="0" collapsed="false">
      <c r="A828" s="9" t="s">
        <v>3560</v>
      </c>
      <c r="B828" s="9" t="s">
        <v>3516</v>
      </c>
      <c r="C828" s="9" t="s">
        <v>3556</v>
      </c>
      <c r="D828" s="9" t="str">
        <f aca="false">C828&amp;" - "&amp;E828</f>
        <v>Quarter Panel - Right</v>
      </c>
      <c r="E828" s="9" t="s">
        <v>225</v>
      </c>
      <c r="F828" s="9" t="s">
        <v>2839</v>
      </c>
      <c r="G828" s="10" t="n">
        <f aca="false">IF($AK828=0,"",INDEX('Part types'!$P:$P,$AK828))</f>
        <v>130</v>
      </c>
      <c r="H828" s="10" t="n">
        <f aca="false">IF($AK828=0,"",INDEX('Part types'!$Q:$Q,$AK828))</f>
        <v>70</v>
      </c>
      <c r="I828" s="10" t="n">
        <f aca="false">IF($AK828=0,"",INDEX('Part types'!$R:$R,$AK828))</f>
        <v>30</v>
      </c>
      <c r="J828" s="10" t="n">
        <f aca="false">IF($AK828=0,"",INDEX('Part types'!$S:$S,$AK828))</f>
        <v>11</v>
      </c>
      <c r="K828" s="11" t="s">
        <v>3517</v>
      </c>
      <c r="L828" s="11" t="s">
        <v>3557</v>
      </c>
      <c r="M828" s="11" t="str">
        <f aca="false">L828&amp;" - "&amp;N828</f>
        <v>الرفرف الخلفي - يمين</v>
      </c>
      <c r="N828" s="11" t="s">
        <v>226</v>
      </c>
      <c r="O828" s="11" t="s">
        <v>2841</v>
      </c>
      <c r="P828" s="10" t="n">
        <f aca="false">G828</f>
        <v>130</v>
      </c>
      <c r="Q828" s="10" t="n">
        <f aca="false">H828</f>
        <v>70</v>
      </c>
      <c r="R828" s="10" t="n">
        <f aca="false">I828</f>
        <v>30</v>
      </c>
      <c r="S828" s="10" t="n">
        <f aca="false">J828</f>
        <v>11</v>
      </c>
      <c r="T828" s="12" t="s">
        <v>2783</v>
      </c>
      <c r="U828" s="12" t="s">
        <v>3558</v>
      </c>
      <c r="V828" s="9" t="str">
        <f aca="false">U828&amp;" - "&amp;W828</f>
        <v>后翼子板 - 右侧</v>
      </c>
      <c r="W828" s="12" t="s">
        <v>227</v>
      </c>
      <c r="X828" s="12" t="s">
        <v>2843</v>
      </c>
      <c r="Y828" s="10" t="n">
        <f aca="false">G828</f>
        <v>130</v>
      </c>
      <c r="Z828" s="10" t="n">
        <f aca="false">H828</f>
        <v>70</v>
      </c>
      <c r="AA828" s="10" t="n">
        <f aca="false">I828</f>
        <v>30</v>
      </c>
      <c r="AB828" s="10" t="n">
        <f aca="false">J828</f>
        <v>11</v>
      </c>
      <c r="AC828" s="9" t="s">
        <v>3519</v>
      </c>
      <c r="AD828" s="9" t="s">
        <v>3559</v>
      </c>
      <c r="AE828" s="9" t="str">
        <f aca="false">IF($AK828=0,"",INDEX('Part types'!$T:$T,$AK828)&amp;"")</f>
        <v>All vehicles</v>
      </c>
      <c r="AF828" s="9" t="str">
        <f aca="false">IF($AK828=0,"",INDEX('Part types'!$U:$U,$AK828)&amp;"")</f>
        <v>Oversized (over 120 cm)</v>
      </c>
      <c r="AG828" s="9" t="str">
        <f aca="false">IF($AK828=0,"",INDEX('Part types'!$V:$V,$AK828)&amp;"")</f>
        <v>Estimate: item-specific</v>
      </c>
      <c r="AH828" s="9" t="str">
        <f aca="false">IF($AK828=0,"",INDEX('Part types'!$W:$W,$AK828)&amp;"")</f>
        <v/>
      </c>
      <c r="AI828" s="11" t="str">
        <f aca="false">IF($AK828=0,"",INDEX('Part types'!$X:$X,$AK828)&amp;"")</f>
        <v>كوارتر</v>
      </c>
      <c r="AJ828" s="9" t="str">
        <f aca="false">IF($AK828=0,"",INDEX('Part types'!$Y:$Y,$AK828)&amp;"")</f>
        <v/>
      </c>
      <c r="AK828" s="9" t="n">
        <f aca="false">IFERROR(MATCH($AD828,'Part types'!$E:$E,0),0)</f>
        <v>580</v>
      </c>
    </row>
    <row r="829" customFormat="false" ht="15" hidden="false" customHeight="false" outlineLevel="0" collapsed="false">
      <c r="A829" s="9" t="s">
        <v>3561</v>
      </c>
      <c r="B829" s="9" t="s">
        <v>3562</v>
      </c>
      <c r="C829" s="9" t="s">
        <v>3563</v>
      </c>
      <c r="D829" s="9" t="str">
        <f aca="false">C829&amp;" - "&amp;E829</f>
        <v>Window Regulator Motor - Front-Left</v>
      </c>
      <c r="E829" s="9" t="s">
        <v>1346</v>
      </c>
      <c r="F829" s="9" t="s">
        <v>2405</v>
      </c>
      <c r="G829" s="10" t="n">
        <f aca="false">IF($AK829=0,"",INDEX('Part types'!$P:$P,$AK829))</f>
        <v>25</v>
      </c>
      <c r="H829" s="10" t="n">
        <f aca="false">IF($AK829=0,"",INDEX('Part types'!$Q:$Q,$AK829))</f>
        <v>15</v>
      </c>
      <c r="I829" s="10" t="n">
        <f aca="false">IF($AK829=0,"",INDEX('Part types'!$R:$R,$AK829))</f>
        <v>10</v>
      </c>
      <c r="J829" s="10" t="n">
        <f aca="false">IF($AK829=0,"",INDEX('Part types'!$S:$S,$AK829))</f>
        <v>0.9</v>
      </c>
      <c r="K829" s="11" t="s">
        <v>3564</v>
      </c>
      <c r="L829" s="11" t="s">
        <v>3565</v>
      </c>
      <c r="M829" s="11" t="str">
        <f aca="false">L829&amp;" - "&amp;N829</f>
        <v>موتور رافع الزجاج - أمامي يسار</v>
      </c>
      <c r="N829" s="11" t="s">
        <v>1349</v>
      </c>
      <c r="O829" s="11" t="s">
        <v>2408</v>
      </c>
      <c r="P829" s="10" t="n">
        <f aca="false">G829</f>
        <v>25</v>
      </c>
      <c r="Q829" s="10" t="n">
        <f aca="false">H829</f>
        <v>15</v>
      </c>
      <c r="R829" s="10" t="n">
        <f aca="false">I829</f>
        <v>10</v>
      </c>
      <c r="S829" s="10" t="n">
        <f aca="false">J829</f>
        <v>0.9</v>
      </c>
      <c r="T829" s="12" t="s">
        <v>3566</v>
      </c>
      <c r="U829" s="12" t="s">
        <v>3567</v>
      </c>
      <c r="V829" s="9" t="str">
        <f aca="false">U829&amp;" - "&amp;W829</f>
        <v>玻璃升降电机 - 前左</v>
      </c>
      <c r="W829" s="12" t="s">
        <v>1352</v>
      </c>
      <c r="X829" s="12" t="s">
        <v>2411</v>
      </c>
      <c r="Y829" s="10" t="n">
        <f aca="false">G829</f>
        <v>25</v>
      </c>
      <c r="Z829" s="10" t="n">
        <f aca="false">H829</f>
        <v>15</v>
      </c>
      <c r="AA829" s="10" t="n">
        <f aca="false">I829</f>
        <v>10</v>
      </c>
      <c r="AB829" s="10" t="n">
        <f aca="false">J829</f>
        <v>0.9</v>
      </c>
      <c r="AC829" s="9" t="s">
        <v>3568</v>
      </c>
      <c r="AD829" s="9" t="s">
        <v>3569</v>
      </c>
      <c r="AE829" s="9" t="str">
        <f aca="false">IF($AK829=0,"",INDEX('Part types'!$T:$T,$AK829)&amp;"")</f>
        <v>All vehicles</v>
      </c>
      <c r="AF829" s="9" t="str">
        <f aca="false">IF($AK829=0,"",INDEX('Part types'!$U:$U,$AK829)&amp;"")</f>
        <v/>
      </c>
      <c r="AG829" s="9" t="str">
        <f aca="false">IF($AK829=0,"",INDEX('Part types'!$V:$V,$AK829)&amp;"")</f>
        <v>Estimate: size class M</v>
      </c>
      <c r="AH829" s="9" t="str">
        <f aca="false">IF($AK829=0,"",INDEX('Part types'!$W:$W,$AK829)&amp;"")</f>
        <v/>
      </c>
      <c r="AI829" s="11" t="str">
        <f aca="false">IF($AK829=0,"",INDEX('Part types'!$X:$X,$AK829)&amp;"")</f>
        <v/>
      </c>
      <c r="AJ829" s="9" t="str">
        <f aca="false">IF($AK829=0,"",INDEX('Part types'!$Y:$Y,$AK829)&amp;"")</f>
        <v/>
      </c>
      <c r="AK829" s="9" t="n">
        <f aca="false">IFERROR(MATCH($AD829,'Part types'!$E:$E,0),0)</f>
        <v>581</v>
      </c>
    </row>
    <row r="830" customFormat="false" ht="15" hidden="false" customHeight="false" outlineLevel="0" collapsed="false">
      <c r="A830" s="9" t="s">
        <v>3570</v>
      </c>
      <c r="B830" s="9" t="s">
        <v>3562</v>
      </c>
      <c r="C830" s="9" t="s">
        <v>3563</v>
      </c>
      <c r="D830" s="9" t="str">
        <f aca="false">C830&amp;" - "&amp;E830</f>
        <v>Window Regulator Motor - Front-Right</v>
      </c>
      <c r="E830" s="9" t="s">
        <v>1356</v>
      </c>
      <c r="F830" s="9" t="s">
        <v>2405</v>
      </c>
      <c r="G830" s="10" t="n">
        <f aca="false">IF($AK830=0,"",INDEX('Part types'!$P:$P,$AK830))</f>
        <v>25</v>
      </c>
      <c r="H830" s="10" t="n">
        <f aca="false">IF($AK830=0,"",INDEX('Part types'!$Q:$Q,$AK830))</f>
        <v>15</v>
      </c>
      <c r="I830" s="10" t="n">
        <f aca="false">IF($AK830=0,"",INDEX('Part types'!$R:$R,$AK830))</f>
        <v>10</v>
      </c>
      <c r="J830" s="10" t="n">
        <f aca="false">IF($AK830=0,"",INDEX('Part types'!$S:$S,$AK830))</f>
        <v>0.9</v>
      </c>
      <c r="K830" s="11" t="s">
        <v>3564</v>
      </c>
      <c r="L830" s="11" t="s">
        <v>3565</v>
      </c>
      <c r="M830" s="11" t="str">
        <f aca="false">L830&amp;" - "&amp;N830</f>
        <v>موتور رافع الزجاج - أمامي يمين</v>
      </c>
      <c r="N830" s="11" t="s">
        <v>1357</v>
      </c>
      <c r="O830" s="11" t="s">
        <v>2408</v>
      </c>
      <c r="P830" s="10" t="n">
        <f aca="false">G830</f>
        <v>25</v>
      </c>
      <c r="Q830" s="10" t="n">
        <f aca="false">H830</f>
        <v>15</v>
      </c>
      <c r="R830" s="10" t="n">
        <f aca="false">I830</f>
        <v>10</v>
      </c>
      <c r="S830" s="10" t="n">
        <f aca="false">J830</f>
        <v>0.9</v>
      </c>
      <c r="T830" s="12" t="s">
        <v>3566</v>
      </c>
      <c r="U830" s="12" t="s">
        <v>3567</v>
      </c>
      <c r="V830" s="9" t="str">
        <f aca="false">U830&amp;" - "&amp;W830</f>
        <v>玻璃升降电机 - 前右</v>
      </c>
      <c r="W830" s="12" t="s">
        <v>1358</v>
      </c>
      <c r="X830" s="12" t="s">
        <v>2411</v>
      </c>
      <c r="Y830" s="10" t="n">
        <f aca="false">G830</f>
        <v>25</v>
      </c>
      <c r="Z830" s="10" t="n">
        <f aca="false">H830</f>
        <v>15</v>
      </c>
      <c r="AA830" s="10" t="n">
        <f aca="false">I830</f>
        <v>10</v>
      </c>
      <c r="AB830" s="10" t="n">
        <f aca="false">J830</f>
        <v>0.9</v>
      </c>
      <c r="AC830" s="9" t="s">
        <v>3568</v>
      </c>
      <c r="AD830" s="9" t="s">
        <v>3569</v>
      </c>
      <c r="AE830" s="9" t="str">
        <f aca="false">IF($AK830=0,"",INDEX('Part types'!$T:$T,$AK830)&amp;"")</f>
        <v>All vehicles</v>
      </c>
      <c r="AF830" s="9" t="str">
        <f aca="false">IF($AK830=0,"",INDEX('Part types'!$U:$U,$AK830)&amp;"")</f>
        <v/>
      </c>
      <c r="AG830" s="9" t="str">
        <f aca="false">IF($AK830=0,"",INDEX('Part types'!$V:$V,$AK830)&amp;"")</f>
        <v>Estimate: size class M</v>
      </c>
      <c r="AH830" s="9" t="str">
        <f aca="false">IF($AK830=0,"",INDEX('Part types'!$W:$W,$AK830)&amp;"")</f>
        <v/>
      </c>
      <c r="AI830" s="11" t="str">
        <f aca="false">IF($AK830=0,"",INDEX('Part types'!$X:$X,$AK830)&amp;"")</f>
        <v/>
      </c>
      <c r="AJ830" s="9" t="str">
        <f aca="false">IF($AK830=0,"",INDEX('Part types'!$Y:$Y,$AK830)&amp;"")</f>
        <v/>
      </c>
      <c r="AK830" s="9" t="n">
        <f aca="false">IFERROR(MATCH($AD830,'Part types'!$E:$E,0),0)</f>
        <v>581</v>
      </c>
    </row>
    <row r="831" customFormat="false" ht="15" hidden="false" customHeight="false" outlineLevel="0" collapsed="false">
      <c r="A831" s="9" t="s">
        <v>3571</v>
      </c>
      <c r="B831" s="9" t="s">
        <v>3562</v>
      </c>
      <c r="C831" s="9" t="s">
        <v>3563</v>
      </c>
      <c r="D831" s="9" t="str">
        <f aca="false">C831&amp;" - "&amp;E831</f>
        <v>Window Regulator Motor - Rear-Left</v>
      </c>
      <c r="E831" s="9" t="s">
        <v>1360</v>
      </c>
      <c r="F831" s="9" t="s">
        <v>2405</v>
      </c>
      <c r="G831" s="10" t="n">
        <f aca="false">IF($AK831=0,"",INDEX('Part types'!$P:$P,$AK831))</f>
        <v>25</v>
      </c>
      <c r="H831" s="10" t="n">
        <f aca="false">IF($AK831=0,"",INDEX('Part types'!$Q:$Q,$AK831))</f>
        <v>15</v>
      </c>
      <c r="I831" s="10" t="n">
        <f aca="false">IF($AK831=0,"",INDEX('Part types'!$R:$R,$AK831))</f>
        <v>10</v>
      </c>
      <c r="J831" s="10" t="n">
        <f aca="false">IF($AK831=0,"",INDEX('Part types'!$S:$S,$AK831))</f>
        <v>0.9</v>
      </c>
      <c r="K831" s="11" t="s">
        <v>3564</v>
      </c>
      <c r="L831" s="11" t="s">
        <v>3565</v>
      </c>
      <c r="M831" s="11" t="str">
        <f aca="false">L831&amp;" - "&amp;N831</f>
        <v>موتور رافع الزجاج - خلفي يسار</v>
      </c>
      <c r="N831" s="11" t="s">
        <v>1361</v>
      </c>
      <c r="O831" s="11" t="s">
        <v>2408</v>
      </c>
      <c r="P831" s="10" t="n">
        <f aca="false">G831</f>
        <v>25</v>
      </c>
      <c r="Q831" s="10" t="n">
        <f aca="false">H831</f>
        <v>15</v>
      </c>
      <c r="R831" s="10" t="n">
        <f aca="false">I831</f>
        <v>10</v>
      </c>
      <c r="S831" s="10" t="n">
        <f aca="false">J831</f>
        <v>0.9</v>
      </c>
      <c r="T831" s="12" t="s">
        <v>3566</v>
      </c>
      <c r="U831" s="12" t="s">
        <v>3567</v>
      </c>
      <c r="V831" s="9" t="str">
        <f aca="false">U831&amp;" - "&amp;W831</f>
        <v>玻璃升降电机 - 后左</v>
      </c>
      <c r="W831" s="12" t="s">
        <v>1362</v>
      </c>
      <c r="X831" s="12" t="s">
        <v>2411</v>
      </c>
      <c r="Y831" s="10" t="n">
        <f aca="false">G831</f>
        <v>25</v>
      </c>
      <c r="Z831" s="10" t="n">
        <f aca="false">H831</f>
        <v>15</v>
      </c>
      <c r="AA831" s="10" t="n">
        <f aca="false">I831</f>
        <v>10</v>
      </c>
      <c r="AB831" s="10" t="n">
        <f aca="false">J831</f>
        <v>0.9</v>
      </c>
      <c r="AC831" s="9" t="s">
        <v>3568</v>
      </c>
      <c r="AD831" s="9" t="s">
        <v>3569</v>
      </c>
      <c r="AE831" s="9" t="str">
        <f aca="false">IF($AK831=0,"",INDEX('Part types'!$T:$T,$AK831)&amp;"")</f>
        <v>All vehicles</v>
      </c>
      <c r="AF831" s="9" t="str">
        <f aca="false">IF($AK831=0,"",INDEX('Part types'!$U:$U,$AK831)&amp;"")</f>
        <v/>
      </c>
      <c r="AG831" s="9" t="str">
        <f aca="false">IF($AK831=0,"",INDEX('Part types'!$V:$V,$AK831)&amp;"")</f>
        <v>Estimate: size class M</v>
      </c>
      <c r="AH831" s="9" t="str">
        <f aca="false">IF($AK831=0,"",INDEX('Part types'!$W:$W,$AK831)&amp;"")</f>
        <v/>
      </c>
      <c r="AI831" s="11" t="str">
        <f aca="false">IF($AK831=0,"",INDEX('Part types'!$X:$X,$AK831)&amp;"")</f>
        <v/>
      </c>
      <c r="AJ831" s="9" t="str">
        <f aca="false">IF($AK831=0,"",INDEX('Part types'!$Y:$Y,$AK831)&amp;"")</f>
        <v/>
      </c>
      <c r="AK831" s="9" t="n">
        <f aca="false">IFERROR(MATCH($AD831,'Part types'!$E:$E,0),0)</f>
        <v>581</v>
      </c>
    </row>
    <row r="832" customFormat="false" ht="15" hidden="false" customHeight="false" outlineLevel="0" collapsed="false">
      <c r="A832" s="9" t="s">
        <v>3572</v>
      </c>
      <c r="B832" s="9" t="s">
        <v>3562</v>
      </c>
      <c r="C832" s="9" t="s">
        <v>3563</v>
      </c>
      <c r="D832" s="9" t="str">
        <f aca="false">C832&amp;" - "&amp;E832</f>
        <v>Window Regulator Motor - Rear-Right</v>
      </c>
      <c r="E832" s="9" t="s">
        <v>1364</v>
      </c>
      <c r="F832" s="9" t="s">
        <v>2405</v>
      </c>
      <c r="G832" s="10" t="n">
        <f aca="false">IF($AK832=0,"",INDEX('Part types'!$P:$P,$AK832))</f>
        <v>25</v>
      </c>
      <c r="H832" s="10" t="n">
        <f aca="false">IF($AK832=0,"",INDEX('Part types'!$Q:$Q,$AK832))</f>
        <v>15</v>
      </c>
      <c r="I832" s="10" t="n">
        <f aca="false">IF($AK832=0,"",INDEX('Part types'!$R:$R,$AK832))</f>
        <v>10</v>
      </c>
      <c r="J832" s="10" t="n">
        <f aca="false">IF($AK832=0,"",INDEX('Part types'!$S:$S,$AK832))</f>
        <v>0.9</v>
      </c>
      <c r="K832" s="11" t="s">
        <v>3564</v>
      </c>
      <c r="L832" s="11" t="s">
        <v>3565</v>
      </c>
      <c r="M832" s="11" t="str">
        <f aca="false">L832&amp;" - "&amp;N832</f>
        <v>موتور رافع الزجاج - خلفي يمين</v>
      </c>
      <c r="N832" s="11" t="s">
        <v>1365</v>
      </c>
      <c r="O832" s="11" t="s">
        <v>2408</v>
      </c>
      <c r="P832" s="10" t="n">
        <f aca="false">G832</f>
        <v>25</v>
      </c>
      <c r="Q832" s="10" t="n">
        <f aca="false">H832</f>
        <v>15</v>
      </c>
      <c r="R832" s="10" t="n">
        <f aca="false">I832</f>
        <v>10</v>
      </c>
      <c r="S832" s="10" t="n">
        <f aca="false">J832</f>
        <v>0.9</v>
      </c>
      <c r="T832" s="12" t="s">
        <v>3566</v>
      </c>
      <c r="U832" s="12" t="s">
        <v>3567</v>
      </c>
      <c r="V832" s="9" t="str">
        <f aca="false">U832&amp;" - "&amp;W832</f>
        <v>玻璃升降电机 - 后右</v>
      </c>
      <c r="W832" s="12" t="s">
        <v>1366</v>
      </c>
      <c r="X832" s="12" t="s">
        <v>2411</v>
      </c>
      <c r="Y832" s="10" t="n">
        <f aca="false">G832</f>
        <v>25</v>
      </c>
      <c r="Z832" s="10" t="n">
        <f aca="false">H832</f>
        <v>15</v>
      </c>
      <c r="AA832" s="10" t="n">
        <f aca="false">I832</f>
        <v>10</v>
      </c>
      <c r="AB832" s="10" t="n">
        <f aca="false">J832</f>
        <v>0.9</v>
      </c>
      <c r="AC832" s="9" t="s">
        <v>3568</v>
      </c>
      <c r="AD832" s="9" t="s">
        <v>3569</v>
      </c>
      <c r="AE832" s="9" t="str">
        <f aca="false">IF($AK832=0,"",INDEX('Part types'!$T:$T,$AK832)&amp;"")</f>
        <v>All vehicles</v>
      </c>
      <c r="AF832" s="9" t="str">
        <f aca="false">IF($AK832=0,"",INDEX('Part types'!$U:$U,$AK832)&amp;"")</f>
        <v/>
      </c>
      <c r="AG832" s="9" t="str">
        <f aca="false">IF($AK832=0,"",INDEX('Part types'!$V:$V,$AK832)&amp;"")</f>
        <v>Estimate: size class M</v>
      </c>
      <c r="AH832" s="9" t="str">
        <f aca="false">IF($AK832=0,"",INDEX('Part types'!$W:$W,$AK832)&amp;"")</f>
        <v/>
      </c>
      <c r="AI832" s="11" t="str">
        <f aca="false">IF($AK832=0,"",INDEX('Part types'!$X:$X,$AK832)&amp;"")</f>
        <v/>
      </c>
      <c r="AJ832" s="9" t="str">
        <f aca="false">IF($AK832=0,"",INDEX('Part types'!$Y:$Y,$AK832)&amp;"")</f>
        <v/>
      </c>
      <c r="AK832" s="9" t="n">
        <f aca="false">IFERROR(MATCH($AD832,'Part types'!$E:$E,0),0)</f>
        <v>581</v>
      </c>
    </row>
    <row r="833" customFormat="false" ht="15" hidden="false" customHeight="false" outlineLevel="0" collapsed="false">
      <c r="A833" s="9" t="s">
        <v>3573</v>
      </c>
      <c r="B833" s="9" t="s">
        <v>3562</v>
      </c>
      <c r="C833" s="9" t="s">
        <v>3574</v>
      </c>
      <c r="D833" s="9" t="str">
        <f aca="false">C833&amp;" - "&amp;E833</f>
        <v>Door Lock Actuator - Front-Left</v>
      </c>
      <c r="E833" s="9" t="s">
        <v>1346</v>
      </c>
      <c r="F833" s="9" t="s">
        <v>2405</v>
      </c>
      <c r="G833" s="10" t="n">
        <f aca="false">IF($AK833=0,"",INDEX('Part types'!$P:$P,$AK833))</f>
        <v>15</v>
      </c>
      <c r="H833" s="10" t="n">
        <f aca="false">IF($AK833=0,"",INDEX('Part types'!$Q:$Q,$AK833))</f>
        <v>10</v>
      </c>
      <c r="I833" s="10" t="n">
        <f aca="false">IF($AK833=0,"",INDEX('Part types'!$R:$R,$AK833))</f>
        <v>8</v>
      </c>
      <c r="J833" s="10" t="n">
        <f aca="false">IF($AK833=0,"",INDEX('Part types'!$S:$S,$AK833))</f>
        <v>0.3</v>
      </c>
      <c r="K833" s="11" t="s">
        <v>3564</v>
      </c>
      <c r="L833" s="11" t="s">
        <v>3575</v>
      </c>
      <c r="M833" s="11" t="str">
        <f aca="false">L833&amp;" - "&amp;N833</f>
        <v>موتور قفل الباب - أمامي يسار</v>
      </c>
      <c r="N833" s="11" t="s">
        <v>1349</v>
      </c>
      <c r="O833" s="11" t="s">
        <v>2408</v>
      </c>
      <c r="P833" s="10" t="n">
        <f aca="false">G833</f>
        <v>15</v>
      </c>
      <c r="Q833" s="10" t="n">
        <f aca="false">H833</f>
        <v>10</v>
      </c>
      <c r="R833" s="10" t="n">
        <f aca="false">I833</f>
        <v>8</v>
      </c>
      <c r="S833" s="10" t="n">
        <f aca="false">J833</f>
        <v>0.3</v>
      </c>
      <c r="T833" s="12" t="s">
        <v>3566</v>
      </c>
      <c r="U833" s="12" t="s">
        <v>3576</v>
      </c>
      <c r="V833" s="9" t="str">
        <f aca="false">U833&amp;" - "&amp;W833</f>
        <v>门锁执行器 - 前左</v>
      </c>
      <c r="W833" s="12" t="s">
        <v>1352</v>
      </c>
      <c r="X833" s="12" t="s">
        <v>2411</v>
      </c>
      <c r="Y833" s="10" t="n">
        <f aca="false">G833</f>
        <v>15</v>
      </c>
      <c r="Z833" s="10" t="n">
        <f aca="false">H833</f>
        <v>10</v>
      </c>
      <c r="AA833" s="10" t="n">
        <f aca="false">I833</f>
        <v>8</v>
      </c>
      <c r="AB833" s="10" t="n">
        <f aca="false">J833</f>
        <v>0.3</v>
      </c>
      <c r="AC833" s="9" t="s">
        <v>3568</v>
      </c>
      <c r="AD833" s="9" t="s">
        <v>3577</v>
      </c>
      <c r="AE833" s="9" t="str">
        <f aca="false">IF($AK833=0,"",INDEX('Part types'!$T:$T,$AK833)&amp;"")</f>
        <v>All vehicles</v>
      </c>
      <c r="AF833" s="9" t="str">
        <f aca="false">IF($AK833=0,"",INDEX('Part types'!$U:$U,$AK833)&amp;"")</f>
        <v/>
      </c>
      <c r="AG833" s="9" t="str">
        <f aca="false">IF($AK833=0,"",INDEX('Part types'!$V:$V,$AK833)&amp;"")</f>
        <v>Estimate: size class S</v>
      </c>
      <c r="AH833" s="9" t="str">
        <f aca="false">IF($AK833=0,"",INDEX('Part types'!$W:$W,$AK833)&amp;"")</f>
        <v/>
      </c>
      <c r="AI833" s="11" t="str">
        <f aca="false">IF($AK833=0,"",INDEX('Part types'!$X:$X,$AK833)&amp;"")</f>
        <v/>
      </c>
      <c r="AJ833" s="9" t="str">
        <f aca="false">IF($AK833=0,"",INDEX('Part types'!$Y:$Y,$AK833)&amp;"")</f>
        <v/>
      </c>
      <c r="AK833" s="9" t="n">
        <f aca="false">IFERROR(MATCH($AD833,'Part types'!$E:$E,0),0)</f>
        <v>582</v>
      </c>
    </row>
    <row r="834" customFormat="false" ht="15" hidden="false" customHeight="false" outlineLevel="0" collapsed="false">
      <c r="A834" s="9" t="s">
        <v>3578</v>
      </c>
      <c r="B834" s="9" t="s">
        <v>3562</v>
      </c>
      <c r="C834" s="9" t="s">
        <v>3574</v>
      </c>
      <c r="D834" s="9" t="str">
        <f aca="false">C834&amp;" - "&amp;E834</f>
        <v>Door Lock Actuator - Front-Right</v>
      </c>
      <c r="E834" s="9" t="s">
        <v>1356</v>
      </c>
      <c r="F834" s="9" t="s">
        <v>2405</v>
      </c>
      <c r="G834" s="10" t="n">
        <f aca="false">IF($AK834=0,"",INDEX('Part types'!$P:$P,$AK834))</f>
        <v>15</v>
      </c>
      <c r="H834" s="10" t="n">
        <f aca="false">IF($AK834=0,"",INDEX('Part types'!$Q:$Q,$AK834))</f>
        <v>10</v>
      </c>
      <c r="I834" s="10" t="n">
        <f aca="false">IF($AK834=0,"",INDEX('Part types'!$R:$R,$AK834))</f>
        <v>8</v>
      </c>
      <c r="J834" s="10" t="n">
        <f aca="false">IF($AK834=0,"",INDEX('Part types'!$S:$S,$AK834))</f>
        <v>0.3</v>
      </c>
      <c r="K834" s="11" t="s">
        <v>3564</v>
      </c>
      <c r="L834" s="11" t="s">
        <v>3575</v>
      </c>
      <c r="M834" s="11" t="str">
        <f aca="false">L834&amp;" - "&amp;N834</f>
        <v>موتور قفل الباب - أمامي يمين</v>
      </c>
      <c r="N834" s="11" t="s">
        <v>1357</v>
      </c>
      <c r="O834" s="11" t="s">
        <v>2408</v>
      </c>
      <c r="P834" s="10" t="n">
        <f aca="false">G834</f>
        <v>15</v>
      </c>
      <c r="Q834" s="10" t="n">
        <f aca="false">H834</f>
        <v>10</v>
      </c>
      <c r="R834" s="10" t="n">
        <f aca="false">I834</f>
        <v>8</v>
      </c>
      <c r="S834" s="10" t="n">
        <f aca="false">J834</f>
        <v>0.3</v>
      </c>
      <c r="T834" s="12" t="s">
        <v>3566</v>
      </c>
      <c r="U834" s="12" t="s">
        <v>3576</v>
      </c>
      <c r="V834" s="9" t="str">
        <f aca="false">U834&amp;" - "&amp;W834</f>
        <v>门锁执行器 - 前右</v>
      </c>
      <c r="W834" s="12" t="s">
        <v>1358</v>
      </c>
      <c r="X834" s="12" t="s">
        <v>2411</v>
      </c>
      <c r="Y834" s="10" t="n">
        <f aca="false">G834</f>
        <v>15</v>
      </c>
      <c r="Z834" s="10" t="n">
        <f aca="false">H834</f>
        <v>10</v>
      </c>
      <c r="AA834" s="10" t="n">
        <f aca="false">I834</f>
        <v>8</v>
      </c>
      <c r="AB834" s="10" t="n">
        <f aca="false">J834</f>
        <v>0.3</v>
      </c>
      <c r="AC834" s="9" t="s">
        <v>3568</v>
      </c>
      <c r="AD834" s="9" t="s">
        <v>3577</v>
      </c>
      <c r="AE834" s="9" t="str">
        <f aca="false">IF($AK834=0,"",INDEX('Part types'!$T:$T,$AK834)&amp;"")</f>
        <v>All vehicles</v>
      </c>
      <c r="AF834" s="9" t="str">
        <f aca="false">IF($AK834=0,"",INDEX('Part types'!$U:$U,$AK834)&amp;"")</f>
        <v/>
      </c>
      <c r="AG834" s="9" t="str">
        <f aca="false">IF($AK834=0,"",INDEX('Part types'!$V:$V,$AK834)&amp;"")</f>
        <v>Estimate: size class S</v>
      </c>
      <c r="AH834" s="9" t="str">
        <f aca="false">IF($AK834=0,"",INDEX('Part types'!$W:$W,$AK834)&amp;"")</f>
        <v/>
      </c>
      <c r="AI834" s="11" t="str">
        <f aca="false">IF($AK834=0,"",INDEX('Part types'!$X:$X,$AK834)&amp;"")</f>
        <v/>
      </c>
      <c r="AJ834" s="9" t="str">
        <f aca="false">IF($AK834=0,"",INDEX('Part types'!$Y:$Y,$AK834)&amp;"")</f>
        <v/>
      </c>
      <c r="AK834" s="9" t="n">
        <f aca="false">IFERROR(MATCH($AD834,'Part types'!$E:$E,0),0)</f>
        <v>582</v>
      </c>
    </row>
    <row r="835" customFormat="false" ht="15" hidden="false" customHeight="false" outlineLevel="0" collapsed="false">
      <c r="A835" s="9" t="s">
        <v>3579</v>
      </c>
      <c r="B835" s="9" t="s">
        <v>3562</v>
      </c>
      <c r="C835" s="9" t="s">
        <v>3574</v>
      </c>
      <c r="D835" s="9" t="str">
        <f aca="false">C835&amp;" - "&amp;E835</f>
        <v>Door Lock Actuator - Rear-Left</v>
      </c>
      <c r="E835" s="9" t="s">
        <v>1360</v>
      </c>
      <c r="F835" s="9" t="s">
        <v>2405</v>
      </c>
      <c r="G835" s="10" t="n">
        <f aca="false">IF($AK835=0,"",INDEX('Part types'!$P:$P,$AK835))</f>
        <v>15</v>
      </c>
      <c r="H835" s="10" t="n">
        <f aca="false">IF($AK835=0,"",INDEX('Part types'!$Q:$Q,$AK835))</f>
        <v>10</v>
      </c>
      <c r="I835" s="10" t="n">
        <f aca="false">IF($AK835=0,"",INDEX('Part types'!$R:$R,$AK835))</f>
        <v>8</v>
      </c>
      <c r="J835" s="10" t="n">
        <f aca="false">IF($AK835=0,"",INDEX('Part types'!$S:$S,$AK835))</f>
        <v>0.3</v>
      </c>
      <c r="K835" s="11" t="s">
        <v>3564</v>
      </c>
      <c r="L835" s="11" t="s">
        <v>3575</v>
      </c>
      <c r="M835" s="11" t="str">
        <f aca="false">L835&amp;" - "&amp;N835</f>
        <v>موتور قفل الباب - خلفي يسار</v>
      </c>
      <c r="N835" s="11" t="s">
        <v>1361</v>
      </c>
      <c r="O835" s="11" t="s">
        <v>2408</v>
      </c>
      <c r="P835" s="10" t="n">
        <f aca="false">G835</f>
        <v>15</v>
      </c>
      <c r="Q835" s="10" t="n">
        <f aca="false">H835</f>
        <v>10</v>
      </c>
      <c r="R835" s="10" t="n">
        <f aca="false">I835</f>
        <v>8</v>
      </c>
      <c r="S835" s="10" t="n">
        <f aca="false">J835</f>
        <v>0.3</v>
      </c>
      <c r="T835" s="12" t="s">
        <v>3566</v>
      </c>
      <c r="U835" s="12" t="s">
        <v>3576</v>
      </c>
      <c r="V835" s="9" t="str">
        <f aca="false">U835&amp;" - "&amp;W835</f>
        <v>门锁执行器 - 后左</v>
      </c>
      <c r="W835" s="12" t="s">
        <v>1362</v>
      </c>
      <c r="X835" s="12" t="s">
        <v>2411</v>
      </c>
      <c r="Y835" s="10" t="n">
        <f aca="false">G835</f>
        <v>15</v>
      </c>
      <c r="Z835" s="10" t="n">
        <f aca="false">H835</f>
        <v>10</v>
      </c>
      <c r="AA835" s="10" t="n">
        <f aca="false">I835</f>
        <v>8</v>
      </c>
      <c r="AB835" s="10" t="n">
        <f aca="false">J835</f>
        <v>0.3</v>
      </c>
      <c r="AC835" s="9" t="s">
        <v>3568</v>
      </c>
      <c r="AD835" s="9" t="s">
        <v>3577</v>
      </c>
      <c r="AE835" s="9" t="str">
        <f aca="false">IF($AK835=0,"",INDEX('Part types'!$T:$T,$AK835)&amp;"")</f>
        <v>All vehicles</v>
      </c>
      <c r="AF835" s="9" t="str">
        <f aca="false">IF($AK835=0,"",INDEX('Part types'!$U:$U,$AK835)&amp;"")</f>
        <v/>
      </c>
      <c r="AG835" s="9" t="str">
        <f aca="false">IF($AK835=0,"",INDEX('Part types'!$V:$V,$AK835)&amp;"")</f>
        <v>Estimate: size class S</v>
      </c>
      <c r="AH835" s="9" t="str">
        <f aca="false">IF($AK835=0,"",INDEX('Part types'!$W:$W,$AK835)&amp;"")</f>
        <v/>
      </c>
      <c r="AI835" s="11" t="str">
        <f aca="false">IF($AK835=0,"",INDEX('Part types'!$X:$X,$AK835)&amp;"")</f>
        <v/>
      </c>
      <c r="AJ835" s="9" t="str">
        <f aca="false">IF($AK835=0,"",INDEX('Part types'!$Y:$Y,$AK835)&amp;"")</f>
        <v/>
      </c>
      <c r="AK835" s="9" t="n">
        <f aca="false">IFERROR(MATCH($AD835,'Part types'!$E:$E,0),0)</f>
        <v>582</v>
      </c>
    </row>
    <row r="836" customFormat="false" ht="15" hidden="false" customHeight="false" outlineLevel="0" collapsed="false">
      <c r="A836" s="9" t="s">
        <v>3580</v>
      </c>
      <c r="B836" s="9" t="s">
        <v>3562</v>
      </c>
      <c r="C836" s="9" t="s">
        <v>3574</v>
      </c>
      <c r="D836" s="9" t="str">
        <f aca="false">C836&amp;" - "&amp;E836</f>
        <v>Door Lock Actuator - Rear-Right</v>
      </c>
      <c r="E836" s="9" t="s">
        <v>1364</v>
      </c>
      <c r="F836" s="9" t="s">
        <v>2405</v>
      </c>
      <c r="G836" s="10" t="n">
        <f aca="false">IF($AK836=0,"",INDEX('Part types'!$P:$P,$AK836))</f>
        <v>15</v>
      </c>
      <c r="H836" s="10" t="n">
        <f aca="false">IF($AK836=0,"",INDEX('Part types'!$Q:$Q,$AK836))</f>
        <v>10</v>
      </c>
      <c r="I836" s="10" t="n">
        <f aca="false">IF($AK836=0,"",INDEX('Part types'!$R:$R,$AK836))</f>
        <v>8</v>
      </c>
      <c r="J836" s="10" t="n">
        <f aca="false">IF($AK836=0,"",INDEX('Part types'!$S:$S,$AK836))</f>
        <v>0.3</v>
      </c>
      <c r="K836" s="11" t="s">
        <v>3564</v>
      </c>
      <c r="L836" s="11" t="s">
        <v>3575</v>
      </c>
      <c r="M836" s="11" t="str">
        <f aca="false">L836&amp;" - "&amp;N836</f>
        <v>موتور قفل الباب - خلفي يمين</v>
      </c>
      <c r="N836" s="11" t="s">
        <v>1365</v>
      </c>
      <c r="O836" s="11" t="s">
        <v>2408</v>
      </c>
      <c r="P836" s="10" t="n">
        <f aca="false">G836</f>
        <v>15</v>
      </c>
      <c r="Q836" s="10" t="n">
        <f aca="false">H836</f>
        <v>10</v>
      </c>
      <c r="R836" s="10" t="n">
        <f aca="false">I836</f>
        <v>8</v>
      </c>
      <c r="S836" s="10" t="n">
        <f aca="false">J836</f>
        <v>0.3</v>
      </c>
      <c r="T836" s="12" t="s">
        <v>3566</v>
      </c>
      <c r="U836" s="12" t="s">
        <v>3576</v>
      </c>
      <c r="V836" s="9" t="str">
        <f aca="false">U836&amp;" - "&amp;W836</f>
        <v>门锁执行器 - 后右</v>
      </c>
      <c r="W836" s="12" t="s">
        <v>1366</v>
      </c>
      <c r="X836" s="12" t="s">
        <v>2411</v>
      </c>
      <c r="Y836" s="10" t="n">
        <f aca="false">G836</f>
        <v>15</v>
      </c>
      <c r="Z836" s="10" t="n">
        <f aca="false">H836</f>
        <v>10</v>
      </c>
      <c r="AA836" s="10" t="n">
        <f aca="false">I836</f>
        <v>8</v>
      </c>
      <c r="AB836" s="10" t="n">
        <f aca="false">J836</f>
        <v>0.3</v>
      </c>
      <c r="AC836" s="9" t="s">
        <v>3568</v>
      </c>
      <c r="AD836" s="9" t="s">
        <v>3577</v>
      </c>
      <c r="AE836" s="9" t="str">
        <f aca="false">IF($AK836=0,"",INDEX('Part types'!$T:$T,$AK836)&amp;"")</f>
        <v>All vehicles</v>
      </c>
      <c r="AF836" s="9" t="str">
        <f aca="false">IF($AK836=0,"",INDEX('Part types'!$U:$U,$AK836)&amp;"")</f>
        <v/>
      </c>
      <c r="AG836" s="9" t="str">
        <f aca="false">IF($AK836=0,"",INDEX('Part types'!$V:$V,$AK836)&amp;"")</f>
        <v>Estimate: size class S</v>
      </c>
      <c r="AH836" s="9" t="str">
        <f aca="false">IF($AK836=0,"",INDEX('Part types'!$W:$W,$AK836)&amp;"")</f>
        <v/>
      </c>
      <c r="AI836" s="11" t="str">
        <f aca="false">IF($AK836=0,"",INDEX('Part types'!$X:$X,$AK836)&amp;"")</f>
        <v/>
      </c>
      <c r="AJ836" s="9" t="str">
        <f aca="false">IF($AK836=0,"",INDEX('Part types'!$Y:$Y,$AK836)&amp;"")</f>
        <v/>
      </c>
      <c r="AK836" s="9" t="n">
        <f aca="false">IFERROR(MATCH($AD836,'Part types'!$E:$E,0),0)</f>
        <v>582</v>
      </c>
    </row>
    <row r="837" customFormat="false" ht="15" hidden="false" customHeight="false" outlineLevel="0" collapsed="false">
      <c r="A837" s="9" t="s">
        <v>3581</v>
      </c>
      <c r="B837" s="9" t="s">
        <v>3562</v>
      </c>
      <c r="C837" s="9" t="s">
        <v>3582</v>
      </c>
      <c r="D837" s="9" t="str">
        <f aca="false">C837&amp;" - "&amp;E837</f>
        <v>Door Shell - Front-Left</v>
      </c>
      <c r="E837" s="9" t="s">
        <v>1346</v>
      </c>
      <c r="F837" s="9" t="s">
        <v>3583</v>
      </c>
      <c r="G837" s="10" t="n">
        <f aca="false">IF($AK837=0,"",INDEX('Part types'!$P:$P,$AK837))</f>
        <v>110</v>
      </c>
      <c r="H837" s="10" t="n">
        <f aca="false">IF($AK837=0,"",INDEX('Part types'!$Q:$Q,$AK837))</f>
        <v>80</v>
      </c>
      <c r="I837" s="10" t="n">
        <f aca="false">IF($AK837=0,"",INDEX('Part types'!$R:$R,$AK837))</f>
        <v>20</v>
      </c>
      <c r="J837" s="10" t="n">
        <f aca="false">IF($AK837=0,"",INDEX('Part types'!$S:$S,$AK837))</f>
        <v>14</v>
      </c>
      <c r="K837" s="11" t="s">
        <v>3564</v>
      </c>
      <c r="L837" s="11" t="s">
        <v>3584</v>
      </c>
      <c r="M837" s="11" t="str">
        <f aca="false">L837&amp;" - "&amp;N837</f>
        <v>هيكل الباب - أمامي يسار</v>
      </c>
      <c r="N837" s="11" t="s">
        <v>1349</v>
      </c>
      <c r="O837" s="11" t="s">
        <v>3585</v>
      </c>
      <c r="P837" s="10" t="n">
        <f aca="false">G837</f>
        <v>110</v>
      </c>
      <c r="Q837" s="10" t="n">
        <f aca="false">H837</f>
        <v>80</v>
      </c>
      <c r="R837" s="10" t="n">
        <f aca="false">I837</f>
        <v>20</v>
      </c>
      <c r="S837" s="10" t="n">
        <f aca="false">J837</f>
        <v>14</v>
      </c>
      <c r="T837" s="12" t="s">
        <v>3566</v>
      </c>
      <c r="U837" s="12" t="s">
        <v>3586</v>
      </c>
      <c r="V837" s="9" t="str">
        <f aca="false">U837&amp;" - "&amp;W837</f>
        <v>车门外壳 - 前左</v>
      </c>
      <c r="W837" s="12" t="s">
        <v>1352</v>
      </c>
      <c r="X837" s="12" t="s">
        <v>3587</v>
      </c>
      <c r="Y837" s="10" t="n">
        <f aca="false">G837</f>
        <v>110</v>
      </c>
      <c r="Z837" s="10" t="n">
        <f aca="false">H837</f>
        <v>80</v>
      </c>
      <c r="AA837" s="10" t="n">
        <f aca="false">I837</f>
        <v>20</v>
      </c>
      <c r="AB837" s="10" t="n">
        <f aca="false">J837</f>
        <v>14</v>
      </c>
      <c r="AC837" s="9" t="s">
        <v>3568</v>
      </c>
      <c r="AD837" s="9" t="s">
        <v>3588</v>
      </c>
      <c r="AE837" s="9" t="str">
        <f aca="false">IF($AK837=0,"",INDEX('Part types'!$T:$T,$AK837)&amp;"")</f>
        <v>All vehicles</v>
      </c>
      <c r="AF837" s="9" t="str">
        <f aca="false">IF($AK837=0,"",INDEX('Part types'!$U:$U,$AK837)&amp;"")</f>
        <v/>
      </c>
      <c r="AG837" s="9" t="str">
        <f aca="false">IF($AK837=0,"",INDEX('Part types'!$V:$V,$AK837)&amp;"")</f>
        <v>Estimate: item-specific</v>
      </c>
      <c r="AH837" s="9" t="str">
        <f aca="false">IF($AK837=0,"",INDEX('Part types'!$W:$W,$AK837)&amp;"")</f>
        <v/>
      </c>
      <c r="AI837" s="11" t="str">
        <f aca="false">IF($AK837=0,"",INDEX('Part types'!$X:$X,$AK837)&amp;"")</f>
        <v/>
      </c>
      <c r="AJ837" s="9" t="str">
        <f aca="false">IF($AK837=0,"",INDEX('Part types'!$Y:$Y,$AK837)&amp;"")</f>
        <v/>
      </c>
      <c r="AK837" s="9" t="n">
        <f aca="false">IFERROR(MATCH($AD837,'Part types'!$E:$E,0),0)</f>
        <v>583</v>
      </c>
    </row>
    <row r="838" customFormat="false" ht="15" hidden="false" customHeight="false" outlineLevel="0" collapsed="false">
      <c r="A838" s="9" t="s">
        <v>3589</v>
      </c>
      <c r="B838" s="9" t="s">
        <v>3562</v>
      </c>
      <c r="C838" s="9" t="s">
        <v>3582</v>
      </c>
      <c r="D838" s="9" t="str">
        <f aca="false">C838&amp;" - "&amp;E838</f>
        <v>Door Shell - Front-Right</v>
      </c>
      <c r="E838" s="9" t="s">
        <v>1356</v>
      </c>
      <c r="F838" s="9" t="s">
        <v>3583</v>
      </c>
      <c r="G838" s="10" t="n">
        <f aca="false">IF($AK838=0,"",INDEX('Part types'!$P:$P,$AK838))</f>
        <v>110</v>
      </c>
      <c r="H838" s="10" t="n">
        <f aca="false">IF($AK838=0,"",INDEX('Part types'!$Q:$Q,$AK838))</f>
        <v>80</v>
      </c>
      <c r="I838" s="10" t="n">
        <f aca="false">IF($AK838=0,"",INDEX('Part types'!$R:$R,$AK838))</f>
        <v>20</v>
      </c>
      <c r="J838" s="10" t="n">
        <f aca="false">IF($AK838=0,"",INDEX('Part types'!$S:$S,$AK838))</f>
        <v>14</v>
      </c>
      <c r="K838" s="11" t="s">
        <v>3564</v>
      </c>
      <c r="L838" s="11" t="s">
        <v>3584</v>
      </c>
      <c r="M838" s="11" t="str">
        <f aca="false">L838&amp;" - "&amp;N838</f>
        <v>هيكل الباب - أمامي يمين</v>
      </c>
      <c r="N838" s="11" t="s">
        <v>1357</v>
      </c>
      <c r="O838" s="11" t="s">
        <v>3585</v>
      </c>
      <c r="P838" s="10" t="n">
        <f aca="false">G838</f>
        <v>110</v>
      </c>
      <c r="Q838" s="10" t="n">
        <f aca="false">H838</f>
        <v>80</v>
      </c>
      <c r="R838" s="10" t="n">
        <f aca="false">I838</f>
        <v>20</v>
      </c>
      <c r="S838" s="10" t="n">
        <f aca="false">J838</f>
        <v>14</v>
      </c>
      <c r="T838" s="12" t="s">
        <v>3566</v>
      </c>
      <c r="U838" s="12" t="s">
        <v>3586</v>
      </c>
      <c r="V838" s="9" t="str">
        <f aca="false">U838&amp;" - "&amp;W838</f>
        <v>车门外壳 - 前右</v>
      </c>
      <c r="W838" s="12" t="s">
        <v>1358</v>
      </c>
      <c r="X838" s="12" t="s">
        <v>3587</v>
      </c>
      <c r="Y838" s="10" t="n">
        <f aca="false">G838</f>
        <v>110</v>
      </c>
      <c r="Z838" s="10" t="n">
        <f aca="false">H838</f>
        <v>80</v>
      </c>
      <c r="AA838" s="10" t="n">
        <f aca="false">I838</f>
        <v>20</v>
      </c>
      <c r="AB838" s="10" t="n">
        <f aca="false">J838</f>
        <v>14</v>
      </c>
      <c r="AC838" s="9" t="s">
        <v>3568</v>
      </c>
      <c r="AD838" s="9" t="s">
        <v>3588</v>
      </c>
      <c r="AE838" s="9" t="str">
        <f aca="false">IF($AK838=0,"",INDEX('Part types'!$T:$T,$AK838)&amp;"")</f>
        <v>All vehicles</v>
      </c>
      <c r="AF838" s="9" t="str">
        <f aca="false">IF($AK838=0,"",INDEX('Part types'!$U:$U,$AK838)&amp;"")</f>
        <v/>
      </c>
      <c r="AG838" s="9" t="str">
        <f aca="false">IF($AK838=0,"",INDEX('Part types'!$V:$V,$AK838)&amp;"")</f>
        <v>Estimate: item-specific</v>
      </c>
      <c r="AH838" s="9" t="str">
        <f aca="false">IF($AK838=0,"",INDEX('Part types'!$W:$W,$AK838)&amp;"")</f>
        <v/>
      </c>
      <c r="AI838" s="11" t="str">
        <f aca="false">IF($AK838=0,"",INDEX('Part types'!$X:$X,$AK838)&amp;"")</f>
        <v/>
      </c>
      <c r="AJ838" s="9" t="str">
        <f aca="false">IF($AK838=0,"",INDEX('Part types'!$Y:$Y,$AK838)&amp;"")</f>
        <v/>
      </c>
      <c r="AK838" s="9" t="n">
        <f aca="false">IFERROR(MATCH($AD838,'Part types'!$E:$E,0),0)</f>
        <v>583</v>
      </c>
    </row>
    <row r="839" customFormat="false" ht="15" hidden="false" customHeight="false" outlineLevel="0" collapsed="false">
      <c r="A839" s="9" t="s">
        <v>3590</v>
      </c>
      <c r="B839" s="9" t="s">
        <v>3562</v>
      </c>
      <c r="C839" s="9" t="s">
        <v>3582</v>
      </c>
      <c r="D839" s="9" t="str">
        <f aca="false">C839&amp;" - "&amp;E839</f>
        <v>Door Shell - Rear-Left</v>
      </c>
      <c r="E839" s="9" t="s">
        <v>1360</v>
      </c>
      <c r="F839" s="9" t="s">
        <v>3583</v>
      </c>
      <c r="G839" s="10" t="n">
        <f aca="false">IF($AK839=0,"",INDEX('Part types'!$P:$P,$AK839))</f>
        <v>110</v>
      </c>
      <c r="H839" s="10" t="n">
        <f aca="false">IF($AK839=0,"",INDEX('Part types'!$Q:$Q,$AK839))</f>
        <v>80</v>
      </c>
      <c r="I839" s="10" t="n">
        <f aca="false">IF($AK839=0,"",INDEX('Part types'!$R:$R,$AK839))</f>
        <v>20</v>
      </c>
      <c r="J839" s="10" t="n">
        <f aca="false">IF($AK839=0,"",INDEX('Part types'!$S:$S,$AK839))</f>
        <v>14</v>
      </c>
      <c r="K839" s="11" t="s">
        <v>3564</v>
      </c>
      <c r="L839" s="11" t="s">
        <v>3584</v>
      </c>
      <c r="M839" s="11" t="str">
        <f aca="false">L839&amp;" - "&amp;N839</f>
        <v>هيكل الباب - خلفي يسار</v>
      </c>
      <c r="N839" s="11" t="s">
        <v>1361</v>
      </c>
      <c r="O839" s="11" t="s">
        <v>3585</v>
      </c>
      <c r="P839" s="10" t="n">
        <f aca="false">G839</f>
        <v>110</v>
      </c>
      <c r="Q839" s="10" t="n">
        <f aca="false">H839</f>
        <v>80</v>
      </c>
      <c r="R839" s="10" t="n">
        <f aca="false">I839</f>
        <v>20</v>
      </c>
      <c r="S839" s="10" t="n">
        <f aca="false">J839</f>
        <v>14</v>
      </c>
      <c r="T839" s="12" t="s">
        <v>3566</v>
      </c>
      <c r="U839" s="12" t="s">
        <v>3586</v>
      </c>
      <c r="V839" s="9" t="str">
        <f aca="false">U839&amp;" - "&amp;W839</f>
        <v>车门外壳 - 后左</v>
      </c>
      <c r="W839" s="12" t="s">
        <v>1362</v>
      </c>
      <c r="X839" s="12" t="s">
        <v>3587</v>
      </c>
      <c r="Y839" s="10" t="n">
        <f aca="false">G839</f>
        <v>110</v>
      </c>
      <c r="Z839" s="10" t="n">
        <f aca="false">H839</f>
        <v>80</v>
      </c>
      <c r="AA839" s="10" t="n">
        <f aca="false">I839</f>
        <v>20</v>
      </c>
      <c r="AB839" s="10" t="n">
        <f aca="false">J839</f>
        <v>14</v>
      </c>
      <c r="AC839" s="9" t="s">
        <v>3568</v>
      </c>
      <c r="AD839" s="9" t="s">
        <v>3588</v>
      </c>
      <c r="AE839" s="9" t="str">
        <f aca="false">IF($AK839=0,"",INDEX('Part types'!$T:$T,$AK839)&amp;"")</f>
        <v>All vehicles</v>
      </c>
      <c r="AF839" s="9" t="str">
        <f aca="false">IF($AK839=0,"",INDEX('Part types'!$U:$U,$AK839)&amp;"")</f>
        <v/>
      </c>
      <c r="AG839" s="9" t="str">
        <f aca="false">IF($AK839=0,"",INDEX('Part types'!$V:$V,$AK839)&amp;"")</f>
        <v>Estimate: item-specific</v>
      </c>
      <c r="AH839" s="9" t="str">
        <f aca="false">IF($AK839=0,"",INDEX('Part types'!$W:$W,$AK839)&amp;"")</f>
        <v/>
      </c>
      <c r="AI839" s="11" t="str">
        <f aca="false">IF($AK839=0,"",INDEX('Part types'!$X:$X,$AK839)&amp;"")</f>
        <v/>
      </c>
      <c r="AJ839" s="9" t="str">
        <f aca="false">IF($AK839=0,"",INDEX('Part types'!$Y:$Y,$AK839)&amp;"")</f>
        <v/>
      </c>
      <c r="AK839" s="9" t="n">
        <f aca="false">IFERROR(MATCH($AD839,'Part types'!$E:$E,0),0)</f>
        <v>583</v>
      </c>
    </row>
    <row r="840" customFormat="false" ht="15" hidden="false" customHeight="false" outlineLevel="0" collapsed="false">
      <c r="A840" s="9" t="s">
        <v>3591</v>
      </c>
      <c r="B840" s="9" t="s">
        <v>3562</v>
      </c>
      <c r="C840" s="9" t="s">
        <v>3582</v>
      </c>
      <c r="D840" s="9" t="str">
        <f aca="false">C840&amp;" - "&amp;E840</f>
        <v>Door Shell - Rear-Right</v>
      </c>
      <c r="E840" s="9" t="s">
        <v>1364</v>
      </c>
      <c r="F840" s="9" t="s">
        <v>3583</v>
      </c>
      <c r="G840" s="10" t="n">
        <f aca="false">IF($AK840=0,"",INDEX('Part types'!$P:$P,$AK840))</f>
        <v>110</v>
      </c>
      <c r="H840" s="10" t="n">
        <f aca="false">IF($AK840=0,"",INDEX('Part types'!$Q:$Q,$AK840))</f>
        <v>80</v>
      </c>
      <c r="I840" s="10" t="n">
        <f aca="false">IF($AK840=0,"",INDEX('Part types'!$R:$R,$AK840))</f>
        <v>20</v>
      </c>
      <c r="J840" s="10" t="n">
        <f aca="false">IF($AK840=0,"",INDEX('Part types'!$S:$S,$AK840))</f>
        <v>14</v>
      </c>
      <c r="K840" s="11" t="s">
        <v>3564</v>
      </c>
      <c r="L840" s="11" t="s">
        <v>3584</v>
      </c>
      <c r="M840" s="11" t="str">
        <f aca="false">L840&amp;" - "&amp;N840</f>
        <v>هيكل الباب - خلفي يمين</v>
      </c>
      <c r="N840" s="11" t="s">
        <v>1365</v>
      </c>
      <c r="O840" s="11" t="s">
        <v>3585</v>
      </c>
      <c r="P840" s="10" t="n">
        <f aca="false">G840</f>
        <v>110</v>
      </c>
      <c r="Q840" s="10" t="n">
        <f aca="false">H840</f>
        <v>80</v>
      </c>
      <c r="R840" s="10" t="n">
        <f aca="false">I840</f>
        <v>20</v>
      </c>
      <c r="S840" s="10" t="n">
        <f aca="false">J840</f>
        <v>14</v>
      </c>
      <c r="T840" s="12" t="s">
        <v>3566</v>
      </c>
      <c r="U840" s="12" t="s">
        <v>3586</v>
      </c>
      <c r="V840" s="9" t="str">
        <f aca="false">U840&amp;" - "&amp;W840</f>
        <v>车门外壳 - 后右</v>
      </c>
      <c r="W840" s="12" t="s">
        <v>1366</v>
      </c>
      <c r="X840" s="12" t="s">
        <v>3587</v>
      </c>
      <c r="Y840" s="10" t="n">
        <f aca="false">G840</f>
        <v>110</v>
      </c>
      <c r="Z840" s="10" t="n">
        <f aca="false">H840</f>
        <v>80</v>
      </c>
      <c r="AA840" s="10" t="n">
        <f aca="false">I840</f>
        <v>20</v>
      </c>
      <c r="AB840" s="10" t="n">
        <f aca="false">J840</f>
        <v>14</v>
      </c>
      <c r="AC840" s="9" t="s">
        <v>3568</v>
      </c>
      <c r="AD840" s="9" t="s">
        <v>3588</v>
      </c>
      <c r="AE840" s="9" t="str">
        <f aca="false">IF($AK840=0,"",INDEX('Part types'!$T:$T,$AK840)&amp;"")</f>
        <v>All vehicles</v>
      </c>
      <c r="AF840" s="9" t="str">
        <f aca="false">IF($AK840=0,"",INDEX('Part types'!$U:$U,$AK840)&amp;"")</f>
        <v/>
      </c>
      <c r="AG840" s="9" t="str">
        <f aca="false">IF($AK840=0,"",INDEX('Part types'!$V:$V,$AK840)&amp;"")</f>
        <v>Estimate: item-specific</v>
      </c>
      <c r="AH840" s="9" t="str">
        <f aca="false">IF($AK840=0,"",INDEX('Part types'!$W:$W,$AK840)&amp;"")</f>
        <v/>
      </c>
      <c r="AI840" s="11" t="str">
        <f aca="false">IF($AK840=0,"",INDEX('Part types'!$X:$X,$AK840)&amp;"")</f>
        <v/>
      </c>
      <c r="AJ840" s="9" t="str">
        <f aca="false">IF($AK840=0,"",INDEX('Part types'!$Y:$Y,$AK840)&amp;"")</f>
        <v/>
      </c>
      <c r="AK840" s="9" t="n">
        <f aca="false">IFERROR(MATCH($AD840,'Part types'!$E:$E,0),0)</f>
        <v>583</v>
      </c>
    </row>
    <row r="841" customFormat="false" ht="15" hidden="false" customHeight="false" outlineLevel="0" collapsed="false">
      <c r="A841" s="9" t="s">
        <v>3592</v>
      </c>
      <c r="B841" s="9" t="s">
        <v>3562</v>
      </c>
      <c r="C841" s="9" t="s">
        <v>3593</v>
      </c>
      <c r="D841" s="9" t="str">
        <f aca="false">C841&amp;" - "&amp;E841</f>
        <v>Door Assembly - Front-Left</v>
      </c>
      <c r="E841" s="9" t="s">
        <v>1346</v>
      </c>
      <c r="F841" s="9" t="s">
        <v>3583</v>
      </c>
      <c r="G841" s="10" t="n">
        <f aca="false">IF($AK841=0,"",INDEX('Part types'!$P:$P,$AK841))</f>
        <v>120</v>
      </c>
      <c r="H841" s="10" t="n">
        <f aca="false">IF($AK841=0,"",INDEX('Part types'!$Q:$Q,$AK841))</f>
        <v>85</v>
      </c>
      <c r="I841" s="10" t="n">
        <f aca="false">IF($AK841=0,"",INDEX('Part types'!$R:$R,$AK841))</f>
        <v>25</v>
      </c>
      <c r="J841" s="10" t="n">
        <f aca="false">IF($AK841=0,"",INDEX('Part types'!$S:$S,$AK841))</f>
        <v>22</v>
      </c>
      <c r="K841" s="11" t="s">
        <v>3564</v>
      </c>
      <c r="L841" s="11" t="s">
        <v>3594</v>
      </c>
      <c r="M841" s="11" t="str">
        <f aca="false">L841&amp;" - "&amp;N841</f>
        <v>باب كامل - أمامي يسار</v>
      </c>
      <c r="N841" s="11" t="s">
        <v>1349</v>
      </c>
      <c r="O841" s="11" t="s">
        <v>3585</v>
      </c>
      <c r="P841" s="10" t="n">
        <f aca="false">G841</f>
        <v>120</v>
      </c>
      <c r="Q841" s="10" t="n">
        <f aca="false">H841</f>
        <v>85</v>
      </c>
      <c r="R841" s="10" t="n">
        <f aca="false">I841</f>
        <v>25</v>
      </c>
      <c r="S841" s="10" t="n">
        <f aca="false">J841</f>
        <v>22</v>
      </c>
      <c r="T841" s="12" t="s">
        <v>3566</v>
      </c>
      <c r="U841" s="12" t="s">
        <v>3595</v>
      </c>
      <c r="V841" s="9" t="str">
        <f aca="false">U841&amp;" - "&amp;W841</f>
        <v>车门总成 - 前左</v>
      </c>
      <c r="W841" s="12" t="s">
        <v>1352</v>
      </c>
      <c r="X841" s="12" t="s">
        <v>3587</v>
      </c>
      <c r="Y841" s="10" t="n">
        <f aca="false">G841</f>
        <v>120</v>
      </c>
      <c r="Z841" s="10" t="n">
        <f aca="false">H841</f>
        <v>85</v>
      </c>
      <c r="AA841" s="10" t="n">
        <f aca="false">I841</f>
        <v>25</v>
      </c>
      <c r="AB841" s="10" t="n">
        <f aca="false">J841</f>
        <v>22</v>
      </c>
      <c r="AC841" s="9" t="s">
        <v>3568</v>
      </c>
      <c r="AD841" s="9" t="s">
        <v>3596</v>
      </c>
      <c r="AE841" s="9" t="str">
        <f aca="false">IF($AK841=0,"",INDEX('Part types'!$T:$T,$AK841)&amp;"")</f>
        <v>All vehicles</v>
      </c>
      <c r="AF841" s="9" t="str">
        <f aca="false">IF($AK841=0,"",INDEX('Part types'!$U:$U,$AK841)&amp;"")</f>
        <v/>
      </c>
      <c r="AG841" s="9" t="str">
        <f aca="false">IF($AK841=0,"",INDEX('Part types'!$V:$V,$AK841)&amp;"")</f>
        <v>Estimate: item-specific</v>
      </c>
      <c r="AH841" s="9" t="str">
        <f aca="false">IF($AK841=0,"",INDEX('Part types'!$W:$W,$AK841)&amp;"")</f>
        <v/>
      </c>
      <c r="AI841" s="11" t="str">
        <f aca="false">IF($AK841=0,"",INDEX('Part types'!$X:$X,$AK841)&amp;"")</f>
        <v/>
      </c>
      <c r="AJ841" s="9" t="str">
        <f aca="false">IF($AK841=0,"",INDEX('Part types'!$Y:$Y,$AK841)&amp;"")</f>
        <v/>
      </c>
      <c r="AK841" s="9" t="n">
        <f aca="false">IFERROR(MATCH($AD841,'Part types'!$E:$E,0),0)</f>
        <v>584</v>
      </c>
    </row>
    <row r="842" customFormat="false" ht="15" hidden="false" customHeight="false" outlineLevel="0" collapsed="false">
      <c r="A842" s="9" t="s">
        <v>3597</v>
      </c>
      <c r="B842" s="9" t="s">
        <v>3562</v>
      </c>
      <c r="C842" s="9" t="s">
        <v>3593</v>
      </c>
      <c r="D842" s="9" t="str">
        <f aca="false">C842&amp;" - "&amp;E842</f>
        <v>Door Assembly - Front-Right</v>
      </c>
      <c r="E842" s="9" t="s">
        <v>1356</v>
      </c>
      <c r="F842" s="9" t="s">
        <v>3583</v>
      </c>
      <c r="G842" s="10" t="n">
        <f aca="false">IF($AK842=0,"",INDEX('Part types'!$P:$P,$AK842))</f>
        <v>120</v>
      </c>
      <c r="H842" s="10" t="n">
        <f aca="false">IF($AK842=0,"",INDEX('Part types'!$Q:$Q,$AK842))</f>
        <v>85</v>
      </c>
      <c r="I842" s="10" t="n">
        <f aca="false">IF($AK842=0,"",INDEX('Part types'!$R:$R,$AK842))</f>
        <v>25</v>
      </c>
      <c r="J842" s="10" t="n">
        <f aca="false">IF($AK842=0,"",INDEX('Part types'!$S:$S,$AK842))</f>
        <v>22</v>
      </c>
      <c r="K842" s="11" t="s">
        <v>3564</v>
      </c>
      <c r="L842" s="11" t="s">
        <v>3594</v>
      </c>
      <c r="M842" s="11" t="str">
        <f aca="false">L842&amp;" - "&amp;N842</f>
        <v>باب كامل - أمامي يمين</v>
      </c>
      <c r="N842" s="11" t="s">
        <v>1357</v>
      </c>
      <c r="O842" s="11" t="s">
        <v>3585</v>
      </c>
      <c r="P842" s="10" t="n">
        <f aca="false">G842</f>
        <v>120</v>
      </c>
      <c r="Q842" s="10" t="n">
        <f aca="false">H842</f>
        <v>85</v>
      </c>
      <c r="R842" s="10" t="n">
        <f aca="false">I842</f>
        <v>25</v>
      </c>
      <c r="S842" s="10" t="n">
        <f aca="false">J842</f>
        <v>22</v>
      </c>
      <c r="T842" s="12" t="s">
        <v>3566</v>
      </c>
      <c r="U842" s="12" t="s">
        <v>3595</v>
      </c>
      <c r="V842" s="9" t="str">
        <f aca="false">U842&amp;" - "&amp;W842</f>
        <v>车门总成 - 前右</v>
      </c>
      <c r="W842" s="12" t="s">
        <v>1358</v>
      </c>
      <c r="X842" s="12" t="s">
        <v>3587</v>
      </c>
      <c r="Y842" s="10" t="n">
        <f aca="false">G842</f>
        <v>120</v>
      </c>
      <c r="Z842" s="10" t="n">
        <f aca="false">H842</f>
        <v>85</v>
      </c>
      <c r="AA842" s="10" t="n">
        <f aca="false">I842</f>
        <v>25</v>
      </c>
      <c r="AB842" s="10" t="n">
        <f aca="false">J842</f>
        <v>22</v>
      </c>
      <c r="AC842" s="9" t="s">
        <v>3568</v>
      </c>
      <c r="AD842" s="9" t="s">
        <v>3596</v>
      </c>
      <c r="AE842" s="9" t="str">
        <f aca="false">IF($AK842=0,"",INDEX('Part types'!$T:$T,$AK842)&amp;"")</f>
        <v>All vehicles</v>
      </c>
      <c r="AF842" s="9" t="str">
        <f aca="false">IF($AK842=0,"",INDEX('Part types'!$U:$U,$AK842)&amp;"")</f>
        <v/>
      </c>
      <c r="AG842" s="9" t="str">
        <f aca="false">IF($AK842=0,"",INDEX('Part types'!$V:$V,$AK842)&amp;"")</f>
        <v>Estimate: item-specific</v>
      </c>
      <c r="AH842" s="9" t="str">
        <f aca="false">IF($AK842=0,"",INDEX('Part types'!$W:$W,$AK842)&amp;"")</f>
        <v/>
      </c>
      <c r="AI842" s="11" t="str">
        <f aca="false">IF($AK842=0,"",INDEX('Part types'!$X:$X,$AK842)&amp;"")</f>
        <v/>
      </c>
      <c r="AJ842" s="9" t="str">
        <f aca="false">IF($AK842=0,"",INDEX('Part types'!$Y:$Y,$AK842)&amp;"")</f>
        <v/>
      </c>
      <c r="AK842" s="9" t="n">
        <f aca="false">IFERROR(MATCH($AD842,'Part types'!$E:$E,0),0)</f>
        <v>584</v>
      </c>
    </row>
    <row r="843" customFormat="false" ht="15" hidden="false" customHeight="false" outlineLevel="0" collapsed="false">
      <c r="A843" s="9" t="s">
        <v>3598</v>
      </c>
      <c r="B843" s="9" t="s">
        <v>3562</v>
      </c>
      <c r="C843" s="9" t="s">
        <v>3593</v>
      </c>
      <c r="D843" s="9" t="str">
        <f aca="false">C843&amp;" - "&amp;E843</f>
        <v>Door Assembly - Rear-Left</v>
      </c>
      <c r="E843" s="9" t="s">
        <v>1360</v>
      </c>
      <c r="F843" s="9" t="s">
        <v>3583</v>
      </c>
      <c r="G843" s="10" t="n">
        <f aca="false">IF($AK843=0,"",INDEX('Part types'!$P:$P,$AK843))</f>
        <v>120</v>
      </c>
      <c r="H843" s="10" t="n">
        <f aca="false">IF($AK843=0,"",INDEX('Part types'!$Q:$Q,$AK843))</f>
        <v>85</v>
      </c>
      <c r="I843" s="10" t="n">
        <f aca="false">IF($AK843=0,"",INDEX('Part types'!$R:$R,$AK843))</f>
        <v>25</v>
      </c>
      <c r="J843" s="10" t="n">
        <f aca="false">IF($AK843=0,"",INDEX('Part types'!$S:$S,$AK843))</f>
        <v>22</v>
      </c>
      <c r="K843" s="11" t="s">
        <v>3564</v>
      </c>
      <c r="L843" s="11" t="s">
        <v>3594</v>
      </c>
      <c r="M843" s="11" t="str">
        <f aca="false">L843&amp;" - "&amp;N843</f>
        <v>باب كامل - خلفي يسار</v>
      </c>
      <c r="N843" s="11" t="s">
        <v>1361</v>
      </c>
      <c r="O843" s="11" t="s">
        <v>3585</v>
      </c>
      <c r="P843" s="10" t="n">
        <f aca="false">G843</f>
        <v>120</v>
      </c>
      <c r="Q843" s="10" t="n">
        <f aca="false">H843</f>
        <v>85</v>
      </c>
      <c r="R843" s="10" t="n">
        <f aca="false">I843</f>
        <v>25</v>
      </c>
      <c r="S843" s="10" t="n">
        <f aca="false">J843</f>
        <v>22</v>
      </c>
      <c r="T843" s="12" t="s">
        <v>3566</v>
      </c>
      <c r="U843" s="12" t="s">
        <v>3595</v>
      </c>
      <c r="V843" s="9" t="str">
        <f aca="false">U843&amp;" - "&amp;W843</f>
        <v>车门总成 - 后左</v>
      </c>
      <c r="W843" s="12" t="s">
        <v>1362</v>
      </c>
      <c r="X843" s="12" t="s">
        <v>3587</v>
      </c>
      <c r="Y843" s="10" t="n">
        <f aca="false">G843</f>
        <v>120</v>
      </c>
      <c r="Z843" s="10" t="n">
        <f aca="false">H843</f>
        <v>85</v>
      </c>
      <c r="AA843" s="10" t="n">
        <f aca="false">I843</f>
        <v>25</v>
      </c>
      <c r="AB843" s="10" t="n">
        <f aca="false">J843</f>
        <v>22</v>
      </c>
      <c r="AC843" s="9" t="s">
        <v>3568</v>
      </c>
      <c r="AD843" s="9" t="s">
        <v>3596</v>
      </c>
      <c r="AE843" s="9" t="str">
        <f aca="false">IF($AK843=0,"",INDEX('Part types'!$T:$T,$AK843)&amp;"")</f>
        <v>All vehicles</v>
      </c>
      <c r="AF843" s="9" t="str">
        <f aca="false">IF($AK843=0,"",INDEX('Part types'!$U:$U,$AK843)&amp;"")</f>
        <v/>
      </c>
      <c r="AG843" s="9" t="str">
        <f aca="false">IF($AK843=0,"",INDEX('Part types'!$V:$V,$AK843)&amp;"")</f>
        <v>Estimate: item-specific</v>
      </c>
      <c r="AH843" s="9" t="str">
        <f aca="false">IF($AK843=0,"",INDEX('Part types'!$W:$W,$AK843)&amp;"")</f>
        <v/>
      </c>
      <c r="AI843" s="11" t="str">
        <f aca="false">IF($AK843=0,"",INDEX('Part types'!$X:$X,$AK843)&amp;"")</f>
        <v/>
      </c>
      <c r="AJ843" s="9" t="str">
        <f aca="false">IF($AK843=0,"",INDEX('Part types'!$Y:$Y,$AK843)&amp;"")</f>
        <v/>
      </c>
      <c r="AK843" s="9" t="n">
        <f aca="false">IFERROR(MATCH($AD843,'Part types'!$E:$E,0),0)</f>
        <v>584</v>
      </c>
    </row>
    <row r="844" customFormat="false" ht="15" hidden="false" customHeight="false" outlineLevel="0" collapsed="false">
      <c r="A844" s="9" t="s">
        <v>3599</v>
      </c>
      <c r="B844" s="9" t="s">
        <v>3562</v>
      </c>
      <c r="C844" s="9" t="s">
        <v>3593</v>
      </c>
      <c r="D844" s="9" t="str">
        <f aca="false">C844&amp;" - "&amp;E844</f>
        <v>Door Assembly - Rear-Right</v>
      </c>
      <c r="E844" s="9" t="s">
        <v>1364</v>
      </c>
      <c r="F844" s="9" t="s">
        <v>3583</v>
      </c>
      <c r="G844" s="10" t="n">
        <f aca="false">IF($AK844=0,"",INDEX('Part types'!$P:$P,$AK844))</f>
        <v>120</v>
      </c>
      <c r="H844" s="10" t="n">
        <f aca="false">IF($AK844=0,"",INDEX('Part types'!$Q:$Q,$AK844))</f>
        <v>85</v>
      </c>
      <c r="I844" s="10" t="n">
        <f aca="false">IF($AK844=0,"",INDEX('Part types'!$R:$R,$AK844))</f>
        <v>25</v>
      </c>
      <c r="J844" s="10" t="n">
        <f aca="false">IF($AK844=0,"",INDEX('Part types'!$S:$S,$AK844))</f>
        <v>22</v>
      </c>
      <c r="K844" s="11" t="s">
        <v>3564</v>
      </c>
      <c r="L844" s="11" t="s">
        <v>3594</v>
      </c>
      <c r="M844" s="11" t="str">
        <f aca="false">L844&amp;" - "&amp;N844</f>
        <v>باب كامل - خلفي يمين</v>
      </c>
      <c r="N844" s="11" t="s">
        <v>1365</v>
      </c>
      <c r="O844" s="11" t="s">
        <v>3585</v>
      </c>
      <c r="P844" s="10" t="n">
        <f aca="false">G844</f>
        <v>120</v>
      </c>
      <c r="Q844" s="10" t="n">
        <f aca="false">H844</f>
        <v>85</v>
      </c>
      <c r="R844" s="10" t="n">
        <f aca="false">I844</f>
        <v>25</v>
      </c>
      <c r="S844" s="10" t="n">
        <f aca="false">J844</f>
        <v>22</v>
      </c>
      <c r="T844" s="12" t="s">
        <v>3566</v>
      </c>
      <c r="U844" s="12" t="s">
        <v>3595</v>
      </c>
      <c r="V844" s="9" t="str">
        <f aca="false">U844&amp;" - "&amp;W844</f>
        <v>车门总成 - 后右</v>
      </c>
      <c r="W844" s="12" t="s">
        <v>1366</v>
      </c>
      <c r="X844" s="12" t="s">
        <v>3587</v>
      </c>
      <c r="Y844" s="10" t="n">
        <f aca="false">G844</f>
        <v>120</v>
      </c>
      <c r="Z844" s="10" t="n">
        <f aca="false">H844</f>
        <v>85</v>
      </c>
      <c r="AA844" s="10" t="n">
        <f aca="false">I844</f>
        <v>25</v>
      </c>
      <c r="AB844" s="10" t="n">
        <f aca="false">J844</f>
        <v>22</v>
      </c>
      <c r="AC844" s="9" t="s">
        <v>3568</v>
      </c>
      <c r="AD844" s="9" t="s">
        <v>3596</v>
      </c>
      <c r="AE844" s="9" t="str">
        <f aca="false">IF($AK844=0,"",INDEX('Part types'!$T:$T,$AK844)&amp;"")</f>
        <v>All vehicles</v>
      </c>
      <c r="AF844" s="9" t="str">
        <f aca="false">IF($AK844=0,"",INDEX('Part types'!$U:$U,$AK844)&amp;"")</f>
        <v/>
      </c>
      <c r="AG844" s="9" t="str">
        <f aca="false">IF($AK844=0,"",INDEX('Part types'!$V:$V,$AK844)&amp;"")</f>
        <v>Estimate: item-specific</v>
      </c>
      <c r="AH844" s="9" t="str">
        <f aca="false">IF($AK844=0,"",INDEX('Part types'!$W:$W,$AK844)&amp;"")</f>
        <v/>
      </c>
      <c r="AI844" s="11" t="str">
        <f aca="false">IF($AK844=0,"",INDEX('Part types'!$X:$X,$AK844)&amp;"")</f>
        <v/>
      </c>
      <c r="AJ844" s="9" t="str">
        <f aca="false">IF($AK844=0,"",INDEX('Part types'!$Y:$Y,$AK844)&amp;"")</f>
        <v/>
      </c>
      <c r="AK844" s="9" t="n">
        <f aca="false">IFERROR(MATCH($AD844,'Part types'!$E:$E,0),0)</f>
        <v>584</v>
      </c>
    </row>
    <row r="845" customFormat="false" ht="15" hidden="false" customHeight="false" outlineLevel="0" collapsed="false">
      <c r="A845" s="9" t="s">
        <v>3600</v>
      </c>
      <c r="B845" s="9" t="s">
        <v>3562</v>
      </c>
      <c r="C845" s="9" t="s">
        <v>3601</v>
      </c>
      <c r="D845" s="9" t="str">
        <f aca="false">C845&amp;" - "&amp;E845</f>
        <v>Door Hinge - Front-Left</v>
      </c>
      <c r="E845" s="9" t="s">
        <v>1346</v>
      </c>
      <c r="F845" s="9" t="s">
        <v>3602</v>
      </c>
      <c r="G845" s="10" t="n">
        <f aca="false">IF($AK845=0,"",INDEX('Part types'!$P:$P,$AK845))</f>
        <v>15</v>
      </c>
      <c r="H845" s="10" t="n">
        <f aca="false">IF($AK845=0,"",INDEX('Part types'!$Q:$Q,$AK845))</f>
        <v>10</v>
      </c>
      <c r="I845" s="10" t="n">
        <f aca="false">IF($AK845=0,"",INDEX('Part types'!$R:$R,$AK845))</f>
        <v>8</v>
      </c>
      <c r="J845" s="10" t="n">
        <f aca="false">IF($AK845=0,"",INDEX('Part types'!$S:$S,$AK845))</f>
        <v>0.3</v>
      </c>
      <c r="K845" s="11" t="s">
        <v>3564</v>
      </c>
      <c r="L845" s="11" t="s">
        <v>3603</v>
      </c>
      <c r="M845" s="11" t="str">
        <f aca="false">L845&amp;" - "&amp;N845</f>
        <v>مفصلة الباب - أمامي يسار</v>
      </c>
      <c r="N845" s="11" t="s">
        <v>1349</v>
      </c>
      <c r="O845" s="11" t="s">
        <v>3604</v>
      </c>
      <c r="P845" s="10" t="n">
        <f aca="false">G845</f>
        <v>15</v>
      </c>
      <c r="Q845" s="10" t="n">
        <f aca="false">H845</f>
        <v>10</v>
      </c>
      <c r="R845" s="10" t="n">
        <f aca="false">I845</f>
        <v>8</v>
      </c>
      <c r="S845" s="10" t="n">
        <f aca="false">J845</f>
        <v>0.3</v>
      </c>
      <c r="T845" s="12" t="s">
        <v>3566</v>
      </c>
      <c r="U845" s="12" t="s">
        <v>3605</v>
      </c>
      <c r="V845" s="9" t="str">
        <f aca="false">U845&amp;" - "&amp;W845</f>
        <v>车门铰链 - 前左</v>
      </c>
      <c r="W845" s="12" t="s">
        <v>1352</v>
      </c>
      <c r="X845" s="12" t="s">
        <v>3606</v>
      </c>
      <c r="Y845" s="10" t="n">
        <f aca="false">G845</f>
        <v>15</v>
      </c>
      <c r="Z845" s="10" t="n">
        <f aca="false">H845</f>
        <v>10</v>
      </c>
      <c r="AA845" s="10" t="n">
        <f aca="false">I845</f>
        <v>8</v>
      </c>
      <c r="AB845" s="10" t="n">
        <f aca="false">J845</f>
        <v>0.3</v>
      </c>
      <c r="AC845" s="9" t="s">
        <v>3568</v>
      </c>
      <c r="AD845" s="9" t="s">
        <v>3607</v>
      </c>
      <c r="AE845" s="9" t="str">
        <f aca="false">IF($AK845=0,"",INDEX('Part types'!$T:$T,$AK845)&amp;"")</f>
        <v>All vehicles</v>
      </c>
      <c r="AF845" s="9" t="str">
        <f aca="false">IF($AK845=0,"",INDEX('Part types'!$U:$U,$AK845)&amp;"")</f>
        <v/>
      </c>
      <c r="AG845" s="9" t="str">
        <f aca="false">IF($AK845=0,"",INDEX('Part types'!$V:$V,$AK845)&amp;"")</f>
        <v>Estimate: size class S</v>
      </c>
      <c r="AH845" s="9" t="str">
        <f aca="false">IF($AK845=0,"",INDEX('Part types'!$W:$W,$AK845)&amp;"")</f>
        <v/>
      </c>
      <c r="AI845" s="11" t="str">
        <f aca="false">IF($AK845=0,"",INDEX('Part types'!$X:$X,$AK845)&amp;"")</f>
        <v/>
      </c>
      <c r="AJ845" s="9" t="str">
        <f aca="false">IF($AK845=0,"",INDEX('Part types'!$Y:$Y,$AK845)&amp;"")</f>
        <v/>
      </c>
      <c r="AK845" s="9" t="n">
        <f aca="false">IFERROR(MATCH($AD845,'Part types'!$E:$E,0),0)</f>
        <v>585</v>
      </c>
    </row>
    <row r="846" customFormat="false" ht="15" hidden="false" customHeight="false" outlineLevel="0" collapsed="false">
      <c r="A846" s="9" t="s">
        <v>3608</v>
      </c>
      <c r="B846" s="9" t="s">
        <v>3562</v>
      </c>
      <c r="C846" s="9" t="s">
        <v>3601</v>
      </c>
      <c r="D846" s="9" t="str">
        <f aca="false">C846&amp;" - "&amp;E846</f>
        <v>Door Hinge - Front-Right</v>
      </c>
      <c r="E846" s="9" t="s">
        <v>1356</v>
      </c>
      <c r="F846" s="9" t="s">
        <v>3602</v>
      </c>
      <c r="G846" s="10" t="n">
        <f aca="false">IF($AK846=0,"",INDEX('Part types'!$P:$P,$AK846))</f>
        <v>15</v>
      </c>
      <c r="H846" s="10" t="n">
        <f aca="false">IF($AK846=0,"",INDEX('Part types'!$Q:$Q,$AK846))</f>
        <v>10</v>
      </c>
      <c r="I846" s="10" t="n">
        <f aca="false">IF($AK846=0,"",INDEX('Part types'!$R:$R,$AK846))</f>
        <v>8</v>
      </c>
      <c r="J846" s="10" t="n">
        <f aca="false">IF($AK846=0,"",INDEX('Part types'!$S:$S,$AK846))</f>
        <v>0.3</v>
      </c>
      <c r="K846" s="11" t="s">
        <v>3564</v>
      </c>
      <c r="L846" s="11" t="s">
        <v>3603</v>
      </c>
      <c r="M846" s="11" t="str">
        <f aca="false">L846&amp;" - "&amp;N846</f>
        <v>مفصلة الباب - أمامي يمين</v>
      </c>
      <c r="N846" s="11" t="s">
        <v>1357</v>
      </c>
      <c r="O846" s="11" t="s">
        <v>3604</v>
      </c>
      <c r="P846" s="10" t="n">
        <f aca="false">G846</f>
        <v>15</v>
      </c>
      <c r="Q846" s="10" t="n">
        <f aca="false">H846</f>
        <v>10</v>
      </c>
      <c r="R846" s="10" t="n">
        <f aca="false">I846</f>
        <v>8</v>
      </c>
      <c r="S846" s="10" t="n">
        <f aca="false">J846</f>
        <v>0.3</v>
      </c>
      <c r="T846" s="12" t="s">
        <v>3566</v>
      </c>
      <c r="U846" s="12" t="s">
        <v>3605</v>
      </c>
      <c r="V846" s="9" t="str">
        <f aca="false">U846&amp;" - "&amp;W846</f>
        <v>车门铰链 - 前右</v>
      </c>
      <c r="W846" s="12" t="s">
        <v>1358</v>
      </c>
      <c r="X846" s="12" t="s">
        <v>3606</v>
      </c>
      <c r="Y846" s="10" t="n">
        <f aca="false">G846</f>
        <v>15</v>
      </c>
      <c r="Z846" s="10" t="n">
        <f aca="false">H846</f>
        <v>10</v>
      </c>
      <c r="AA846" s="10" t="n">
        <f aca="false">I846</f>
        <v>8</v>
      </c>
      <c r="AB846" s="10" t="n">
        <f aca="false">J846</f>
        <v>0.3</v>
      </c>
      <c r="AC846" s="9" t="s">
        <v>3568</v>
      </c>
      <c r="AD846" s="9" t="s">
        <v>3607</v>
      </c>
      <c r="AE846" s="9" t="str">
        <f aca="false">IF($AK846=0,"",INDEX('Part types'!$T:$T,$AK846)&amp;"")</f>
        <v>All vehicles</v>
      </c>
      <c r="AF846" s="9" t="str">
        <f aca="false">IF($AK846=0,"",INDEX('Part types'!$U:$U,$AK846)&amp;"")</f>
        <v/>
      </c>
      <c r="AG846" s="9" t="str">
        <f aca="false">IF($AK846=0,"",INDEX('Part types'!$V:$V,$AK846)&amp;"")</f>
        <v>Estimate: size class S</v>
      </c>
      <c r="AH846" s="9" t="str">
        <f aca="false">IF($AK846=0,"",INDEX('Part types'!$W:$W,$AK846)&amp;"")</f>
        <v/>
      </c>
      <c r="AI846" s="11" t="str">
        <f aca="false">IF($AK846=0,"",INDEX('Part types'!$X:$X,$AK846)&amp;"")</f>
        <v/>
      </c>
      <c r="AJ846" s="9" t="str">
        <f aca="false">IF($AK846=0,"",INDEX('Part types'!$Y:$Y,$AK846)&amp;"")</f>
        <v/>
      </c>
      <c r="AK846" s="9" t="n">
        <f aca="false">IFERROR(MATCH($AD846,'Part types'!$E:$E,0),0)</f>
        <v>585</v>
      </c>
    </row>
    <row r="847" customFormat="false" ht="15" hidden="false" customHeight="false" outlineLevel="0" collapsed="false">
      <c r="A847" s="9" t="s">
        <v>3609</v>
      </c>
      <c r="B847" s="9" t="s">
        <v>3562</v>
      </c>
      <c r="C847" s="9" t="s">
        <v>3601</v>
      </c>
      <c r="D847" s="9" t="str">
        <f aca="false">C847&amp;" - "&amp;E847</f>
        <v>Door Hinge - Rear-Left</v>
      </c>
      <c r="E847" s="9" t="s">
        <v>1360</v>
      </c>
      <c r="F847" s="9" t="s">
        <v>3602</v>
      </c>
      <c r="G847" s="10" t="n">
        <f aca="false">IF($AK847=0,"",INDEX('Part types'!$P:$P,$AK847))</f>
        <v>15</v>
      </c>
      <c r="H847" s="10" t="n">
        <f aca="false">IF($AK847=0,"",INDEX('Part types'!$Q:$Q,$AK847))</f>
        <v>10</v>
      </c>
      <c r="I847" s="10" t="n">
        <f aca="false">IF($AK847=0,"",INDEX('Part types'!$R:$R,$AK847))</f>
        <v>8</v>
      </c>
      <c r="J847" s="10" t="n">
        <f aca="false">IF($AK847=0,"",INDEX('Part types'!$S:$S,$AK847))</f>
        <v>0.3</v>
      </c>
      <c r="K847" s="11" t="s">
        <v>3564</v>
      </c>
      <c r="L847" s="11" t="s">
        <v>3603</v>
      </c>
      <c r="M847" s="11" t="str">
        <f aca="false">L847&amp;" - "&amp;N847</f>
        <v>مفصلة الباب - خلفي يسار</v>
      </c>
      <c r="N847" s="11" t="s">
        <v>1361</v>
      </c>
      <c r="O847" s="11" t="s">
        <v>3604</v>
      </c>
      <c r="P847" s="10" t="n">
        <f aca="false">G847</f>
        <v>15</v>
      </c>
      <c r="Q847" s="10" t="n">
        <f aca="false">H847</f>
        <v>10</v>
      </c>
      <c r="R847" s="10" t="n">
        <f aca="false">I847</f>
        <v>8</v>
      </c>
      <c r="S847" s="10" t="n">
        <f aca="false">J847</f>
        <v>0.3</v>
      </c>
      <c r="T847" s="12" t="s">
        <v>3566</v>
      </c>
      <c r="U847" s="12" t="s">
        <v>3605</v>
      </c>
      <c r="V847" s="9" t="str">
        <f aca="false">U847&amp;" - "&amp;W847</f>
        <v>车门铰链 - 后左</v>
      </c>
      <c r="W847" s="12" t="s">
        <v>1362</v>
      </c>
      <c r="X847" s="12" t="s">
        <v>3606</v>
      </c>
      <c r="Y847" s="10" t="n">
        <f aca="false">G847</f>
        <v>15</v>
      </c>
      <c r="Z847" s="10" t="n">
        <f aca="false">H847</f>
        <v>10</v>
      </c>
      <c r="AA847" s="10" t="n">
        <f aca="false">I847</f>
        <v>8</v>
      </c>
      <c r="AB847" s="10" t="n">
        <f aca="false">J847</f>
        <v>0.3</v>
      </c>
      <c r="AC847" s="9" t="s">
        <v>3568</v>
      </c>
      <c r="AD847" s="9" t="s">
        <v>3607</v>
      </c>
      <c r="AE847" s="9" t="str">
        <f aca="false">IF($AK847=0,"",INDEX('Part types'!$T:$T,$AK847)&amp;"")</f>
        <v>All vehicles</v>
      </c>
      <c r="AF847" s="9" t="str">
        <f aca="false">IF($AK847=0,"",INDEX('Part types'!$U:$U,$AK847)&amp;"")</f>
        <v/>
      </c>
      <c r="AG847" s="9" t="str">
        <f aca="false">IF($AK847=0,"",INDEX('Part types'!$V:$V,$AK847)&amp;"")</f>
        <v>Estimate: size class S</v>
      </c>
      <c r="AH847" s="9" t="str">
        <f aca="false">IF($AK847=0,"",INDEX('Part types'!$W:$W,$AK847)&amp;"")</f>
        <v/>
      </c>
      <c r="AI847" s="11" t="str">
        <f aca="false">IF($AK847=0,"",INDEX('Part types'!$X:$X,$AK847)&amp;"")</f>
        <v/>
      </c>
      <c r="AJ847" s="9" t="str">
        <f aca="false">IF($AK847=0,"",INDEX('Part types'!$Y:$Y,$AK847)&amp;"")</f>
        <v/>
      </c>
      <c r="AK847" s="9" t="n">
        <f aca="false">IFERROR(MATCH($AD847,'Part types'!$E:$E,0),0)</f>
        <v>585</v>
      </c>
    </row>
    <row r="848" customFormat="false" ht="15" hidden="false" customHeight="false" outlineLevel="0" collapsed="false">
      <c r="A848" s="9" t="s">
        <v>3610</v>
      </c>
      <c r="B848" s="9" t="s">
        <v>3562</v>
      </c>
      <c r="C848" s="9" t="s">
        <v>3601</v>
      </c>
      <c r="D848" s="9" t="str">
        <f aca="false">C848&amp;" - "&amp;E848</f>
        <v>Door Hinge - Rear-Right</v>
      </c>
      <c r="E848" s="9" t="s">
        <v>1364</v>
      </c>
      <c r="F848" s="9" t="s">
        <v>3602</v>
      </c>
      <c r="G848" s="10" t="n">
        <f aca="false">IF($AK848=0,"",INDEX('Part types'!$P:$P,$AK848))</f>
        <v>15</v>
      </c>
      <c r="H848" s="10" t="n">
        <f aca="false">IF($AK848=0,"",INDEX('Part types'!$Q:$Q,$AK848))</f>
        <v>10</v>
      </c>
      <c r="I848" s="10" t="n">
        <f aca="false">IF($AK848=0,"",INDEX('Part types'!$R:$R,$AK848))</f>
        <v>8</v>
      </c>
      <c r="J848" s="10" t="n">
        <f aca="false">IF($AK848=0,"",INDEX('Part types'!$S:$S,$AK848))</f>
        <v>0.3</v>
      </c>
      <c r="K848" s="11" t="s">
        <v>3564</v>
      </c>
      <c r="L848" s="11" t="s">
        <v>3603</v>
      </c>
      <c r="M848" s="11" t="str">
        <f aca="false">L848&amp;" - "&amp;N848</f>
        <v>مفصلة الباب - خلفي يمين</v>
      </c>
      <c r="N848" s="11" t="s">
        <v>1365</v>
      </c>
      <c r="O848" s="11" t="s">
        <v>3604</v>
      </c>
      <c r="P848" s="10" t="n">
        <f aca="false">G848</f>
        <v>15</v>
      </c>
      <c r="Q848" s="10" t="n">
        <f aca="false">H848</f>
        <v>10</v>
      </c>
      <c r="R848" s="10" t="n">
        <f aca="false">I848</f>
        <v>8</v>
      </c>
      <c r="S848" s="10" t="n">
        <f aca="false">J848</f>
        <v>0.3</v>
      </c>
      <c r="T848" s="12" t="s">
        <v>3566</v>
      </c>
      <c r="U848" s="12" t="s">
        <v>3605</v>
      </c>
      <c r="V848" s="9" t="str">
        <f aca="false">U848&amp;" - "&amp;W848</f>
        <v>车门铰链 - 后右</v>
      </c>
      <c r="W848" s="12" t="s">
        <v>1366</v>
      </c>
      <c r="X848" s="12" t="s">
        <v>3606</v>
      </c>
      <c r="Y848" s="10" t="n">
        <f aca="false">G848</f>
        <v>15</v>
      </c>
      <c r="Z848" s="10" t="n">
        <f aca="false">H848</f>
        <v>10</v>
      </c>
      <c r="AA848" s="10" t="n">
        <f aca="false">I848</f>
        <v>8</v>
      </c>
      <c r="AB848" s="10" t="n">
        <f aca="false">J848</f>
        <v>0.3</v>
      </c>
      <c r="AC848" s="9" t="s">
        <v>3568</v>
      </c>
      <c r="AD848" s="9" t="s">
        <v>3607</v>
      </c>
      <c r="AE848" s="9" t="str">
        <f aca="false">IF($AK848=0,"",INDEX('Part types'!$T:$T,$AK848)&amp;"")</f>
        <v>All vehicles</v>
      </c>
      <c r="AF848" s="9" t="str">
        <f aca="false">IF($AK848=0,"",INDEX('Part types'!$U:$U,$AK848)&amp;"")</f>
        <v/>
      </c>
      <c r="AG848" s="9" t="str">
        <f aca="false">IF($AK848=0,"",INDEX('Part types'!$V:$V,$AK848)&amp;"")</f>
        <v>Estimate: size class S</v>
      </c>
      <c r="AH848" s="9" t="str">
        <f aca="false">IF($AK848=0,"",INDEX('Part types'!$W:$W,$AK848)&amp;"")</f>
        <v/>
      </c>
      <c r="AI848" s="11" t="str">
        <f aca="false">IF($AK848=0,"",INDEX('Part types'!$X:$X,$AK848)&amp;"")</f>
        <v/>
      </c>
      <c r="AJ848" s="9" t="str">
        <f aca="false">IF($AK848=0,"",INDEX('Part types'!$Y:$Y,$AK848)&amp;"")</f>
        <v/>
      </c>
      <c r="AK848" s="9" t="n">
        <f aca="false">IFERROR(MATCH($AD848,'Part types'!$E:$E,0),0)</f>
        <v>585</v>
      </c>
    </row>
    <row r="849" customFormat="false" ht="15" hidden="false" customHeight="false" outlineLevel="0" collapsed="false">
      <c r="A849" s="9" t="s">
        <v>3611</v>
      </c>
      <c r="B849" s="9" t="s">
        <v>3562</v>
      </c>
      <c r="C849" s="9" t="s">
        <v>3612</v>
      </c>
      <c r="D849" s="9" t="str">
        <f aca="false">C849&amp;" - "&amp;E849</f>
        <v>Door Check Strap - Front-Left</v>
      </c>
      <c r="E849" s="9" t="s">
        <v>1346</v>
      </c>
      <c r="F849" s="9" t="s">
        <v>3602</v>
      </c>
      <c r="G849" s="10" t="n">
        <f aca="false">IF($AK849=0,"",INDEX('Part types'!$P:$P,$AK849))</f>
        <v>25</v>
      </c>
      <c r="H849" s="10" t="n">
        <f aca="false">IF($AK849=0,"",INDEX('Part types'!$Q:$Q,$AK849))</f>
        <v>15</v>
      </c>
      <c r="I849" s="10" t="n">
        <f aca="false">IF($AK849=0,"",INDEX('Part types'!$R:$R,$AK849))</f>
        <v>10</v>
      </c>
      <c r="J849" s="10" t="n">
        <f aca="false">IF($AK849=0,"",INDEX('Part types'!$S:$S,$AK849))</f>
        <v>0.9</v>
      </c>
      <c r="K849" s="11" t="s">
        <v>3564</v>
      </c>
      <c r="L849" s="11" t="s">
        <v>3613</v>
      </c>
      <c r="M849" s="11" t="str">
        <f aca="false">L849&amp;" - "&amp;N849</f>
        <v>مثبت الباب - أمامي يسار</v>
      </c>
      <c r="N849" s="11" t="s">
        <v>1349</v>
      </c>
      <c r="O849" s="11" t="s">
        <v>3604</v>
      </c>
      <c r="P849" s="10" t="n">
        <f aca="false">G849</f>
        <v>25</v>
      </c>
      <c r="Q849" s="10" t="n">
        <f aca="false">H849</f>
        <v>15</v>
      </c>
      <c r="R849" s="10" t="n">
        <f aca="false">I849</f>
        <v>10</v>
      </c>
      <c r="S849" s="10" t="n">
        <f aca="false">J849</f>
        <v>0.9</v>
      </c>
      <c r="T849" s="12" t="s">
        <v>3566</v>
      </c>
      <c r="U849" s="12" t="s">
        <v>3614</v>
      </c>
      <c r="V849" s="9" t="str">
        <f aca="false">U849&amp;" - "&amp;W849</f>
        <v>车门限位器 - 前左</v>
      </c>
      <c r="W849" s="12" t="s">
        <v>1352</v>
      </c>
      <c r="X849" s="12" t="s">
        <v>3606</v>
      </c>
      <c r="Y849" s="10" t="n">
        <f aca="false">G849</f>
        <v>25</v>
      </c>
      <c r="Z849" s="10" t="n">
        <f aca="false">H849</f>
        <v>15</v>
      </c>
      <c r="AA849" s="10" t="n">
        <f aca="false">I849</f>
        <v>10</v>
      </c>
      <c r="AB849" s="10" t="n">
        <f aca="false">J849</f>
        <v>0.9</v>
      </c>
      <c r="AC849" s="9" t="s">
        <v>3568</v>
      </c>
      <c r="AD849" s="9" t="s">
        <v>3615</v>
      </c>
      <c r="AE849" s="9" t="str">
        <f aca="false">IF($AK849=0,"",INDEX('Part types'!$T:$T,$AK849)&amp;"")</f>
        <v>All vehicles</v>
      </c>
      <c r="AF849" s="9" t="str">
        <f aca="false">IF($AK849=0,"",INDEX('Part types'!$U:$U,$AK849)&amp;"")</f>
        <v/>
      </c>
      <c r="AG849" s="9" t="str">
        <f aca="false">IF($AK849=0,"",INDEX('Part types'!$V:$V,$AK849)&amp;"")</f>
        <v>Estimate: size class M</v>
      </c>
      <c r="AH849" s="9" t="str">
        <f aca="false">IF($AK849=0,"",INDEX('Part types'!$W:$W,$AK849)&amp;"")</f>
        <v/>
      </c>
      <c r="AI849" s="11" t="str">
        <f aca="false">IF($AK849=0,"",INDEX('Part types'!$X:$X,$AK849)&amp;"")</f>
        <v>ستوبر</v>
      </c>
      <c r="AJ849" s="9" t="str">
        <f aca="false">IF($AK849=0,"",INDEX('Part types'!$Y:$Y,$AK849)&amp;"")</f>
        <v/>
      </c>
      <c r="AK849" s="9" t="n">
        <f aca="false">IFERROR(MATCH($AD849,'Part types'!$E:$E,0),0)</f>
        <v>586</v>
      </c>
    </row>
    <row r="850" customFormat="false" ht="15" hidden="false" customHeight="false" outlineLevel="0" collapsed="false">
      <c r="A850" s="9" t="s">
        <v>3616</v>
      </c>
      <c r="B850" s="9" t="s">
        <v>3562</v>
      </c>
      <c r="C850" s="9" t="s">
        <v>3612</v>
      </c>
      <c r="D850" s="9" t="str">
        <f aca="false">C850&amp;" - "&amp;E850</f>
        <v>Door Check Strap - Front-Right</v>
      </c>
      <c r="E850" s="9" t="s">
        <v>1356</v>
      </c>
      <c r="F850" s="9" t="s">
        <v>3602</v>
      </c>
      <c r="G850" s="10" t="n">
        <f aca="false">IF($AK850=0,"",INDEX('Part types'!$P:$P,$AK850))</f>
        <v>25</v>
      </c>
      <c r="H850" s="10" t="n">
        <f aca="false">IF($AK850=0,"",INDEX('Part types'!$Q:$Q,$AK850))</f>
        <v>15</v>
      </c>
      <c r="I850" s="10" t="n">
        <f aca="false">IF($AK850=0,"",INDEX('Part types'!$R:$R,$AK850))</f>
        <v>10</v>
      </c>
      <c r="J850" s="10" t="n">
        <f aca="false">IF($AK850=0,"",INDEX('Part types'!$S:$S,$AK850))</f>
        <v>0.9</v>
      </c>
      <c r="K850" s="11" t="s">
        <v>3564</v>
      </c>
      <c r="L850" s="11" t="s">
        <v>3613</v>
      </c>
      <c r="M850" s="11" t="str">
        <f aca="false">L850&amp;" - "&amp;N850</f>
        <v>مثبت الباب - أمامي يمين</v>
      </c>
      <c r="N850" s="11" t="s">
        <v>1357</v>
      </c>
      <c r="O850" s="11" t="s">
        <v>3604</v>
      </c>
      <c r="P850" s="10" t="n">
        <f aca="false">G850</f>
        <v>25</v>
      </c>
      <c r="Q850" s="10" t="n">
        <f aca="false">H850</f>
        <v>15</v>
      </c>
      <c r="R850" s="10" t="n">
        <f aca="false">I850</f>
        <v>10</v>
      </c>
      <c r="S850" s="10" t="n">
        <f aca="false">J850</f>
        <v>0.9</v>
      </c>
      <c r="T850" s="12" t="s">
        <v>3566</v>
      </c>
      <c r="U850" s="12" t="s">
        <v>3614</v>
      </c>
      <c r="V850" s="9" t="str">
        <f aca="false">U850&amp;" - "&amp;W850</f>
        <v>车门限位器 - 前右</v>
      </c>
      <c r="W850" s="12" t="s">
        <v>1358</v>
      </c>
      <c r="X850" s="12" t="s">
        <v>3606</v>
      </c>
      <c r="Y850" s="10" t="n">
        <f aca="false">G850</f>
        <v>25</v>
      </c>
      <c r="Z850" s="10" t="n">
        <f aca="false">H850</f>
        <v>15</v>
      </c>
      <c r="AA850" s="10" t="n">
        <f aca="false">I850</f>
        <v>10</v>
      </c>
      <c r="AB850" s="10" t="n">
        <f aca="false">J850</f>
        <v>0.9</v>
      </c>
      <c r="AC850" s="9" t="s">
        <v>3568</v>
      </c>
      <c r="AD850" s="9" t="s">
        <v>3615</v>
      </c>
      <c r="AE850" s="9" t="str">
        <f aca="false">IF($AK850=0,"",INDEX('Part types'!$T:$T,$AK850)&amp;"")</f>
        <v>All vehicles</v>
      </c>
      <c r="AF850" s="9" t="str">
        <f aca="false">IF($AK850=0,"",INDEX('Part types'!$U:$U,$AK850)&amp;"")</f>
        <v/>
      </c>
      <c r="AG850" s="9" t="str">
        <f aca="false">IF($AK850=0,"",INDEX('Part types'!$V:$V,$AK850)&amp;"")</f>
        <v>Estimate: size class M</v>
      </c>
      <c r="AH850" s="9" t="str">
        <f aca="false">IF($AK850=0,"",INDEX('Part types'!$W:$W,$AK850)&amp;"")</f>
        <v/>
      </c>
      <c r="AI850" s="11" t="str">
        <f aca="false">IF($AK850=0,"",INDEX('Part types'!$X:$X,$AK850)&amp;"")</f>
        <v>ستوبر</v>
      </c>
      <c r="AJ850" s="9" t="str">
        <f aca="false">IF($AK850=0,"",INDEX('Part types'!$Y:$Y,$AK850)&amp;"")</f>
        <v/>
      </c>
      <c r="AK850" s="9" t="n">
        <f aca="false">IFERROR(MATCH($AD850,'Part types'!$E:$E,0),0)</f>
        <v>586</v>
      </c>
    </row>
    <row r="851" customFormat="false" ht="15" hidden="false" customHeight="false" outlineLevel="0" collapsed="false">
      <c r="A851" s="9" t="s">
        <v>3617</v>
      </c>
      <c r="B851" s="9" t="s">
        <v>3562</v>
      </c>
      <c r="C851" s="9" t="s">
        <v>3612</v>
      </c>
      <c r="D851" s="9" t="str">
        <f aca="false">C851&amp;" - "&amp;E851</f>
        <v>Door Check Strap - Rear-Left</v>
      </c>
      <c r="E851" s="9" t="s">
        <v>1360</v>
      </c>
      <c r="F851" s="9" t="s">
        <v>3602</v>
      </c>
      <c r="G851" s="10" t="n">
        <f aca="false">IF($AK851=0,"",INDEX('Part types'!$P:$P,$AK851))</f>
        <v>25</v>
      </c>
      <c r="H851" s="10" t="n">
        <f aca="false">IF($AK851=0,"",INDEX('Part types'!$Q:$Q,$AK851))</f>
        <v>15</v>
      </c>
      <c r="I851" s="10" t="n">
        <f aca="false">IF($AK851=0,"",INDEX('Part types'!$R:$R,$AK851))</f>
        <v>10</v>
      </c>
      <c r="J851" s="10" t="n">
        <f aca="false">IF($AK851=0,"",INDEX('Part types'!$S:$S,$AK851))</f>
        <v>0.9</v>
      </c>
      <c r="K851" s="11" t="s">
        <v>3564</v>
      </c>
      <c r="L851" s="11" t="s">
        <v>3613</v>
      </c>
      <c r="M851" s="11" t="str">
        <f aca="false">L851&amp;" - "&amp;N851</f>
        <v>مثبت الباب - خلفي يسار</v>
      </c>
      <c r="N851" s="11" t="s">
        <v>1361</v>
      </c>
      <c r="O851" s="11" t="s">
        <v>3604</v>
      </c>
      <c r="P851" s="10" t="n">
        <f aca="false">G851</f>
        <v>25</v>
      </c>
      <c r="Q851" s="10" t="n">
        <f aca="false">H851</f>
        <v>15</v>
      </c>
      <c r="R851" s="10" t="n">
        <f aca="false">I851</f>
        <v>10</v>
      </c>
      <c r="S851" s="10" t="n">
        <f aca="false">J851</f>
        <v>0.9</v>
      </c>
      <c r="T851" s="12" t="s">
        <v>3566</v>
      </c>
      <c r="U851" s="12" t="s">
        <v>3614</v>
      </c>
      <c r="V851" s="9" t="str">
        <f aca="false">U851&amp;" - "&amp;W851</f>
        <v>车门限位器 - 后左</v>
      </c>
      <c r="W851" s="12" t="s">
        <v>1362</v>
      </c>
      <c r="X851" s="12" t="s">
        <v>3606</v>
      </c>
      <c r="Y851" s="10" t="n">
        <f aca="false">G851</f>
        <v>25</v>
      </c>
      <c r="Z851" s="10" t="n">
        <f aca="false">H851</f>
        <v>15</v>
      </c>
      <c r="AA851" s="10" t="n">
        <f aca="false">I851</f>
        <v>10</v>
      </c>
      <c r="AB851" s="10" t="n">
        <f aca="false">J851</f>
        <v>0.9</v>
      </c>
      <c r="AC851" s="9" t="s">
        <v>3568</v>
      </c>
      <c r="AD851" s="9" t="s">
        <v>3615</v>
      </c>
      <c r="AE851" s="9" t="str">
        <f aca="false">IF($AK851=0,"",INDEX('Part types'!$T:$T,$AK851)&amp;"")</f>
        <v>All vehicles</v>
      </c>
      <c r="AF851" s="9" t="str">
        <f aca="false">IF($AK851=0,"",INDEX('Part types'!$U:$U,$AK851)&amp;"")</f>
        <v/>
      </c>
      <c r="AG851" s="9" t="str">
        <f aca="false">IF($AK851=0,"",INDEX('Part types'!$V:$V,$AK851)&amp;"")</f>
        <v>Estimate: size class M</v>
      </c>
      <c r="AH851" s="9" t="str">
        <f aca="false">IF($AK851=0,"",INDEX('Part types'!$W:$W,$AK851)&amp;"")</f>
        <v/>
      </c>
      <c r="AI851" s="11" t="str">
        <f aca="false">IF($AK851=0,"",INDEX('Part types'!$X:$X,$AK851)&amp;"")</f>
        <v>ستوبر</v>
      </c>
      <c r="AJ851" s="9" t="str">
        <f aca="false">IF($AK851=0,"",INDEX('Part types'!$Y:$Y,$AK851)&amp;"")</f>
        <v/>
      </c>
      <c r="AK851" s="9" t="n">
        <f aca="false">IFERROR(MATCH($AD851,'Part types'!$E:$E,0),0)</f>
        <v>586</v>
      </c>
    </row>
    <row r="852" customFormat="false" ht="15" hidden="false" customHeight="false" outlineLevel="0" collapsed="false">
      <c r="A852" s="9" t="s">
        <v>3618</v>
      </c>
      <c r="B852" s="9" t="s">
        <v>3562</v>
      </c>
      <c r="C852" s="9" t="s">
        <v>3612</v>
      </c>
      <c r="D852" s="9" t="str">
        <f aca="false">C852&amp;" - "&amp;E852</f>
        <v>Door Check Strap - Rear-Right</v>
      </c>
      <c r="E852" s="9" t="s">
        <v>1364</v>
      </c>
      <c r="F852" s="9" t="s">
        <v>3602</v>
      </c>
      <c r="G852" s="10" t="n">
        <f aca="false">IF($AK852=0,"",INDEX('Part types'!$P:$P,$AK852))</f>
        <v>25</v>
      </c>
      <c r="H852" s="10" t="n">
        <f aca="false">IF($AK852=0,"",INDEX('Part types'!$Q:$Q,$AK852))</f>
        <v>15</v>
      </c>
      <c r="I852" s="10" t="n">
        <f aca="false">IF($AK852=0,"",INDEX('Part types'!$R:$R,$AK852))</f>
        <v>10</v>
      </c>
      <c r="J852" s="10" t="n">
        <f aca="false">IF($AK852=0,"",INDEX('Part types'!$S:$S,$AK852))</f>
        <v>0.9</v>
      </c>
      <c r="K852" s="11" t="s">
        <v>3564</v>
      </c>
      <c r="L852" s="11" t="s">
        <v>3613</v>
      </c>
      <c r="M852" s="11" t="str">
        <f aca="false">L852&amp;" - "&amp;N852</f>
        <v>مثبت الباب - خلفي يمين</v>
      </c>
      <c r="N852" s="11" t="s">
        <v>1365</v>
      </c>
      <c r="O852" s="11" t="s">
        <v>3604</v>
      </c>
      <c r="P852" s="10" t="n">
        <f aca="false">G852</f>
        <v>25</v>
      </c>
      <c r="Q852" s="10" t="n">
        <f aca="false">H852</f>
        <v>15</v>
      </c>
      <c r="R852" s="10" t="n">
        <f aca="false">I852</f>
        <v>10</v>
      </c>
      <c r="S852" s="10" t="n">
        <f aca="false">J852</f>
        <v>0.9</v>
      </c>
      <c r="T852" s="12" t="s">
        <v>3566</v>
      </c>
      <c r="U852" s="12" t="s">
        <v>3614</v>
      </c>
      <c r="V852" s="9" t="str">
        <f aca="false">U852&amp;" - "&amp;W852</f>
        <v>车门限位器 - 后右</v>
      </c>
      <c r="W852" s="12" t="s">
        <v>1366</v>
      </c>
      <c r="X852" s="12" t="s">
        <v>3606</v>
      </c>
      <c r="Y852" s="10" t="n">
        <f aca="false">G852</f>
        <v>25</v>
      </c>
      <c r="Z852" s="10" t="n">
        <f aca="false">H852</f>
        <v>15</v>
      </c>
      <c r="AA852" s="10" t="n">
        <f aca="false">I852</f>
        <v>10</v>
      </c>
      <c r="AB852" s="10" t="n">
        <f aca="false">J852</f>
        <v>0.9</v>
      </c>
      <c r="AC852" s="9" t="s">
        <v>3568</v>
      </c>
      <c r="AD852" s="9" t="s">
        <v>3615</v>
      </c>
      <c r="AE852" s="9" t="str">
        <f aca="false">IF($AK852=0,"",INDEX('Part types'!$T:$T,$AK852)&amp;"")</f>
        <v>All vehicles</v>
      </c>
      <c r="AF852" s="9" t="str">
        <f aca="false">IF($AK852=0,"",INDEX('Part types'!$U:$U,$AK852)&amp;"")</f>
        <v/>
      </c>
      <c r="AG852" s="9" t="str">
        <f aca="false">IF($AK852=0,"",INDEX('Part types'!$V:$V,$AK852)&amp;"")</f>
        <v>Estimate: size class M</v>
      </c>
      <c r="AH852" s="9" t="str">
        <f aca="false">IF($AK852=0,"",INDEX('Part types'!$W:$W,$AK852)&amp;"")</f>
        <v/>
      </c>
      <c r="AI852" s="11" t="str">
        <f aca="false">IF($AK852=0,"",INDEX('Part types'!$X:$X,$AK852)&amp;"")</f>
        <v>ستوبر</v>
      </c>
      <c r="AJ852" s="9" t="str">
        <f aca="false">IF($AK852=0,"",INDEX('Part types'!$Y:$Y,$AK852)&amp;"")</f>
        <v/>
      </c>
      <c r="AK852" s="9" t="n">
        <f aca="false">IFERROR(MATCH($AD852,'Part types'!$E:$E,0),0)</f>
        <v>586</v>
      </c>
    </row>
    <row r="853" customFormat="false" ht="15" hidden="false" customHeight="false" outlineLevel="0" collapsed="false">
      <c r="A853" s="9" t="s">
        <v>3619</v>
      </c>
      <c r="B853" s="9" t="s">
        <v>3562</v>
      </c>
      <c r="C853" s="9" t="s">
        <v>3620</v>
      </c>
      <c r="D853" s="9" t="str">
        <f aca="false">C853&amp;" - "&amp;E853</f>
        <v>Exterior Door Handle - Front-Left</v>
      </c>
      <c r="E853" s="9" t="s">
        <v>1346</v>
      </c>
      <c r="F853" s="9" t="s">
        <v>3583</v>
      </c>
      <c r="G853" s="10" t="n">
        <f aca="false">IF($AK853=0,"",INDEX('Part types'!$P:$P,$AK853))</f>
        <v>25</v>
      </c>
      <c r="H853" s="10" t="n">
        <f aca="false">IF($AK853=0,"",INDEX('Part types'!$Q:$Q,$AK853))</f>
        <v>15</v>
      </c>
      <c r="I853" s="10" t="n">
        <f aca="false">IF($AK853=0,"",INDEX('Part types'!$R:$R,$AK853))</f>
        <v>10</v>
      </c>
      <c r="J853" s="10" t="n">
        <f aca="false">IF($AK853=0,"",INDEX('Part types'!$S:$S,$AK853))</f>
        <v>0.9</v>
      </c>
      <c r="K853" s="11" t="s">
        <v>3564</v>
      </c>
      <c r="L853" s="11" t="s">
        <v>3621</v>
      </c>
      <c r="M853" s="11" t="str">
        <f aca="false">L853&amp;" - "&amp;N853</f>
        <v>مقبض الباب الخارجي - أمامي يسار</v>
      </c>
      <c r="N853" s="11" t="s">
        <v>1349</v>
      </c>
      <c r="O853" s="11" t="s">
        <v>3585</v>
      </c>
      <c r="P853" s="10" t="n">
        <f aca="false">G853</f>
        <v>25</v>
      </c>
      <c r="Q853" s="10" t="n">
        <f aca="false">H853</f>
        <v>15</v>
      </c>
      <c r="R853" s="10" t="n">
        <f aca="false">I853</f>
        <v>10</v>
      </c>
      <c r="S853" s="10" t="n">
        <f aca="false">J853</f>
        <v>0.9</v>
      </c>
      <c r="T853" s="12" t="s">
        <v>3566</v>
      </c>
      <c r="U853" s="12" t="s">
        <v>3622</v>
      </c>
      <c r="V853" s="9" t="str">
        <f aca="false">U853&amp;" - "&amp;W853</f>
        <v>车门外把手 - 前左</v>
      </c>
      <c r="W853" s="12" t="s">
        <v>1352</v>
      </c>
      <c r="X853" s="12" t="s">
        <v>3587</v>
      </c>
      <c r="Y853" s="10" t="n">
        <f aca="false">G853</f>
        <v>25</v>
      </c>
      <c r="Z853" s="10" t="n">
        <f aca="false">H853</f>
        <v>15</v>
      </c>
      <c r="AA853" s="10" t="n">
        <f aca="false">I853</f>
        <v>10</v>
      </c>
      <c r="AB853" s="10" t="n">
        <f aca="false">J853</f>
        <v>0.9</v>
      </c>
      <c r="AC853" s="9" t="s">
        <v>3568</v>
      </c>
      <c r="AD853" s="9" t="s">
        <v>3623</v>
      </c>
      <c r="AE853" s="9" t="str">
        <f aca="false">IF($AK853=0,"",INDEX('Part types'!$T:$T,$AK853)&amp;"")</f>
        <v>All vehicles</v>
      </c>
      <c r="AF853" s="9" t="str">
        <f aca="false">IF($AK853=0,"",INDEX('Part types'!$U:$U,$AK853)&amp;"")</f>
        <v/>
      </c>
      <c r="AG853" s="9" t="str">
        <f aca="false">IF($AK853=0,"",INDEX('Part types'!$V:$V,$AK853)&amp;"")</f>
        <v>Estimate: size class M</v>
      </c>
      <c r="AH853" s="9" t="str">
        <f aca="false">IF($AK853=0,"",INDEX('Part types'!$W:$W,$AK853)&amp;"")</f>
        <v/>
      </c>
      <c r="AI853" s="11" t="str">
        <f aca="false">IF($AK853=0,"",INDEX('Part types'!$X:$X,$AK853)&amp;"")</f>
        <v/>
      </c>
      <c r="AJ853" s="9" t="str">
        <f aca="false">IF($AK853=0,"",INDEX('Part types'!$Y:$Y,$AK853)&amp;"")</f>
        <v/>
      </c>
      <c r="AK853" s="9" t="n">
        <f aca="false">IFERROR(MATCH($AD853,'Part types'!$E:$E,0),0)</f>
        <v>587</v>
      </c>
    </row>
    <row r="854" customFormat="false" ht="15" hidden="false" customHeight="false" outlineLevel="0" collapsed="false">
      <c r="A854" s="9" t="s">
        <v>3624</v>
      </c>
      <c r="B854" s="9" t="s">
        <v>3562</v>
      </c>
      <c r="C854" s="9" t="s">
        <v>3620</v>
      </c>
      <c r="D854" s="9" t="str">
        <f aca="false">C854&amp;" - "&amp;E854</f>
        <v>Exterior Door Handle - Front-Right</v>
      </c>
      <c r="E854" s="9" t="s">
        <v>1356</v>
      </c>
      <c r="F854" s="9" t="s">
        <v>3583</v>
      </c>
      <c r="G854" s="10" t="n">
        <f aca="false">IF($AK854=0,"",INDEX('Part types'!$P:$P,$AK854))</f>
        <v>25</v>
      </c>
      <c r="H854" s="10" t="n">
        <f aca="false">IF($AK854=0,"",INDEX('Part types'!$Q:$Q,$AK854))</f>
        <v>15</v>
      </c>
      <c r="I854" s="10" t="n">
        <f aca="false">IF($AK854=0,"",INDEX('Part types'!$R:$R,$AK854))</f>
        <v>10</v>
      </c>
      <c r="J854" s="10" t="n">
        <f aca="false">IF($AK854=0,"",INDEX('Part types'!$S:$S,$AK854))</f>
        <v>0.9</v>
      </c>
      <c r="K854" s="11" t="s">
        <v>3564</v>
      </c>
      <c r="L854" s="11" t="s">
        <v>3621</v>
      </c>
      <c r="M854" s="11" t="str">
        <f aca="false">L854&amp;" - "&amp;N854</f>
        <v>مقبض الباب الخارجي - أمامي يمين</v>
      </c>
      <c r="N854" s="11" t="s">
        <v>1357</v>
      </c>
      <c r="O854" s="11" t="s">
        <v>3585</v>
      </c>
      <c r="P854" s="10" t="n">
        <f aca="false">G854</f>
        <v>25</v>
      </c>
      <c r="Q854" s="10" t="n">
        <f aca="false">H854</f>
        <v>15</v>
      </c>
      <c r="R854" s="10" t="n">
        <f aca="false">I854</f>
        <v>10</v>
      </c>
      <c r="S854" s="10" t="n">
        <f aca="false">J854</f>
        <v>0.9</v>
      </c>
      <c r="T854" s="12" t="s">
        <v>3566</v>
      </c>
      <c r="U854" s="12" t="s">
        <v>3622</v>
      </c>
      <c r="V854" s="9" t="str">
        <f aca="false">U854&amp;" - "&amp;W854</f>
        <v>车门外把手 - 前右</v>
      </c>
      <c r="W854" s="12" t="s">
        <v>1358</v>
      </c>
      <c r="X854" s="12" t="s">
        <v>3587</v>
      </c>
      <c r="Y854" s="10" t="n">
        <f aca="false">G854</f>
        <v>25</v>
      </c>
      <c r="Z854" s="10" t="n">
        <f aca="false">H854</f>
        <v>15</v>
      </c>
      <c r="AA854" s="10" t="n">
        <f aca="false">I854</f>
        <v>10</v>
      </c>
      <c r="AB854" s="10" t="n">
        <f aca="false">J854</f>
        <v>0.9</v>
      </c>
      <c r="AC854" s="9" t="s">
        <v>3568</v>
      </c>
      <c r="AD854" s="9" t="s">
        <v>3623</v>
      </c>
      <c r="AE854" s="9" t="str">
        <f aca="false">IF($AK854=0,"",INDEX('Part types'!$T:$T,$AK854)&amp;"")</f>
        <v>All vehicles</v>
      </c>
      <c r="AF854" s="9" t="str">
        <f aca="false">IF($AK854=0,"",INDEX('Part types'!$U:$U,$AK854)&amp;"")</f>
        <v/>
      </c>
      <c r="AG854" s="9" t="str">
        <f aca="false">IF($AK854=0,"",INDEX('Part types'!$V:$V,$AK854)&amp;"")</f>
        <v>Estimate: size class M</v>
      </c>
      <c r="AH854" s="9" t="str">
        <f aca="false">IF($AK854=0,"",INDEX('Part types'!$W:$W,$AK854)&amp;"")</f>
        <v/>
      </c>
      <c r="AI854" s="11" t="str">
        <f aca="false">IF($AK854=0,"",INDEX('Part types'!$X:$X,$AK854)&amp;"")</f>
        <v/>
      </c>
      <c r="AJ854" s="9" t="str">
        <f aca="false">IF($AK854=0,"",INDEX('Part types'!$Y:$Y,$AK854)&amp;"")</f>
        <v/>
      </c>
      <c r="AK854" s="9" t="n">
        <f aca="false">IFERROR(MATCH($AD854,'Part types'!$E:$E,0),0)</f>
        <v>587</v>
      </c>
    </row>
    <row r="855" customFormat="false" ht="15" hidden="false" customHeight="false" outlineLevel="0" collapsed="false">
      <c r="A855" s="9" t="s">
        <v>3625</v>
      </c>
      <c r="B855" s="9" t="s">
        <v>3562</v>
      </c>
      <c r="C855" s="9" t="s">
        <v>3620</v>
      </c>
      <c r="D855" s="9" t="str">
        <f aca="false">C855&amp;" - "&amp;E855</f>
        <v>Exterior Door Handle - Rear-Left</v>
      </c>
      <c r="E855" s="9" t="s">
        <v>1360</v>
      </c>
      <c r="F855" s="9" t="s">
        <v>3583</v>
      </c>
      <c r="G855" s="10" t="n">
        <f aca="false">IF($AK855=0,"",INDEX('Part types'!$P:$P,$AK855))</f>
        <v>25</v>
      </c>
      <c r="H855" s="10" t="n">
        <f aca="false">IF($AK855=0,"",INDEX('Part types'!$Q:$Q,$AK855))</f>
        <v>15</v>
      </c>
      <c r="I855" s="10" t="n">
        <f aca="false">IF($AK855=0,"",INDEX('Part types'!$R:$R,$AK855))</f>
        <v>10</v>
      </c>
      <c r="J855" s="10" t="n">
        <f aca="false">IF($AK855=0,"",INDEX('Part types'!$S:$S,$AK855))</f>
        <v>0.9</v>
      </c>
      <c r="K855" s="11" t="s">
        <v>3564</v>
      </c>
      <c r="L855" s="11" t="s">
        <v>3621</v>
      </c>
      <c r="M855" s="11" t="str">
        <f aca="false">L855&amp;" - "&amp;N855</f>
        <v>مقبض الباب الخارجي - خلفي يسار</v>
      </c>
      <c r="N855" s="11" t="s">
        <v>1361</v>
      </c>
      <c r="O855" s="11" t="s">
        <v>3585</v>
      </c>
      <c r="P855" s="10" t="n">
        <f aca="false">G855</f>
        <v>25</v>
      </c>
      <c r="Q855" s="10" t="n">
        <f aca="false">H855</f>
        <v>15</v>
      </c>
      <c r="R855" s="10" t="n">
        <f aca="false">I855</f>
        <v>10</v>
      </c>
      <c r="S855" s="10" t="n">
        <f aca="false">J855</f>
        <v>0.9</v>
      </c>
      <c r="T855" s="12" t="s">
        <v>3566</v>
      </c>
      <c r="U855" s="12" t="s">
        <v>3622</v>
      </c>
      <c r="V855" s="9" t="str">
        <f aca="false">U855&amp;" - "&amp;W855</f>
        <v>车门外把手 - 后左</v>
      </c>
      <c r="W855" s="12" t="s">
        <v>1362</v>
      </c>
      <c r="X855" s="12" t="s">
        <v>3587</v>
      </c>
      <c r="Y855" s="10" t="n">
        <f aca="false">G855</f>
        <v>25</v>
      </c>
      <c r="Z855" s="10" t="n">
        <f aca="false">H855</f>
        <v>15</v>
      </c>
      <c r="AA855" s="10" t="n">
        <f aca="false">I855</f>
        <v>10</v>
      </c>
      <c r="AB855" s="10" t="n">
        <f aca="false">J855</f>
        <v>0.9</v>
      </c>
      <c r="AC855" s="9" t="s">
        <v>3568</v>
      </c>
      <c r="AD855" s="9" t="s">
        <v>3623</v>
      </c>
      <c r="AE855" s="9" t="str">
        <f aca="false">IF($AK855=0,"",INDEX('Part types'!$T:$T,$AK855)&amp;"")</f>
        <v>All vehicles</v>
      </c>
      <c r="AF855" s="9" t="str">
        <f aca="false">IF($AK855=0,"",INDEX('Part types'!$U:$U,$AK855)&amp;"")</f>
        <v/>
      </c>
      <c r="AG855" s="9" t="str">
        <f aca="false">IF($AK855=0,"",INDEX('Part types'!$V:$V,$AK855)&amp;"")</f>
        <v>Estimate: size class M</v>
      </c>
      <c r="AH855" s="9" t="str">
        <f aca="false">IF($AK855=0,"",INDEX('Part types'!$W:$W,$AK855)&amp;"")</f>
        <v/>
      </c>
      <c r="AI855" s="11" t="str">
        <f aca="false">IF($AK855=0,"",INDEX('Part types'!$X:$X,$AK855)&amp;"")</f>
        <v/>
      </c>
      <c r="AJ855" s="9" t="str">
        <f aca="false">IF($AK855=0,"",INDEX('Part types'!$Y:$Y,$AK855)&amp;"")</f>
        <v/>
      </c>
      <c r="AK855" s="9" t="n">
        <f aca="false">IFERROR(MATCH($AD855,'Part types'!$E:$E,0),0)</f>
        <v>587</v>
      </c>
    </row>
    <row r="856" customFormat="false" ht="15" hidden="false" customHeight="false" outlineLevel="0" collapsed="false">
      <c r="A856" s="9" t="s">
        <v>3626</v>
      </c>
      <c r="B856" s="9" t="s">
        <v>3562</v>
      </c>
      <c r="C856" s="9" t="s">
        <v>3620</v>
      </c>
      <c r="D856" s="9" t="str">
        <f aca="false">C856&amp;" - "&amp;E856</f>
        <v>Exterior Door Handle - Rear-Right</v>
      </c>
      <c r="E856" s="9" t="s">
        <v>1364</v>
      </c>
      <c r="F856" s="9" t="s">
        <v>3583</v>
      </c>
      <c r="G856" s="10" t="n">
        <f aca="false">IF($AK856=0,"",INDEX('Part types'!$P:$P,$AK856))</f>
        <v>25</v>
      </c>
      <c r="H856" s="10" t="n">
        <f aca="false">IF($AK856=0,"",INDEX('Part types'!$Q:$Q,$AK856))</f>
        <v>15</v>
      </c>
      <c r="I856" s="10" t="n">
        <f aca="false">IF($AK856=0,"",INDEX('Part types'!$R:$R,$AK856))</f>
        <v>10</v>
      </c>
      <c r="J856" s="10" t="n">
        <f aca="false">IF($AK856=0,"",INDEX('Part types'!$S:$S,$AK856))</f>
        <v>0.9</v>
      </c>
      <c r="K856" s="11" t="s">
        <v>3564</v>
      </c>
      <c r="L856" s="11" t="s">
        <v>3621</v>
      </c>
      <c r="M856" s="11" t="str">
        <f aca="false">L856&amp;" - "&amp;N856</f>
        <v>مقبض الباب الخارجي - خلفي يمين</v>
      </c>
      <c r="N856" s="11" t="s">
        <v>1365</v>
      </c>
      <c r="O856" s="11" t="s">
        <v>3585</v>
      </c>
      <c r="P856" s="10" t="n">
        <f aca="false">G856</f>
        <v>25</v>
      </c>
      <c r="Q856" s="10" t="n">
        <f aca="false">H856</f>
        <v>15</v>
      </c>
      <c r="R856" s="10" t="n">
        <f aca="false">I856</f>
        <v>10</v>
      </c>
      <c r="S856" s="10" t="n">
        <f aca="false">J856</f>
        <v>0.9</v>
      </c>
      <c r="T856" s="12" t="s">
        <v>3566</v>
      </c>
      <c r="U856" s="12" t="s">
        <v>3622</v>
      </c>
      <c r="V856" s="9" t="str">
        <f aca="false">U856&amp;" - "&amp;W856</f>
        <v>车门外把手 - 后右</v>
      </c>
      <c r="W856" s="12" t="s">
        <v>1366</v>
      </c>
      <c r="X856" s="12" t="s">
        <v>3587</v>
      </c>
      <c r="Y856" s="10" t="n">
        <f aca="false">G856</f>
        <v>25</v>
      </c>
      <c r="Z856" s="10" t="n">
        <f aca="false">H856</f>
        <v>15</v>
      </c>
      <c r="AA856" s="10" t="n">
        <f aca="false">I856</f>
        <v>10</v>
      </c>
      <c r="AB856" s="10" t="n">
        <f aca="false">J856</f>
        <v>0.9</v>
      </c>
      <c r="AC856" s="9" t="s">
        <v>3568</v>
      </c>
      <c r="AD856" s="9" t="s">
        <v>3623</v>
      </c>
      <c r="AE856" s="9" t="str">
        <f aca="false">IF($AK856=0,"",INDEX('Part types'!$T:$T,$AK856)&amp;"")</f>
        <v>All vehicles</v>
      </c>
      <c r="AF856" s="9" t="str">
        <f aca="false">IF($AK856=0,"",INDEX('Part types'!$U:$U,$AK856)&amp;"")</f>
        <v/>
      </c>
      <c r="AG856" s="9" t="str">
        <f aca="false">IF($AK856=0,"",INDEX('Part types'!$V:$V,$AK856)&amp;"")</f>
        <v>Estimate: size class M</v>
      </c>
      <c r="AH856" s="9" t="str">
        <f aca="false">IF($AK856=0,"",INDEX('Part types'!$W:$W,$AK856)&amp;"")</f>
        <v/>
      </c>
      <c r="AI856" s="11" t="str">
        <f aca="false">IF($AK856=0,"",INDEX('Part types'!$X:$X,$AK856)&amp;"")</f>
        <v/>
      </c>
      <c r="AJ856" s="9" t="str">
        <f aca="false">IF($AK856=0,"",INDEX('Part types'!$Y:$Y,$AK856)&amp;"")</f>
        <v/>
      </c>
      <c r="AK856" s="9" t="n">
        <f aca="false">IFERROR(MATCH($AD856,'Part types'!$E:$E,0),0)</f>
        <v>587</v>
      </c>
    </row>
    <row r="857" customFormat="false" ht="15" hidden="false" customHeight="false" outlineLevel="0" collapsed="false">
      <c r="A857" s="9" t="s">
        <v>3627</v>
      </c>
      <c r="B857" s="9" t="s">
        <v>3562</v>
      </c>
      <c r="C857" s="9" t="s">
        <v>3628</v>
      </c>
      <c r="D857" s="9" t="str">
        <f aca="false">C857&amp;" - "&amp;E857</f>
        <v>Interior Door Handle - Front-Left</v>
      </c>
      <c r="E857" s="9" t="s">
        <v>1346</v>
      </c>
      <c r="F857" s="9" t="s">
        <v>2405</v>
      </c>
      <c r="G857" s="10" t="n">
        <f aca="false">IF($AK857=0,"",INDEX('Part types'!$P:$P,$AK857))</f>
        <v>15</v>
      </c>
      <c r="H857" s="10" t="n">
        <f aca="false">IF($AK857=0,"",INDEX('Part types'!$Q:$Q,$AK857))</f>
        <v>10</v>
      </c>
      <c r="I857" s="10" t="n">
        <f aca="false">IF($AK857=0,"",INDEX('Part types'!$R:$R,$AK857))</f>
        <v>8</v>
      </c>
      <c r="J857" s="10" t="n">
        <f aca="false">IF($AK857=0,"",INDEX('Part types'!$S:$S,$AK857))</f>
        <v>0.3</v>
      </c>
      <c r="K857" s="11" t="s">
        <v>3564</v>
      </c>
      <c r="L857" s="11" t="s">
        <v>3629</v>
      </c>
      <c r="M857" s="11" t="str">
        <f aca="false">L857&amp;" - "&amp;N857</f>
        <v>مقبض الباب الداخلي - أمامي يسار</v>
      </c>
      <c r="N857" s="11" t="s">
        <v>1349</v>
      </c>
      <c r="O857" s="11" t="s">
        <v>2408</v>
      </c>
      <c r="P857" s="10" t="n">
        <f aca="false">G857</f>
        <v>15</v>
      </c>
      <c r="Q857" s="10" t="n">
        <f aca="false">H857</f>
        <v>10</v>
      </c>
      <c r="R857" s="10" t="n">
        <f aca="false">I857</f>
        <v>8</v>
      </c>
      <c r="S857" s="10" t="n">
        <f aca="false">J857</f>
        <v>0.3</v>
      </c>
      <c r="T857" s="12" t="s">
        <v>3566</v>
      </c>
      <c r="U857" s="12" t="s">
        <v>3630</v>
      </c>
      <c r="V857" s="9" t="str">
        <f aca="false">U857&amp;" - "&amp;W857</f>
        <v>车门内把手 - 前左</v>
      </c>
      <c r="W857" s="12" t="s">
        <v>1352</v>
      </c>
      <c r="X857" s="12" t="s">
        <v>2411</v>
      </c>
      <c r="Y857" s="10" t="n">
        <f aca="false">G857</f>
        <v>15</v>
      </c>
      <c r="Z857" s="10" t="n">
        <f aca="false">H857</f>
        <v>10</v>
      </c>
      <c r="AA857" s="10" t="n">
        <f aca="false">I857</f>
        <v>8</v>
      </c>
      <c r="AB857" s="10" t="n">
        <f aca="false">J857</f>
        <v>0.3</v>
      </c>
      <c r="AC857" s="9" t="s">
        <v>3568</v>
      </c>
      <c r="AD857" s="9" t="s">
        <v>3631</v>
      </c>
      <c r="AE857" s="9" t="str">
        <f aca="false">IF($AK857=0,"",INDEX('Part types'!$T:$T,$AK857)&amp;"")</f>
        <v>All vehicles</v>
      </c>
      <c r="AF857" s="9" t="str">
        <f aca="false">IF($AK857=0,"",INDEX('Part types'!$U:$U,$AK857)&amp;"")</f>
        <v/>
      </c>
      <c r="AG857" s="9" t="str">
        <f aca="false">IF($AK857=0,"",INDEX('Part types'!$V:$V,$AK857)&amp;"")</f>
        <v>Estimate: size class S</v>
      </c>
      <c r="AH857" s="9" t="str">
        <f aca="false">IF($AK857=0,"",INDEX('Part types'!$W:$W,$AK857)&amp;"")</f>
        <v/>
      </c>
      <c r="AI857" s="11" t="str">
        <f aca="false">IF($AK857=0,"",INDEX('Part types'!$X:$X,$AK857)&amp;"")</f>
        <v/>
      </c>
      <c r="AJ857" s="9" t="str">
        <f aca="false">IF($AK857=0,"",INDEX('Part types'!$Y:$Y,$AK857)&amp;"")</f>
        <v/>
      </c>
      <c r="AK857" s="9" t="n">
        <f aca="false">IFERROR(MATCH($AD857,'Part types'!$E:$E,0),0)</f>
        <v>588</v>
      </c>
    </row>
    <row r="858" customFormat="false" ht="15" hidden="false" customHeight="false" outlineLevel="0" collapsed="false">
      <c r="A858" s="9" t="s">
        <v>3632</v>
      </c>
      <c r="B858" s="9" t="s">
        <v>3562</v>
      </c>
      <c r="C858" s="9" t="s">
        <v>3628</v>
      </c>
      <c r="D858" s="9" t="str">
        <f aca="false">C858&amp;" - "&amp;E858</f>
        <v>Interior Door Handle - Front-Right</v>
      </c>
      <c r="E858" s="9" t="s">
        <v>1356</v>
      </c>
      <c r="F858" s="9" t="s">
        <v>2405</v>
      </c>
      <c r="G858" s="10" t="n">
        <f aca="false">IF($AK858=0,"",INDEX('Part types'!$P:$P,$AK858))</f>
        <v>15</v>
      </c>
      <c r="H858" s="10" t="n">
        <f aca="false">IF($AK858=0,"",INDEX('Part types'!$Q:$Q,$AK858))</f>
        <v>10</v>
      </c>
      <c r="I858" s="10" t="n">
        <f aca="false">IF($AK858=0,"",INDEX('Part types'!$R:$R,$AK858))</f>
        <v>8</v>
      </c>
      <c r="J858" s="10" t="n">
        <f aca="false">IF($AK858=0,"",INDEX('Part types'!$S:$S,$AK858))</f>
        <v>0.3</v>
      </c>
      <c r="K858" s="11" t="s">
        <v>3564</v>
      </c>
      <c r="L858" s="11" t="s">
        <v>3629</v>
      </c>
      <c r="M858" s="11" t="str">
        <f aca="false">L858&amp;" - "&amp;N858</f>
        <v>مقبض الباب الداخلي - أمامي يمين</v>
      </c>
      <c r="N858" s="11" t="s">
        <v>1357</v>
      </c>
      <c r="O858" s="11" t="s">
        <v>2408</v>
      </c>
      <c r="P858" s="10" t="n">
        <f aca="false">G858</f>
        <v>15</v>
      </c>
      <c r="Q858" s="10" t="n">
        <f aca="false">H858</f>
        <v>10</v>
      </c>
      <c r="R858" s="10" t="n">
        <f aca="false">I858</f>
        <v>8</v>
      </c>
      <c r="S858" s="10" t="n">
        <f aca="false">J858</f>
        <v>0.3</v>
      </c>
      <c r="T858" s="12" t="s">
        <v>3566</v>
      </c>
      <c r="U858" s="12" t="s">
        <v>3630</v>
      </c>
      <c r="V858" s="9" t="str">
        <f aca="false">U858&amp;" - "&amp;W858</f>
        <v>车门内把手 - 前右</v>
      </c>
      <c r="W858" s="12" t="s">
        <v>1358</v>
      </c>
      <c r="X858" s="12" t="s">
        <v>2411</v>
      </c>
      <c r="Y858" s="10" t="n">
        <f aca="false">G858</f>
        <v>15</v>
      </c>
      <c r="Z858" s="10" t="n">
        <f aca="false">H858</f>
        <v>10</v>
      </c>
      <c r="AA858" s="10" t="n">
        <f aca="false">I858</f>
        <v>8</v>
      </c>
      <c r="AB858" s="10" t="n">
        <f aca="false">J858</f>
        <v>0.3</v>
      </c>
      <c r="AC858" s="9" t="s">
        <v>3568</v>
      </c>
      <c r="AD858" s="9" t="s">
        <v>3631</v>
      </c>
      <c r="AE858" s="9" t="str">
        <f aca="false">IF($AK858=0,"",INDEX('Part types'!$T:$T,$AK858)&amp;"")</f>
        <v>All vehicles</v>
      </c>
      <c r="AF858" s="9" t="str">
        <f aca="false">IF($AK858=0,"",INDEX('Part types'!$U:$U,$AK858)&amp;"")</f>
        <v/>
      </c>
      <c r="AG858" s="9" t="str">
        <f aca="false">IF($AK858=0,"",INDEX('Part types'!$V:$V,$AK858)&amp;"")</f>
        <v>Estimate: size class S</v>
      </c>
      <c r="AH858" s="9" t="str">
        <f aca="false">IF($AK858=0,"",INDEX('Part types'!$W:$W,$AK858)&amp;"")</f>
        <v/>
      </c>
      <c r="AI858" s="11" t="str">
        <f aca="false">IF($AK858=0,"",INDEX('Part types'!$X:$X,$AK858)&amp;"")</f>
        <v/>
      </c>
      <c r="AJ858" s="9" t="str">
        <f aca="false">IF($AK858=0,"",INDEX('Part types'!$Y:$Y,$AK858)&amp;"")</f>
        <v/>
      </c>
      <c r="AK858" s="9" t="n">
        <f aca="false">IFERROR(MATCH($AD858,'Part types'!$E:$E,0),0)</f>
        <v>588</v>
      </c>
    </row>
    <row r="859" customFormat="false" ht="15" hidden="false" customHeight="false" outlineLevel="0" collapsed="false">
      <c r="A859" s="9" t="s">
        <v>3633</v>
      </c>
      <c r="B859" s="9" t="s">
        <v>3562</v>
      </c>
      <c r="C859" s="9" t="s">
        <v>3628</v>
      </c>
      <c r="D859" s="9" t="str">
        <f aca="false">C859&amp;" - "&amp;E859</f>
        <v>Interior Door Handle - Rear-Left</v>
      </c>
      <c r="E859" s="9" t="s">
        <v>1360</v>
      </c>
      <c r="F859" s="9" t="s">
        <v>2405</v>
      </c>
      <c r="G859" s="10" t="n">
        <f aca="false">IF($AK859=0,"",INDEX('Part types'!$P:$P,$AK859))</f>
        <v>15</v>
      </c>
      <c r="H859" s="10" t="n">
        <f aca="false">IF($AK859=0,"",INDEX('Part types'!$Q:$Q,$AK859))</f>
        <v>10</v>
      </c>
      <c r="I859" s="10" t="n">
        <f aca="false">IF($AK859=0,"",INDEX('Part types'!$R:$R,$AK859))</f>
        <v>8</v>
      </c>
      <c r="J859" s="10" t="n">
        <f aca="false">IF($AK859=0,"",INDEX('Part types'!$S:$S,$AK859))</f>
        <v>0.3</v>
      </c>
      <c r="K859" s="11" t="s">
        <v>3564</v>
      </c>
      <c r="L859" s="11" t="s">
        <v>3629</v>
      </c>
      <c r="M859" s="11" t="str">
        <f aca="false">L859&amp;" - "&amp;N859</f>
        <v>مقبض الباب الداخلي - خلفي يسار</v>
      </c>
      <c r="N859" s="11" t="s">
        <v>1361</v>
      </c>
      <c r="O859" s="11" t="s">
        <v>2408</v>
      </c>
      <c r="P859" s="10" t="n">
        <f aca="false">G859</f>
        <v>15</v>
      </c>
      <c r="Q859" s="10" t="n">
        <f aca="false">H859</f>
        <v>10</v>
      </c>
      <c r="R859" s="10" t="n">
        <f aca="false">I859</f>
        <v>8</v>
      </c>
      <c r="S859" s="10" t="n">
        <f aca="false">J859</f>
        <v>0.3</v>
      </c>
      <c r="T859" s="12" t="s">
        <v>3566</v>
      </c>
      <c r="U859" s="12" t="s">
        <v>3630</v>
      </c>
      <c r="V859" s="9" t="str">
        <f aca="false">U859&amp;" - "&amp;W859</f>
        <v>车门内把手 - 后左</v>
      </c>
      <c r="W859" s="12" t="s">
        <v>1362</v>
      </c>
      <c r="X859" s="12" t="s">
        <v>2411</v>
      </c>
      <c r="Y859" s="10" t="n">
        <f aca="false">G859</f>
        <v>15</v>
      </c>
      <c r="Z859" s="10" t="n">
        <f aca="false">H859</f>
        <v>10</v>
      </c>
      <c r="AA859" s="10" t="n">
        <f aca="false">I859</f>
        <v>8</v>
      </c>
      <c r="AB859" s="10" t="n">
        <f aca="false">J859</f>
        <v>0.3</v>
      </c>
      <c r="AC859" s="9" t="s">
        <v>3568</v>
      </c>
      <c r="AD859" s="9" t="s">
        <v>3631</v>
      </c>
      <c r="AE859" s="9" t="str">
        <f aca="false">IF($AK859=0,"",INDEX('Part types'!$T:$T,$AK859)&amp;"")</f>
        <v>All vehicles</v>
      </c>
      <c r="AF859" s="9" t="str">
        <f aca="false">IF($AK859=0,"",INDEX('Part types'!$U:$U,$AK859)&amp;"")</f>
        <v/>
      </c>
      <c r="AG859" s="9" t="str">
        <f aca="false">IF($AK859=0,"",INDEX('Part types'!$V:$V,$AK859)&amp;"")</f>
        <v>Estimate: size class S</v>
      </c>
      <c r="AH859" s="9" t="str">
        <f aca="false">IF($AK859=0,"",INDEX('Part types'!$W:$W,$AK859)&amp;"")</f>
        <v/>
      </c>
      <c r="AI859" s="11" t="str">
        <f aca="false">IF($AK859=0,"",INDEX('Part types'!$X:$X,$AK859)&amp;"")</f>
        <v/>
      </c>
      <c r="AJ859" s="9" t="str">
        <f aca="false">IF($AK859=0,"",INDEX('Part types'!$Y:$Y,$AK859)&amp;"")</f>
        <v/>
      </c>
      <c r="AK859" s="9" t="n">
        <f aca="false">IFERROR(MATCH($AD859,'Part types'!$E:$E,0),0)</f>
        <v>588</v>
      </c>
    </row>
    <row r="860" customFormat="false" ht="15" hidden="false" customHeight="false" outlineLevel="0" collapsed="false">
      <c r="A860" s="9" t="s">
        <v>3634</v>
      </c>
      <c r="B860" s="9" t="s">
        <v>3562</v>
      </c>
      <c r="C860" s="9" t="s">
        <v>3628</v>
      </c>
      <c r="D860" s="9" t="str">
        <f aca="false">C860&amp;" - "&amp;E860</f>
        <v>Interior Door Handle - Rear-Right</v>
      </c>
      <c r="E860" s="9" t="s">
        <v>1364</v>
      </c>
      <c r="F860" s="9" t="s">
        <v>2405</v>
      </c>
      <c r="G860" s="10" t="n">
        <f aca="false">IF($AK860=0,"",INDEX('Part types'!$P:$P,$AK860))</f>
        <v>15</v>
      </c>
      <c r="H860" s="10" t="n">
        <f aca="false">IF($AK860=0,"",INDEX('Part types'!$Q:$Q,$AK860))</f>
        <v>10</v>
      </c>
      <c r="I860" s="10" t="n">
        <f aca="false">IF($AK860=0,"",INDEX('Part types'!$R:$R,$AK860))</f>
        <v>8</v>
      </c>
      <c r="J860" s="10" t="n">
        <f aca="false">IF($AK860=0,"",INDEX('Part types'!$S:$S,$AK860))</f>
        <v>0.3</v>
      </c>
      <c r="K860" s="11" t="s">
        <v>3564</v>
      </c>
      <c r="L860" s="11" t="s">
        <v>3629</v>
      </c>
      <c r="M860" s="11" t="str">
        <f aca="false">L860&amp;" - "&amp;N860</f>
        <v>مقبض الباب الداخلي - خلفي يمين</v>
      </c>
      <c r="N860" s="11" t="s">
        <v>1365</v>
      </c>
      <c r="O860" s="11" t="s">
        <v>2408</v>
      </c>
      <c r="P860" s="10" t="n">
        <f aca="false">G860</f>
        <v>15</v>
      </c>
      <c r="Q860" s="10" t="n">
        <f aca="false">H860</f>
        <v>10</v>
      </c>
      <c r="R860" s="10" t="n">
        <f aca="false">I860</f>
        <v>8</v>
      </c>
      <c r="S860" s="10" t="n">
        <f aca="false">J860</f>
        <v>0.3</v>
      </c>
      <c r="T860" s="12" t="s">
        <v>3566</v>
      </c>
      <c r="U860" s="12" t="s">
        <v>3630</v>
      </c>
      <c r="V860" s="9" t="str">
        <f aca="false">U860&amp;" - "&amp;W860</f>
        <v>车门内把手 - 后右</v>
      </c>
      <c r="W860" s="12" t="s">
        <v>1366</v>
      </c>
      <c r="X860" s="12" t="s">
        <v>2411</v>
      </c>
      <c r="Y860" s="10" t="n">
        <f aca="false">G860</f>
        <v>15</v>
      </c>
      <c r="Z860" s="10" t="n">
        <f aca="false">H860</f>
        <v>10</v>
      </c>
      <c r="AA860" s="10" t="n">
        <f aca="false">I860</f>
        <v>8</v>
      </c>
      <c r="AB860" s="10" t="n">
        <f aca="false">J860</f>
        <v>0.3</v>
      </c>
      <c r="AC860" s="9" t="s">
        <v>3568</v>
      </c>
      <c r="AD860" s="9" t="s">
        <v>3631</v>
      </c>
      <c r="AE860" s="9" t="str">
        <f aca="false">IF($AK860=0,"",INDEX('Part types'!$T:$T,$AK860)&amp;"")</f>
        <v>All vehicles</v>
      </c>
      <c r="AF860" s="9" t="str">
        <f aca="false">IF($AK860=0,"",INDEX('Part types'!$U:$U,$AK860)&amp;"")</f>
        <v/>
      </c>
      <c r="AG860" s="9" t="str">
        <f aca="false">IF($AK860=0,"",INDEX('Part types'!$V:$V,$AK860)&amp;"")</f>
        <v>Estimate: size class S</v>
      </c>
      <c r="AH860" s="9" t="str">
        <f aca="false">IF($AK860=0,"",INDEX('Part types'!$W:$W,$AK860)&amp;"")</f>
        <v/>
      </c>
      <c r="AI860" s="11" t="str">
        <f aca="false">IF($AK860=0,"",INDEX('Part types'!$X:$X,$AK860)&amp;"")</f>
        <v/>
      </c>
      <c r="AJ860" s="9" t="str">
        <f aca="false">IF($AK860=0,"",INDEX('Part types'!$Y:$Y,$AK860)&amp;"")</f>
        <v/>
      </c>
      <c r="AK860" s="9" t="n">
        <f aca="false">IFERROR(MATCH($AD860,'Part types'!$E:$E,0),0)</f>
        <v>588</v>
      </c>
    </row>
    <row r="861" customFormat="false" ht="15" hidden="false" customHeight="false" outlineLevel="0" collapsed="false">
      <c r="A861" s="9" t="s">
        <v>3635</v>
      </c>
      <c r="B861" s="9" t="s">
        <v>3562</v>
      </c>
      <c r="C861" s="9" t="s">
        <v>3636</v>
      </c>
      <c r="D861" s="9" t="str">
        <f aca="false">C861&amp;" - "&amp;E861</f>
        <v>Door Latch - Front-Left</v>
      </c>
      <c r="E861" s="9" t="s">
        <v>1346</v>
      </c>
      <c r="F861" s="9" t="s">
        <v>2405</v>
      </c>
      <c r="G861" s="10" t="n">
        <f aca="false">IF($AK861=0,"",INDEX('Part types'!$P:$P,$AK861))</f>
        <v>15</v>
      </c>
      <c r="H861" s="10" t="n">
        <f aca="false">IF($AK861=0,"",INDEX('Part types'!$Q:$Q,$AK861))</f>
        <v>10</v>
      </c>
      <c r="I861" s="10" t="n">
        <f aca="false">IF($AK861=0,"",INDEX('Part types'!$R:$R,$AK861))</f>
        <v>8</v>
      </c>
      <c r="J861" s="10" t="n">
        <f aca="false">IF($AK861=0,"",INDEX('Part types'!$S:$S,$AK861))</f>
        <v>0.3</v>
      </c>
      <c r="K861" s="11" t="s">
        <v>3564</v>
      </c>
      <c r="L861" s="11" t="s">
        <v>3637</v>
      </c>
      <c r="M861" s="11" t="str">
        <f aca="false">L861&amp;" - "&amp;N861</f>
        <v>قفل الباب - أمامي يسار</v>
      </c>
      <c r="N861" s="11" t="s">
        <v>1349</v>
      </c>
      <c r="O861" s="11" t="s">
        <v>2408</v>
      </c>
      <c r="P861" s="10" t="n">
        <f aca="false">G861</f>
        <v>15</v>
      </c>
      <c r="Q861" s="10" t="n">
        <f aca="false">H861</f>
        <v>10</v>
      </c>
      <c r="R861" s="10" t="n">
        <f aca="false">I861</f>
        <v>8</v>
      </c>
      <c r="S861" s="10" t="n">
        <f aca="false">J861</f>
        <v>0.3</v>
      </c>
      <c r="T861" s="12" t="s">
        <v>3566</v>
      </c>
      <c r="U861" s="12" t="s">
        <v>3638</v>
      </c>
      <c r="V861" s="9" t="str">
        <f aca="false">U861&amp;" - "&amp;W861</f>
        <v>车门锁块 - 前左</v>
      </c>
      <c r="W861" s="12" t="s">
        <v>1352</v>
      </c>
      <c r="X861" s="12" t="s">
        <v>2411</v>
      </c>
      <c r="Y861" s="10" t="n">
        <f aca="false">G861</f>
        <v>15</v>
      </c>
      <c r="Z861" s="10" t="n">
        <f aca="false">H861</f>
        <v>10</v>
      </c>
      <c r="AA861" s="10" t="n">
        <f aca="false">I861</f>
        <v>8</v>
      </c>
      <c r="AB861" s="10" t="n">
        <f aca="false">J861</f>
        <v>0.3</v>
      </c>
      <c r="AC861" s="9" t="s">
        <v>3568</v>
      </c>
      <c r="AD861" s="9" t="s">
        <v>3639</v>
      </c>
      <c r="AE861" s="9" t="str">
        <f aca="false">IF($AK861=0,"",INDEX('Part types'!$T:$T,$AK861)&amp;"")</f>
        <v>All vehicles</v>
      </c>
      <c r="AF861" s="9" t="str">
        <f aca="false">IF($AK861=0,"",INDEX('Part types'!$U:$U,$AK861)&amp;"")</f>
        <v/>
      </c>
      <c r="AG861" s="9" t="str">
        <f aca="false">IF($AK861=0,"",INDEX('Part types'!$V:$V,$AK861)&amp;"")</f>
        <v>Estimate: size class S</v>
      </c>
      <c r="AH861" s="9" t="str">
        <f aca="false">IF($AK861=0,"",INDEX('Part types'!$W:$W,$AK861)&amp;"")</f>
        <v/>
      </c>
      <c r="AI861" s="11" t="str">
        <f aca="false">IF($AK861=0,"",INDEX('Part types'!$X:$X,$AK861)&amp;"")</f>
        <v>كالون</v>
      </c>
      <c r="AJ861" s="9" t="str">
        <f aca="false">IF($AK861=0,"",INDEX('Part types'!$Y:$Y,$AK861)&amp;"")</f>
        <v/>
      </c>
      <c r="AK861" s="9" t="n">
        <f aca="false">IFERROR(MATCH($AD861,'Part types'!$E:$E,0),0)</f>
        <v>589</v>
      </c>
    </row>
    <row r="862" customFormat="false" ht="15" hidden="false" customHeight="false" outlineLevel="0" collapsed="false">
      <c r="A862" s="9" t="s">
        <v>3640</v>
      </c>
      <c r="B862" s="9" t="s">
        <v>3562</v>
      </c>
      <c r="C862" s="9" t="s">
        <v>3636</v>
      </c>
      <c r="D862" s="9" t="str">
        <f aca="false">C862&amp;" - "&amp;E862</f>
        <v>Door Latch - Front-Right</v>
      </c>
      <c r="E862" s="9" t="s">
        <v>1356</v>
      </c>
      <c r="F862" s="9" t="s">
        <v>2405</v>
      </c>
      <c r="G862" s="10" t="n">
        <f aca="false">IF($AK862=0,"",INDEX('Part types'!$P:$P,$AK862))</f>
        <v>15</v>
      </c>
      <c r="H862" s="10" t="n">
        <f aca="false">IF($AK862=0,"",INDEX('Part types'!$Q:$Q,$AK862))</f>
        <v>10</v>
      </c>
      <c r="I862" s="10" t="n">
        <f aca="false">IF($AK862=0,"",INDEX('Part types'!$R:$R,$AK862))</f>
        <v>8</v>
      </c>
      <c r="J862" s="10" t="n">
        <f aca="false">IF($AK862=0,"",INDEX('Part types'!$S:$S,$AK862))</f>
        <v>0.3</v>
      </c>
      <c r="K862" s="11" t="s">
        <v>3564</v>
      </c>
      <c r="L862" s="11" t="s">
        <v>3637</v>
      </c>
      <c r="M862" s="11" t="str">
        <f aca="false">L862&amp;" - "&amp;N862</f>
        <v>قفل الباب - أمامي يمين</v>
      </c>
      <c r="N862" s="11" t="s">
        <v>1357</v>
      </c>
      <c r="O862" s="11" t="s">
        <v>2408</v>
      </c>
      <c r="P862" s="10" t="n">
        <f aca="false">G862</f>
        <v>15</v>
      </c>
      <c r="Q862" s="10" t="n">
        <f aca="false">H862</f>
        <v>10</v>
      </c>
      <c r="R862" s="10" t="n">
        <f aca="false">I862</f>
        <v>8</v>
      </c>
      <c r="S862" s="10" t="n">
        <f aca="false">J862</f>
        <v>0.3</v>
      </c>
      <c r="T862" s="12" t="s">
        <v>3566</v>
      </c>
      <c r="U862" s="12" t="s">
        <v>3638</v>
      </c>
      <c r="V862" s="9" t="str">
        <f aca="false">U862&amp;" - "&amp;W862</f>
        <v>车门锁块 - 前右</v>
      </c>
      <c r="W862" s="12" t="s">
        <v>1358</v>
      </c>
      <c r="X862" s="12" t="s">
        <v>2411</v>
      </c>
      <c r="Y862" s="10" t="n">
        <f aca="false">G862</f>
        <v>15</v>
      </c>
      <c r="Z862" s="10" t="n">
        <f aca="false">H862</f>
        <v>10</v>
      </c>
      <c r="AA862" s="10" t="n">
        <f aca="false">I862</f>
        <v>8</v>
      </c>
      <c r="AB862" s="10" t="n">
        <f aca="false">J862</f>
        <v>0.3</v>
      </c>
      <c r="AC862" s="9" t="s">
        <v>3568</v>
      </c>
      <c r="AD862" s="9" t="s">
        <v>3639</v>
      </c>
      <c r="AE862" s="9" t="str">
        <f aca="false">IF($AK862=0,"",INDEX('Part types'!$T:$T,$AK862)&amp;"")</f>
        <v>All vehicles</v>
      </c>
      <c r="AF862" s="9" t="str">
        <f aca="false">IF($AK862=0,"",INDEX('Part types'!$U:$U,$AK862)&amp;"")</f>
        <v/>
      </c>
      <c r="AG862" s="9" t="str">
        <f aca="false">IF($AK862=0,"",INDEX('Part types'!$V:$V,$AK862)&amp;"")</f>
        <v>Estimate: size class S</v>
      </c>
      <c r="AH862" s="9" t="str">
        <f aca="false">IF($AK862=0,"",INDEX('Part types'!$W:$W,$AK862)&amp;"")</f>
        <v/>
      </c>
      <c r="AI862" s="11" t="str">
        <f aca="false">IF($AK862=0,"",INDEX('Part types'!$X:$X,$AK862)&amp;"")</f>
        <v>كالون</v>
      </c>
      <c r="AJ862" s="9" t="str">
        <f aca="false">IF($AK862=0,"",INDEX('Part types'!$Y:$Y,$AK862)&amp;"")</f>
        <v/>
      </c>
      <c r="AK862" s="9" t="n">
        <f aca="false">IFERROR(MATCH($AD862,'Part types'!$E:$E,0),0)</f>
        <v>589</v>
      </c>
    </row>
    <row r="863" customFormat="false" ht="15" hidden="false" customHeight="false" outlineLevel="0" collapsed="false">
      <c r="A863" s="9" t="s">
        <v>3641</v>
      </c>
      <c r="B863" s="9" t="s">
        <v>3562</v>
      </c>
      <c r="C863" s="9" t="s">
        <v>3636</v>
      </c>
      <c r="D863" s="9" t="str">
        <f aca="false">C863&amp;" - "&amp;E863</f>
        <v>Door Latch - Rear-Left</v>
      </c>
      <c r="E863" s="9" t="s">
        <v>1360</v>
      </c>
      <c r="F863" s="9" t="s">
        <v>2405</v>
      </c>
      <c r="G863" s="10" t="n">
        <f aca="false">IF($AK863=0,"",INDEX('Part types'!$P:$P,$AK863))</f>
        <v>15</v>
      </c>
      <c r="H863" s="10" t="n">
        <f aca="false">IF($AK863=0,"",INDEX('Part types'!$Q:$Q,$AK863))</f>
        <v>10</v>
      </c>
      <c r="I863" s="10" t="n">
        <f aca="false">IF($AK863=0,"",INDEX('Part types'!$R:$R,$AK863))</f>
        <v>8</v>
      </c>
      <c r="J863" s="10" t="n">
        <f aca="false">IF($AK863=0,"",INDEX('Part types'!$S:$S,$AK863))</f>
        <v>0.3</v>
      </c>
      <c r="K863" s="11" t="s">
        <v>3564</v>
      </c>
      <c r="L863" s="11" t="s">
        <v>3637</v>
      </c>
      <c r="M863" s="11" t="str">
        <f aca="false">L863&amp;" - "&amp;N863</f>
        <v>قفل الباب - خلفي يسار</v>
      </c>
      <c r="N863" s="11" t="s">
        <v>1361</v>
      </c>
      <c r="O863" s="11" t="s">
        <v>2408</v>
      </c>
      <c r="P863" s="10" t="n">
        <f aca="false">G863</f>
        <v>15</v>
      </c>
      <c r="Q863" s="10" t="n">
        <f aca="false">H863</f>
        <v>10</v>
      </c>
      <c r="R863" s="10" t="n">
        <f aca="false">I863</f>
        <v>8</v>
      </c>
      <c r="S863" s="10" t="n">
        <f aca="false">J863</f>
        <v>0.3</v>
      </c>
      <c r="T863" s="12" t="s">
        <v>3566</v>
      </c>
      <c r="U863" s="12" t="s">
        <v>3638</v>
      </c>
      <c r="V863" s="9" t="str">
        <f aca="false">U863&amp;" - "&amp;W863</f>
        <v>车门锁块 - 后左</v>
      </c>
      <c r="W863" s="12" t="s">
        <v>1362</v>
      </c>
      <c r="X863" s="12" t="s">
        <v>2411</v>
      </c>
      <c r="Y863" s="10" t="n">
        <f aca="false">G863</f>
        <v>15</v>
      </c>
      <c r="Z863" s="10" t="n">
        <f aca="false">H863</f>
        <v>10</v>
      </c>
      <c r="AA863" s="10" t="n">
        <f aca="false">I863</f>
        <v>8</v>
      </c>
      <c r="AB863" s="10" t="n">
        <f aca="false">J863</f>
        <v>0.3</v>
      </c>
      <c r="AC863" s="9" t="s">
        <v>3568</v>
      </c>
      <c r="AD863" s="9" t="s">
        <v>3639</v>
      </c>
      <c r="AE863" s="9" t="str">
        <f aca="false">IF($AK863=0,"",INDEX('Part types'!$T:$T,$AK863)&amp;"")</f>
        <v>All vehicles</v>
      </c>
      <c r="AF863" s="9" t="str">
        <f aca="false">IF($AK863=0,"",INDEX('Part types'!$U:$U,$AK863)&amp;"")</f>
        <v/>
      </c>
      <c r="AG863" s="9" t="str">
        <f aca="false">IF($AK863=0,"",INDEX('Part types'!$V:$V,$AK863)&amp;"")</f>
        <v>Estimate: size class S</v>
      </c>
      <c r="AH863" s="9" t="str">
        <f aca="false">IF($AK863=0,"",INDEX('Part types'!$W:$W,$AK863)&amp;"")</f>
        <v/>
      </c>
      <c r="AI863" s="11" t="str">
        <f aca="false">IF($AK863=0,"",INDEX('Part types'!$X:$X,$AK863)&amp;"")</f>
        <v>كالون</v>
      </c>
      <c r="AJ863" s="9" t="str">
        <f aca="false">IF($AK863=0,"",INDEX('Part types'!$Y:$Y,$AK863)&amp;"")</f>
        <v/>
      </c>
      <c r="AK863" s="9" t="n">
        <f aca="false">IFERROR(MATCH($AD863,'Part types'!$E:$E,0),0)</f>
        <v>589</v>
      </c>
    </row>
    <row r="864" customFormat="false" ht="15" hidden="false" customHeight="false" outlineLevel="0" collapsed="false">
      <c r="A864" s="9" t="s">
        <v>3642</v>
      </c>
      <c r="B864" s="9" t="s">
        <v>3562</v>
      </c>
      <c r="C864" s="9" t="s">
        <v>3636</v>
      </c>
      <c r="D864" s="9" t="str">
        <f aca="false">C864&amp;" - "&amp;E864</f>
        <v>Door Latch - Rear-Right</v>
      </c>
      <c r="E864" s="9" t="s">
        <v>1364</v>
      </c>
      <c r="F864" s="9" t="s">
        <v>2405</v>
      </c>
      <c r="G864" s="10" t="n">
        <f aca="false">IF($AK864=0,"",INDEX('Part types'!$P:$P,$AK864))</f>
        <v>15</v>
      </c>
      <c r="H864" s="10" t="n">
        <f aca="false">IF($AK864=0,"",INDEX('Part types'!$Q:$Q,$AK864))</f>
        <v>10</v>
      </c>
      <c r="I864" s="10" t="n">
        <f aca="false">IF($AK864=0,"",INDEX('Part types'!$R:$R,$AK864))</f>
        <v>8</v>
      </c>
      <c r="J864" s="10" t="n">
        <f aca="false">IF($AK864=0,"",INDEX('Part types'!$S:$S,$AK864))</f>
        <v>0.3</v>
      </c>
      <c r="K864" s="11" t="s">
        <v>3564</v>
      </c>
      <c r="L864" s="11" t="s">
        <v>3637</v>
      </c>
      <c r="M864" s="11" t="str">
        <f aca="false">L864&amp;" - "&amp;N864</f>
        <v>قفل الباب - خلفي يمين</v>
      </c>
      <c r="N864" s="11" t="s">
        <v>1365</v>
      </c>
      <c r="O864" s="11" t="s">
        <v>2408</v>
      </c>
      <c r="P864" s="10" t="n">
        <f aca="false">G864</f>
        <v>15</v>
      </c>
      <c r="Q864" s="10" t="n">
        <f aca="false">H864</f>
        <v>10</v>
      </c>
      <c r="R864" s="10" t="n">
        <f aca="false">I864</f>
        <v>8</v>
      </c>
      <c r="S864" s="10" t="n">
        <f aca="false">J864</f>
        <v>0.3</v>
      </c>
      <c r="T864" s="12" t="s">
        <v>3566</v>
      </c>
      <c r="U864" s="12" t="s">
        <v>3638</v>
      </c>
      <c r="V864" s="9" t="str">
        <f aca="false">U864&amp;" - "&amp;W864</f>
        <v>车门锁块 - 后右</v>
      </c>
      <c r="W864" s="12" t="s">
        <v>1366</v>
      </c>
      <c r="X864" s="12" t="s">
        <v>2411</v>
      </c>
      <c r="Y864" s="10" t="n">
        <f aca="false">G864</f>
        <v>15</v>
      </c>
      <c r="Z864" s="10" t="n">
        <f aca="false">H864</f>
        <v>10</v>
      </c>
      <c r="AA864" s="10" t="n">
        <f aca="false">I864</f>
        <v>8</v>
      </c>
      <c r="AB864" s="10" t="n">
        <f aca="false">J864</f>
        <v>0.3</v>
      </c>
      <c r="AC864" s="9" t="s">
        <v>3568</v>
      </c>
      <c r="AD864" s="9" t="s">
        <v>3639</v>
      </c>
      <c r="AE864" s="9" t="str">
        <f aca="false">IF($AK864=0,"",INDEX('Part types'!$T:$T,$AK864)&amp;"")</f>
        <v>All vehicles</v>
      </c>
      <c r="AF864" s="9" t="str">
        <f aca="false">IF($AK864=0,"",INDEX('Part types'!$U:$U,$AK864)&amp;"")</f>
        <v/>
      </c>
      <c r="AG864" s="9" t="str">
        <f aca="false">IF($AK864=0,"",INDEX('Part types'!$V:$V,$AK864)&amp;"")</f>
        <v>Estimate: size class S</v>
      </c>
      <c r="AH864" s="9" t="str">
        <f aca="false">IF($AK864=0,"",INDEX('Part types'!$W:$W,$AK864)&amp;"")</f>
        <v/>
      </c>
      <c r="AI864" s="11" t="str">
        <f aca="false">IF($AK864=0,"",INDEX('Part types'!$X:$X,$AK864)&amp;"")</f>
        <v>كالون</v>
      </c>
      <c r="AJ864" s="9" t="str">
        <f aca="false">IF($AK864=0,"",INDEX('Part types'!$Y:$Y,$AK864)&amp;"")</f>
        <v/>
      </c>
      <c r="AK864" s="9" t="n">
        <f aca="false">IFERROR(MATCH($AD864,'Part types'!$E:$E,0),0)</f>
        <v>589</v>
      </c>
    </row>
    <row r="865" customFormat="false" ht="15" hidden="false" customHeight="false" outlineLevel="0" collapsed="false">
      <c r="A865" s="9" t="s">
        <v>3643</v>
      </c>
      <c r="B865" s="9" t="s">
        <v>3562</v>
      </c>
      <c r="C865" s="9" t="s">
        <v>3644</v>
      </c>
      <c r="D865" s="9" t="str">
        <f aca="false">C865&amp;" - "&amp;E865</f>
        <v>Door Lock Cylinder - Left</v>
      </c>
      <c r="E865" s="9" t="s">
        <v>218</v>
      </c>
      <c r="F865" s="9" t="s">
        <v>3583</v>
      </c>
      <c r="G865" s="10" t="n">
        <f aca="false">IF($AK865=0,"",INDEX('Part types'!$P:$P,$AK865))</f>
        <v>15</v>
      </c>
      <c r="H865" s="10" t="n">
        <f aca="false">IF($AK865=0,"",INDEX('Part types'!$Q:$Q,$AK865))</f>
        <v>10</v>
      </c>
      <c r="I865" s="10" t="n">
        <f aca="false">IF($AK865=0,"",INDEX('Part types'!$R:$R,$AK865))</f>
        <v>8</v>
      </c>
      <c r="J865" s="10" t="n">
        <f aca="false">IF($AK865=0,"",INDEX('Part types'!$S:$S,$AK865))</f>
        <v>0.3</v>
      </c>
      <c r="K865" s="11" t="s">
        <v>3564</v>
      </c>
      <c r="L865" s="11" t="s">
        <v>3645</v>
      </c>
      <c r="M865" s="11" t="str">
        <f aca="false">L865&amp;" - "&amp;N865</f>
        <v>اسطوانة قفل الباب - يسار</v>
      </c>
      <c r="N865" s="11" t="s">
        <v>220</v>
      </c>
      <c r="O865" s="11" t="s">
        <v>3585</v>
      </c>
      <c r="P865" s="10" t="n">
        <f aca="false">G865</f>
        <v>15</v>
      </c>
      <c r="Q865" s="10" t="n">
        <f aca="false">H865</f>
        <v>10</v>
      </c>
      <c r="R865" s="10" t="n">
        <f aca="false">I865</f>
        <v>8</v>
      </c>
      <c r="S865" s="10" t="n">
        <f aca="false">J865</f>
        <v>0.3</v>
      </c>
      <c r="T865" s="12" t="s">
        <v>3566</v>
      </c>
      <c r="U865" s="12" t="s">
        <v>3646</v>
      </c>
      <c r="V865" s="9" t="str">
        <f aca="false">U865&amp;" - "&amp;W865</f>
        <v>车门锁芯 - 左侧</v>
      </c>
      <c r="W865" s="12" t="s">
        <v>222</v>
      </c>
      <c r="X865" s="12" t="s">
        <v>3587</v>
      </c>
      <c r="Y865" s="10" t="n">
        <f aca="false">G865</f>
        <v>15</v>
      </c>
      <c r="Z865" s="10" t="n">
        <f aca="false">H865</f>
        <v>10</v>
      </c>
      <c r="AA865" s="10" t="n">
        <f aca="false">I865</f>
        <v>8</v>
      </c>
      <c r="AB865" s="10" t="n">
        <f aca="false">J865</f>
        <v>0.3</v>
      </c>
      <c r="AC865" s="9" t="s">
        <v>3568</v>
      </c>
      <c r="AD865" s="9" t="s">
        <v>3647</v>
      </c>
      <c r="AE865" s="9" t="str">
        <f aca="false">IF($AK865=0,"",INDEX('Part types'!$T:$T,$AK865)&amp;"")</f>
        <v>All vehicles</v>
      </c>
      <c r="AF865" s="9" t="str">
        <f aca="false">IF($AK865=0,"",INDEX('Part types'!$U:$U,$AK865)&amp;"")</f>
        <v/>
      </c>
      <c r="AG865" s="9" t="str">
        <f aca="false">IF($AK865=0,"",INDEX('Part types'!$V:$V,$AK865)&amp;"")</f>
        <v>Estimate: size class S</v>
      </c>
      <c r="AH865" s="9" t="str">
        <f aca="false">IF($AK865=0,"",INDEX('Part types'!$W:$W,$AK865)&amp;"")</f>
        <v/>
      </c>
      <c r="AI865" s="11" t="str">
        <f aca="false">IF($AK865=0,"",INDEX('Part types'!$X:$X,$AK865)&amp;"")</f>
        <v/>
      </c>
      <c r="AJ865" s="9" t="str">
        <f aca="false">IF($AK865=0,"",INDEX('Part types'!$Y:$Y,$AK865)&amp;"")</f>
        <v/>
      </c>
      <c r="AK865" s="9" t="n">
        <f aca="false">IFERROR(MATCH($AD865,'Part types'!$E:$E,0),0)</f>
        <v>590</v>
      </c>
    </row>
    <row r="866" customFormat="false" ht="15" hidden="false" customHeight="false" outlineLevel="0" collapsed="false">
      <c r="A866" s="9" t="s">
        <v>3648</v>
      </c>
      <c r="B866" s="9" t="s">
        <v>3562</v>
      </c>
      <c r="C866" s="9" t="s">
        <v>3644</v>
      </c>
      <c r="D866" s="9" t="str">
        <f aca="false">C866&amp;" - "&amp;E866</f>
        <v>Door Lock Cylinder - Right</v>
      </c>
      <c r="E866" s="9" t="s">
        <v>225</v>
      </c>
      <c r="F866" s="9" t="s">
        <v>3583</v>
      </c>
      <c r="G866" s="10" t="n">
        <f aca="false">IF($AK866=0,"",INDEX('Part types'!$P:$P,$AK866))</f>
        <v>15</v>
      </c>
      <c r="H866" s="10" t="n">
        <f aca="false">IF($AK866=0,"",INDEX('Part types'!$Q:$Q,$AK866))</f>
        <v>10</v>
      </c>
      <c r="I866" s="10" t="n">
        <f aca="false">IF($AK866=0,"",INDEX('Part types'!$R:$R,$AK866))</f>
        <v>8</v>
      </c>
      <c r="J866" s="10" t="n">
        <f aca="false">IF($AK866=0,"",INDEX('Part types'!$S:$S,$AK866))</f>
        <v>0.3</v>
      </c>
      <c r="K866" s="11" t="s">
        <v>3564</v>
      </c>
      <c r="L866" s="11" t="s">
        <v>3645</v>
      </c>
      <c r="M866" s="11" t="str">
        <f aca="false">L866&amp;" - "&amp;N866</f>
        <v>اسطوانة قفل الباب - يمين</v>
      </c>
      <c r="N866" s="11" t="s">
        <v>226</v>
      </c>
      <c r="O866" s="11" t="s">
        <v>3585</v>
      </c>
      <c r="P866" s="10" t="n">
        <f aca="false">G866</f>
        <v>15</v>
      </c>
      <c r="Q866" s="10" t="n">
        <f aca="false">H866</f>
        <v>10</v>
      </c>
      <c r="R866" s="10" t="n">
        <f aca="false">I866</f>
        <v>8</v>
      </c>
      <c r="S866" s="10" t="n">
        <f aca="false">J866</f>
        <v>0.3</v>
      </c>
      <c r="T866" s="12" t="s">
        <v>3566</v>
      </c>
      <c r="U866" s="12" t="s">
        <v>3646</v>
      </c>
      <c r="V866" s="9" t="str">
        <f aca="false">U866&amp;" - "&amp;W866</f>
        <v>车门锁芯 - 右侧</v>
      </c>
      <c r="W866" s="12" t="s">
        <v>227</v>
      </c>
      <c r="X866" s="12" t="s">
        <v>3587</v>
      </c>
      <c r="Y866" s="10" t="n">
        <f aca="false">G866</f>
        <v>15</v>
      </c>
      <c r="Z866" s="10" t="n">
        <f aca="false">H866</f>
        <v>10</v>
      </c>
      <c r="AA866" s="10" t="n">
        <f aca="false">I866</f>
        <v>8</v>
      </c>
      <c r="AB866" s="10" t="n">
        <f aca="false">J866</f>
        <v>0.3</v>
      </c>
      <c r="AC866" s="9" t="s">
        <v>3568</v>
      </c>
      <c r="AD866" s="9" t="s">
        <v>3647</v>
      </c>
      <c r="AE866" s="9" t="str">
        <f aca="false">IF($AK866=0,"",INDEX('Part types'!$T:$T,$AK866)&amp;"")</f>
        <v>All vehicles</v>
      </c>
      <c r="AF866" s="9" t="str">
        <f aca="false">IF($AK866=0,"",INDEX('Part types'!$U:$U,$AK866)&amp;"")</f>
        <v/>
      </c>
      <c r="AG866" s="9" t="str">
        <f aca="false">IF($AK866=0,"",INDEX('Part types'!$V:$V,$AK866)&amp;"")</f>
        <v>Estimate: size class S</v>
      </c>
      <c r="AH866" s="9" t="str">
        <f aca="false">IF($AK866=0,"",INDEX('Part types'!$W:$W,$AK866)&amp;"")</f>
        <v/>
      </c>
      <c r="AI866" s="11" t="str">
        <f aca="false">IF($AK866=0,"",INDEX('Part types'!$X:$X,$AK866)&amp;"")</f>
        <v/>
      </c>
      <c r="AJ866" s="9" t="str">
        <f aca="false">IF($AK866=0,"",INDEX('Part types'!$Y:$Y,$AK866)&amp;"")</f>
        <v/>
      </c>
      <c r="AK866" s="9" t="n">
        <f aca="false">IFERROR(MATCH($AD866,'Part types'!$E:$E,0),0)</f>
        <v>590</v>
      </c>
    </row>
    <row r="867" customFormat="false" ht="15" hidden="false" customHeight="false" outlineLevel="0" collapsed="false">
      <c r="A867" s="9" t="s">
        <v>3649</v>
      </c>
      <c r="B867" s="9" t="s">
        <v>3562</v>
      </c>
      <c r="C867" s="9" t="s">
        <v>3650</v>
      </c>
      <c r="D867" s="9" t="str">
        <f aca="false">C867&amp;" - "&amp;E867</f>
        <v>Door Side Molding - Front-Left</v>
      </c>
      <c r="E867" s="9" t="s">
        <v>1346</v>
      </c>
      <c r="F867" s="9" t="s">
        <v>3583</v>
      </c>
      <c r="G867" s="10" t="n">
        <f aca="false">IF($AK867=0,"",INDEX('Part types'!$P:$P,$AK867))</f>
        <v>40</v>
      </c>
      <c r="H867" s="10" t="n">
        <f aca="false">IF($AK867=0,"",INDEX('Part types'!$Q:$Q,$AK867))</f>
        <v>25</v>
      </c>
      <c r="I867" s="10" t="n">
        <f aca="false">IF($AK867=0,"",INDEX('Part types'!$R:$R,$AK867))</f>
        <v>15</v>
      </c>
      <c r="J867" s="10" t="n">
        <f aca="false">IF($AK867=0,"",INDEX('Part types'!$S:$S,$AK867))</f>
        <v>3</v>
      </c>
      <c r="K867" s="11" t="s">
        <v>3564</v>
      </c>
      <c r="L867" s="11" t="s">
        <v>3651</v>
      </c>
      <c r="M867" s="11" t="str">
        <f aca="false">L867&amp;" - "&amp;N867</f>
        <v>شريط حماية الباب الجانبي - أمامي يسار</v>
      </c>
      <c r="N867" s="11" t="s">
        <v>1349</v>
      </c>
      <c r="O867" s="11" t="s">
        <v>3585</v>
      </c>
      <c r="P867" s="10" t="n">
        <f aca="false">G867</f>
        <v>40</v>
      </c>
      <c r="Q867" s="10" t="n">
        <f aca="false">H867</f>
        <v>25</v>
      </c>
      <c r="R867" s="10" t="n">
        <f aca="false">I867</f>
        <v>15</v>
      </c>
      <c r="S867" s="10" t="n">
        <f aca="false">J867</f>
        <v>3</v>
      </c>
      <c r="T867" s="12" t="s">
        <v>3566</v>
      </c>
      <c r="U867" s="12" t="s">
        <v>3652</v>
      </c>
      <c r="V867" s="9" t="str">
        <f aca="false">U867&amp;" - "&amp;W867</f>
        <v>车门饰条 - 前左</v>
      </c>
      <c r="W867" s="12" t="s">
        <v>1352</v>
      </c>
      <c r="X867" s="12" t="s">
        <v>3587</v>
      </c>
      <c r="Y867" s="10" t="n">
        <f aca="false">G867</f>
        <v>40</v>
      </c>
      <c r="Z867" s="10" t="n">
        <f aca="false">H867</f>
        <v>25</v>
      </c>
      <c r="AA867" s="10" t="n">
        <f aca="false">I867</f>
        <v>15</v>
      </c>
      <c r="AB867" s="10" t="n">
        <f aca="false">J867</f>
        <v>3</v>
      </c>
      <c r="AC867" s="9" t="s">
        <v>3568</v>
      </c>
      <c r="AD867" s="9" t="s">
        <v>3653</v>
      </c>
      <c r="AE867" s="9" t="str">
        <f aca="false">IF($AK867=0,"",INDEX('Part types'!$T:$T,$AK867)&amp;"")</f>
        <v>All vehicles</v>
      </c>
      <c r="AF867" s="9" t="str">
        <f aca="false">IF($AK867=0,"",INDEX('Part types'!$U:$U,$AK867)&amp;"")</f>
        <v/>
      </c>
      <c r="AG867" s="9" t="str">
        <f aca="false">IF($AK867=0,"",INDEX('Part types'!$V:$V,$AK867)&amp;"")</f>
        <v>Estimate: size class L</v>
      </c>
      <c r="AH867" s="9" t="str">
        <f aca="false">IF($AK867=0,"",INDEX('Part types'!$W:$W,$AK867)&amp;"")</f>
        <v/>
      </c>
      <c r="AI867" s="11" t="str">
        <f aca="false">IF($AK867=0,"",INDEX('Part types'!$X:$X,$AK867)&amp;"")</f>
        <v/>
      </c>
      <c r="AJ867" s="9" t="str">
        <f aca="false">IF($AK867=0,"",INDEX('Part types'!$Y:$Y,$AK867)&amp;"")</f>
        <v/>
      </c>
      <c r="AK867" s="9" t="n">
        <f aca="false">IFERROR(MATCH($AD867,'Part types'!$E:$E,0),0)</f>
        <v>591</v>
      </c>
    </row>
    <row r="868" customFormat="false" ht="15" hidden="false" customHeight="false" outlineLevel="0" collapsed="false">
      <c r="A868" s="9" t="s">
        <v>3654</v>
      </c>
      <c r="B868" s="9" t="s">
        <v>3562</v>
      </c>
      <c r="C868" s="9" t="s">
        <v>3650</v>
      </c>
      <c r="D868" s="9" t="str">
        <f aca="false">C868&amp;" - "&amp;E868</f>
        <v>Door Side Molding - Front-Right</v>
      </c>
      <c r="E868" s="9" t="s">
        <v>1356</v>
      </c>
      <c r="F868" s="9" t="s">
        <v>3583</v>
      </c>
      <c r="G868" s="10" t="n">
        <f aca="false">IF($AK868=0,"",INDEX('Part types'!$P:$P,$AK868))</f>
        <v>40</v>
      </c>
      <c r="H868" s="10" t="n">
        <f aca="false">IF($AK868=0,"",INDEX('Part types'!$Q:$Q,$AK868))</f>
        <v>25</v>
      </c>
      <c r="I868" s="10" t="n">
        <f aca="false">IF($AK868=0,"",INDEX('Part types'!$R:$R,$AK868))</f>
        <v>15</v>
      </c>
      <c r="J868" s="10" t="n">
        <f aca="false">IF($AK868=0,"",INDEX('Part types'!$S:$S,$AK868))</f>
        <v>3</v>
      </c>
      <c r="K868" s="11" t="s">
        <v>3564</v>
      </c>
      <c r="L868" s="11" t="s">
        <v>3651</v>
      </c>
      <c r="M868" s="11" t="str">
        <f aca="false">L868&amp;" - "&amp;N868</f>
        <v>شريط حماية الباب الجانبي - أمامي يمين</v>
      </c>
      <c r="N868" s="11" t="s">
        <v>1357</v>
      </c>
      <c r="O868" s="11" t="s">
        <v>3585</v>
      </c>
      <c r="P868" s="10" t="n">
        <f aca="false">G868</f>
        <v>40</v>
      </c>
      <c r="Q868" s="10" t="n">
        <f aca="false">H868</f>
        <v>25</v>
      </c>
      <c r="R868" s="10" t="n">
        <f aca="false">I868</f>
        <v>15</v>
      </c>
      <c r="S868" s="10" t="n">
        <f aca="false">J868</f>
        <v>3</v>
      </c>
      <c r="T868" s="12" t="s">
        <v>3566</v>
      </c>
      <c r="U868" s="12" t="s">
        <v>3652</v>
      </c>
      <c r="V868" s="9" t="str">
        <f aca="false">U868&amp;" - "&amp;W868</f>
        <v>车门饰条 - 前右</v>
      </c>
      <c r="W868" s="12" t="s">
        <v>1358</v>
      </c>
      <c r="X868" s="12" t="s">
        <v>3587</v>
      </c>
      <c r="Y868" s="10" t="n">
        <f aca="false">G868</f>
        <v>40</v>
      </c>
      <c r="Z868" s="10" t="n">
        <f aca="false">H868</f>
        <v>25</v>
      </c>
      <c r="AA868" s="10" t="n">
        <f aca="false">I868</f>
        <v>15</v>
      </c>
      <c r="AB868" s="10" t="n">
        <f aca="false">J868</f>
        <v>3</v>
      </c>
      <c r="AC868" s="9" t="s">
        <v>3568</v>
      </c>
      <c r="AD868" s="9" t="s">
        <v>3653</v>
      </c>
      <c r="AE868" s="9" t="str">
        <f aca="false">IF($AK868=0,"",INDEX('Part types'!$T:$T,$AK868)&amp;"")</f>
        <v>All vehicles</v>
      </c>
      <c r="AF868" s="9" t="str">
        <f aca="false">IF($AK868=0,"",INDEX('Part types'!$U:$U,$AK868)&amp;"")</f>
        <v/>
      </c>
      <c r="AG868" s="9" t="str">
        <f aca="false">IF($AK868=0,"",INDEX('Part types'!$V:$V,$AK868)&amp;"")</f>
        <v>Estimate: size class L</v>
      </c>
      <c r="AH868" s="9" t="str">
        <f aca="false">IF($AK868=0,"",INDEX('Part types'!$W:$W,$AK868)&amp;"")</f>
        <v/>
      </c>
      <c r="AI868" s="11" t="str">
        <f aca="false">IF($AK868=0,"",INDEX('Part types'!$X:$X,$AK868)&amp;"")</f>
        <v/>
      </c>
      <c r="AJ868" s="9" t="str">
        <f aca="false">IF($AK868=0,"",INDEX('Part types'!$Y:$Y,$AK868)&amp;"")</f>
        <v/>
      </c>
      <c r="AK868" s="9" t="n">
        <f aca="false">IFERROR(MATCH($AD868,'Part types'!$E:$E,0),0)</f>
        <v>591</v>
      </c>
    </row>
    <row r="869" customFormat="false" ht="15" hidden="false" customHeight="false" outlineLevel="0" collapsed="false">
      <c r="A869" s="9" t="s">
        <v>3655</v>
      </c>
      <c r="B869" s="9" t="s">
        <v>3562</v>
      </c>
      <c r="C869" s="9" t="s">
        <v>3650</v>
      </c>
      <c r="D869" s="9" t="str">
        <f aca="false">C869&amp;" - "&amp;E869</f>
        <v>Door Side Molding - Rear-Left</v>
      </c>
      <c r="E869" s="9" t="s">
        <v>1360</v>
      </c>
      <c r="F869" s="9" t="s">
        <v>3583</v>
      </c>
      <c r="G869" s="10" t="n">
        <f aca="false">IF($AK869=0,"",INDEX('Part types'!$P:$P,$AK869))</f>
        <v>40</v>
      </c>
      <c r="H869" s="10" t="n">
        <f aca="false">IF($AK869=0,"",INDEX('Part types'!$Q:$Q,$AK869))</f>
        <v>25</v>
      </c>
      <c r="I869" s="10" t="n">
        <f aca="false">IF($AK869=0,"",INDEX('Part types'!$R:$R,$AK869))</f>
        <v>15</v>
      </c>
      <c r="J869" s="10" t="n">
        <f aca="false">IF($AK869=0,"",INDEX('Part types'!$S:$S,$AK869))</f>
        <v>3</v>
      </c>
      <c r="K869" s="11" t="s">
        <v>3564</v>
      </c>
      <c r="L869" s="11" t="s">
        <v>3651</v>
      </c>
      <c r="M869" s="11" t="str">
        <f aca="false">L869&amp;" - "&amp;N869</f>
        <v>شريط حماية الباب الجانبي - خلفي يسار</v>
      </c>
      <c r="N869" s="11" t="s">
        <v>1361</v>
      </c>
      <c r="O869" s="11" t="s">
        <v>3585</v>
      </c>
      <c r="P869" s="10" t="n">
        <f aca="false">G869</f>
        <v>40</v>
      </c>
      <c r="Q869" s="10" t="n">
        <f aca="false">H869</f>
        <v>25</v>
      </c>
      <c r="R869" s="10" t="n">
        <f aca="false">I869</f>
        <v>15</v>
      </c>
      <c r="S869" s="10" t="n">
        <f aca="false">J869</f>
        <v>3</v>
      </c>
      <c r="T869" s="12" t="s">
        <v>3566</v>
      </c>
      <c r="U869" s="12" t="s">
        <v>3652</v>
      </c>
      <c r="V869" s="9" t="str">
        <f aca="false">U869&amp;" - "&amp;W869</f>
        <v>车门饰条 - 后左</v>
      </c>
      <c r="W869" s="12" t="s">
        <v>1362</v>
      </c>
      <c r="X869" s="12" t="s">
        <v>3587</v>
      </c>
      <c r="Y869" s="10" t="n">
        <f aca="false">G869</f>
        <v>40</v>
      </c>
      <c r="Z869" s="10" t="n">
        <f aca="false">H869</f>
        <v>25</v>
      </c>
      <c r="AA869" s="10" t="n">
        <f aca="false">I869</f>
        <v>15</v>
      </c>
      <c r="AB869" s="10" t="n">
        <f aca="false">J869</f>
        <v>3</v>
      </c>
      <c r="AC869" s="9" t="s">
        <v>3568</v>
      </c>
      <c r="AD869" s="9" t="s">
        <v>3653</v>
      </c>
      <c r="AE869" s="9" t="str">
        <f aca="false">IF($AK869=0,"",INDEX('Part types'!$T:$T,$AK869)&amp;"")</f>
        <v>All vehicles</v>
      </c>
      <c r="AF869" s="9" t="str">
        <f aca="false">IF($AK869=0,"",INDEX('Part types'!$U:$U,$AK869)&amp;"")</f>
        <v/>
      </c>
      <c r="AG869" s="9" t="str">
        <f aca="false">IF($AK869=0,"",INDEX('Part types'!$V:$V,$AK869)&amp;"")</f>
        <v>Estimate: size class L</v>
      </c>
      <c r="AH869" s="9" t="str">
        <f aca="false">IF($AK869=0,"",INDEX('Part types'!$W:$W,$AK869)&amp;"")</f>
        <v/>
      </c>
      <c r="AI869" s="11" t="str">
        <f aca="false">IF($AK869=0,"",INDEX('Part types'!$X:$X,$AK869)&amp;"")</f>
        <v/>
      </c>
      <c r="AJ869" s="9" t="str">
        <f aca="false">IF($AK869=0,"",INDEX('Part types'!$Y:$Y,$AK869)&amp;"")</f>
        <v/>
      </c>
      <c r="AK869" s="9" t="n">
        <f aca="false">IFERROR(MATCH($AD869,'Part types'!$E:$E,0),0)</f>
        <v>591</v>
      </c>
    </row>
    <row r="870" customFormat="false" ht="15" hidden="false" customHeight="false" outlineLevel="0" collapsed="false">
      <c r="A870" s="9" t="s">
        <v>3656</v>
      </c>
      <c r="B870" s="9" t="s">
        <v>3562</v>
      </c>
      <c r="C870" s="9" t="s">
        <v>3650</v>
      </c>
      <c r="D870" s="9" t="str">
        <f aca="false">C870&amp;" - "&amp;E870</f>
        <v>Door Side Molding - Rear-Right</v>
      </c>
      <c r="E870" s="9" t="s">
        <v>1364</v>
      </c>
      <c r="F870" s="9" t="s">
        <v>3583</v>
      </c>
      <c r="G870" s="10" t="n">
        <f aca="false">IF($AK870=0,"",INDEX('Part types'!$P:$P,$AK870))</f>
        <v>40</v>
      </c>
      <c r="H870" s="10" t="n">
        <f aca="false">IF($AK870=0,"",INDEX('Part types'!$Q:$Q,$AK870))</f>
        <v>25</v>
      </c>
      <c r="I870" s="10" t="n">
        <f aca="false">IF($AK870=0,"",INDEX('Part types'!$R:$R,$AK870))</f>
        <v>15</v>
      </c>
      <c r="J870" s="10" t="n">
        <f aca="false">IF($AK870=0,"",INDEX('Part types'!$S:$S,$AK870))</f>
        <v>3</v>
      </c>
      <c r="K870" s="11" t="s">
        <v>3564</v>
      </c>
      <c r="L870" s="11" t="s">
        <v>3651</v>
      </c>
      <c r="M870" s="11" t="str">
        <f aca="false">L870&amp;" - "&amp;N870</f>
        <v>شريط حماية الباب الجانبي - خلفي يمين</v>
      </c>
      <c r="N870" s="11" t="s">
        <v>1365</v>
      </c>
      <c r="O870" s="11" t="s">
        <v>3585</v>
      </c>
      <c r="P870" s="10" t="n">
        <f aca="false">G870</f>
        <v>40</v>
      </c>
      <c r="Q870" s="10" t="n">
        <f aca="false">H870</f>
        <v>25</v>
      </c>
      <c r="R870" s="10" t="n">
        <f aca="false">I870</f>
        <v>15</v>
      </c>
      <c r="S870" s="10" t="n">
        <f aca="false">J870</f>
        <v>3</v>
      </c>
      <c r="T870" s="12" t="s">
        <v>3566</v>
      </c>
      <c r="U870" s="12" t="s">
        <v>3652</v>
      </c>
      <c r="V870" s="9" t="str">
        <f aca="false">U870&amp;" - "&amp;W870</f>
        <v>车门饰条 - 后右</v>
      </c>
      <c r="W870" s="12" t="s">
        <v>1366</v>
      </c>
      <c r="X870" s="12" t="s">
        <v>3587</v>
      </c>
      <c r="Y870" s="10" t="n">
        <f aca="false">G870</f>
        <v>40</v>
      </c>
      <c r="Z870" s="10" t="n">
        <f aca="false">H870</f>
        <v>25</v>
      </c>
      <c r="AA870" s="10" t="n">
        <f aca="false">I870</f>
        <v>15</v>
      </c>
      <c r="AB870" s="10" t="n">
        <f aca="false">J870</f>
        <v>3</v>
      </c>
      <c r="AC870" s="9" t="s">
        <v>3568</v>
      </c>
      <c r="AD870" s="9" t="s">
        <v>3653</v>
      </c>
      <c r="AE870" s="9" t="str">
        <f aca="false">IF($AK870=0,"",INDEX('Part types'!$T:$T,$AK870)&amp;"")</f>
        <v>All vehicles</v>
      </c>
      <c r="AF870" s="9" t="str">
        <f aca="false">IF($AK870=0,"",INDEX('Part types'!$U:$U,$AK870)&amp;"")</f>
        <v/>
      </c>
      <c r="AG870" s="9" t="str">
        <f aca="false">IF($AK870=0,"",INDEX('Part types'!$V:$V,$AK870)&amp;"")</f>
        <v>Estimate: size class L</v>
      </c>
      <c r="AH870" s="9" t="str">
        <f aca="false">IF($AK870=0,"",INDEX('Part types'!$W:$W,$AK870)&amp;"")</f>
        <v/>
      </c>
      <c r="AI870" s="11" t="str">
        <f aca="false">IF($AK870=0,"",INDEX('Part types'!$X:$X,$AK870)&amp;"")</f>
        <v/>
      </c>
      <c r="AJ870" s="9" t="str">
        <f aca="false">IF($AK870=0,"",INDEX('Part types'!$Y:$Y,$AK870)&amp;"")</f>
        <v/>
      </c>
      <c r="AK870" s="9" t="n">
        <f aca="false">IFERROR(MATCH($AD870,'Part types'!$E:$E,0),0)</f>
        <v>591</v>
      </c>
    </row>
    <row r="871" customFormat="false" ht="15" hidden="false" customHeight="false" outlineLevel="0" collapsed="false">
      <c r="A871" s="9" t="s">
        <v>3657</v>
      </c>
      <c r="B871" s="9" t="s">
        <v>3562</v>
      </c>
      <c r="C871" s="9" t="s">
        <v>3658</v>
      </c>
      <c r="D871" s="9" t="str">
        <f aca="false">C871&amp;" - "&amp;E871</f>
        <v>Interior Door Panel - Front-Left</v>
      </c>
      <c r="E871" s="9" t="s">
        <v>1346</v>
      </c>
      <c r="F871" s="9" t="s">
        <v>2405</v>
      </c>
      <c r="G871" s="10" t="n">
        <f aca="false">IF($AK871=0,"",INDEX('Part types'!$P:$P,$AK871))</f>
        <v>50</v>
      </c>
      <c r="H871" s="10" t="n">
        <f aca="false">IF($AK871=0,"",INDEX('Part types'!$Q:$Q,$AK871))</f>
        <v>30</v>
      </c>
      <c r="I871" s="10" t="n">
        <f aca="false">IF($AK871=0,"",INDEX('Part types'!$R:$R,$AK871))</f>
        <v>20</v>
      </c>
      <c r="J871" s="10" t="n">
        <f aca="false">IF($AK871=0,"",INDEX('Part types'!$S:$S,$AK871))</f>
        <v>5</v>
      </c>
      <c r="K871" s="11" t="s">
        <v>3564</v>
      </c>
      <c r="L871" s="11" t="s">
        <v>3659</v>
      </c>
      <c r="M871" s="11" t="str">
        <f aca="false">L871&amp;" - "&amp;N871</f>
        <v>تابلوه الباب الداخلي - أمامي يسار</v>
      </c>
      <c r="N871" s="11" t="s">
        <v>1349</v>
      </c>
      <c r="O871" s="11" t="s">
        <v>2408</v>
      </c>
      <c r="P871" s="10" t="n">
        <f aca="false">G871</f>
        <v>50</v>
      </c>
      <c r="Q871" s="10" t="n">
        <f aca="false">H871</f>
        <v>30</v>
      </c>
      <c r="R871" s="10" t="n">
        <f aca="false">I871</f>
        <v>20</v>
      </c>
      <c r="S871" s="10" t="n">
        <f aca="false">J871</f>
        <v>5</v>
      </c>
      <c r="T871" s="12" t="s">
        <v>3566</v>
      </c>
      <c r="U871" s="12" t="s">
        <v>3660</v>
      </c>
      <c r="V871" s="9" t="str">
        <f aca="false">U871&amp;" - "&amp;W871</f>
        <v>车门内饰板 - 前左</v>
      </c>
      <c r="W871" s="12" t="s">
        <v>1352</v>
      </c>
      <c r="X871" s="12" t="s">
        <v>2411</v>
      </c>
      <c r="Y871" s="10" t="n">
        <f aca="false">G871</f>
        <v>50</v>
      </c>
      <c r="Z871" s="10" t="n">
        <f aca="false">H871</f>
        <v>30</v>
      </c>
      <c r="AA871" s="10" t="n">
        <f aca="false">I871</f>
        <v>20</v>
      </c>
      <c r="AB871" s="10" t="n">
        <f aca="false">J871</f>
        <v>5</v>
      </c>
      <c r="AC871" s="9" t="s">
        <v>3568</v>
      </c>
      <c r="AD871" s="9" t="s">
        <v>3661</v>
      </c>
      <c r="AE871" s="9" t="str">
        <f aca="false">IF($AK871=0,"",INDEX('Part types'!$T:$T,$AK871)&amp;"")</f>
        <v>All vehicles</v>
      </c>
      <c r="AF871" s="9" t="str">
        <f aca="false">IF($AK871=0,"",INDEX('Part types'!$U:$U,$AK871)&amp;"")</f>
        <v/>
      </c>
      <c r="AG871" s="9" t="str">
        <f aca="false">IF($AK871=0,"",INDEX('Part types'!$V:$V,$AK871)&amp;"")</f>
        <v>Estimate: size class L2</v>
      </c>
      <c r="AH871" s="9" t="str">
        <f aca="false">IF($AK871=0,"",INDEX('Part types'!$W:$W,$AK871)&amp;"")</f>
        <v/>
      </c>
      <c r="AI871" s="11" t="str">
        <f aca="false">IF($AK871=0,"",INDEX('Part types'!$X:$X,$AK871)&amp;"")</f>
        <v/>
      </c>
      <c r="AJ871" s="9" t="str">
        <f aca="false">IF($AK871=0,"",INDEX('Part types'!$Y:$Y,$AK871)&amp;"")</f>
        <v/>
      </c>
      <c r="AK871" s="9" t="n">
        <f aca="false">IFERROR(MATCH($AD871,'Part types'!$E:$E,0),0)</f>
        <v>592</v>
      </c>
    </row>
    <row r="872" customFormat="false" ht="15" hidden="false" customHeight="false" outlineLevel="0" collapsed="false">
      <c r="A872" s="9" t="s">
        <v>3662</v>
      </c>
      <c r="B872" s="9" t="s">
        <v>3562</v>
      </c>
      <c r="C872" s="9" t="s">
        <v>3658</v>
      </c>
      <c r="D872" s="9" t="str">
        <f aca="false">C872&amp;" - "&amp;E872</f>
        <v>Interior Door Panel - Front-Right</v>
      </c>
      <c r="E872" s="9" t="s">
        <v>1356</v>
      </c>
      <c r="F872" s="9" t="s">
        <v>2405</v>
      </c>
      <c r="G872" s="10" t="n">
        <f aca="false">IF($AK872=0,"",INDEX('Part types'!$P:$P,$AK872))</f>
        <v>50</v>
      </c>
      <c r="H872" s="10" t="n">
        <f aca="false">IF($AK872=0,"",INDEX('Part types'!$Q:$Q,$AK872))</f>
        <v>30</v>
      </c>
      <c r="I872" s="10" t="n">
        <f aca="false">IF($AK872=0,"",INDEX('Part types'!$R:$R,$AK872))</f>
        <v>20</v>
      </c>
      <c r="J872" s="10" t="n">
        <f aca="false">IF($AK872=0,"",INDEX('Part types'!$S:$S,$AK872))</f>
        <v>5</v>
      </c>
      <c r="K872" s="11" t="s">
        <v>3564</v>
      </c>
      <c r="L872" s="11" t="s">
        <v>3659</v>
      </c>
      <c r="M872" s="11" t="str">
        <f aca="false">L872&amp;" - "&amp;N872</f>
        <v>تابلوه الباب الداخلي - أمامي يمين</v>
      </c>
      <c r="N872" s="11" t="s">
        <v>1357</v>
      </c>
      <c r="O872" s="11" t="s">
        <v>2408</v>
      </c>
      <c r="P872" s="10" t="n">
        <f aca="false">G872</f>
        <v>50</v>
      </c>
      <c r="Q872" s="10" t="n">
        <f aca="false">H872</f>
        <v>30</v>
      </c>
      <c r="R872" s="10" t="n">
        <f aca="false">I872</f>
        <v>20</v>
      </c>
      <c r="S872" s="10" t="n">
        <f aca="false">J872</f>
        <v>5</v>
      </c>
      <c r="T872" s="12" t="s">
        <v>3566</v>
      </c>
      <c r="U872" s="12" t="s">
        <v>3660</v>
      </c>
      <c r="V872" s="9" t="str">
        <f aca="false">U872&amp;" - "&amp;W872</f>
        <v>车门内饰板 - 前右</v>
      </c>
      <c r="W872" s="12" t="s">
        <v>1358</v>
      </c>
      <c r="X872" s="12" t="s">
        <v>2411</v>
      </c>
      <c r="Y872" s="10" t="n">
        <f aca="false">G872</f>
        <v>50</v>
      </c>
      <c r="Z872" s="10" t="n">
        <f aca="false">H872</f>
        <v>30</v>
      </c>
      <c r="AA872" s="10" t="n">
        <f aca="false">I872</f>
        <v>20</v>
      </c>
      <c r="AB872" s="10" t="n">
        <f aca="false">J872</f>
        <v>5</v>
      </c>
      <c r="AC872" s="9" t="s">
        <v>3568</v>
      </c>
      <c r="AD872" s="9" t="s">
        <v>3661</v>
      </c>
      <c r="AE872" s="9" t="str">
        <f aca="false">IF($AK872=0,"",INDEX('Part types'!$T:$T,$AK872)&amp;"")</f>
        <v>All vehicles</v>
      </c>
      <c r="AF872" s="9" t="str">
        <f aca="false">IF($AK872=0,"",INDEX('Part types'!$U:$U,$AK872)&amp;"")</f>
        <v/>
      </c>
      <c r="AG872" s="9" t="str">
        <f aca="false">IF($AK872=0,"",INDEX('Part types'!$V:$V,$AK872)&amp;"")</f>
        <v>Estimate: size class L2</v>
      </c>
      <c r="AH872" s="9" t="str">
        <f aca="false">IF($AK872=0,"",INDEX('Part types'!$W:$W,$AK872)&amp;"")</f>
        <v/>
      </c>
      <c r="AI872" s="11" t="str">
        <f aca="false">IF($AK872=0,"",INDEX('Part types'!$X:$X,$AK872)&amp;"")</f>
        <v/>
      </c>
      <c r="AJ872" s="9" t="str">
        <f aca="false">IF($AK872=0,"",INDEX('Part types'!$Y:$Y,$AK872)&amp;"")</f>
        <v/>
      </c>
      <c r="AK872" s="9" t="n">
        <f aca="false">IFERROR(MATCH($AD872,'Part types'!$E:$E,0),0)</f>
        <v>592</v>
      </c>
    </row>
    <row r="873" customFormat="false" ht="15" hidden="false" customHeight="false" outlineLevel="0" collapsed="false">
      <c r="A873" s="9" t="s">
        <v>3663</v>
      </c>
      <c r="B873" s="9" t="s">
        <v>3562</v>
      </c>
      <c r="C873" s="9" t="s">
        <v>3658</v>
      </c>
      <c r="D873" s="9" t="str">
        <f aca="false">C873&amp;" - "&amp;E873</f>
        <v>Interior Door Panel - Rear-Left</v>
      </c>
      <c r="E873" s="9" t="s">
        <v>1360</v>
      </c>
      <c r="F873" s="9" t="s">
        <v>2405</v>
      </c>
      <c r="G873" s="10" t="n">
        <f aca="false">IF($AK873=0,"",INDEX('Part types'!$P:$P,$AK873))</f>
        <v>50</v>
      </c>
      <c r="H873" s="10" t="n">
        <f aca="false">IF($AK873=0,"",INDEX('Part types'!$Q:$Q,$AK873))</f>
        <v>30</v>
      </c>
      <c r="I873" s="10" t="n">
        <f aca="false">IF($AK873=0,"",INDEX('Part types'!$R:$R,$AK873))</f>
        <v>20</v>
      </c>
      <c r="J873" s="10" t="n">
        <f aca="false">IF($AK873=0,"",INDEX('Part types'!$S:$S,$AK873))</f>
        <v>5</v>
      </c>
      <c r="K873" s="11" t="s">
        <v>3564</v>
      </c>
      <c r="L873" s="11" t="s">
        <v>3659</v>
      </c>
      <c r="M873" s="11" t="str">
        <f aca="false">L873&amp;" - "&amp;N873</f>
        <v>تابلوه الباب الداخلي - خلفي يسار</v>
      </c>
      <c r="N873" s="11" t="s">
        <v>1361</v>
      </c>
      <c r="O873" s="11" t="s">
        <v>2408</v>
      </c>
      <c r="P873" s="10" t="n">
        <f aca="false">G873</f>
        <v>50</v>
      </c>
      <c r="Q873" s="10" t="n">
        <f aca="false">H873</f>
        <v>30</v>
      </c>
      <c r="R873" s="10" t="n">
        <f aca="false">I873</f>
        <v>20</v>
      </c>
      <c r="S873" s="10" t="n">
        <f aca="false">J873</f>
        <v>5</v>
      </c>
      <c r="T873" s="12" t="s">
        <v>3566</v>
      </c>
      <c r="U873" s="12" t="s">
        <v>3660</v>
      </c>
      <c r="V873" s="9" t="str">
        <f aca="false">U873&amp;" - "&amp;W873</f>
        <v>车门内饰板 - 后左</v>
      </c>
      <c r="W873" s="12" t="s">
        <v>1362</v>
      </c>
      <c r="X873" s="12" t="s">
        <v>2411</v>
      </c>
      <c r="Y873" s="10" t="n">
        <f aca="false">G873</f>
        <v>50</v>
      </c>
      <c r="Z873" s="10" t="n">
        <f aca="false">H873</f>
        <v>30</v>
      </c>
      <c r="AA873" s="10" t="n">
        <f aca="false">I873</f>
        <v>20</v>
      </c>
      <c r="AB873" s="10" t="n">
        <f aca="false">J873</f>
        <v>5</v>
      </c>
      <c r="AC873" s="9" t="s">
        <v>3568</v>
      </c>
      <c r="AD873" s="9" t="s">
        <v>3661</v>
      </c>
      <c r="AE873" s="9" t="str">
        <f aca="false">IF($AK873=0,"",INDEX('Part types'!$T:$T,$AK873)&amp;"")</f>
        <v>All vehicles</v>
      </c>
      <c r="AF873" s="9" t="str">
        <f aca="false">IF($AK873=0,"",INDEX('Part types'!$U:$U,$AK873)&amp;"")</f>
        <v/>
      </c>
      <c r="AG873" s="9" t="str">
        <f aca="false">IF($AK873=0,"",INDEX('Part types'!$V:$V,$AK873)&amp;"")</f>
        <v>Estimate: size class L2</v>
      </c>
      <c r="AH873" s="9" t="str">
        <f aca="false">IF($AK873=0,"",INDEX('Part types'!$W:$W,$AK873)&amp;"")</f>
        <v/>
      </c>
      <c r="AI873" s="11" t="str">
        <f aca="false">IF($AK873=0,"",INDEX('Part types'!$X:$X,$AK873)&amp;"")</f>
        <v/>
      </c>
      <c r="AJ873" s="9" t="str">
        <f aca="false">IF($AK873=0,"",INDEX('Part types'!$Y:$Y,$AK873)&amp;"")</f>
        <v/>
      </c>
      <c r="AK873" s="9" t="n">
        <f aca="false">IFERROR(MATCH($AD873,'Part types'!$E:$E,0),0)</f>
        <v>592</v>
      </c>
    </row>
    <row r="874" customFormat="false" ht="15" hidden="false" customHeight="false" outlineLevel="0" collapsed="false">
      <c r="A874" s="9" t="s">
        <v>3664</v>
      </c>
      <c r="B874" s="9" t="s">
        <v>3562</v>
      </c>
      <c r="C874" s="9" t="s">
        <v>3658</v>
      </c>
      <c r="D874" s="9" t="str">
        <f aca="false">C874&amp;" - "&amp;E874</f>
        <v>Interior Door Panel - Rear-Right</v>
      </c>
      <c r="E874" s="9" t="s">
        <v>1364</v>
      </c>
      <c r="F874" s="9" t="s">
        <v>2405</v>
      </c>
      <c r="G874" s="10" t="n">
        <f aca="false">IF($AK874=0,"",INDEX('Part types'!$P:$P,$AK874))</f>
        <v>50</v>
      </c>
      <c r="H874" s="10" t="n">
        <f aca="false">IF($AK874=0,"",INDEX('Part types'!$Q:$Q,$AK874))</f>
        <v>30</v>
      </c>
      <c r="I874" s="10" t="n">
        <f aca="false">IF($AK874=0,"",INDEX('Part types'!$R:$R,$AK874))</f>
        <v>20</v>
      </c>
      <c r="J874" s="10" t="n">
        <f aca="false">IF($AK874=0,"",INDEX('Part types'!$S:$S,$AK874))</f>
        <v>5</v>
      </c>
      <c r="K874" s="11" t="s">
        <v>3564</v>
      </c>
      <c r="L874" s="11" t="s">
        <v>3659</v>
      </c>
      <c r="M874" s="11" t="str">
        <f aca="false">L874&amp;" - "&amp;N874</f>
        <v>تابلوه الباب الداخلي - خلفي يمين</v>
      </c>
      <c r="N874" s="11" t="s">
        <v>1365</v>
      </c>
      <c r="O874" s="11" t="s">
        <v>2408</v>
      </c>
      <c r="P874" s="10" t="n">
        <f aca="false">G874</f>
        <v>50</v>
      </c>
      <c r="Q874" s="10" t="n">
        <f aca="false">H874</f>
        <v>30</v>
      </c>
      <c r="R874" s="10" t="n">
        <f aca="false">I874</f>
        <v>20</v>
      </c>
      <c r="S874" s="10" t="n">
        <f aca="false">J874</f>
        <v>5</v>
      </c>
      <c r="T874" s="12" t="s">
        <v>3566</v>
      </c>
      <c r="U874" s="12" t="s">
        <v>3660</v>
      </c>
      <c r="V874" s="9" t="str">
        <f aca="false">U874&amp;" - "&amp;W874</f>
        <v>车门内饰板 - 后右</v>
      </c>
      <c r="W874" s="12" t="s">
        <v>1366</v>
      </c>
      <c r="X874" s="12" t="s">
        <v>2411</v>
      </c>
      <c r="Y874" s="10" t="n">
        <f aca="false">G874</f>
        <v>50</v>
      </c>
      <c r="Z874" s="10" t="n">
        <f aca="false">H874</f>
        <v>30</v>
      </c>
      <c r="AA874" s="10" t="n">
        <f aca="false">I874</f>
        <v>20</v>
      </c>
      <c r="AB874" s="10" t="n">
        <f aca="false">J874</f>
        <v>5</v>
      </c>
      <c r="AC874" s="9" t="s">
        <v>3568</v>
      </c>
      <c r="AD874" s="9" t="s">
        <v>3661</v>
      </c>
      <c r="AE874" s="9" t="str">
        <f aca="false">IF($AK874=0,"",INDEX('Part types'!$T:$T,$AK874)&amp;"")</f>
        <v>All vehicles</v>
      </c>
      <c r="AF874" s="9" t="str">
        <f aca="false">IF($AK874=0,"",INDEX('Part types'!$U:$U,$AK874)&amp;"")</f>
        <v/>
      </c>
      <c r="AG874" s="9" t="str">
        <f aca="false">IF($AK874=0,"",INDEX('Part types'!$V:$V,$AK874)&amp;"")</f>
        <v>Estimate: size class L2</v>
      </c>
      <c r="AH874" s="9" t="str">
        <f aca="false">IF($AK874=0,"",INDEX('Part types'!$W:$W,$AK874)&amp;"")</f>
        <v/>
      </c>
      <c r="AI874" s="11" t="str">
        <f aca="false">IF($AK874=0,"",INDEX('Part types'!$X:$X,$AK874)&amp;"")</f>
        <v/>
      </c>
      <c r="AJ874" s="9" t="str">
        <f aca="false">IF($AK874=0,"",INDEX('Part types'!$Y:$Y,$AK874)&amp;"")</f>
        <v/>
      </c>
      <c r="AK874" s="9" t="n">
        <f aca="false">IFERROR(MATCH($AD874,'Part types'!$E:$E,0),0)</f>
        <v>592</v>
      </c>
    </row>
    <row r="875" customFormat="false" ht="15" hidden="false" customHeight="false" outlineLevel="0" collapsed="false">
      <c r="A875" s="9" t="s">
        <v>3665</v>
      </c>
      <c r="B875" s="9" t="s">
        <v>3562</v>
      </c>
      <c r="C875" s="9" t="s">
        <v>3666</v>
      </c>
      <c r="D875" s="9" t="str">
        <f aca="false">C875&amp;" - "&amp;E875</f>
        <v>Door Armrest - Front-Left</v>
      </c>
      <c r="E875" s="9" t="s">
        <v>1346</v>
      </c>
      <c r="F875" s="9" t="s">
        <v>2405</v>
      </c>
      <c r="G875" s="10" t="n">
        <f aca="false">IF($AK875=0,"",INDEX('Part types'!$P:$P,$AK875))</f>
        <v>30</v>
      </c>
      <c r="H875" s="10" t="n">
        <f aca="false">IF($AK875=0,"",INDEX('Part types'!$Q:$Q,$AK875))</f>
        <v>20</v>
      </c>
      <c r="I875" s="10" t="n">
        <f aca="false">IF($AK875=0,"",INDEX('Part types'!$R:$R,$AK875))</f>
        <v>15</v>
      </c>
      <c r="J875" s="10" t="n">
        <f aca="false">IF($AK875=0,"",INDEX('Part types'!$S:$S,$AK875))</f>
        <v>1.8</v>
      </c>
      <c r="K875" s="11" t="s">
        <v>3564</v>
      </c>
      <c r="L875" s="11" t="s">
        <v>3667</v>
      </c>
      <c r="M875" s="11" t="str">
        <f aca="false">L875&amp;" - "&amp;N875</f>
        <v>مسند ذراع الباب - أمامي يسار</v>
      </c>
      <c r="N875" s="11" t="s">
        <v>1349</v>
      </c>
      <c r="O875" s="11" t="s">
        <v>2408</v>
      </c>
      <c r="P875" s="10" t="n">
        <f aca="false">G875</f>
        <v>30</v>
      </c>
      <c r="Q875" s="10" t="n">
        <f aca="false">H875</f>
        <v>20</v>
      </c>
      <c r="R875" s="10" t="n">
        <f aca="false">I875</f>
        <v>15</v>
      </c>
      <c r="S875" s="10" t="n">
        <f aca="false">J875</f>
        <v>1.8</v>
      </c>
      <c r="T875" s="12" t="s">
        <v>3566</v>
      </c>
      <c r="U875" s="12" t="s">
        <v>3668</v>
      </c>
      <c r="V875" s="9" t="str">
        <f aca="false">U875&amp;" - "&amp;W875</f>
        <v>车门扶手 - 前左</v>
      </c>
      <c r="W875" s="12" t="s">
        <v>1352</v>
      </c>
      <c r="X875" s="12" t="s">
        <v>2411</v>
      </c>
      <c r="Y875" s="10" t="n">
        <f aca="false">G875</f>
        <v>30</v>
      </c>
      <c r="Z875" s="10" t="n">
        <f aca="false">H875</f>
        <v>20</v>
      </c>
      <c r="AA875" s="10" t="n">
        <f aca="false">I875</f>
        <v>15</v>
      </c>
      <c r="AB875" s="10" t="n">
        <f aca="false">J875</f>
        <v>1.8</v>
      </c>
      <c r="AC875" s="9" t="s">
        <v>3568</v>
      </c>
      <c r="AD875" s="9" t="s">
        <v>3669</v>
      </c>
      <c r="AE875" s="9" t="str">
        <f aca="false">IF($AK875=0,"",INDEX('Part types'!$T:$T,$AK875)&amp;"")</f>
        <v>All vehicles</v>
      </c>
      <c r="AF875" s="9" t="str">
        <f aca="false">IF($AK875=0,"",INDEX('Part types'!$U:$U,$AK875)&amp;"")</f>
        <v/>
      </c>
      <c r="AG875" s="9" t="str">
        <f aca="false">IF($AK875=0,"",INDEX('Part types'!$V:$V,$AK875)&amp;"")</f>
        <v>Estimate: size class M2</v>
      </c>
      <c r="AH875" s="9" t="str">
        <f aca="false">IF($AK875=0,"",INDEX('Part types'!$W:$W,$AK875)&amp;"")</f>
        <v/>
      </c>
      <c r="AI875" s="11" t="str">
        <f aca="false">IF($AK875=0,"",INDEX('Part types'!$X:$X,$AK875)&amp;"")</f>
        <v/>
      </c>
      <c r="AJ875" s="9" t="str">
        <f aca="false">IF($AK875=0,"",INDEX('Part types'!$Y:$Y,$AK875)&amp;"")</f>
        <v/>
      </c>
      <c r="AK875" s="9" t="n">
        <f aca="false">IFERROR(MATCH($AD875,'Part types'!$E:$E,0),0)</f>
        <v>593</v>
      </c>
    </row>
    <row r="876" customFormat="false" ht="15" hidden="false" customHeight="false" outlineLevel="0" collapsed="false">
      <c r="A876" s="9" t="s">
        <v>3670</v>
      </c>
      <c r="B876" s="9" t="s">
        <v>3562</v>
      </c>
      <c r="C876" s="9" t="s">
        <v>3666</v>
      </c>
      <c r="D876" s="9" t="str">
        <f aca="false">C876&amp;" - "&amp;E876</f>
        <v>Door Armrest - Front-Right</v>
      </c>
      <c r="E876" s="9" t="s">
        <v>1356</v>
      </c>
      <c r="F876" s="9" t="s">
        <v>2405</v>
      </c>
      <c r="G876" s="10" t="n">
        <f aca="false">IF($AK876=0,"",INDEX('Part types'!$P:$P,$AK876))</f>
        <v>30</v>
      </c>
      <c r="H876" s="10" t="n">
        <f aca="false">IF($AK876=0,"",INDEX('Part types'!$Q:$Q,$AK876))</f>
        <v>20</v>
      </c>
      <c r="I876" s="10" t="n">
        <f aca="false">IF($AK876=0,"",INDEX('Part types'!$R:$R,$AK876))</f>
        <v>15</v>
      </c>
      <c r="J876" s="10" t="n">
        <f aca="false">IF($AK876=0,"",INDEX('Part types'!$S:$S,$AK876))</f>
        <v>1.8</v>
      </c>
      <c r="K876" s="11" t="s">
        <v>3564</v>
      </c>
      <c r="L876" s="11" t="s">
        <v>3667</v>
      </c>
      <c r="M876" s="11" t="str">
        <f aca="false">L876&amp;" - "&amp;N876</f>
        <v>مسند ذراع الباب - أمامي يمين</v>
      </c>
      <c r="N876" s="11" t="s">
        <v>1357</v>
      </c>
      <c r="O876" s="11" t="s">
        <v>2408</v>
      </c>
      <c r="P876" s="10" t="n">
        <f aca="false">G876</f>
        <v>30</v>
      </c>
      <c r="Q876" s="10" t="n">
        <f aca="false">H876</f>
        <v>20</v>
      </c>
      <c r="R876" s="10" t="n">
        <f aca="false">I876</f>
        <v>15</v>
      </c>
      <c r="S876" s="10" t="n">
        <f aca="false">J876</f>
        <v>1.8</v>
      </c>
      <c r="T876" s="12" t="s">
        <v>3566</v>
      </c>
      <c r="U876" s="12" t="s">
        <v>3668</v>
      </c>
      <c r="V876" s="9" t="str">
        <f aca="false">U876&amp;" - "&amp;W876</f>
        <v>车门扶手 - 前右</v>
      </c>
      <c r="W876" s="12" t="s">
        <v>1358</v>
      </c>
      <c r="X876" s="12" t="s">
        <v>2411</v>
      </c>
      <c r="Y876" s="10" t="n">
        <f aca="false">G876</f>
        <v>30</v>
      </c>
      <c r="Z876" s="10" t="n">
        <f aca="false">H876</f>
        <v>20</v>
      </c>
      <c r="AA876" s="10" t="n">
        <f aca="false">I876</f>
        <v>15</v>
      </c>
      <c r="AB876" s="10" t="n">
        <f aca="false">J876</f>
        <v>1.8</v>
      </c>
      <c r="AC876" s="9" t="s">
        <v>3568</v>
      </c>
      <c r="AD876" s="9" t="s">
        <v>3669</v>
      </c>
      <c r="AE876" s="9" t="str">
        <f aca="false">IF($AK876=0,"",INDEX('Part types'!$T:$T,$AK876)&amp;"")</f>
        <v>All vehicles</v>
      </c>
      <c r="AF876" s="9" t="str">
        <f aca="false">IF($AK876=0,"",INDEX('Part types'!$U:$U,$AK876)&amp;"")</f>
        <v/>
      </c>
      <c r="AG876" s="9" t="str">
        <f aca="false">IF($AK876=0,"",INDEX('Part types'!$V:$V,$AK876)&amp;"")</f>
        <v>Estimate: size class M2</v>
      </c>
      <c r="AH876" s="9" t="str">
        <f aca="false">IF($AK876=0,"",INDEX('Part types'!$W:$W,$AK876)&amp;"")</f>
        <v/>
      </c>
      <c r="AI876" s="11" t="str">
        <f aca="false">IF($AK876=0,"",INDEX('Part types'!$X:$X,$AK876)&amp;"")</f>
        <v/>
      </c>
      <c r="AJ876" s="9" t="str">
        <f aca="false">IF($AK876=0,"",INDEX('Part types'!$Y:$Y,$AK876)&amp;"")</f>
        <v/>
      </c>
      <c r="AK876" s="9" t="n">
        <f aca="false">IFERROR(MATCH($AD876,'Part types'!$E:$E,0),0)</f>
        <v>593</v>
      </c>
    </row>
    <row r="877" customFormat="false" ht="15" hidden="false" customHeight="false" outlineLevel="0" collapsed="false">
      <c r="A877" s="9" t="s">
        <v>3671</v>
      </c>
      <c r="B877" s="9" t="s">
        <v>3562</v>
      </c>
      <c r="C877" s="9" t="s">
        <v>3666</v>
      </c>
      <c r="D877" s="9" t="str">
        <f aca="false">C877&amp;" - "&amp;E877</f>
        <v>Door Armrest - Rear-Left</v>
      </c>
      <c r="E877" s="9" t="s">
        <v>1360</v>
      </c>
      <c r="F877" s="9" t="s">
        <v>2405</v>
      </c>
      <c r="G877" s="10" t="n">
        <f aca="false">IF($AK877=0,"",INDEX('Part types'!$P:$P,$AK877))</f>
        <v>30</v>
      </c>
      <c r="H877" s="10" t="n">
        <f aca="false">IF($AK877=0,"",INDEX('Part types'!$Q:$Q,$AK877))</f>
        <v>20</v>
      </c>
      <c r="I877" s="10" t="n">
        <f aca="false">IF($AK877=0,"",INDEX('Part types'!$R:$R,$AK877))</f>
        <v>15</v>
      </c>
      <c r="J877" s="10" t="n">
        <f aca="false">IF($AK877=0,"",INDEX('Part types'!$S:$S,$AK877))</f>
        <v>1.8</v>
      </c>
      <c r="K877" s="11" t="s">
        <v>3564</v>
      </c>
      <c r="L877" s="11" t="s">
        <v>3667</v>
      </c>
      <c r="M877" s="11" t="str">
        <f aca="false">L877&amp;" - "&amp;N877</f>
        <v>مسند ذراع الباب - خلفي يسار</v>
      </c>
      <c r="N877" s="11" t="s">
        <v>1361</v>
      </c>
      <c r="O877" s="11" t="s">
        <v>2408</v>
      </c>
      <c r="P877" s="10" t="n">
        <f aca="false">G877</f>
        <v>30</v>
      </c>
      <c r="Q877" s="10" t="n">
        <f aca="false">H877</f>
        <v>20</v>
      </c>
      <c r="R877" s="10" t="n">
        <f aca="false">I877</f>
        <v>15</v>
      </c>
      <c r="S877" s="10" t="n">
        <f aca="false">J877</f>
        <v>1.8</v>
      </c>
      <c r="T877" s="12" t="s">
        <v>3566</v>
      </c>
      <c r="U877" s="12" t="s">
        <v>3668</v>
      </c>
      <c r="V877" s="9" t="str">
        <f aca="false">U877&amp;" - "&amp;W877</f>
        <v>车门扶手 - 后左</v>
      </c>
      <c r="W877" s="12" t="s">
        <v>1362</v>
      </c>
      <c r="X877" s="12" t="s">
        <v>2411</v>
      </c>
      <c r="Y877" s="10" t="n">
        <f aca="false">G877</f>
        <v>30</v>
      </c>
      <c r="Z877" s="10" t="n">
        <f aca="false">H877</f>
        <v>20</v>
      </c>
      <c r="AA877" s="10" t="n">
        <f aca="false">I877</f>
        <v>15</v>
      </c>
      <c r="AB877" s="10" t="n">
        <f aca="false">J877</f>
        <v>1.8</v>
      </c>
      <c r="AC877" s="9" t="s">
        <v>3568</v>
      </c>
      <c r="AD877" s="9" t="s">
        <v>3669</v>
      </c>
      <c r="AE877" s="9" t="str">
        <f aca="false">IF($AK877=0,"",INDEX('Part types'!$T:$T,$AK877)&amp;"")</f>
        <v>All vehicles</v>
      </c>
      <c r="AF877" s="9" t="str">
        <f aca="false">IF($AK877=0,"",INDEX('Part types'!$U:$U,$AK877)&amp;"")</f>
        <v/>
      </c>
      <c r="AG877" s="9" t="str">
        <f aca="false">IF($AK877=0,"",INDEX('Part types'!$V:$V,$AK877)&amp;"")</f>
        <v>Estimate: size class M2</v>
      </c>
      <c r="AH877" s="9" t="str">
        <f aca="false">IF($AK877=0,"",INDEX('Part types'!$W:$W,$AK877)&amp;"")</f>
        <v/>
      </c>
      <c r="AI877" s="11" t="str">
        <f aca="false">IF($AK877=0,"",INDEX('Part types'!$X:$X,$AK877)&amp;"")</f>
        <v/>
      </c>
      <c r="AJ877" s="9" t="str">
        <f aca="false">IF($AK877=0,"",INDEX('Part types'!$Y:$Y,$AK877)&amp;"")</f>
        <v/>
      </c>
      <c r="AK877" s="9" t="n">
        <f aca="false">IFERROR(MATCH($AD877,'Part types'!$E:$E,0),0)</f>
        <v>593</v>
      </c>
    </row>
    <row r="878" customFormat="false" ht="15" hidden="false" customHeight="false" outlineLevel="0" collapsed="false">
      <c r="A878" s="9" t="s">
        <v>3672</v>
      </c>
      <c r="B878" s="9" t="s">
        <v>3562</v>
      </c>
      <c r="C878" s="9" t="s">
        <v>3666</v>
      </c>
      <c r="D878" s="9" t="str">
        <f aca="false">C878&amp;" - "&amp;E878</f>
        <v>Door Armrest - Rear-Right</v>
      </c>
      <c r="E878" s="9" t="s">
        <v>1364</v>
      </c>
      <c r="F878" s="9" t="s">
        <v>2405</v>
      </c>
      <c r="G878" s="10" t="n">
        <f aca="false">IF($AK878=0,"",INDEX('Part types'!$P:$P,$AK878))</f>
        <v>30</v>
      </c>
      <c r="H878" s="10" t="n">
        <f aca="false">IF($AK878=0,"",INDEX('Part types'!$Q:$Q,$AK878))</f>
        <v>20</v>
      </c>
      <c r="I878" s="10" t="n">
        <f aca="false">IF($AK878=0,"",INDEX('Part types'!$R:$R,$AK878))</f>
        <v>15</v>
      </c>
      <c r="J878" s="10" t="n">
        <f aca="false">IF($AK878=0,"",INDEX('Part types'!$S:$S,$AK878))</f>
        <v>1.8</v>
      </c>
      <c r="K878" s="11" t="s">
        <v>3564</v>
      </c>
      <c r="L878" s="11" t="s">
        <v>3667</v>
      </c>
      <c r="M878" s="11" t="str">
        <f aca="false">L878&amp;" - "&amp;N878</f>
        <v>مسند ذراع الباب - خلفي يمين</v>
      </c>
      <c r="N878" s="11" t="s">
        <v>1365</v>
      </c>
      <c r="O878" s="11" t="s">
        <v>2408</v>
      </c>
      <c r="P878" s="10" t="n">
        <f aca="false">G878</f>
        <v>30</v>
      </c>
      <c r="Q878" s="10" t="n">
        <f aca="false">H878</f>
        <v>20</v>
      </c>
      <c r="R878" s="10" t="n">
        <f aca="false">I878</f>
        <v>15</v>
      </c>
      <c r="S878" s="10" t="n">
        <f aca="false">J878</f>
        <v>1.8</v>
      </c>
      <c r="T878" s="12" t="s">
        <v>3566</v>
      </c>
      <c r="U878" s="12" t="s">
        <v>3668</v>
      </c>
      <c r="V878" s="9" t="str">
        <f aca="false">U878&amp;" - "&amp;W878</f>
        <v>车门扶手 - 后右</v>
      </c>
      <c r="W878" s="12" t="s">
        <v>1366</v>
      </c>
      <c r="X878" s="12" t="s">
        <v>2411</v>
      </c>
      <c r="Y878" s="10" t="n">
        <f aca="false">G878</f>
        <v>30</v>
      </c>
      <c r="Z878" s="10" t="n">
        <f aca="false">H878</f>
        <v>20</v>
      </c>
      <c r="AA878" s="10" t="n">
        <f aca="false">I878</f>
        <v>15</v>
      </c>
      <c r="AB878" s="10" t="n">
        <f aca="false">J878</f>
        <v>1.8</v>
      </c>
      <c r="AC878" s="9" t="s">
        <v>3568</v>
      </c>
      <c r="AD878" s="9" t="s">
        <v>3669</v>
      </c>
      <c r="AE878" s="9" t="str">
        <f aca="false">IF($AK878=0,"",INDEX('Part types'!$T:$T,$AK878)&amp;"")</f>
        <v>All vehicles</v>
      </c>
      <c r="AF878" s="9" t="str">
        <f aca="false">IF($AK878=0,"",INDEX('Part types'!$U:$U,$AK878)&amp;"")</f>
        <v/>
      </c>
      <c r="AG878" s="9" t="str">
        <f aca="false">IF($AK878=0,"",INDEX('Part types'!$V:$V,$AK878)&amp;"")</f>
        <v>Estimate: size class M2</v>
      </c>
      <c r="AH878" s="9" t="str">
        <f aca="false">IF($AK878=0,"",INDEX('Part types'!$W:$W,$AK878)&amp;"")</f>
        <v/>
      </c>
      <c r="AI878" s="11" t="str">
        <f aca="false">IF($AK878=0,"",INDEX('Part types'!$X:$X,$AK878)&amp;"")</f>
        <v/>
      </c>
      <c r="AJ878" s="9" t="str">
        <f aca="false">IF($AK878=0,"",INDEX('Part types'!$Y:$Y,$AK878)&amp;"")</f>
        <v/>
      </c>
      <c r="AK878" s="9" t="n">
        <f aca="false">IFERROR(MATCH($AD878,'Part types'!$E:$E,0),0)</f>
        <v>593</v>
      </c>
    </row>
    <row r="879" customFormat="false" ht="15" hidden="false" customHeight="false" outlineLevel="0" collapsed="false">
      <c r="A879" s="9" t="s">
        <v>3673</v>
      </c>
      <c r="B879" s="9" t="s">
        <v>3562</v>
      </c>
      <c r="C879" s="9" t="s">
        <v>3674</v>
      </c>
      <c r="D879" s="9" t="str">
        <f aca="false">C879&amp;" - "&amp;E879</f>
        <v>Door Weatherstrip Seal - Front-Left</v>
      </c>
      <c r="E879" s="9" t="s">
        <v>1346</v>
      </c>
      <c r="F879" s="9" t="s">
        <v>3602</v>
      </c>
      <c r="G879" s="10" t="n">
        <f aca="false">IF($AK879=0,"",INDEX('Part types'!$P:$P,$AK879))</f>
        <v>40</v>
      </c>
      <c r="H879" s="10" t="n">
        <f aca="false">IF($AK879=0,"",INDEX('Part types'!$Q:$Q,$AK879))</f>
        <v>30</v>
      </c>
      <c r="I879" s="10" t="n">
        <f aca="false">IF($AK879=0,"",INDEX('Part types'!$R:$R,$AK879))</f>
        <v>8</v>
      </c>
      <c r="J879" s="10" t="n">
        <f aca="false">IF($AK879=0,"",INDEX('Part types'!$S:$S,$AK879))</f>
        <v>1.6</v>
      </c>
      <c r="K879" s="11" t="s">
        <v>3564</v>
      </c>
      <c r="L879" s="11" t="s">
        <v>3675</v>
      </c>
      <c r="M879" s="11" t="str">
        <f aca="false">L879&amp;" - "&amp;N879</f>
        <v>مطاط عزل الباب - أمامي يسار</v>
      </c>
      <c r="N879" s="11" t="s">
        <v>1349</v>
      </c>
      <c r="O879" s="11" t="s">
        <v>3604</v>
      </c>
      <c r="P879" s="10" t="n">
        <f aca="false">G879</f>
        <v>40</v>
      </c>
      <c r="Q879" s="10" t="n">
        <f aca="false">H879</f>
        <v>30</v>
      </c>
      <c r="R879" s="10" t="n">
        <f aca="false">I879</f>
        <v>8</v>
      </c>
      <c r="S879" s="10" t="n">
        <f aca="false">J879</f>
        <v>1.6</v>
      </c>
      <c r="T879" s="12" t="s">
        <v>3566</v>
      </c>
      <c r="U879" s="12" t="s">
        <v>3676</v>
      </c>
      <c r="V879" s="9" t="str">
        <f aca="false">U879&amp;" - "&amp;W879</f>
        <v>车门密封条 - 前左</v>
      </c>
      <c r="W879" s="12" t="s">
        <v>1352</v>
      </c>
      <c r="X879" s="12" t="s">
        <v>3606</v>
      </c>
      <c r="Y879" s="10" t="n">
        <f aca="false">G879</f>
        <v>40</v>
      </c>
      <c r="Z879" s="10" t="n">
        <f aca="false">H879</f>
        <v>30</v>
      </c>
      <c r="AA879" s="10" t="n">
        <f aca="false">I879</f>
        <v>8</v>
      </c>
      <c r="AB879" s="10" t="n">
        <f aca="false">J879</f>
        <v>1.6</v>
      </c>
      <c r="AC879" s="9" t="s">
        <v>3568</v>
      </c>
      <c r="AD879" s="9" t="s">
        <v>3677</v>
      </c>
      <c r="AE879" s="9" t="str">
        <f aca="false">IF($AK879=0,"",INDEX('Part types'!$T:$T,$AK879)&amp;"")</f>
        <v>All vehicles</v>
      </c>
      <c r="AF879" s="9" t="str">
        <f aca="false">IF($AK879=0,"",INDEX('Part types'!$U:$U,$AK879)&amp;"")</f>
        <v/>
      </c>
      <c r="AG879" s="9" t="str">
        <f aca="false">IF($AK879=0,"",INDEX('Part types'!$V:$V,$AK879)&amp;"")</f>
        <v>Estimate: item-specific</v>
      </c>
      <c r="AH879" s="9" t="str">
        <f aca="false">IF($AK879=0,"",INDEX('Part types'!$W:$W,$AK879)&amp;"")</f>
        <v/>
      </c>
      <c r="AI879" s="11" t="str">
        <f aca="false">IF($AK879=0,"",INDEX('Part types'!$X:$X,$AK879)&amp;"")</f>
        <v/>
      </c>
      <c r="AJ879" s="9" t="str">
        <f aca="false">IF($AK879=0,"",INDEX('Part types'!$Y:$Y,$AK879)&amp;"")</f>
        <v/>
      </c>
      <c r="AK879" s="9" t="n">
        <f aca="false">IFERROR(MATCH($AD879,'Part types'!$E:$E,0),0)</f>
        <v>594</v>
      </c>
    </row>
    <row r="880" customFormat="false" ht="15" hidden="false" customHeight="false" outlineLevel="0" collapsed="false">
      <c r="A880" s="9" t="s">
        <v>3678</v>
      </c>
      <c r="B880" s="9" t="s">
        <v>3562</v>
      </c>
      <c r="C880" s="9" t="s">
        <v>3674</v>
      </c>
      <c r="D880" s="9" t="str">
        <f aca="false">C880&amp;" - "&amp;E880</f>
        <v>Door Weatherstrip Seal - Front-Right</v>
      </c>
      <c r="E880" s="9" t="s">
        <v>1356</v>
      </c>
      <c r="F880" s="9" t="s">
        <v>3602</v>
      </c>
      <c r="G880" s="10" t="n">
        <f aca="false">IF($AK880=0,"",INDEX('Part types'!$P:$P,$AK880))</f>
        <v>40</v>
      </c>
      <c r="H880" s="10" t="n">
        <f aca="false">IF($AK880=0,"",INDEX('Part types'!$Q:$Q,$AK880))</f>
        <v>30</v>
      </c>
      <c r="I880" s="10" t="n">
        <f aca="false">IF($AK880=0,"",INDEX('Part types'!$R:$R,$AK880))</f>
        <v>8</v>
      </c>
      <c r="J880" s="10" t="n">
        <f aca="false">IF($AK880=0,"",INDEX('Part types'!$S:$S,$AK880))</f>
        <v>1.6</v>
      </c>
      <c r="K880" s="11" t="s">
        <v>3564</v>
      </c>
      <c r="L880" s="11" t="s">
        <v>3675</v>
      </c>
      <c r="M880" s="11" t="str">
        <f aca="false">L880&amp;" - "&amp;N880</f>
        <v>مطاط عزل الباب - أمامي يمين</v>
      </c>
      <c r="N880" s="11" t="s">
        <v>1357</v>
      </c>
      <c r="O880" s="11" t="s">
        <v>3604</v>
      </c>
      <c r="P880" s="10" t="n">
        <f aca="false">G880</f>
        <v>40</v>
      </c>
      <c r="Q880" s="10" t="n">
        <f aca="false">H880</f>
        <v>30</v>
      </c>
      <c r="R880" s="10" t="n">
        <f aca="false">I880</f>
        <v>8</v>
      </c>
      <c r="S880" s="10" t="n">
        <f aca="false">J880</f>
        <v>1.6</v>
      </c>
      <c r="T880" s="12" t="s">
        <v>3566</v>
      </c>
      <c r="U880" s="12" t="s">
        <v>3676</v>
      </c>
      <c r="V880" s="9" t="str">
        <f aca="false">U880&amp;" - "&amp;W880</f>
        <v>车门密封条 - 前右</v>
      </c>
      <c r="W880" s="12" t="s">
        <v>1358</v>
      </c>
      <c r="X880" s="12" t="s">
        <v>3606</v>
      </c>
      <c r="Y880" s="10" t="n">
        <f aca="false">G880</f>
        <v>40</v>
      </c>
      <c r="Z880" s="10" t="n">
        <f aca="false">H880</f>
        <v>30</v>
      </c>
      <c r="AA880" s="10" t="n">
        <f aca="false">I880</f>
        <v>8</v>
      </c>
      <c r="AB880" s="10" t="n">
        <f aca="false">J880</f>
        <v>1.6</v>
      </c>
      <c r="AC880" s="9" t="s">
        <v>3568</v>
      </c>
      <c r="AD880" s="9" t="s">
        <v>3677</v>
      </c>
      <c r="AE880" s="9" t="str">
        <f aca="false">IF($AK880=0,"",INDEX('Part types'!$T:$T,$AK880)&amp;"")</f>
        <v>All vehicles</v>
      </c>
      <c r="AF880" s="9" t="str">
        <f aca="false">IF($AK880=0,"",INDEX('Part types'!$U:$U,$AK880)&amp;"")</f>
        <v/>
      </c>
      <c r="AG880" s="9" t="str">
        <f aca="false">IF($AK880=0,"",INDEX('Part types'!$V:$V,$AK880)&amp;"")</f>
        <v>Estimate: item-specific</v>
      </c>
      <c r="AH880" s="9" t="str">
        <f aca="false">IF($AK880=0,"",INDEX('Part types'!$W:$W,$AK880)&amp;"")</f>
        <v/>
      </c>
      <c r="AI880" s="11" t="str">
        <f aca="false">IF($AK880=0,"",INDEX('Part types'!$X:$X,$AK880)&amp;"")</f>
        <v/>
      </c>
      <c r="AJ880" s="9" t="str">
        <f aca="false">IF($AK880=0,"",INDEX('Part types'!$Y:$Y,$AK880)&amp;"")</f>
        <v/>
      </c>
      <c r="AK880" s="9" t="n">
        <f aca="false">IFERROR(MATCH($AD880,'Part types'!$E:$E,0),0)</f>
        <v>594</v>
      </c>
    </row>
    <row r="881" customFormat="false" ht="15" hidden="false" customHeight="false" outlineLevel="0" collapsed="false">
      <c r="A881" s="9" t="s">
        <v>3679</v>
      </c>
      <c r="B881" s="9" t="s">
        <v>3562</v>
      </c>
      <c r="C881" s="9" t="s">
        <v>3674</v>
      </c>
      <c r="D881" s="9" t="str">
        <f aca="false">C881&amp;" - "&amp;E881</f>
        <v>Door Weatherstrip Seal - Rear-Left</v>
      </c>
      <c r="E881" s="9" t="s">
        <v>1360</v>
      </c>
      <c r="F881" s="9" t="s">
        <v>3602</v>
      </c>
      <c r="G881" s="10" t="n">
        <f aca="false">IF($AK881=0,"",INDEX('Part types'!$P:$P,$AK881))</f>
        <v>40</v>
      </c>
      <c r="H881" s="10" t="n">
        <f aca="false">IF($AK881=0,"",INDEX('Part types'!$Q:$Q,$AK881))</f>
        <v>30</v>
      </c>
      <c r="I881" s="10" t="n">
        <f aca="false">IF($AK881=0,"",INDEX('Part types'!$R:$R,$AK881))</f>
        <v>8</v>
      </c>
      <c r="J881" s="10" t="n">
        <f aca="false">IF($AK881=0,"",INDEX('Part types'!$S:$S,$AK881))</f>
        <v>1.6</v>
      </c>
      <c r="K881" s="11" t="s">
        <v>3564</v>
      </c>
      <c r="L881" s="11" t="s">
        <v>3675</v>
      </c>
      <c r="M881" s="11" t="str">
        <f aca="false">L881&amp;" - "&amp;N881</f>
        <v>مطاط عزل الباب - خلفي يسار</v>
      </c>
      <c r="N881" s="11" t="s">
        <v>1361</v>
      </c>
      <c r="O881" s="11" t="s">
        <v>3604</v>
      </c>
      <c r="P881" s="10" t="n">
        <f aca="false">G881</f>
        <v>40</v>
      </c>
      <c r="Q881" s="10" t="n">
        <f aca="false">H881</f>
        <v>30</v>
      </c>
      <c r="R881" s="10" t="n">
        <f aca="false">I881</f>
        <v>8</v>
      </c>
      <c r="S881" s="10" t="n">
        <f aca="false">J881</f>
        <v>1.6</v>
      </c>
      <c r="T881" s="12" t="s">
        <v>3566</v>
      </c>
      <c r="U881" s="12" t="s">
        <v>3676</v>
      </c>
      <c r="V881" s="9" t="str">
        <f aca="false">U881&amp;" - "&amp;W881</f>
        <v>车门密封条 - 后左</v>
      </c>
      <c r="W881" s="12" t="s">
        <v>1362</v>
      </c>
      <c r="X881" s="12" t="s">
        <v>3606</v>
      </c>
      <c r="Y881" s="10" t="n">
        <f aca="false">G881</f>
        <v>40</v>
      </c>
      <c r="Z881" s="10" t="n">
        <f aca="false">H881</f>
        <v>30</v>
      </c>
      <c r="AA881" s="10" t="n">
        <f aca="false">I881</f>
        <v>8</v>
      </c>
      <c r="AB881" s="10" t="n">
        <f aca="false">J881</f>
        <v>1.6</v>
      </c>
      <c r="AC881" s="9" t="s">
        <v>3568</v>
      </c>
      <c r="AD881" s="9" t="s">
        <v>3677</v>
      </c>
      <c r="AE881" s="9" t="str">
        <f aca="false">IF($AK881=0,"",INDEX('Part types'!$T:$T,$AK881)&amp;"")</f>
        <v>All vehicles</v>
      </c>
      <c r="AF881" s="9" t="str">
        <f aca="false">IF($AK881=0,"",INDEX('Part types'!$U:$U,$AK881)&amp;"")</f>
        <v/>
      </c>
      <c r="AG881" s="9" t="str">
        <f aca="false">IF($AK881=0,"",INDEX('Part types'!$V:$V,$AK881)&amp;"")</f>
        <v>Estimate: item-specific</v>
      </c>
      <c r="AH881" s="9" t="str">
        <f aca="false">IF($AK881=0,"",INDEX('Part types'!$W:$W,$AK881)&amp;"")</f>
        <v/>
      </c>
      <c r="AI881" s="11" t="str">
        <f aca="false">IF($AK881=0,"",INDEX('Part types'!$X:$X,$AK881)&amp;"")</f>
        <v/>
      </c>
      <c r="AJ881" s="9" t="str">
        <f aca="false">IF($AK881=0,"",INDEX('Part types'!$Y:$Y,$AK881)&amp;"")</f>
        <v/>
      </c>
      <c r="AK881" s="9" t="n">
        <f aca="false">IFERROR(MATCH($AD881,'Part types'!$E:$E,0),0)</f>
        <v>594</v>
      </c>
    </row>
    <row r="882" customFormat="false" ht="15" hidden="false" customHeight="false" outlineLevel="0" collapsed="false">
      <c r="A882" s="9" t="s">
        <v>3680</v>
      </c>
      <c r="B882" s="9" t="s">
        <v>3562</v>
      </c>
      <c r="C882" s="9" t="s">
        <v>3674</v>
      </c>
      <c r="D882" s="9" t="str">
        <f aca="false">C882&amp;" - "&amp;E882</f>
        <v>Door Weatherstrip Seal - Rear-Right</v>
      </c>
      <c r="E882" s="9" t="s">
        <v>1364</v>
      </c>
      <c r="F882" s="9" t="s">
        <v>3602</v>
      </c>
      <c r="G882" s="10" t="n">
        <f aca="false">IF($AK882=0,"",INDEX('Part types'!$P:$P,$AK882))</f>
        <v>40</v>
      </c>
      <c r="H882" s="10" t="n">
        <f aca="false">IF($AK882=0,"",INDEX('Part types'!$Q:$Q,$AK882))</f>
        <v>30</v>
      </c>
      <c r="I882" s="10" t="n">
        <f aca="false">IF($AK882=0,"",INDEX('Part types'!$R:$R,$AK882))</f>
        <v>8</v>
      </c>
      <c r="J882" s="10" t="n">
        <f aca="false">IF($AK882=0,"",INDEX('Part types'!$S:$S,$AK882))</f>
        <v>1.6</v>
      </c>
      <c r="K882" s="11" t="s">
        <v>3564</v>
      </c>
      <c r="L882" s="11" t="s">
        <v>3675</v>
      </c>
      <c r="M882" s="11" t="str">
        <f aca="false">L882&amp;" - "&amp;N882</f>
        <v>مطاط عزل الباب - خلفي يمين</v>
      </c>
      <c r="N882" s="11" t="s">
        <v>1365</v>
      </c>
      <c r="O882" s="11" t="s">
        <v>3604</v>
      </c>
      <c r="P882" s="10" t="n">
        <f aca="false">G882</f>
        <v>40</v>
      </c>
      <c r="Q882" s="10" t="n">
        <f aca="false">H882</f>
        <v>30</v>
      </c>
      <c r="R882" s="10" t="n">
        <f aca="false">I882</f>
        <v>8</v>
      </c>
      <c r="S882" s="10" t="n">
        <f aca="false">J882</f>
        <v>1.6</v>
      </c>
      <c r="T882" s="12" t="s">
        <v>3566</v>
      </c>
      <c r="U882" s="12" t="s">
        <v>3676</v>
      </c>
      <c r="V882" s="9" t="str">
        <f aca="false">U882&amp;" - "&amp;W882</f>
        <v>车门密封条 - 后右</v>
      </c>
      <c r="W882" s="12" t="s">
        <v>1366</v>
      </c>
      <c r="X882" s="12" t="s">
        <v>3606</v>
      </c>
      <c r="Y882" s="10" t="n">
        <f aca="false">G882</f>
        <v>40</v>
      </c>
      <c r="Z882" s="10" t="n">
        <f aca="false">H882</f>
        <v>30</v>
      </c>
      <c r="AA882" s="10" t="n">
        <f aca="false">I882</f>
        <v>8</v>
      </c>
      <c r="AB882" s="10" t="n">
        <f aca="false">J882</f>
        <v>1.6</v>
      </c>
      <c r="AC882" s="9" t="s">
        <v>3568</v>
      </c>
      <c r="AD882" s="9" t="s">
        <v>3677</v>
      </c>
      <c r="AE882" s="9" t="str">
        <f aca="false">IF($AK882=0,"",INDEX('Part types'!$T:$T,$AK882)&amp;"")</f>
        <v>All vehicles</v>
      </c>
      <c r="AF882" s="9" t="str">
        <f aca="false">IF($AK882=0,"",INDEX('Part types'!$U:$U,$AK882)&amp;"")</f>
        <v/>
      </c>
      <c r="AG882" s="9" t="str">
        <f aca="false">IF($AK882=0,"",INDEX('Part types'!$V:$V,$AK882)&amp;"")</f>
        <v>Estimate: item-specific</v>
      </c>
      <c r="AH882" s="9" t="str">
        <f aca="false">IF($AK882=0,"",INDEX('Part types'!$W:$W,$AK882)&amp;"")</f>
        <v/>
      </c>
      <c r="AI882" s="11" t="str">
        <f aca="false">IF($AK882=0,"",INDEX('Part types'!$X:$X,$AK882)&amp;"")</f>
        <v/>
      </c>
      <c r="AJ882" s="9" t="str">
        <f aca="false">IF($AK882=0,"",INDEX('Part types'!$Y:$Y,$AK882)&amp;"")</f>
        <v/>
      </c>
      <c r="AK882" s="9" t="n">
        <f aca="false">IFERROR(MATCH($AD882,'Part types'!$E:$E,0),0)</f>
        <v>594</v>
      </c>
    </row>
    <row r="883" customFormat="false" ht="15" hidden="false" customHeight="false" outlineLevel="0" collapsed="false">
      <c r="A883" s="9" t="s">
        <v>3681</v>
      </c>
      <c r="B883" s="9" t="s">
        <v>3562</v>
      </c>
      <c r="C883" s="9" t="s">
        <v>3682</v>
      </c>
      <c r="D883" s="9" t="str">
        <f aca="false">C883&amp;" - "&amp;E883</f>
        <v>Door Sill Plate - Front-Left</v>
      </c>
      <c r="E883" s="9" t="s">
        <v>1346</v>
      </c>
      <c r="F883" s="9" t="s">
        <v>3602</v>
      </c>
      <c r="G883" s="10" t="n">
        <f aca="false">IF($AK883=0,"",INDEX('Part types'!$P:$P,$AK883))</f>
        <v>40</v>
      </c>
      <c r="H883" s="10" t="n">
        <f aca="false">IF($AK883=0,"",INDEX('Part types'!$Q:$Q,$AK883))</f>
        <v>25</v>
      </c>
      <c r="I883" s="10" t="n">
        <f aca="false">IF($AK883=0,"",INDEX('Part types'!$R:$R,$AK883))</f>
        <v>15</v>
      </c>
      <c r="J883" s="10" t="n">
        <f aca="false">IF($AK883=0,"",INDEX('Part types'!$S:$S,$AK883))</f>
        <v>3</v>
      </c>
      <c r="K883" s="11" t="s">
        <v>3564</v>
      </c>
      <c r="L883" s="11" t="s">
        <v>3683</v>
      </c>
      <c r="M883" s="11" t="str">
        <f aca="false">L883&amp;" - "&amp;N883</f>
        <v>عتبة الباب - أمامي يسار</v>
      </c>
      <c r="N883" s="11" t="s">
        <v>1349</v>
      </c>
      <c r="O883" s="11" t="s">
        <v>3604</v>
      </c>
      <c r="P883" s="10" t="n">
        <f aca="false">G883</f>
        <v>40</v>
      </c>
      <c r="Q883" s="10" t="n">
        <f aca="false">H883</f>
        <v>25</v>
      </c>
      <c r="R883" s="10" t="n">
        <f aca="false">I883</f>
        <v>15</v>
      </c>
      <c r="S883" s="10" t="n">
        <f aca="false">J883</f>
        <v>3</v>
      </c>
      <c r="T883" s="12" t="s">
        <v>3566</v>
      </c>
      <c r="U883" s="12" t="s">
        <v>3684</v>
      </c>
      <c r="V883" s="9" t="str">
        <f aca="false">U883&amp;" - "&amp;W883</f>
        <v>门槛饰板 - 前左</v>
      </c>
      <c r="W883" s="12" t="s">
        <v>1352</v>
      </c>
      <c r="X883" s="12" t="s">
        <v>3606</v>
      </c>
      <c r="Y883" s="10" t="n">
        <f aca="false">G883</f>
        <v>40</v>
      </c>
      <c r="Z883" s="10" t="n">
        <f aca="false">H883</f>
        <v>25</v>
      </c>
      <c r="AA883" s="10" t="n">
        <f aca="false">I883</f>
        <v>15</v>
      </c>
      <c r="AB883" s="10" t="n">
        <f aca="false">J883</f>
        <v>3</v>
      </c>
      <c r="AC883" s="9" t="s">
        <v>3568</v>
      </c>
      <c r="AD883" s="9" t="s">
        <v>3685</v>
      </c>
      <c r="AE883" s="9" t="str">
        <f aca="false">IF($AK883=0,"",INDEX('Part types'!$T:$T,$AK883)&amp;"")</f>
        <v>All vehicles</v>
      </c>
      <c r="AF883" s="9" t="str">
        <f aca="false">IF($AK883=0,"",INDEX('Part types'!$U:$U,$AK883)&amp;"")</f>
        <v/>
      </c>
      <c r="AG883" s="9" t="str">
        <f aca="false">IF($AK883=0,"",INDEX('Part types'!$V:$V,$AK883)&amp;"")</f>
        <v>Estimate: size class L</v>
      </c>
      <c r="AH883" s="9" t="str">
        <f aca="false">IF($AK883=0,"",INDEX('Part types'!$W:$W,$AK883)&amp;"")</f>
        <v>Scuff Plate</v>
      </c>
      <c r="AI883" s="11" t="str">
        <f aca="false">IF($AK883=0,"",INDEX('Part types'!$X:$X,$AK883)&amp;"")</f>
        <v>سكف</v>
      </c>
      <c r="AJ883" s="9" t="str">
        <f aca="false">IF($AK883=0,"",INDEX('Part types'!$Y:$Y,$AK883)&amp;"")</f>
        <v/>
      </c>
      <c r="AK883" s="9" t="n">
        <f aca="false">IFERROR(MATCH($AD883,'Part types'!$E:$E,0),0)</f>
        <v>595</v>
      </c>
    </row>
    <row r="884" customFormat="false" ht="15" hidden="false" customHeight="false" outlineLevel="0" collapsed="false">
      <c r="A884" s="9" t="s">
        <v>3686</v>
      </c>
      <c r="B884" s="9" t="s">
        <v>3562</v>
      </c>
      <c r="C884" s="9" t="s">
        <v>3682</v>
      </c>
      <c r="D884" s="9" t="str">
        <f aca="false">C884&amp;" - "&amp;E884</f>
        <v>Door Sill Plate - Front-Right</v>
      </c>
      <c r="E884" s="9" t="s">
        <v>1356</v>
      </c>
      <c r="F884" s="9" t="s">
        <v>3602</v>
      </c>
      <c r="G884" s="10" t="n">
        <f aca="false">IF($AK884=0,"",INDEX('Part types'!$P:$P,$AK884))</f>
        <v>40</v>
      </c>
      <c r="H884" s="10" t="n">
        <f aca="false">IF($AK884=0,"",INDEX('Part types'!$Q:$Q,$AK884))</f>
        <v>25</v>
      </c>
      <c r="I884" s="10" t="n">
        <f aca="false">IF($AK884=0,"",INDEX('Part types'!$R:$R,$AK884))</f>
        <v>15</v>
      </c>
      <c r="J884" s="10" t="n">
        <f aca="false">IF($AK884=0,"",INDEX('Part types'!$S:$S,$AK884))</f>
        <v>3</v>
      </c>
      <c r="K884" s="11" t="s">
        <v>3564</v>
      </c>
      <c r="L884" s="11" t="s">
        <v>3683</v>
      </c>
      <c r="M884" s="11" t="str">
        <f aca="false">L884&amp;" - "&amp;N884</f>
        <v>عتبة الباب - أمامي يمين</v>
      </c>
      <c r="N884" s="11" t="s">
        <v>1357</v>
      </c>
      <c r="O884" s="11" t="s">
        <v>3604</v>
      </c>
      <c r="P884" s="10" t="n">
        <f aca="false">G884</f>
        <v>40</v>
      </c>
      <c r="Q884" s="10" t="n">
        <f aca="false">H884</f>
        <v>25</v>
      </c>
      <c r="R884" s="10" t="n">
        <f aca="false">I884</f>
        <v>15</v>
      </c>
      <c r="S884" s="10" t="n">
        <f aca="false">J884</f>
        <v>3</v>
      </c>
      <c r="T884" s="12" t="s">
        <v>3566</v>
      </c>
      <c r="U884" s="12" t="s">
        <v>3684</v>
      </c>
      <c r="V884" s="9" t="str">
        <f aca="false">U884&amp;" - "&amp;W884</f>
        <v>门槛饰板 - 前右</v>
      </c>
      <c r="W884" s="12" t="s">
        <v>1358</v>
      </c>
      <c r="X884" s="12" t="s">
        <v>3606</v>
      </c>
      <c r="Y884" s="10" t="n">
        <f aca="false">G884</f>
        <v>40</v>
      </c>
      <c r="Z884" s="10" t="n">
        <f aca="false">H884</f>
        <v>25</v>
      </c>
      <c r="AA884" s="10" t="n">
        <f aca="false">I884</f>
        <v>15</v>
      </c>
      <c r="AB884" s="10" t="n">
        <f aca="false">J884</f>
        <v>3</v>
      </c>
      <c r="AC884" s="9" t="s">
        <v>3568</v>
      </c>
      <c r="AD884" s="9" t="s">
        <v>3685</v>
      </c>
      <c r="AE884" s="9" t="str">
        <f aca="false">IF($AK884=0,"",INDEX('Part types'!$T:$T,$AK884)&amp;"")</f>
        <v>All vehicles</v>
      </c>
      <c r="AF884" s="9" t="str">
        <f aca="false">IF($AK884=0,"",INDEX('Part types'!$U:$U,$AK884)&amp;"")</f>
        <v/>
      </c>
      <c r="AG884" s="9" t="str">
        <f aca="false">IF($AK884=0,"",INDEX('Part types'!$V:$V,$AK884)&amp;"")</f>
        <v>Estimate: size class L</v>
      </c>
      <c r="AH884" s="9" t="str">
        <f aca="false">IF($AK884=0,"",INDEX('Part types'!$W:$W,$AK884)&amp;"")</f>
        <v>Scuff Plate</v>
      </c>
      <c r="AI884" s="11" t="str">
        <f aca="false">IF($AK884=0,"",INDEX('Part types'!$X:$X,$AK884)&amp;"")</f>
        <v>سكف</v>
      </c>
      <c r="AJ884" s="9" t="str">
        <f aca="false">IF($AK884=0,"",INDEX('Part types'!$Y:$Y,$AK884)&amp;"")</f>
        <v/>
      </c>
      <c r="AK884" s="9" t="n">
        <f aca="false">IFERROR(MATCH($AD884,'Part types'!$E:$E,0),0)</f>
        <v>595</v>
      </c>
    </row>
    <row r="885" customFormat="false" ht="15" hidden="false" customHeight="false" outlineLevel="0" collapsed="false">
      <c r="A885" s="9" t="s">
        <v>3687</v>
      </c>
      <c r="B885" s="9" t="s">
        <v>3562</v>
      </c>
      <c r="C885" s="9" t="s">
        <v>3682</v>
      </c>
      <c r="D885" s="9" t="str">
        <f aca="false">C885&amp;" - "&amp;E885</f>
        <v>Door Sill Plate - Rear-Left</v>
      </c>
      <c r="E885" s="9" t="s">
        <v>1360</v>
      </c>
      <c r="F885" s="9" t="s">
        <v>3602</v>
      </c>
      <c r="G885" s="10" t="n">
        <f aca="false">IF($AK885=0,"",INDEX('Part types'!$P:$P,$AK885))</f>
        <v>40</v>
      </c>
      <c r="H885" s="10" t="n">
        <f aca="false">IF($AK885=0,"",INDEX('Part types'!$Q:$Q,$AK885))</f>
        <v>25</v>
      </c>
      <c r="I885" s="10" t="n">
        <f aca="false">IF($AK885=0,"",INDEX('Part types'!$R:$R,$AK885))</f>
        <v>15</v>
      </c>
      <c r="J885" s="10" t="n">
        <f aca="false">IF($AK885=0,"",INDEX('Part types'!$S:$S,$AK885))</f>
        <v>3</v>
      </c>
      <c r="K885" s="11" t="s">
        <v>3564</v>
      </c>
      <c r="L885" s="11" t="s">
        <v>3683</v>
      </c>
      <c r="M885" s="11" t="str">
        <f aca="false">L885&amp;" - "&amp;N885</f>
        <v>عتبة الباب - خلفي يسار</v>
      </c>
      <c r="N885" s="11" t="s">
        <v>1361</v>
      </c>
      <c r="O885" s="11" t="s">
        <v>3604</v>
      </c>
      <c r="P885" s="10" t="n">
        <f aca="false">G885</f>
        <v>40</v>
      </c>
      <c r="Q885" s="10" t="n">
        <f aca="false">H885</f>
        <v>25</v>
      </c>
      <c r="R885" s="10" t="n">
        <f aca="false">I885</f>
        <v>15</v>
      </c>
      <c r="S885" s="10" t="n">
        <f aca="false">J885</f>
        <v>3</v>
      </c>
      <c r="T885" s="12" t="s">
        <v>3566</v>
      </c>
      <c r="U885" s="12" t="s">
        <v>3684</v>
      </c>
      <c r="V885" s="9" t="str">
        <f aca="false">U885&amp;" - "&amp;W885</f>
        <v>门槛饰板 - 后左</v>
      </c>
      <c r="W885" s="12" t="s">
        <v>1362</v>
      </c>
      <c r="X885" s="12" t="s">
        <v>3606</v>
      </c>
      <c r="Y885" s="10" t="n">
        <f aca="false">G885</f>
        <v>40</v>
      </c>
      <c r="Z885" s="10" t="n">
        <f aca="false">H885</f>
        <v>25</v>
      </c>
      <c r="AA885" s="10" t="n">
        <f aca="false">I885</f>
        <v>15</v>
      </c>
      <c r="AB885" s="10" t="n">
        <f aca="false">J885</f>
        <v>3</v>
      </c>
      <c r="AC885" s="9" t="s">
        <v>3568</v>
      </c>
      <c r="AD885" s="9" t="s">
        <v>3685</v>
      </c>
      <c r="AE885" s="9" t="str">
        <f aca="false">IF($AK885=0,"",INDEX('Part types'!$T:$T,$AK885)&amp;"")</f>
        <v>All vehicles</v>
      </c>
      <c r="AF885" s="9" t="str">
        <f aca="false">IF($AK885=0,"",INDEX('Part types'!$U:$U,$AK885)&amp;"")</f>
        <v/>
      </c>
      <c r="AG885" s="9" t="str">
        <f aca="false">IF($AK885=0,"",INDEX('Part types'!$V:$V,$AK885)&amp;"")</f>
        <v>Estimate: size class L</v>
      </c>
      <c r="AH885" s="9" t="str">
        <f aca="false">IF($AK885=0,"",INDEX('Part types'!$W:$W,$AK885)&amp;"")</f>
        <v>Scuff Plate</v>
      </c>
      <c r="AI885" s="11" t="str">
        <f aca="false">IF($AK885=0,"",INDEX('Part types'!$X:$X,$AK885)&amp;"")</f>
        <v>سكف</v>
      </c>
      <c r="AJ885" s="9" t="str">
        <f aca="false">IF($AK885=0,"",INDEX('Part types'!$Y:$Y,$AK885)&amp;"")</f>
        <v/>
      </c>
      <c r="AK885" s="9" t="n">
        <f aca="false">IFERROR(MATCH($AD885,'Part types'!$E:$E,0),0)</f>
        <v>595</v>
      </c>
    </row>
    <row r="886" customFormat="false" ht="15" hidden="false" customHeight="false" outlineLevel="0" collapsed="false">
      <c r="A886" s="9" t="s">
        <v>3688</v>
      </c>
      <c r="B886" s="9" t="s">
        <v>3562</v>
      </c>
      <c r="C886" s="9" t="s">
        <v>3682</v>
      </c>
      <c r="D886" s="9" t="str">
        <f aca="false">C886&amp;" - "&amp;E886</f>
        <v>Door Sill Plate - Rear-Right</v>
      </c>
      <c r="E886" s="9" t="s">
        <v>1364</v>
      </c>
      <c r="F886" s="9" t="s">
        <v>3602</v>
      </c>
      <c r="G886" s="10" t="n">
        <f aca="false">IF($AK886=0,"",INDEX('Part types'!$P:$P,$AK886))</f>
        <v>40</v>
      </c>
      <c r="H886" s="10" t="n">
        <f aca="false">IF($AK886=0,"",INDEX('Part types'!$Q:$Q,$AK886))</f>
        <v>25</v>
      </c>
      <c r="I886" s="10" t="n">
        <f aca="false">IF($AK886=0,"",INDEX('Part types'!$R:$R,$AK886))</f>
        <v>15</v>
      </c>
      <c r="J886" s="10" t="n">
        <f aca="false">IF($AK886=0,"",INDEX('Part types'!$S:$S,$AK886))</f>
        <v>3</v>
      </c>
      <c r="K886" s="11" t="s">
        <v>3564</v>
      </c>
      <c r="L886" s="11" t="s">
        <v>3683</v>
      </c>
      <c r="M886" s="11" t="str">
        <f aca="false">L886&amp;" - "&amp;N886</f>
        <v>عتبة الباب - خلفي يمين</v>
      </c>
      <c r="N886" s="11" t="s">
        <v>1365</v>
      </c>
      <c r="O886" s="11" t="s">
        <v>3604</v>
      </c>
      <c r="P886" s="10" t="n">
        <f aca="false">G886</f>
        <v>40</v>
      </c>
      <c r="Q886" s="10" t="n">
        <f aca="false">H886</f>
        <v>25</v>
      </c>
      <c r="R886" s="10" t="n">
        <f aca="false">I886</f>
        <v>15</v>
      </c>
      <c r="S886" s="10" t="n">
        <f aca="false">J886</f>
        <v>3</v>
      </c>
      <c r="T886" s="12" t="s">
        <v>3566</v>
      </c>
      <c r="U886" s="12" t="s">
        <v>3684</v>
      </c>
      <c r="V886" s="9" t="str">
        <f aca="false">U886&amp;" - "&amp;W886</f>
        <v>门槛饰板 - 后右</v>
      </c>
      <c r="W886" s="12" t="s">
        <v>1366</v>
      </c>
      <c r="X886" s="12" t="s">
        <v>3606</v>
      </c>
      <c r="Y886" s="10" t="n">
        <f aca="false">G886</f>
        <v>40</v>
      </c>
      <c r="Z886" s="10" t="n">
        <f aca="false">H886</f>
        <v>25</v>
      </c>
      <c r="AA886" s="10" t="n">
        <f aca="false">I886</f>
        <v>15</v>
      </c>
      <c r="AB886" s="10" t="n">
        <f aca="false">J886</f>
        <v>3</v>
      </c>
      <c r="AC886" s="9" t="s">
        <v>3568</v>
      </c>
      <c r="AD886" s="9" t="s">
        <v>3685</v>
      </c>
      <c r="AE886" s="9" t="str">
        <f aca="false">IF($AK886=0,"",INDEX('Part types'!$T:$T,$AK886)&amp;"")</f>
        <v>All vehicles</v>
      </c>
      <c r="AF886" s="9" t="str">
        <f aca="false">IF($AK886=0,"",INDEX('Part types'!$U:$U,$AK886)&amp;"")</f>
        <v/>
      </c>
      <c r="AG886" s="9" t="str">
        <f aca="false">IF($AK886=0,"",INDEX('Part types'!$V:$V,$AK886)&amp;"")</f>
        <v>Estimate: size class L</v>
      </c>
      <c r="AH886" s="9" t="str">
        <f aca="false">IF($AK886=0,"",INDEX('Part types'!$W:$W,$AK886)&amp;"")</f>
        <v>Scuff Plate</v>
      </c>
      <c r="AI886" s="11" t="str">
        <f aca="false">IF($AK886=0,"",INDEX('Part types'!$X:$X,$AK886)&amp;"")</f>
        <v>سكف</v>
      </c>
      <c r="AJ886" s="9" t="str">
        <f aca="false">IF($AK886=0,"",INDEX('Part types'!$Y:$Y,$AK886)&amp;"")</f>
        <v/>
      </c>
      <c r="AK886" s="9" t="n">
        <f aca="false">IFERROR(MATCH($AD886,'Part types'!$E:$E,0),0)</f>
        <v>595</v>
      </c>
    </row>
    <row r="887" customFormat="false" ht="15" hidden="false" customHeight="false" outlineLevel="0" collapsed="false">
      <c r="A887" s="9" t="s">
        <v>3689</v>
      </c>
      <c r="B887" s="9" t="s">
        <v>3562</v>
      </c>
      <c r="C887" s="9" t="s">
        <v>3690</v>
      </c>
      <c r="D887" s="9" t="str">
        <f aca="false">C887&amp;" - "&amp;E887</f>
        <v>Window Belt Molding - Front-Left</v>
      </c>
      <c r="E887" s="9" t="s">
        <v>1346</v>
      </c>
      <c r="F887" s="9" t="s">
        <v>3583</v>
      </c>
      <c r="G887" s="10" t="n">
        <f aca="false">IF($AK887=0,"",INDEX('Part types'!$P:$P,$AK887))</f>
        <v>40</v>
      </c>
      <c r="H887" s="10" t="n">
        <f aca="false">IF($AK887=0,"",INDEX('Part types'!$Q:$Q,$AK887))</f>
        <v>25</v>
      </c>
      <c r="I887" s="10" t="n">
        <f aca="false">IF($AK887=0,"",INDEX('Part types'!$R:$R,$AK887))</f>
        <v>15</v>
      </c>
      <c r="J887" s="10" t="n">
        <f aca="false">IF($AK887=0,"",INDEX('Part types'!$S:$S,$AK887))</f>
        <v>3</v>
      </c>
      <c r="K887" s="11" t="s">
        <v>3564</v>
      </c>
      <c r="L887" s="11" t="s">
        <v>3691</v>
      </c>
      <c r="M887" s="11" t="str">
        <f aca="false">L887&amp;" - "&amp;N887</f>
        <v>شريط زجاج النافذة الخارجي - أمامي يسار</v>
      </c>
      <c r="N887" s="11" t="s">
        <v>1349</v>
      </c>
      <c r="O887" s="11" t="s">
        <v>3585</v>
      </c>
      <c r="P887" s="10" t="n">
        <f aca="false">G887</f>
        <v>40</v>
      </c>
      <c r="Q887" s="10" t="n">
        <f aca="false">H887</f>
        <v>25</v>
      </c>
      <c r="R887" s="10" t="n">
        <f aca="false">I887</f>
        <v>15</v>
      </c>
      <c r="S887" s="10" t="n">
        <f aca="false">J887</f>
        <v>3</v>
      </c>
      <c r="T887" s="12" t="s">
        <v>3566</v>
      </c>
      <c r="U887" s="12" t="s">
        <v>3692</v>
      </c>
      <c r="V887" s="9" t="str">
        <f aca="false">U887&amp;" - "&amp;W887</f>
        <v>车窗饰条 - 前左</v>
      </c>
      <c r="W887" s="12" t="s">
        <v>1352</v>
      </c>
      <c r="X887" s="12" t="s">
        <v>3587</v>
      </c>
      <c r="Y887" s="10" t="n">
        <f aca="false">G887</f>
        <v>40</v>
      </c>
      <c r="Z887" s="10" t="n">
        <f aca="false">H887</f>
        <v>25</v>
      </c>
      <c r="AA887" s="10" t="n">
        <f aca="false">I887</f>
        <v>15</v>
      </c>
      <c r="AB887" s="10" t="n">
        <f aca="false">J887</f>
        <v>3</v>
      </c>
      <c r="AC887" s="9" t="s">
        <v>3568</v>
      </c>
      <c r="AD887" s="9" t="s">
        <v>3693</v>
      </c>
      <c r="AE887" s="9" t="str">
        <f aca="false">IF($AK887=0,"",INDEX('Part types'!$T:$T,$AK887)&amp;"")</f>
        <v>All vehicles</v>
      </c>
      <c r="AF887" s="9" t="str">
        <f aca="false">IF($AK887=0,"",INDEX('Part types'!$U:$U,$AK887)&amp;"")</f>
        <v/>
      </c>
      <c r="AG887" s="9" t="str">
        <f aca="false">IF($AK887=0,"",INDEX('Part types'!$V:$V,$AK887)&amp;"")</f>
        <v>Estimate: size class L</v>
      </c>
      <c r="AH887" s="9" t="str">
        <f aca="false">IF($AK887=0,"",INDEX('Part types'!$W:$W,$AK887)&amp;"")</f>
        <v/>
      </c>
      <c r="AI887" s="11" t="str">
        <f aca="false">IF($AK887=0,"",INDEX('Part types'!$X:$X,$AK887)&amp;"")</f>
        <v/>
      </c>
      <c r="AJ887" s="9" t="str">
        <f aca="false">IF($AK887=0,"",INDEX('Part types'!$Y:$Y,$AK887)&amp;"")</f>
        <v>窗框条</v>
      </c>
      <c r="AK887" s="9" t="n">
        <f aca="false">IFERROR(MATCH($AD887,'Part types'!$E:$E,0),0)</f>
        <v>596</v>
      </c>
    </row>
    <row r="888" customFormat="false" ht="15" hidden="false" customHeight="false" outlineLevel="0" collapsed="false">
      <c r="A888" s="9" t="s">
        <v>3694</v>
      </c>
      <c r="B888" s="9" t="s">
        <v>3562</v>
      </c>
      <c r="C888" s="9" t="s">
        <v>3690</v>
      </c>
      <c r="D888" s="9" t="str">
        <f aca="false">C888&amp;" - "&amp;E888</f>
        <v>Window Belt Molding - Front-Right</v>
      </c>
      <c r="E888" s="9" t="s">
        <v>1356</v>
      </c>
      <c r="F888" s="9" t="s">
        <v>3583</v>
      </c>
      <c r="G888" s="10" t="n">
        <f aca="false">IF($AK888=0,"",INDEX('Part types'!$P:$P,$AK888))</f>
        <v>40</v>
      </c>
      <c r="H888" s="10" t="n">
        <f aca="false">IF($AK888=0,"",INDEX('Part types'!$Q:$Q,$AK888))</f>
        <v>25</v>
      </c>
      <c r="I888" s="10" t="n">
        <f aca="false">IF($AK888=0,"",INDEX('Part types'!$R:$R,$AK888))</f>
        <v>15</v>
      </c>
      <c r="J888" s="10" t="n">
        <f aca="false">IF($AK888=0,"",INDEX('Part types'!$S:$S,$AK888))</f>
        <v>3</v>
      </c>
      <c r="K888" s="11" t="s">
        <v>3564</v>
      </c>
      <c r="L888" s="11" t="s">
        <v>3691</v>
      </c>
      <c r="M888" s="11" t="str">
        <f aca="false">L888&amp;" - "&amp;N888</f>
        <v>شريط زجاج النافذة الخارجي - أمامي يمين</v>
      </c>
      <c r="N888" s="11" t="s">
        <v>1357</v>
      </c>
      <c r="O888" s="11" t="s">
        <v>3585</v>
      </c>
      <c r="P888" s="10" t="n">
        <f aca="false">G888</f>
        <v>40</v>
      </c>
      <c r="Q888" s="10" t="n">
        <f aca="false">H888</f>
        <v>25</v>
      </c>
      <c r="R888" s="10" t="n">
        <f aca="false">I888</f>
        <v>15</v>
      </c>
      <c r="S888" s="10" t="n">
        <f aca="false">J888</f>
        <v>3</v>
      </c>
      <c r="T888" s="12" t="s">
        <v>3566</v>
      </c>
      <c r="U888" s="12" t="s">
        <v>3692</v>
      </c>
      <c r="V888" s="9" t="str">
        <f aca="false">U888&amp;" - "&amp;W888</f>
        <v>车窗饰条 - 前右</v>
      </c>
      <c r="W888" s="12" t="s">
        <v>1358</v>
      </c>
      <c r="X888" s="12" t="s">
        <v>3587</v>
      </c>
      <c r="Y888" s="10" t="n">
        <f aca="false">G888</f>
        <v>40</v>
      </c>
      <c r="Z888" s="10" t="n">
        <f aca="false">H888</f>
        <v>25</v>
      </c>
      <c r="AA888" s="10" t="n">
        <f aca="false">I888</f>
        <v>15</v>
      </c>
      <c r="AB888" s="10" t="n">
        <f aca="false">J888</f>
        <v>3</v>
      </c>
      <c r="AC888" s="9" t="s">
        <v>3568</v>
      </c>
      <c r="AD888" s="9" t="s">
        <v>3693</v>
      </c>
      <c r="AE888" s="9" t="str">
        <f aca="false">IF($AK888=0,"",INDEX('Part types'!$T:$T,$AK888)&amp;"")</f>
        <v>All vehicles</v>
      </c>
      <c r="AF888" s="9" t="str">
        <f aca="false">IF($AK888=0,"",INDEX('Part types'!$U:$U,$AK888)&amp;"")</f>
        <v/>
      </c>
      <c r="AG888" s="9" t="str">
        <f aca="false">IF($AK888=0,"",INDEX('Part types'!$V:$V,$AK888)&amp;"")</f>
        <v>Estimate: size class L</v>
      </c>
      <c r="AH888" s="9" t="str">
        <f aca="false">IF($AK888=0,"",INDEX('Part types'!$W:$W,$AK888)&amp;"")</f>
        <v/>
      </c>
      <c r="AI888" s="11" t="str">
        <f aca="false">IF($AK888=0,"",INDEX('Part types'!$X:$X,$AK888)&amp;"")</f>
        <v/>
      </c>
      <c r="AJ888" s="9" t="str">
        <f aca="false">IF($AK888=0,"",INDEX('Part types'!$Y:$Y,$AK888)&amp;"")</f>
        <v>窗框条</v>
      </c>
      <c r="AK888" s="9" t="n">
        <f aca="false">IFERROR(MATCH($AD888,'Part types'!$E:$E,0),0)</f>
        <v>596</v>
      </c>
    </row>
    <row r="889" customFormat="false" ht="15" hidden="false" customHeight="false" outlineLevel="0" collapsed="false">
      <c r="A889" s="9" t="s">
        <v>3695</v>
      </c>
      <c r="B889" s="9" t="s">
        <v>3562</v>
      </c>
      <c r="C889" s="9" t="s">
        <v>3690</v>
      </c>
      <c r="D889" s="9" t="str">
        <f aca="false">C889&amp;" - "&amp;E889</f>
        <v>Window Belt Molding - Rear-Left</v>
      </c>
      <c r="E889" s="9" t="s">
        <v>1360</v>
      </c>
      <c r="F889" s="9" t="s">
        <v>3583</v>
      </c>
      <c r="G889" s="10" t="n">
        <f aca="false">IF($AK889=0,"",INDEX('Part types'!$P:$P,$AK889))</f>
        <v>40</v>
      </c>
      <c r="H889" s="10" t="n">
        <f aca="false">IF($AK889=0,"",INDEX('Part types'!$Q:$Q,$AK889))</f>
        <v>25</v>
      </c>
      <c r="I889" s="10" t="n">
        <f aca="false">IF($AK889=0,"",INDEX('Part types'!$R:$R,$AK889))</f>
        <v>15</v>
      </c>
      <c r="J889" s="10" t="n">
        <f aca="false">IF($AK889=0,"",INDEX('Part types'!$S:$S,$AK889))</f>
        <v>3</v>
      </c>
      <c r="K889" s="11" t="s">
        <v>3564</v>
      </c>
      <c r="L889" s="11" t="s">
        <v>3691</v>
      </c>
      <c r="M889" s="11" t="str">
        <f aca="false">L889&amp;" - "&amp;N889</f>
        <v>شريط زجاج النافذة الخارجي - خلفي يسار</v>
      </c>
      <c r="N889" s="11" t="s">
        <v>1361</v>
      </c>
      <c r="O889" s="11" t="s">
        <v>3585</v>
      </c>
      <c r="P889" s="10" t="n">
        <f aca="false">G889</f>
        <v>40</v>
      </c>
      <c r="Q889" s="10" t="n">
        <f aca="false">H889</f>
        <v>25</v>
      </c>
      <c r="R889" s="10" t="n">
        <f aca="false">I889</f>
        <v>15</v>
      </c>
      <c r="S889" s="10" t="n">
        <f aca="false">J889</f>
        <v>3</v>
      </c>
      <c r="T889" s="12" t="s">
        <v>3566</v>
      </c>
      <c r="U889" s="12" t="s">
        <v>3692</v>
      </c>
      <c r="V889" s="9" t="str">
        <f aca="false">U889&amp;" - "&amp;W889</f>
        <v>车窗饰条 - 后左</v>
      </c>
      <c r="W889" s="12" t="s">
        <v>1362</v>
      </c>
      <c r="X889" s="12" t="s">
        <v>3587</v>
      </c>
      <c r="Y889" s="10" t="n">
        <f aca="false">G889</f>
        <v>40</v>
      </c>
      <c r="Z889" s="10" t="n">
        <f aca="false">H889</f>
        <v>25</v>
      </c>
      <c r="AA889" s="10" t="n">
        <f aca="false">I889</f>
        <v>15</v>
      </c>
      <c r="AB889" s="10" t="n">
        <f aca="false">J889</f>
        <v>3</v>
      </c>
      <c r="AC889" s="9" t="s">
        <v>3568</v>
      </c>
      <c r="AD889" s="9" t="s">
        <v>3693</v>
      </c>
      <c r="AE889" s="9" t="str">
        <f aca="false">IF($AK889=0,"",INDEX('Part types'!$T:$T,$AK889)&amp;"")</f>
        <v>All vehicles</v>
      </c>
      <c r="AF889" s="9" t="str">
        <f aca="false">IF($AK889=0,"",INDEX('Part types'!$U:$U,$AK889)&amp;"")</f>
        <v/>
      </c>
      <c r="AG889" s="9" t="str">
        <f aca="false">IF($AK889=0,"",INDEX('Part types'!$V:$V,$AK889)&amp;"")</f>
        <v>Estimate: size class L</v>
      </c>
      <c r="AH889" s="9" t="str">
        <f aca="false">IF($AK889=0,"",INDEX('Part types'!$W:$W,$AK889)&amp;"")</f>
        <v/>
      </c>
      <c r="AI889" s="11" t="str">
        <f aca="false">IF($AK889=0,"",INDEX('Part types'!$X:$X,$AK889)&amp;"")</f>
        <v/>
      </c>
      <c r="AJ889" s="9" t="str">
        <f aca="false">IF($AK889=0,"",INDEX('Part types'!$Y:$Y,$AK889)&amp;"")</f>
        <v>窗框条</v>
      </c>
      <c r="AK889" s="9" t="n">
        <f aca="false">IFERROR(MATCH($AD889,'Part types'!$E:$E,0),0)</f>
        <v>596</v>
      </c>
    </row>
    <row r="890" customFormat="false" ht="15" hidden="false" customHeight="false" outlineLevel="0" collapsed="false">
      <c r="A890" s="9" t="s">
        <v>3696</v>
      </c>
      <c r="B890" s="9" t="s">
        <v>3562</v>
      </c>
      <c r="C890" s="9" t="s">
        <v>3690</v>
      </c>
      <c r="D890" s="9" t="str">
        <f aca="false">C890&amp;" - "&amp;E890</f>
        <v>Window Belt Molding - Rear-Right</v>
      </c>
      <c r="E890" s="9" t="s">
        <v>1364</v>
      </c>
      <c r="F890" s="9" t="s">
        <v>3583</v>
      </c>
      <c r="G890" s="10" t="n">
        <f aca="false">IF($AK890=0,"",INDEX('Part types'!$P:$P,$AK890))</f>
        <v>40</v>
      </c>
      <c r="H890" s="10" t="n">
        <f aca="false">IF($AK890=0,"",INDEX('Part types'!$Q:$Q,$AK890))</f>
        <v>25</v>
      </c>
      <c r="I890" s="10" t="n">
        <f aca="false">IF($AK890=0,"",INDEX('Part types'!$R:$R,$AK890))</f>
        <v>15</v>
      </c>
      <c r="J890" s="10" t="n">
        <f aca="false">IF($AK890=0,"",INDEX('Part types'!$S:$S,$AK890))</f>
        <v>3</v>
      </c>
      <c r="K890" s="11" t="s">
        <v>3564</v>
      </c>
      <c r="L890" s="11" t="s">
        <v>3691</v>
      </c>
      <c r="M890" s="11" t="str">
        <f aca="false">L890&amp;" - "&amp;N890</f>
        <v>شريط زجاج النافذة الخارجي - خلفي يمين</v>
      </c>
      <c r="N890" s="11" t="s">
        <v>1365</v>
      </c>
      <c r="O890" s="11" t="s">
        <v>3585</v>
      </c>
      <c r="P890" s="10" t="n">
        <f aca="false">G890</f>
        <v>40</v>
      </c>
      <c r="Q890" s="10" t="n">
        <f aca="false">H890</f>
        <v>25</v>
      </c>
      <c r="R890" s="10" t="n">
        <f aca="false">I890</f>
        <v>15</v>
      </c>
      <c r="S890" s="10" t="n">
        <f aca="false">J890</f>
        <v>3</v>
      </c>
      <c r="T890" s="12" t="s">
        <v>3566</v>
      </c>
      <c r="U890" s="12" t="s">
        <v>3692</v>
      </c>
      <c r="V890" s="9" t="str">
        <f aca="false">U890&amp;" - "&amp;W890</f>
        <v>车窗饰条 - 后右</v>
      </c>
      <c r="W890" s="12" t="s">
        <v>1366</v>
      </c>
      <c r="X890" s="12" t="s">
        <v>3587</v>
      </c>
      <c r="Y890" s="10" t="n">
        <f aca="false">G890</f>
        <v>40</v>
      </c>
      <c r="Z890" s="10" t="n">
        <f aca="false">H890</f>
        <v>25</v>
      </c>
      <c r="AA890" s="10" t="n">
        <f aca="false">I890</f>
        <v>15</v>
      </c>
      <c r="AB890" s="10" t="n">
        <f aca="false">J890</f>
        <v>3</v>
      </c>
      <c r="AC890" s="9" t="s">
        <v>3568</v>
      </c>
      <c r="AD890" s="9" t="s">
        <v>3693</v>
      </c>
      <c r="AE890" s="9" t="str">
        <f aca="false">IF($AK890=0,"",INDEX('Part types'!$T:$T,$AK890)&amp;"")</f>
        <v>All vehicles</v>
      </c>
      <c r="AF890" s="9" t="str">
        <f aca="false">IF($AK890=0,"",INDEX('Part types'!$U:$U,$AK890)&amp;"")</f>
        <v/>
      </c>
      <c r="AG890" s="9" t="str">
        <f aca="false">IF($AK890=0,"",INDEX('Part types'!$V:$V,$AK890)&amp;"")</f>
        <v>Estimate: size class L</v>
      </c>
      <c r="AH890" s="9" t="str">
        <f aca="false">IF($AK890=0,"",INDEX('Part types'!$W:$W,$AK890)&amp;"")</f>
        <v/>
      </c>
      <c r="AI890" s="11" t="str">
        <f aca="false">IF($AK890=0,"",INDEX('Part types'!$X:$X,$AK890)&amp;"")</f>
        <v/>
      </c>
      <c r="AJ890" s="9" t="str">
        <f aca="false">IF($AK890=0,"",INDEX('Part types'!$Y:$Y,$AK890)&amp;"")</f>
        <v>窗框条</v>
      </c>
      <c r="AK890" s="9" t="n">
        <f aca="false">IFERROR(MATCH($AD890,'Part types'!$E:$E,0),0)</f>
        <v>596</v>
      </c>
    </row>
    <row r="891" customFormat="false" ht="15" hidden="false" customHeight="false" outlineLevel="0" collapsed="false">
      <c r="A891" s="9" t="s">
        <v>3697</v>
      </c>
      <c r="B891" s="9" t="s">
        <v>2106</v>
      </c>
      <c r="C891" s="9" t="s">
        <v>3698</v>
      </c>
      <c r="D891" s="9" t="str">
        <f aca="false">C891&amp;" - "&amp;E891</f>
        <v>Trunk Lid - Universal</v>
      </c>
      <c r="E891" s="9" t="s">
        <v>68</v>
      </c>
      <c r="F891" s="9" t="s">
        <v>2106</v>
      </c>
      <c r="G891" s="10" t="n">
        <f aca="false">IF($AK891=0,"",INDEX('Part types'!$P:$P,$AK891))</f>
        <v>120</v>
      </c>
      <c r="H891" s="10" t="n">
        <f aca="false">IF($AK891=0,"",INDEX('Part types'!$Q:$Q,$AK891))</f>
        <v>50</v>
      </c>
      <c r="I891" s="10" t="n">
        <f aca="false">IF($AK891=0,"",INDEX('Part types'!$R:$R,$AK891))</f>
        <v>15</v>
      </c>
      <c r="J891" s="10" t="n">
        <f aca="false">IF($AK891=0,"",INDEX('Part types'!$S:$S,$AK891))</f>
        <v>10</v>
      </c>
      <c r="K891" s="11" t="s">
        <v>3699</v>
      </c>
      <c r="L891" s="11" t="s">
        <v>3700</v>
      </c>
      <c r="M891" s="11" t="str">
        <f aca="false">L891&amp;" - "&amp;N891</f>
        <v>غطاء الصندوق - عام</v>
      </c>
      <c r="N891" s="11" t="s">
        <v>72</v>
      </c>
      <c r="O891" s="11" t="s">
        <v>2108</v>
      </c>
      <c r="P891" s="10" t="n">
        <f aca="false">G891</f>
        <v>120</v>
      </c>
      <c r="Q891" s="10" t="n">
        <f aca="false">H891</f>
        <v>50</v>
      </c>
      <c r="R891" s="10" t="n">
        <f aca="false">I891</f>
        <v>15</v>
      </c>
      <c r="S891" s="10" t="n">
        <f aca="false">J891</f>
        <v>10</v>
      </c>
      <c r="T891" s="12" t="s">
        <v>2110</v>
      </c>
      <c r="U891" s="12" t="s">
        <v>3701</v>
      </c>
      <c r="V891" s="9" t="str">
        <f aca="false">U891&amp;" - "&amp;W891</f>
        <v>行李箱盖 - 通用</v>
      </c>
      <c r="W891" s="12" t="s">
        <v>76</v>
      </c>
      <c r="X891" s="12" t="s">
        <v>2110</v>
      </c>
      <c r="Y891" s="10" t="n">
        <f aca="false">G891</f>
        <v>120</v>
      </c>
      <c r="Z891" s="10" t="n">
        <f aca="false">H891</f>
        <v>50</v>
      </c>
      <c r="AA891" s="10" t="n">
        <f aca="false">I891</f>
        <v>15</v>
      </c>
      <c r="AB891" s="10" t="n">
        <f aca="false">J891</f>
        <v>10</v>
      </c>
      <c r="AC891" s="9" t="s">
        <v>3702</v>
      </c>
      <c r="AD891" s="9" t="s">
        <v>3703</v>
      </c>
      <c r="AE891" s="9" t="str">
        <f aca="false">IF($AK891=0,"",INDEX('Part types'!$T:$T,$AK891)&amp;"")</f>
        <v>All vehicles</v>
      </c>
      <c r="AF891" s="9" t="str">
        <f aca="false">IF($AK891=0,"",INDEX('Part types'!$U:$U,$AK891)&amp;"")</f>
        <v/>
      </c>
      <c r="AG891" s="9" t="str">
        <f aca="false">IF($AK891=0,"",INDEX('Part types'!$V:$V,$AK891)&amp;"")</f>
        <v>Estimate: item-specific</v>
      </c>
      <c r="AH891" s="9" t="str">
        <f aca="false">IF($AK891=0,"",INDEX('Part types'!$W:$W,$AK891)&amp;"")</f>
        <v/>
      </c>
      <c r="AI891" s="11" t="str">
        <f aca="false">IF($AK891=0,"",INDEX('Part types'!$X:$X,$AK891)&amp;"")</f>
        <v/>
      </c>
      <c r="AJ891" s="9" t="str">
        <f aca="false">IF($AK891=0,"",INDEX('Part types'!$Y:$Y,$AK891)&amp;"")</f>
        <v/>
      </c>
      <c r="AK891" s="9" t="n">
        <f aca="false">IFERROR(MATCH($AD891,'Part types'!$E:$E,0),0)</f>
        <v>597</v>
      </c>
    </row>
    <row r="892" customFormat="false" ht="15" hidden="false" customHeight="false" outlineLevel="0" collapsed="false">
      <c r="A892" s="9" t="s">
        <v>3704</v>
      </c>
      <c r="B892" s="9" t="s">
        <v>2106</v>
      </c>
      <c r="C892" s="9" t="s">
        <v>3705</v>
      </c>
      <c r="D892" s="9" t="str">
        <f aca="false">C892&amp;" - "&amp;E892</f>
        <v>Tailgate - Universal</v>
      </c>
      <c r="E892" s="9" t="s">
        <v>68</v>
      </c>
      <c r="F892" s="9" t="s">
        <v>3705</v>
      </c>
      <c r="G892" s="10" t="n">
        <f aca="false">IF($AK892=0,"",INDEX('Part types'!$P:$P,$AK892))</f>
        <v>120</v>
      </c>
      <c r="H892" s="10" t="n">
        <f aca="false">IF($AK892=0,"",INDEX('Part types'!$Q:$Q,$AK892))</f>
        <v>100</v>
      </c>
      <c r="I892" s="10" t="n">
        <f aca="false">IF($AK892=0,"",INDEX('Part types'!$R:$R,$AK892))</f>
        <v>20</v>
      </c>
      <c r="J892" s="10" t="n">
        <f aca="false">IF($AK892=0,"",INDEX('Part types'!$S:$S,$AK892))</f>
        <v>18</v>
      </c>
      <c r="K892" s="11" t="s">
        <v>3699</v>
      </c>
      <c r="L892" s="11" t="s">
        <v>3706</v>
      </c>
      <c r="M892" s="11" t="str">
        <f aca="false">L892&amp;" - "&amp;N892</f>
        <v>الباب الخلفي - عام</v>
      </c>
      <c r="N892" s="11" t="s">
        <v>72</v>
      </c>
      <c r="O892" s="11" t="s">
        <v>3706</v>
      </c>
      <c r="P892" s="10" t="n">
        <f aca="false">G892</f>
        <v>120</v>
      </c>
      <c r="Q892" s="10" t="n">
        <f aca="false">H892</f>
        <v>100</v>
      </c>
      <c r="R892" s="10" t="n">
        <f aca="false">I892</f>
        <v>20</v>
      </c>
      <c r="S892" s="10" t="n">
        <f aca="false">J892</f>
        <v>18</v>
      </c>
      <c r="T892" s="12" t="s">
        <v>2110</v>
      </c>
      <c r="U892" s="12" t="s">
        <v>3707</v>
      </c>
      <c r="V892" s="9" t="str">
        <f aca="false">U892&amp;" - "&amp;W892</f>
        <v>后背门 - 通用</v>
      </c>
      <c r="W892" s="12" t="s">
        <v>76</v>
      </c>
      <c r="X892" s="12" t="s">
        <v>3707</v>
      </c>
      <c r="Y892" s="10" t="n">
        <f aca="false">G892</f>
        <v>120</v>
      </c>
      <c r="Z892" s="10" t="n">
        <f aca="false">H892</f>
        <v>100</v>
      </c>
      <c r="AA892" s="10" t="n">
        <f aca="false">I892</f>
        <v>20</v>
      </c>
      <c r="AB892" s="10" t="n">
        <f aca="false">J892</f>
        <v>18</v>
      </c>
      <c r="AC892" s="9" t="s">
        <v>3702</v>
      </c>
      <c r="AD892" s="9" t="s">
        <v>3708</v>
      </c>
      <c r="AE892" s="9" t="str">
        <f aca="false">IF($AK892=0,"",INDEX('Part types'!$T:$T,$AK892)&amp;"")</f>
        <v>All vehicles</v>
      </c>
      <c r="AF892" s="9" t="str">
        <f aca="false">IF($AK892=0,"",INDEX('Part types'!$U:$U,$AK892)&amp;"")</f>
        <v/>
      </c>
      <c r="AG892" s="9" t="str">
        <f aca="false">IF($AK892=0,"",INDEX('Part types'!$V:$V,$AK892)&amp;"")</f>
        <v>Estimate: item-specific</v>
      </c>
      <c r="AH892" s="9" t="str">
        <f aca="false">IF($AK892=0,"",INDEX('Part types'!$W:$W,$AK892)&amp;"")</f>
        <v>Liftgate</v>
      </c>
      <c r="AI892" s="11" t="str">
        <f aca="false">IF($AK892=0,"",INDEX('Part types'!$X:$X,$AK892)&amp;"")</f>
        <v>هاتشباك</v>
      </c>
      <c r="AJ892" s="9" t="str">
        <f aca="false">IF($AK892=0,"",INDEX('Part types'!$Y:$Y,$AK892)&amp;"")</f>
        <v/>
      </c>
      <c r="AK892" s="9" t="n">
        <f aca="false">IFERROR(MATCH($AD892,'Part types'!$E:$E,0),0)</f>
        <v>598</v>
      </c>
    </row>
    <row r="893" customFormat="false" ht="15" hidden="false" customHeight="false" outlineLevel="0" collapsed="false">
      <c r="A893" s="9" t="s">
        <v>3709</v>
      </c>
      <c r="B893" s="9" t="s">
        <v>2106</v>
      </c>
      <c r="C893" s="9" t="s">
        <v>3710</v>
      </c>
      <c r="D893" s="9" t="str">
        <f aca="false">C893&amp;" - "&amp;E893</f>
        <v>Trunk Lid Hinge - Left</v>
      </c>
      <c r="E893" s="9" t="s">
        <v>218</v>
      </c>
      <c r="F893" s="9" t="s">
        <v>2106</v>
      </c>
      <c r="G893" s="10" t="n">
        <f aca="false">IF($AK893=0,"",INDEX('Part types'!$P:$P,$AK893))</f>
        <v>15</v>
      </c>
      <c r="H893" s="10" t="n">
        <f aca="false">IF($AK893=0,"",INDEX('Part types'!$Q:$Q,$AK893))</f>
        <v>10</v>
      </c>
      <c r="I893" s="10" t="n">
        <f aca="false">IF($AK893=0,"",INDEX('Part types'!$R:$R,$AK893))</f>
        <v>8</v>
      </c>
      <c r="J893" s="10" t="n">
        <f aca="false">IF($AK893=0,"",INDEX('Part types'!$S:$S,$AK893))</f>
        <v>0.3</v>
      </c>
      <c r="K893" s="11" t="s">
        <v>3699</v>
      </c>
      <c r="L893" s="11" t="s">
        <v>3711</v>
      </c>
      <c r="M893" s="11" t="str">
        <f aca="false">L893&amp;" - "&amp;N893</f>
        <v>مفصلة غطاء الصندوق - يسار</v>
      </c>
      <c r="N893" s="11" t="s">
        <v>220</v>
      </c>
      <c r="O893" s="11" t="s">
        <v>2108</v>
      </c>
      <c r="P893" s="10" t="n">
        <f aca="false">G893</f>
        <v>15</v>
      </c>
      <c r="Q893" s="10" t="n">
        <f aca="false">H893</f>
        <v>10</v>
      </c>
      <c r="R893" s="10" t="n">
        <f aca="false">I893</f>
        <v>8</v>
      </c>
      <c r="S893" s="10" t="n">
        <f aca="false">J893</f>
        <v>0.3</v>
      </c>
      <c r="T893" s="12" t="s">
        <v>2110</v>
      </c>
      <c r="U893" s="12" t="s">
        <v>3712</v>
      </c>
      <c r="V893" s="9" t="str">
        <f aca="false">U893&amp;" - "&amp;W893</f>
        <v>行李箱盖铰链 - 左侧</v>
      </c>
      <c r="W893" s="12" t="s">
        <v>222</v>
      </c>
      <c r="X893" s="12" t="s">
        <v>2110</v>
      </c>
      <c r="Y893" s="10" t="n">
        <f aca="false">G893</f>
        <v>15</v>
      </c>
      <c r="Z893" s="10" t="n">
        <f aca="false">H893</f>
        <v>10</v>
      </c>
      <c r="AA893" s="10" t="n">
        <f aca="false">I893</f>
        <v>8</v>
      </c>
      <c r="AB893" s="10" t="n">
        <f aca="false">J893</f>
        <v>0.3</v>
      </c>
      <c r="AC893" s="9" t="s">
        <v>3702</v>
      </c>
      <c r="AD893" s="9" t="s">
        <v>3713</v>
      </c>
      <c r="AE893" s="9" t="str">
        <f aca="false">IF($AK893=0,"",INDEX('Part types'!$T:$T,$AK893)&amp;"")</f>
        <v>All vehicles</v>
      </c>
      <c r="AF893" s="9" t="str">
        <f aca="false">IF($AK893=0,"",INDEX('Part types'!$U:$U,$AK893)&amp;"")</f>
        <v/>
      </c>
      <c r="AG893" s="9" t="str">
        <f aca="false">IF($AK893=0,"",INDEX('Part types'!$V:$V,$AK893)&amp;"")</f>
        <v>Estimate: size class S</v>
      </c>
      <c r="AH893" s="9" t="str">
        <f aca="false">IF($AK893=0,"",INDEX('Part types'!$W:$W,$AK893)&amp;"")</f>
        <v/>
      </c>
      <c r="AI893" s="11" t="str">
        <f aca="false">IF($AK893=0,"",INDEX('Part types'!$X:$X,$AK893)&amp;"")</f>
        <v/>
      </c>
      <c r="AJ893" s="9" t="str">
        <f aca="false">IF($AK893=0,"",INDEX('Part types'!$Y:$Y,$AK893)&amp;"")</f>
        <v/>
      </c>
      <c r="AK893" s="9" t="n">
        <f aca="false">IFERROR(MATCH($AD893,'Part types'!$E:$E,0),0)</f>
        <v>599</v>
      </c>
    </row>
    <row r="894" customFormat="false" ht="15" hidden="false" customHeight="false" outlineLevel="0" collapsed="false">
      <c r="A894" s="9" t="s">
        <v>3714</v>
      </c>
      <c r="B894" s="9" t="s">
        <v>2106</v>
      </c>
      <c r="C894" s="9" t="s">
        <v>3710</v>
      </c>
      <c r="D894" s="9" t="str">
        <f aca="false">C894&amp;" - "&amp;E894</f>
        <v>Trunk Lid Hinge - Right</v>
      </c>
      <c r="E894" s="9" t="s">
        <v>225</v>
      </c>
      <c r="F894" s="9" t="s">
        <v>2106</v>
      </c>
      <c r="G894" s="10" t="n">
        <f aca="false">IF($AK894=0,"",INDEX('Part types'!$P:$P,$AK894))</f>
        <v>15</v>
      </c>
      <c r="H894" s="10" t="n">
        <f aca="false">IF($AK894=0,"",INDEX('Part types'!$Q:$Q,$AK894))</f>
        <v>10</v>
      </c>
      <c r="I894" s="10" t="n">
        <f aca="false">IF($AK894=0,"",INDEX('Part types'!$R:$R,$AK894))</f>
        <v>8</v>
      </c>
      <c r="J894" s="10" t="n">
        <f aca="false">IF($AK894=0,"",INDEX('Part types'!$S:$S,$AK894))</f>
        <v>0.3</v>
      </c>
      <c r="K894" s="11" t="s">
        <v>3699</v>
      </c>
      <c r="L894" s="11" t="s">
        <v>3711</v>
      </c>
      <c r="M894" s="11" t="str">
        <f aca="false">L894&amp;" - "&amp;N894</f>
        <v>مفصلة غطاء الصندوق - يمين</v>
      </c>
      <c r="N894" s="11" t="s">
        <v>226</v>
      </c>
      <c r="O894" s="11" t="s">
        <v>2108</v>
      </c>
      <c r="P894" s="10" t="n">
        <f aca="false">G894</f>
        <v>15</v>
      </c>
      <c r="Q894" s="10" t="n">
        <f aca="false">H894</f>
        <v>10</v>
      </c>
      <c r="R894" s="10" t="n">
        <f aca="false">I894</f>
        <v>8</v>
      </c>
      <c r="S894" s="10" t="n">
        <f aca="false">J894</f>
        <v>0.3</v>
      </c>
      <c r="T894" s="12" t="s">
        <v>2110</v>
      </c>
      <c r="U894" s="12" t="s">
        <v>3712</v>
      </c>
      <c r="V894" s="9" t="str">
        <f aca="false">U894&amp;" - "&amp;W894</f>
        <v>行李箱盖铰链 - 右侧</v>
      </c>
      <c r="W894" s="12" t="s">
        <v>227</v>
      </c>
      <c r="X894" s="12" t="s">
        <v>2110</v>
      </c>
      <c r="Y894" s="10" t="n">
        <f aca="false">G894</f>
        <v>15</v>
      </c>
      <c r="Z894" s="10" t="n">
        <f aca="false">H894</f>
        <v>10</v>
      </c>
      <c r="AA894" s="10" t="n">
        <f aca="false">I894</f>
        <v>8</v>
      </c>
      <c r="AB894" s="10" t="n">
        <f aca="false">J894</f>
        <v>0.3</v>
      </c>
      <c r="AC894" s="9" t="s">
        <v>3702</v>
      </c>
      <c r="AD894" s="9" t="s">
        <v>3713</v>
      </c>
      <c r="AE894" s="9" t="str">
        <f aca="false">IF($AK894=0,"",INDEX('Part types'!$T:$T,$AK894)&amp;"")</f>
        <v>All vehicles</v>
      </c>
      <c r="AF894" s="9" t="str">
        <f aca="false">IF($AK894=0,"",INDEX('Part types'!$U:$U,$AK894)&amp;"")</f>
        <v/>
      </c>
      <c r="AG894" s="9" t="str">
        <f aca="false">IF($AK894=0,"",INDEX('Part types'!$V:$V,$AK894)&amp;"")</f>
        <v>Estimate: size class S</v>
      </c>
      <c r="AH894" s="9" t="str">
        <f aca="false">IF($AK894=0,"",INDEX('Part types'!$W:$W,$AK894)&amp;"")</f>
        <v/>
      </c>
      <c r="AI894" s="11" t="str">
        <f aca="false">IF($AK894=0,"",INDEX('Part types'!$X:$X,$AK894)&amp;"")</f>
        <v/>
      </c>
      <c r="AJ894" s="9" t="str">
        <f aca="false">IF($AK894=0,"",INDEX('Part types'!$Y:$Y,$AK894)&amp;"")</f>
        <v/>
      </c>
      <c r="AK894" s="9" t="n">
        <f aca="false">IFERROR(MATCH($AD894,'Part types'!$E:$E,0),0)</f>
        <v>599</v>
      </c>
    </row>
    <row r="895" customFormat="false" ht="15" hidden="false" customHeight="false" outlineLevel="0" collapsed="false">
      <c r="A895" s="9" t="s">
        <v>3715</v>
      </c>
      <c r="B895" s="9" t="s">
        <v>2106</v>
      </c>
      <c r="C895" s="9" t="s">
        <v>3716</v>
      </c>
      <c r="D895" s="9" t="str">
        <f aca="false">C895&amp;" - "&amp;E895</f>
        <v>Trunk Gas Strut - Left</v>
      </c>
      <c r="E895" s="9" t="s">
        <v>218</v>
      </c>
      <c r="F895" s="9" t="s">
        <v>2106</v>
      </c>
      <c r="G895" s="10" t="n">
        <f aca="false">IF($AK895=0,"",INDEX('Part types'!$P:$P,$AK895))</f>
        <v>25</v>
      </c>
      <c r="H895" s="10" t="n">
        <f aca="false">IF($AK895=0,"",INDEX('Part types'!$Q:$Q,$AK895))</f>
        <v>15</v>
      </c>
      <c r="I895" s="10" t="n">
        <f aca="false">IF($AK895=0,"",INDEX('Part types'!$R:$R,$AK895))</f>
        <v>10</v>
      </c>
      <c r="J895" s="10" t="n">
        <f aca="false">IF($AK895=0,"",INDEX('Part types'!$S:$S,$AK895))</f>
        <v>0.9</v>
      </c>
      <c r="K895" s="11" t="s">
        <v>3699</v>
      </c>
      <c r="L895" s="11" t="s">
        <v>3717</v>
      </c>
      <c r="M895" s="11" t="str">
        <f aca="false">L895&amp;" - "&amp;N895</f>
        <v>ذراع دعم الصندوق - يسار</v>
      </c>
      <c r="N895" s="11" t="s">
        <v>220</v>
      </c>
      <c r="O895" s="11" t="s">
        <v>2108</v>
      </c>
      <c r="P895" s="10" t="n">
        <f aca="false">G895</f>
        <v>25</v>
      </c>
      <c r="Q895" s="10" t="n">
        <f aca="false">H895</f>
        <v>15</v>
      </c>
      <c r="R895" s="10" t="n">
        <f aca="false">I895</f>
        <v>10</v>
      </c>
      <c r="S895" s="10" t="n">
        <f aca="false">J895</f>
        <v>0.9</v>
      </c>
      <c r="T895" s="12" t="s">
        <v>2110</v>
      </c>
      <c r="U895" s="12" t="s">
        <v>3718</v>
      </c>
      <c r="V895" s="9" t="str">
        <f aca="false">U895&amp;" - "&amp;W895</f>
        <v>行李箱盖支撑杆 - 左侧</v>
      </c>
      <c r="W895" s="12" t="s">
        <v>222</v>
      </c>
      <c r="X895" s="12" t="s">
        <v>2110</v>
      </c>
      <c r="Y895" s="10" t="n">
        <f aca="false">G895</f>
        <v>25</v>
      </c>
      <c r="Z895" s="10" t="n">
        <f aca="false">H895</f>
        <v>15</v>
      </c>
      <c r="AA895" s="10" t="n">
        <f aca="false">I895</f>
        <v>10</v>
      </c>
      <c r="AB895" s="10" t="n">
        <f aca="false">J895</f>
        <v>0.9</v>
      </c>
      <c r="AC895" s="9" t="s">
        <v>3702</v>
      </c>
      <c r="AD895" s="9" t="s">
        <v>3719</v>
      </c>
      <c r="AE895" s="9" t="str">
        <f aca="false">IF($AK895=0,"",INDEX('Part types'!$T:$T,$AK895)&amp;"")</f>
        <v>All vehicles</v>
      </c>
      <c r="AF895" s="9" t="str">
        <f aca="false">IF($AK895=0,"",INDEX('Part types'!$U:$U,$AK895)&amp;"")</f>
        <v/>
      </c>
      <c r="AG895" s="9" t="str">
        <f aca="false">IF($AK895=0,"",INDEX('Part types'!$V:$V,$AK895)&amp;"")</f>
        <v>Estimate: size class M</v>
      </c>
      <c r="AH895" s="9" t="str">
        <f aca="false">IF($AK895=0,"",INDEX('Part types'!$W:$W,$AK895)&amp;"")</f>
        <v>Trunk Lid Gas Strut</v>
      </c>
      <c r="AI895" s="11" t="str">
        <f aca="false">IF($AK895=0,"",INDEX('Part types'!$X:$X,$AK895)&amp;"")</f>
        <v>غاز</v>
      </c>
      <c r="AJ895" s="9" t="str">
        <f aca="false">IF($AK895=0,"",INDEX('Part types'!$Y:$Y,$AK895)&amp;"")</f>
        <v/>
      </c>
      <c r="AK895" s="9" t="n">
        <f aca="false">IFERROR(MATCH($AD895,'Part types'!$E:$E,0),0)</f>
        <v>600</v>
      </c>
    </row>
    <row r="896" customFormat="false" ht="15" hidden="false" customHeight="false" outlineLevel="0" collapsed="false">
      <c r="A896" s="9" t="s">
        <v>3720</v>
      </c>
      <c r="B896" s="9" t="s">
        <v>2106</v>
      </c>
      <c r="C896" s="9" t="s">
        <v>3716</v>
      </c>
      <c r="D896" s="9" t="str">
        <f aca="false">C896&amp;" - "&amp;E896</f>
        <v>Trunk Gas Strut - Right</v>
      </c>
      <c r="E896" s="9" t="s">
        <v>225</v>
      </c>
      <c r="F896" s="9" t="s">
        <v>2106</v>
      </c>
      <c r="G896" s="10" t="n">
        <f aca="false">IF($AK896=0,"",INDEX('Part types'!$P:$P,$AK896))</f>
        <v>25</v>
      </c>
      <c r="H896" s="10" t="n">
        <f aca="false">IF($AK896=0,"",INDEX('Part types'!$Q:$Q,$AK896))</f>
        <v>15</v>
      </c>
      <c r="I896" s="10" t="n">
        <f aca="false">IF($AK896=0,"",INDEX('Part types'!$R:$R,$AK896))</f>
        <v>10</v>
      </c>
      <c r="J896" s="10" t="n">
        <f aca="false">IF($AK896=0,"",INDEX('Part types'!$S:$S,$AK896))</f>
        <v>0.9</v>
      </c>
      <c r="K896" s="11" t="s">
        <v>3699</v>
      </c>
      <c r="L896" s="11" t="s">
        <v>3717</v>
      </c>
      <c r="M896" s="11" t="str">
        <f aca="false">L896&amp;" - "&amp;N896</f>
        <v>ذراع دعم الصندوق - يمين</v>
      </c>
      <c r="N896" s="11" t="s">
        <v>226</v>
      </c>
      <c r="O896" s="11" t="s">
        <v>2108</v>
      </c>
      <c r="P896" s="10" t="n">
        <f aca="false">G896</f>
        <v>25</v>
      </c>
      <c r="Q896" s="10" t="n">
        <f aca="false">H896</f>
        <v>15</v>
      </c>
      <c r="R896" s="10" t="n">
        <f aca="false">I896</f>
        <v>10</v>
      </c>
      <c r="S896" s="10" t="n">
        <f aca="false">J896</f>
        <v>0.9</v>
      </c>
      <c r="T896" s="12" t="s">
        <v>2110</v>
      </c>
      <c r="U896" s="12" t="s">
        <v>3718</v>
      </c>
      <c r="V896" s="9" t="str">
        <f aca="false">U896&amp;" - "&amp;W896</f>
        <v>行李箱盖支撑杆 - 右侧</v>
      </c>
      <c r="W896" s="12" t="s">
        <v>227</v>
      </c>
      <c r="X896" s="12" t="s">
        <v>2110</v>
      </c>
      <c r="Y896" s="10" t="n">
        <f aca="false">G896</f>
        <v>25</v>
      </c>
      <c r="Z896" s="10" t="n">
        <f aca="false">H896</f>
        <v>15</v>
      </c>
      <c r="AA896" s="10" t="n">
        <f aca="false">I896</f>
        <v>10</v>
      </c>
      <c r="AB896" s="10" t="n">
        <f aca="false">J896</f>
        <v>0.9</v>
      </c>
      <c r="AC896" s="9" t="s">
        <v>3702</v>
      </c>
      <c r="AD896" s="9" t="s">
        <v>3719</v>
      </c>
      <c r="AE896" s="9" t="str">
        <f aca="false">IF($AK896=0,"",INDEX('Part types'!$T:$T,$AK896)&amp;"")</f>
        <v>All vehicles</v>
      </c>
      <c r="AF896" s="9" t="str">
        <f aca="false">IF($AK896=0,"",INDEX('Part types'!$U:$U,$AK896)&amp;"")</f>
        <v/>
      </c>
      <c r="AG896" s="9" t="str">
        <f aca="false">IF($AK896=0,"",INDEX('Part types'!$V:$V,$AK896)&amp;"")</f>
        <v>Estimate: size class M</v>
      </c>
      <c r="AH896" s="9" t="str">
        <f aca="false">IF($AK896=0,"",INDEX('Part types'!$W:$W,$AK896)&amp;"")</f>
        <v>Trunk Lid Gas Strut</v>
      </c>
      <c r="AI896" s="11" t="str">
        <f aca="false">IF($AK896=0,"",INDEX('Part types'!$X:$X,$AK896)&amp;"")</f>
        <v>غاز</v>
      </c>
      <c r="AJ896" s="9" t="str">
        <f aca="false">IF($AK896=0,"",INDEX('Part types'!$Y:$Y,$AK896)&amp;"")</f>
        <v/>
      </c>
      <c r="AK896" s="9" t="n">
        <f aca="false">IFERROR(MATCH($AD896,'Part types'!$E:$E,0),0)</f>
        <v>600</v>
      </c>
    </row>
    <row r="897" customFormat="false" ht="15" hidden="false" customHeight="false" outlineLevel="0" collapsed="false">
      <c r="A897" s="9" t="s">
        <v>3721</v>
      </c>
      <c r="B897" s="9" t="s">
        <v>2106</v>
      </c>
      <c r="C897" s="9" t="s">
        <v>3722</v>
      </c>
      <c r="D897" s="9" t="str">
        <f aca="false">C897&amp;" - "&amp;E897</f>
        <v>Tailgate Gas Strut - Left</v>
      </c>
      <c r="E897" s="9" t="s">
        <v>218</v>
      </c>
      <c r="F897" s="9" t="s">
        <v>3705</v>
      </c>
      <c r="G897" s="10" t="n">
        <f aca="false">IF($AK897=0,"",INDEX('Part types'!$P:$P,$AK897))</f>
        <v>25</v>
      </c>
      <c r="H897" s="10" t="n">
        <f aca="false">IF($AK897=0,"",INDEX('Part types'!$Q:$Q,$AK897))</f>
        <v>15</v>
      </c>
      <c r="I897" s="10" t="n">
        <f aca="false">IF($AK897=0,"",INDEX('Part types'!$R:$R,$AK897))</f>
        <v>10</v>
      </c>
      <c r="J897" s="10" t="n">
        <f aca="false">IF($AK897=0,"",INDEX('Part types'!$S:$S,$AK897))</f>
        <v>0.9</v>
      </c>
      <c r="K897" s="11" t="s">
        <v>3699</v>
      </c>
      <c r="L897" s="11" t="s">
        <v>3723</v>
      </c>
      <c r="M897" s="11" t="str">
        <f aca="false">L897&amp;" - "&amp;N897</f>
        <v>ذراع دعم الباب الخلفي - يسار</v>
      </c>
      <c r="N897" s="11" t="s">
        <v>220</v>
      </c>
      <c r="O897" s="11" t="s">
        <v>3706</v>
      </c>
      <c r="P897" s="10" t="n">
        <f aca="false">G897</f>
        <v>25</v>
      </c>
      <c r="Q897" s="10" t="n">
        <f aca="false">H897</f>
        <v>15</v>
      </c>
      <c r="R897" s="10" t="n">
        <f aca="false">I897</f>
        <v>10</v>
      </c>
      <c r="S897" s="10" t="n">
        <f aca="false">J897</f>
        <v>0.9</v>
      </c>
      <c r="T897" s="12" t="s">
        <v>2110</v>
      </c>
      <c r="U897" s="12" t="s">
        <v>3724</v>
      </c>
      <c r="V897" s="9" t="str">
        <f aca="false">U897&amp;" - "&amp;W897</f>
        <v>后背门支撑杆 - 左侧</v>
      </c>
      <c r="W897" s="12" t="s">
        <v>222</v>
      </c>
      <c r="X897" s="12" t="s">
        <v>3707</v>
      </c>
      <c r="Y897" s="10" t="n">
        <f aca="false">G897</f>
        <v>25</v>
      </c>
      <c r="Z897" s="10" t="n">
        <f aca="false">H897</f>
        <v>15</v>
      </c>
      <c r="AA897" s="10" t="n">
        <f aca="false">I897</f>
        <v>10</v>
      </c>
      <c r="AB897" s="10" t="n">
        <f aca="false">J897</f>
        <v>0.9</v>
      </c>
      <c r="AC897" s="9" t="s">
        <v>3702</v>
      </c>
      <c r="AD897" s="9" t="s">
        <v>3725</v>
      </c>
      <c r="AE897" s="9" t="str">
        <f aca="false">IF($AK897=0,"",INDEX('Part types'!$T:$T,$AK897)&amp;"")</f>
        <v>All vehicles</v>
      </c>
      <c r="AF897" s="9" t="str">
        <f aca="false">IF($AK897=0,"",INDEX('Part types'!$U:$U,$AK897)&amp;"")</f>
        <v/>
      </c>
      <c r="AG897" s="9" t="str">
        <f aca="false">IF($AK897=0,"",INDEX('Part types'!$V:$V,$AK897)&amp;"")</f>
        <v>Estimate: size class M</v>
      </c>
      <c r="AH897" s="9" t="str">
        <f aca="false">IF($AK897=0,"",INDEX('Part types'!$W:$W,$AK897)&amp;"")</f>
        <v/>
      </c>
      <c r="AI897" s="11" t="str">
        <f aca="false">IF($AK897=0,"",INDEX('Part types'!$X:$X,$AK897)&amp;"")</f>
        <v>غاز</v>
      </c>
      <c r="AJ897" s="9" t="str">
        <f aca="false">IF($AK897=0,"",INDEX('Part types'!$Y:$Y,$AK897)&amp;"")</f>
        <v/>
      </c>
      <c r="AK897" s="9" t="n">
        <f aca="false">IFERROR(MATCH($AD897,'Part types'!$E:$E,0),0)</f>
        <v>601</v>
      </c>
    </row>
    <row r="898" customFormat="false" ht="15" hidden="false" customHeight="false" outlineLevel="0" collapsed="false">
      <c r="A898" s="9" t="s">
        <v>3726</v>
      </c>
      <c r="B898" s="9" t="s">
        <v>2106</v>
      </c>
      <c r="C898" s="9" t="s">
        <v>3722</v>
      </c>
      <c r="D898" s="9" t="str">
        <f aca="false">C898&amp;" - "&amp;E898</f>
        <v>Tailgate Gas Strut - Right</v>
      </c>
      <c r="E898" s="9" t="s">
        <v>225</v>
      </c>
      <c r="F898" s="9" t="s">
        <v>3705</v>
      </c>
      <c r="G898" s="10" t="n">
        <f aca="false">IF($AK898=0,"",INDEX('Part types'!$P:$P,$AK898))</f>
        <v>25</v>
      </c>
      <c r="H898" s="10" t="n">
        <f aca="false">IF($AK898=0,"",INDEX('Part types'!$Q:$Q,$AK898))</f>
        <v>15</v>
      </c>
      <c r="I898" s="10" t="n">
        <f aca="false">IF($AK898=0,"",INDEX('Part types'!$R:$R,$AK898))</f>
        <v>10</v>
      </c>
      <c r="J898" s="10" t="n">
        <f aca="false">IF($AK898=0,"",INDEX('Part types'!$S:$S,$AK898))</f>
        <v>0.9</v>
      </c>
      <c r="K898" s="11" t="s">
        <v>3699</v>
      </c>
      <c r="L898" s="11" t="s">
        <v>3723</v>
      </c>
      <c r="M898" s="11" t="str">
        <f aca="false">L898&amp;" - "&amp;N898</f>
        <v>ذراع دعم الباب الخلفي - يمين</v>
      </c>
      <c r="N898" s="11" t="s">
        <v>226</v>
      </c>
      <c r="O898" s="11" t="s">
        <v>3706</v>
      </c>
      <c r="P898" s="10" t="n">
        <f aca="false">G898</f>
        <v>25</v>
      </c>
      <c r="Q898" s="10" t="n">
        <f aca="false">H898</f>
        <v>15</v>
      </c>
      <c r="R898" s="10" t="n">
        <f aca="false">I898</f>
        <v>10</v>
      </c>
      <c r="S898" s="10" t="n">
        <f aca="false">J898</f>
        <v>0.9</v>
      </c>
      <c r="T898" s="12" t="s">
        <v>2110</v>
      </c>
      <c r="U898" s="12" t="s">
        <v>3724</v>
      </c>
      <c r="V898" s="9" t="str">
        <f aca="false">U898&amp;" - "&amp;W898</f>
        <v>后背门支撑杆 - 右侧</v>
      </c>
      <c r="W898" s="12" t="s">
        <v>227</v>
      </c>
      <c r="X898" s="12" t="s">
        <v>3707</v>
      </c>
      <c r="Y898" s="10" t="n">
        <f aca="false">G898</f>
        <v>25</v>
      </c>
      <c r="Z898" s="10" t="n">
        <f aca="false">H898</f>
        <v>15</v>
      </c>
      <c r="AA898" s="10" t="n">
        <f aca="false">I898</f>
        <v>10</v>
      </c>
      <c r="AB898" s="10" t="n">
        <f aca="false">J898</f>
        <v>0.9</v>
      </c>
      <c r="AC898" s="9" t="s">
        <v>3702</v>
      </c>
      <c r="AD898" s="9" t="s">
        <v>3725</v>
      </c>
      <c r="AE898" s="9" t="str">
        <f aca="false">IF($AK898=0,"",INDEX('Part types'!$T:$T,$AK898)&amp;"")</f>
        <v>All vehicles</v>
      </c>
      <c r="AF898" s="9" t="str">
        <f aca="false">IF($AK898=0,"",INDEX('Part types'!$U:$U,$AK898)&amp;"")</f>
        <v/>
      </c>
      <c r="AG898" s="9" t="str">
        <f aca="false">IF($AK898=0,"",INDEX('Part types'!$V:$V,$AK898)&amp;"")</f>
        <v>Estimate: size class M</v>
      </c>
      <c r="AH898" s="9" t="str">
        <f aca="false">IF($AK898=0,"",INDEX('Part types'!$W:$W,$AK898)&amp;"")</f>
        <v/>
      </c>
      <c r="AI898" s="11" t="str">
        <f aca="false">IF($AK898=0,"",INDEX('Part types'!$X:$X,$AK898)&amp;"")</f>
        <v>غاز</v>
      </c>
      <c r="AJ898" s="9" t="str">
        <f aca="false">IF($AK898=0,"",INDEX('Part types'!$Y:$Y,$AK898)&amp;"")</f>
        <v/>
      </c>
      <c r="AK898" s="9" t="n">
        <f aca="false">IFERROR(MATCH($AD898,'Part types'!$E:$E,0),0)</f>
        <v>601</v>
      </c>
    </row>
    <row r="899" customFormat="false" ht="15" hidden="false" customHeight="false" outlineLevel="0" collapsed="false">
      <c r="A899" s="9" t="s">
        <v>3727</v>
      </c>
      <c r="B899" s="9" t="s">
        <v>2106</v>
      </c>
      <c r="C899" s="9" t="s">
        <v>3728</v>
      </c>
      <c r="D899" s="9" t="str">
        <f aca="false">C899&amp;" - "&amp;E899</f>
        <v>Trunk Latch - Universal</v>
      </c>
      <c r="E899" s="9" t="s">
        <v>68</v>
      </c>
      <c r="F899" s="9" t="s">
        <v>2106</v>
      </c>
      <c r="G899" s="10" t="n">
        <f aca="false">IF($AK899=0,"",INDEX('Part types'!$P:$P,$AK899))</f>
        <v>15</v>
      </c>
      <c r="H899" s="10" t="n">
        <f aca="false">IF($AK899=0,"",INDEX('Part types'!$Q:$Q,$AK899))</f>
        <v>10</v>
      </c>
      <c r="I899" s="10" t="n">
        <f aca="false">IF($AK899=0,"",INDEX('Part types'!$R:$R,$AK899))</f>
        <v>8</v>
      </c>
      <c r="J899" s="10" t="n">
        <f aca="false">IF($AK899=0,"",INDEX('Part types'!$S:$S,$AK899))</f>
        <v>0.3</v>
      </c>
      <c r="K899" s="11" t="s">
        <v>3699</v>
      </c>
      <c r="L899" s="11" t="s">
        <v>3729</v>
      </c>
      <c r="M899" s="11" t="str">
        <f aca="false">L899&amp;" - "&amp;N899</f>
        <v>قفل الصندوق - عام</v>
      </c>
      <c r="N899" s="11" t="s">
        <v>72</v>
      </c>
      <c r="O899" s="11" t="s">
        <v>2108</v>
      </c>
      <c r="P899" s="10" t="n">
        <f aca="false">G899</f>
        <v>15</v>
      </c>
      <c r="Q899" s="10" t="n">
        <f aca="false">H899</f>
        <v>10</v>
      </c>
      <c r="R899" s="10" t="n">
        <f aca="false">I899</f>
        <v>8</v>
      </c>
      <c r="S899" s="10" t="n">
        <f aca="false">J899</f>
        <v>0.3</v>
      </c>
      <c r="T899" s="12" t="s">
        <v>2110</v>
      </c>
      <c r="U899" s="12" t="s">
        <v>3730</v>
      </c>
      <c r="V899" s="9" t="str">
        <f aca="false">U899&amp;" - "&amp;W899</f>
        <v>行李箱锁 - 通用</v>
      </c>
      <c r="W899" s="12" t="s">
        <v>76</v>
      </c>
      <c r="X899" s="12" t="s">
        <v>2110</v>
      </c>
      <c r="Y899" s="10" t="n">
        <f aca="false">G899</f>
        <v>15</v>
      </c>
      <c r="Z899" s="10" t="n">
        <f aca="false">H899</f>
        <v>10</v>
      </c>
      <c r="AA899" s="10" t="n">
        <f aca="false">I899</f>
        <v>8</v>
      </c>
      <c r="AB899" s="10" t="n">
        <f aca="false">J899</f>
        <v>0.3</v>
      </c>
      <c r="AC899" s="9" t="s">
        <v>3702</v>
      </c>
      <c r="AD899" s="9" t="s">
        <v>3731</v>
      </c>
      <c r="AE899" s="9" t="str">
        <f aca="false">IF($AK899=0,"",INDEX('Part types'!$T:$T,$AK899)&amp;"")</f>
        <v>All vehicles</v>
      </c>
      <c r="AF899" s="9" t="str">
        <f aca="false">IF($AK899=0,"",INDEX('Part types'!$U:$U,$AK899)&amp;"")</f>
        <v/>
      </c>
      <c r="AG899" s="9" t="str">
        <f aca="false">IF($AK899=0,"",INDEX('Part types'!$V:$V,$AK899)&amp;"")</f>
        <v>Estimate: size class S</v>
      </c>
      <c r="AH899" s="9" t="str">
        <f aca="false">IF($AK899=0,"",INDEX('Part types'!$W:$W,$AK899)&amp;"")</f>
        <v/>
      </c>
      <c r="AI899" s="11" t="str">
        <f aca="false">IF($AK899=0,"",INDEX('Part types'!$X:$X,$AK899)&amp;"")</f>
        <v/>
      </c>
      <c r="AJ899" s="9" t="str">
        <f aca="false">IF($AK899=0,"",INDEX('Part types'!$Y:$Y,$AK899)&amp;"")</f>
        <v/>
      </c>
      <c r="AK899" s="9" t="n">
        <f aca="false">IFERROR(MATCH($AD899,'Part types'!$E:$E,0),0)</f>
        <v>602</v>
      </c>
    </row>
    <row r="900" customFormat="false" ht="15" hidden="false" customHeight="false" outlineLevel="0" collapsed="false">
      <c r="A900" s="9" t="s">
        <v>3732</v>
      </c>
      <c r="B900" s="9" t="s">
        <v>2106</v>
      </c>
      <c r="C900" s="9" t="s">
        <v>3733</v>
      </c>
      <c r="D900" s="9" t="str">
        <f aca="false">C900&amp;" - "&amp;E900</f>
        <v>Trunk Lid Spoiler - Universal</v>
      </c>
      <c r="E900" s="9" t="s">
        <v>68</v>
      </c>
      <c r="F900" s="9" t="s">
        <v>2106</v>
      </c>
      <c r="G900" s="10" t="n">
        <f aca="false">IF($AK900=0,"",INDEX('Part types'!$P:$P,$AK900))</f>
        <v>120</v>
      </c>
      <c r="H900" s="10" t="n">
        <f aca="false">IF($AK900=0,"",INDEX('Part types'!$Q:$Q,$AK900))</f>
        <v>25</v>
      </c>
      <c r="I900" s="10" t="n">
        <f aca="false">IF($AK900=0,"",INDEX('Part types'!$R:$R,$AK900))</f>
        <v>12</v>
      </c>
      <c r="J900" s="10" t="n">
        <f aca="false">IF($AK900=0,"",INDEX('Part types'!$S:$S,$AK900))</f>
        <v>3</v>
      </c>
      <c r="K900" s="11" t="s">
        <v>3699</v>
      </c>
      <c r="L900" s="11" t="s">
        <v>3734</v>
      </c>
      <c r="M900" s="11" t="str">
        <f aca="false">L900&amp;" - "&amp;N900</f>
        <v>جناح الصندوق - عام</v>
      </c>
      <c r="N900" s="11" t="s">
        <v>72</v>
      </c>
      <c r="O900" s="11" t="s">
        <v>2108</v>
      </c>
      <c r="P900" s="10" t="n">
        <f aca="false">G900</f>
        <v>120</v>
      </c>
      <c r="Q900" s="10" t="n">
        <f aca="false">H900</f>
        <v>25</v>
      </c>
      <c r="R900" s="10" t="n">
        <f aca="false">I900</f>
        <v>12</v>
      </c>
      <c r="S900" s="10" t="n">
        <f aca="false">J900</f>
        <v>3</v>
      </c>
      <c r="T900" s="12" t="s">
        <v>2110</v>
      </c>
      <c r="U900" s="12" t="s">
        <v>3735</v>
      </c>
      <c r="V900" s="9" t="str">
        <f aca="false">U900&amp;" - "&amp;W900</f>
        <v>尾翼 - 通用</v>
      </c>
      <c r="W900" s="12" t="s">
        <v>76</v>
      </c>
      <c r="X900" s="12" t="s">
        <v>2110</v>
      </c>
      <c r="Y900" s="10" t="n">
        <f aca="false">G900</f>
        <v>120</v>
      </c>
      <c r="Z900" s="10" t="n">
        <f aca="false">H900</f>
        <v>25</v>
      </c>
      <c r="AA900" s="10" t="n">
        <f aca="false">I900</f>
        <v>12</v>
      </c>
      <c r="AB900" s="10" t="n">
        <f aca="false">J900</f>
        <v>3</v>
      </c>
      <c r="AC900" s="9" t="s">
        <v>3702</v>
      </c>
      <c r="AD900" s="9" t="s">
        <v>3736</v>
      </c>
      <c r="AE900" s="9" t="str">
        <f aca="false">IF($AK900=0,"",INDEX('Part types'!$T:$T,$AK900)&amp;"")</f>
        <v>All vehicles</v>
      </c>
      <c r="AF900" s="9" t="str">
        <f aca="false">IF($AK900=0,"",INDEX('Part types'!$U:$U,$AK900)&amp;"")</f>
        <v/>
      </c>
      <c r="AG900" s="9" t="str">
        <f aca="false">IF($AK900=0,"",INDEX('Part types'!$V:$V,$AK900)&amp;"")</f>
        <v>Estimate: item-specific</v>
      </c>
      <c r="AH900" s="9" t="str">
        <f aca="false">IF($AK900=0,"",INDEX('Part types'!$W:$W,$AK900)&amp;"")</f>
        <v/>
      </c>
      <c r="AI900" s="11" t="str">
        <f aca="false">IF($AK900=0,"",INDEX('Part types'!$X:$X,$AK900)&amp;"")</f>
        <v>سبويلر</v>
      </c>
      <c r="AJ900" s="9" t="str">
        <f aca="false">IF($AK900=0,"",INDEX('Part types'!$Y:$Y,$AK900)&amp;"")</f>
        <v/>
      </c>
      <c r="AK900" s="9" t="n">
        <f aca="false">IFERROR(MATCH($AD900,'Part types'!$E:$E,0),0)</f>
        <v>603</v>
      </c>
    </row>
    <row r="901" customFormat="false" ht="15" hidden="false" customHeight="false" outlineLevel="0" collapsed="false">
      <c r="A901" s="9" t="s">
        <v>3737</v>
      </c>
      <c r="B901" s="9" t="s">
        <v>2106</v>
      </c>
      <c r="C901" s="9" t="s">
        <v>3738</v>
      </c>
      <c r="D901" s="9" t="str">
        <f aca="false">C901&amp;" - "&amp;E901</f>
        <v>Trunk Weatherstrip Seal - Universal</v>
      </c>
      <c r="E901" s="9" t="s">
        <v>68</v>
      </c>
      <c r="F901" s="9" t="s">
        <v>2106</v>
      </c>
      <c r="G901" s="10" t="n">
        <f aca="false">IF($AK901=0,"",INDEX('Part types'!$P:$P,$AK901))</f>
        <v>40</v>
      </c>
      <c r="H901" s="10" t="n">
        <f aca="false">IF($AK901=0,"",INDEX('Part types'!$Q:$Q,$AK901))</f>
        <v>30</v>
      </c>
      <c r="I901" s="10" t="n">
        <f aca="false">IF($AK901=0,"",INDEX('Part types'!$R:$R,$AK901))</f>
        <v>8</v>
      </c>
      <c r="J901" s="10" t="n">
        <f aca="false">IF($AK901=0,"",INDEX('Part types'!$S:$S,$AK901))</f>
        <v>1.8</v>
      </c>
      <c r="K901" s="11" t="s">
        <v>3699</v>
      </c>
      <c r="L901" s="11" t="s">
        <v>3739</v>
      </c>
      <c r="M901" s="11" t="str">
        <f aca="false">L901&amp;" - "&amp;N901</f>
        <v>مطاط عزل الصندوق - عام</v>
      </c>
      <c r="N901" s="11" t="s">
        <v>72</v>
      </c>
      <c r="O901" s="11" t="s">
        <v>2108</v>
      </c>
      <c r="P901" s="10" t="n">
        <f aca="false">G901</f>
        <v>40</v>
      </c>
      <c r="Q901" s="10" t="n">
        <f aca="false">H901</f>
        <v>30</v>
      </c>
      <c r="R901" s="10" t="n">
        <f aca="false">I901</f>
        <v>8</v>
      </c>
      <c r="S901" s="10" t="n">
        <f aca="false">J901</f>
        <v>1.8</v>
      </c>
      <c r="T901" s="12" t="s">
        <v>2110</v>
      </c>
      <c r="U901" s="12" t="s">
        <v>3740</v>
      </c>
      <c r="V901" s="9" t="str">
        <f aca="false">U901&amp;" - "&amp;W901</f>
        <v>行李箱密封条 - 通用</v>
      </c>
      <c r="W901" s="12" t="s">
        <v>76</v>
      </c>
      <c r="X901" s="12" t="s">
        <v>2110</v>
      </c>
      <c r="Y901" s="10" t="n">
        <f aca="false">G901</f>
        <v>40</v>
      </c>
      <c r="Z901" s="10" t="n">
        <f aca="false">H901</f>
        <v>30</v>
      </c>
      <c r="AA901" s="10" t="n">
        <f aca="false">I901</f>
        <v>8</v>
      </c>
      <c r="AB901" s="10" t="n">
        <f aca="false">J901</f>
        <v>1.8</v>
      </c>
      <c r="AC901" s="9" t="s">
        <v>3702</v>
      </c>
      <c r="AD901" s="9" t="s">
        <v>3741</v>
      </c>
      <c r="AE901" s="9" t="str">
        <f aca="false">IF($AK901=0,"",INDEX('Part types'!$T:$T,$AK901)&amp;"")</f>
        <v>All vehicles</v>
      </c>
      <c r="AF901" s="9" t="str">
        <f aca="false">IF($AK901=0,"",INDEX('Part types'!$U:$U,$AK901)&amp;"")</f>
        <v/>
      </c>
      <c r="AG901" s="9" t="str">
        <f aca="false">IF($AK901=0,"",INDEX('Part types'!$V:$V,$AK901)&amp;"")</f>
        <v>Estimate: item-specific</v>
      </c>
      <c r="AH901" s="9" t="str">
        <f aca="false">IF($AK901=0,"",INDEX('Part types'!$W:$W,$AK901)&amp;"")</f>
        <v/>
      </c>
      <c r="AI901" s="11" t="str">
        <f aca="false">IF($AK901=0,"",INDEX('Part types'!$X:$X,$AK901)&amp;"")</f>
        <v/>
      </c>
      <c r="AJ901" s="9" t="str">
        <f aca="false">IF($AK901=0,"",INDEX('Part types'!$Y:$Y,$AK901)&amp;"")</f>
        <v/>
      </c>
      <c r="AK901" s="9" t="n">
        <f aca="false">IFERROR(MATCH($AD901,'Part types'!$E:$E,0),0)</f>
        <v>604</v>
      </c>
    </row>
    <row r="902" customFormat="false" ht="15" hidden="false" customHeight="false" outlineLevel="0" collapsed="false">
      <c r="A902" s="9" t="s">
        <v>3742</v>
      </c>
      <c r="B902" s="9" t="s">
        <v>2106</v>
      </c>
      <c r="C902" s="9" t="s">
        <v>3743</v>
      </c>
      <c r="D902" s="9" t="str">
        <f aca="false">C902&amp;" - "&amp;E902</f>
        <v>Package Tray - Rear</v>
      </c>
      <c r="E902" s="9" t="s">
        <v>168</v>
      </c>
      <c r="F902" s="9" t="s">
        <v>2260</v>
      </c>
      <c r="G902" s="10" t="n">
        <f aca="false">IF($AK902=0,"",INDEX('Part types'!$P:$P,$AK902))</f>
        <v>50</v>
      </c>
      <c r="H902" s="10" t="n">
        <f aca="false">IF($AK902=0,"",INDEX('Part types'!$Q:$Q,$AK902))</f>
        <v>30</v>
      </c>
      <c r="I902" s="10" t="n">
        <f aca="false">IF($AK902=0,"",INDEX('Part types'!$R:$R,$AK902))</f>
        <v>20</v>
      </c>
      <c r="J902" s="10" t="n">
        <f aca="false">IF($AK902=0,"",INDEX('Part types'!$S:$S,$AK902))</f>
        <v>5</v>
      </c>
      <c r="K902" s="11" t="s">
        <v>3699</v>
      </c>
      <c r="L902" s="11" t="s">
        <v>3744</v>
      </c>
      <c r="M902" s="11" t="str">
        <f aca="false">L902&amp;" - "&amp;N902</f>
        <v>رف الشنطة الخلفي - خلفي</v>
      </c>
      <c r="N902" s="11" t="s">
        <v>169</v>
      </c>
      <c r="O902" s="11" t="s">
        <v>2262</v>
      </c>
      <c r="P902" s="10" t="n">
        <f aca="false">G902</f>
        <v>50</v>
      </c>
      <c r="Q902" s="10" t="n">
        <f aca="false">H902</f>
        <v>30</v>
      </c>
      <c r="R902" s="10" t="n">
        <f aca="false">I902</f>
        <v>20</v>
      </c>
      <c r="S902" s="10" t="n">
        <f aca="false">J902</f>
        <v>5</v>
      </c>
      <c r="T902" s="12" t="s">
        <v>2110</v>
      </c>
      <c r="U902" s="12" t="s">
        <v>3745</v>
      </c>
      <c r="V902" s="9" t="str">
        <f aca="false">U902&amp;" - "&amp;W902</f>
        <v>后搁物板 - 后部</v>
      </c>
      <c r="W902" s="12" t="s">
        <v>170</v>
      </c>
      <c r="X902" s="12" t="s">
        <v>2264</v>
      </c>
      <c r="Y902" s="10" t="n">
        <f aca="false">G902</f>
        <v>50</v>
      </c>
      <c r="Z902" s="10" t="n">
        <f aca="false">H902</f>
        <v>30</v>
      </c>
      <c r="AA902" s="10" t="n">
        <f aca="false">I902</f>
        <v>20</v>
      </c>
      <c r="AB902" s="10" t="n">
        <f aca="false">J902</f>
        <v>5</v>
      </c>
      <c r="AC902" s="9" t="s">
        <v>3702</v>
      </c>
      <c r="AD902" s="9" t="s">
        <v>3746</v>
      </c>
      <c r="AE902" s="9" t="str">
        <f aca="false">IF($AK902=0,"",INDEX('Part types'!$T:$T,$AK902)&amp;"")</f>
        <v>All vehicles</v>
      </c>
      <c r="AF902" s="9" t="str">
        <f aca="false">IF($AK902=0,"",INDEX('Part types'!$U:$U,$AK902)&amp;"")</f>
        <v/>
      </c>
      <c r="AG902" s="9" t="str">
        <f aca="false">IF($AK902=0,"",INDEX('Part types'!$V:$V,$AK902)&amp;"")</f>
        <v>Estimate: size class L2</v>
      </c>
      <c r="AH902" s="9" t="str">
        <f aca="false">IF($AK902=0,"",INDEX('Part types'!$W:$W,$AK902)&amp;"")</f>
        <v>Parcel Shelf</v>
      </c>
      <c r="AI902" s="11" t="str">
        <f aca="false">IF($AK902=0,"",INDEX('Part types'!$X:$X,$AK902)&amp;"")</f>
        <v/>
      </c>
      <c r="AJ902" s="9" t="str">
        <f aca="false">IF($AK902=0,"",INDEX('Part types'!$Y:$Y,$AK902)&amp;"")</f>
        <v/>
      </c>
      <c r="AK902" s="9" t="n">
        <f aca="false">IFERROR(MATCH($AD902,'Part types'!$E:$E,0),0)</f>
        <v>605</v>
      </c>
    </row>
    <row r="903" customFormat="false" ht="15" hidden="false" customHeight="false" outlineLevel="0" collapsed="false">
      <c r="A903" s="9" t="s">
        <v>3747</v>
      </c>
      <c r="B903" s="9" t="s">
        <v>2106</v>
      </c>
      <c r="C903" s="9" t="s">
        <v>3748</v>
      </c>
      <c r="D903" s="9" t="str">
        <f aca="false">C903&amp;" - "&amp;E903</f>
        <v>Trunk Floor Mat - Universal</v>
      </c>
      <c r="E903" s="9" t="s">
        <v>68</v>
      </c>
      <c r="F903" s="9" t="s">
        <v>2106</v>
      </c>
      <c r="G903" s="10" t="n">
        <f aca="false">IF($AK903=0,"",INDEX('Part types'!$P:$P,$AK903))</f>
        <v>40</v>
      </c>
      <c r="H903" s="10" t="n">
        <f aca="false">IF($AK903=0,"",INDEX('Part types'!$Q:$Q,$AK903))</f>
        <v>25</v>
      </c>
      <c r="I903" s="10" t="n">
        <f aca="false">IF($AK903=0,"",INDEX('Part types'!$R:$R,$AK903))</f>
        <v>15</v>
      </c>
      <c r="J903" s="10" t="n">
        <f aca="false">IF($AK903=0,"",INDEX('Part types'!$S:$S,$AK903))</f>
        <v>3</v>
      </c>
      <c r="K903" s="11" t="s">
        <v>3699</v>
      </c>
      <c r="L903" s="11" t="s">
        <v>3749</v>
      </c>
      <c r="M903" s="11" t="str">
        <f aca="false">L903&amp;" - "&amp;N903</f>
        <v>دعاسة الصندوق - عام</v>
      </c>
      <c r="N903" s="11" t="s">
        <v>72</v>
      </c>
      <c r="O903" s="11" t="s">
        <v>2108</v>
      </c>
      <c r="P903" s="10" t="n">
        <f aca="false">G903</f>
        <v>40</v>
      </c>
      <c r="Q903" s="10" t="n">
        <f aca="false">H903</f>
        <v>25</v>
      </c>
      <c r="R903" s="10" t="n">
        <f aca="false">I903</f>
        <v>15</v>
      </c>
      <c r="S903" s="10" t="n">
        <f aca="false">J903</f>
        <v>3</v>
      </c>
      <c r="T903" s="12" t="s">
        <v>2110</v>
      </c>
      <c r="U903" s="12" t="s">
        <v>3750</v>
      </c>
      <c r="V903" s="9" t="str">
        <f aca="false">U903&amp;" - "&amp;W903</f>
        <v>行李箱垫 - 通用</v>
      </c>
      <c r="W903" s="12" t="s">
        <v>76</v>
      </c>
      <c r="X903" s="12" t="s">
        <v>2110</v>
      </c>
      <c r="Y903" s="10" t="n">
        <f aca="false">G903</f>
        <v>40</v>
      </c>
      <c r="Z903" s="10" t="n">
        <f aca="false">H903</f>
        <v>25</v>
      </c>
      <c r="AA903" s="10" t="n">
        <f aca="false">I903</f>
        <v>15</v>
      </c>
      <c r="AB903" s="10" t="n">
        <f aca="false">J903</f>
        <v>3</v>
      </c>
      <c r="AC903" s="9" t="s">
        <v>3702</v>
      </c>
      <c r="AD903" s="9" t="s">
        <v>3751</v>
      </c>
      <c r="AE903" s="9" t="str">
        <f aca="false">IF($AK903=0,"",INDEX('Part types'!$T:$T,$AK903)&amp;"")</f>
        <v>All vehicles</v>
      </c>
      <c r="AF903" s="9" t="str">
        <f aca="false">IF($AK903=0,"",INDEX('Part types'!$U:$U,$AK903)&amp;"")</f>
        <v/>
      </c>
      <c r="AG903" s="9" t="str">
        <f aca="false">IF($AK903=0,"",INDEX('Part types'!$V:$V,$AK903)&amp;"")</f>
        <v>Estimate: size class L</v>
      </c>
      <c r="AH903" s="9" t="str">
        <f aca="false">IF($AK903=0,"",INDEX('Part types'!$W:$W,$AK903)&amp;"")</f>
        <v/>
      </c>
      <c r="AI903" s="11" t="str">
        <f aca="false">IF($AK903=0,"",INDEX('Part types'!$X:$X,$AK903)&amp;"")</f>
        <v/>
      </c>
      <c r="AJ903" s="9" t="str">
        <f aca="false">IF($AK903=0,"",INDEX('Part types'!$Y:$Y,$AK903)&amp;"")</f>
        <v/>
      </c>
      <c r="AK903" s="9" t="n">
        <f aca="false">IFERROR(MATCH($AD903,'Part types'!$E:$E,0),0)</f>
        <v>606</v>
      </c>
    </row>
    <row r="904" customFormat="false" ht="15" hidden="false" customHeight="false" outlineLevel="0" collapsed="false">
      <c r="A904" s="9" t="s">
        <v>3752</v>
      </c>
      <c r="B904" s="9" t="s">
        <v>2106</v>
      </c>
      <c r="C904" s="9" t="s">
        <v>3753</v>
      </c>
      <c r="D904" s="9" t="str">
        <f aca="false">C904&amp;" - "&amp;E904</f>
        <v>Trunk Trim Panel - Left</v>
      </c>
      <c r="E904" s="9" t="s">
        <v>218</v>
      </c>
      <c r="F904" s="9" t="s">
        <v>2106</v>
      </c>
      <c r="G904" s="10" t="n">
        <f aca="false">IF($AK904=0,"",INDEX('Part types'!$P:$P,$AK904))</f>
        <v>40</v>
      </c>
      <c r="H904" s="10" t="n">
        <f aca="false">IF($AK904=0,"",INDEX('Part types'!$Q:$Q,$AK904))</f>
        <v>25</v>
      </c>
      <c r="I904" s="10" t="n">
        <f aca="false">IF($AK904=0,"",INDEX('Part types'!$R:$R,$AK904))</f>
        <v>15</v>
      </c>
      <c r="J904" s="10" t="n">
        <f aca="false">IF($AK904=0,"",INDEX('Part types'!$S:$S,$AK904))</f>
        <v>3</v>
      </c>
      <c r="K904" s="11" t="s">
        <v>3699</v>
      </c>
      <c r="L904" s="11" t="s">
        <v>3754</v>
      </c>
      <c r="M904" s="11" t="str">
        <f aca="false">L904&amp;" - "&amp;N904</f>
        <v>تابلوه الصندوق - يسار</v>
      </c>
      <c r="N904" s="11" t="s">
        <v>220</v>
      </c>
      <c r="O904" s="11" t="s">
        <v>2108</v>
      </c>
      <c r="P904" s="10" t="n">
        <f aca="false">G904</f>
        <v>40</v>
      </c>
      <c r="Q904" s="10" t="n">
        <f aca="false">H904</f>
        <v>25</v>
      </c>
      <c r="R904" s="10" t="n">
        <f aca="false">I904</f>
        <v>15</v>
      </c>
      <c r="S904" s="10" t="n">
        <f aca="false">J904</f>
        <v>3</v>
      </c>
      <c r="T904" s="12" t="s">
        <v>2110</v>
      </c>
      <c r="U904" s="12" t="s">
        <v>3755</v>
      </c>
      <c r="V904" s="9" t="str">
        <f aca="false">U904&amp;" - "&amp;W904</f>
        <v>行李箱内饰板 - 左侧</v>
      </c>
      <c r="W904" s="12" t="s">
        <v>222</v>
      </c>
      <c r="X904" s="12" t="s">
        <v>2110</v>
      </c>
      <c r="Y904" s="10" t="n">
        <f aca="false">G904</f>
        <v>40</v>
      </c>
      <c r="Z904" s="10" t="n">
        <f aca="false">H904</f>
        <v>25</v>
      </c>
      <c r="AA904" s="10" t="n">
        <f aca="false">I904</f>
        <v>15</v>
      </c>
      <c r="AB904" s="10" t="n">
        <f aca="false">J904</f>
        <v>3</v>
      </c>
      <c r="AC904" s="9" t="s">
        <v>3702</v>
      </c>
      <c r="AD904" s="9" t="s">
        <v>3756</v>
      </c>
      <c r="AE904" s="9" t="str">
        <f aca="false">IF($AK904=0,"",INDEX('Part types'!$T:$T,$AK904)&amp;"")</f>
        <v>All vehicles</v>
      </c>
      <c r="AF904" s="9" t="str">
        <f aca="false">IF($AK904=0,"",INDEX('Part types'!$U:$U,$AK904)&amp;"")</f>
        <v/>
      </c>
      <c r="AG904" s="9" t="str">
        <f aca="false">IF($AK904=0,"",INDEX('Part types'!$V:$V,$AK904)&amp;"")</f>
        <v>Estimate: size class L</v>
      </c>
      <c r="AH904" s="9" t="str">
        <f aca="false">IF($AK904=0,"",INDEX('Part types'!$W:$W,$AK904)&amp;"")</f>
        <v/>
      </c>
      <c r="AI904" s="11" t="str">
        <f aca="false">IF($AK904=0,"",INDEX('Part types'!$X:$X,$AK904)&amp;"")</f>
        <v/>
      </c>
      <c r="AJ904" s="9" t="str">
        <f aca="false">IF($AK904=0,"",INDEX('Part types'!$Y:$Y,$AK904)&amp;"")</f>
        <v/>
      </c>
      <c r="AK904" s="9" t="n">
        <f aca="false">IFERROR(MATCH($AD904,'Part types'!$E:$E,0),0)</f>
        <v>607</v>
      </c>
    </row>
    <row r="905" customFormat="false" ht="15" hidden="false" customHeight="false" outlineLevel="0" collapsed="false">
      <c r="A905" s="9" t="s">
        <v>3757</v>
      </c>
      <c r="B905" s="9" t="s">
        <v>2106</v>
      </c>
      <c r="C905" s="9" t="s">
        <v>3753</v>
      </c>
      <c r="D905" s="9" t="str">
        <f aca="false">C905&amp;" - "&amp;E905</f>
        <v>Trunk Trim Panel - Right</v>
      </c>
      <c r="E905" s="9" t="s">
        <v>225</v>
      </c>
      <c r="F905" s="9" t="s">
        <v>2106</v>
      </c>
      <c r="G905" s="10" t="n">
        <f aca="false">IF($AK905=0,"",INDEX('Part types'!$P:$P,$AK905))</f>
        <v>40</v>
      </c>
      <c r="H905" s="10" t="n">
        <f aca="false">IF($AK905=0,"",INDEX('Part types'!$Q:$Q,$AK905))</f>
        <v>25</v>
      </c>
      <c r="I905" s="10" t="n">
        <f aca="false">IF($AK905=0,"",INDEX('Part types'!$R:$R,$AK905))</f>
        <v>15</v>
      </c>
      <c r="J905" s="10" t="n">
        <f aca="false">IF($AK905=0,"",INDEX('Part types'!$S:$S,$AK905))</f>
        <v>3</v>
      </c>
      <c r="K905" s="11" t="s">
        <v>3699</v>
      </c>
      <c r="L905" s="11" t="s">
        <v>3754</v>
      </c>
      <c r="M905" s="11" t="str">
        <f aca="false">L905&amp;" - "&amp;N905</f>
        <v>تابلوه الصندوق - يمين</v>
      </c>
      <c r="N905" s="11" t="s">
        <v>226</v>
      </c>
      <c r="O905" s="11" t="s">
        <v>2108</v>
      </c>
      <c r="P905" s="10" t="n">
        <f aca="false">G905</f>
        <v>40</v>
      </c>
      <c r="Q905" s="10" t="n">
        <f aca="false">H905</f>
        <v>25</v>
      </c>
      <c r="R905" s="10" t="n">
        <f aca="false">I905</f>
        <v>15</v>
      </c>
      <c r="S905" s="10" t="n">
        <f aca="false">J905</f>
        <v>3</v>
      </c>
      <c r="T905" s="12" t="s">
        <v>2110</v>
      </c>
      <c r="U905" s="12" t="s">
        <v>3755</v>
      </c>
      <c r="V905" s="9" t="str">
        <f aca="false">U905&amp;" - "&amp;W905</f>
        <v>行李箱内饰板 - 右侧</v>
      </c>
      <c r="W905" s="12" t="s">
        <v>227</v>
      </c>
      <c r="X905" s="12" t="s">
        <v>2110</v>
      </c>
      <c r="Y905" s="10" t="n">
        <f aca="false">G905</f>
        <v>40</v>
      </c>
      <c r="Z905" s="10" t="n">
        <f aca="false">H905</f>
        <v>25</v>
      </c>
      <c r="AA905" s="10" t="n">
        <f aca="false">I905</f>
        <v>15</v>
      </c>
      <c r="AB905" s="10" t="n">
        <f aca="false">J905</f>
        <v>3</v>
      </c>
      <c r="AC905" s="9" t="s">
        <v>3702</v>
      </c>
      <c r="AD905" s="9" t="s">
        <v>3756</v>
      </c>
      <c r="AE905" s="9" t="str">
        <f aca="false">IF($AK905=0,"",INDEX('Part types'!$T:$T,$AK905)&amp;"")</f>
        <v>All vehicles</v>
      </c>
      <c r="AF905" s="9" t="str">
        <f aca="false">IF($AK905=0,"",INDEX('Part types'!$U:$U,$AK905)&amp;"")</f>
        <v/>
      </c>
      <c r="AG905" s="9" t="str">
        <f aca="false">IF($AK905=0,"",INDEX('Part types'!$V:$V,$AK905)&amp;"")</f>
        <v>Estimate: size class L</v>
      </c>
      <c r="AH905" s="9" t="str">
        <f aca="false">IF($AK905=0,"",INDEX('Part types'!$W:$W,$AK905)&amp;"")</f>
        <v/>
      </c>
      <c r="AI905" s="11" t="str">
        <f aca="false">IF($AK905=0,"",INDEX('Part types'!$X:$X,$AK905)&amp;"")</f>
        <v/>
      </c>
      <c r="AJ905" s="9" t="str">
        <f aca="false">IF($AK905=0,"",INDEX('Part types'!$Y:$Y,$AK905)&amp;"")</f>
        <v/>
      </c>
      <c r="AK905" s="9" t="n">
        <f aca="false">IFERROR(MATCH($AD905,'Part types'!$E:$E,0),0)</f>
        <v>607</v>
      </c>
    </row>
    <row r="906" customFormat="false" ht="15" hidden="false" customHeight="false" outlineLevel="0" collapsed="false">
      <c r="A906" s="9" t="s">
        <v>3758</v>
      </c>
      <c r="B906" s="9" t="s">
        <v>2106</v>
      </c>
      <c r="C906" s="9" t="s">
        <v>3759</v>
      </c>
      <c r="D906" s="9" t="str">
        <f aca="false">C906&amp;" - "&amp;E906</f>
        <v>Cargo Cover - Universal</v>
      </c>
      <c r="E906" s="9" t="s">
        <v>68</v>
      </c>
      <c r="F906" s="9" t="s">
        <v>3760</v>
      </c>
      <c r="G906" s="10" t="n">
        <f aca="false">IF($AK906=0,"",INDEX('Part types'!$P:$P,$AK906))</f>
        <v>50</v>
      </c>
      <c r="H906" s="10" t="n">
        <f aca="false">IF($AK906=0,"",INDEX('Part types'!$Q:$Q,$AK906))</f>
        <v>30</v>
      </c>
      <c r="I906" s="10" t="n">
        <f aca="false">IF($AK906=0,"",INDEX('Part types'!$R:$R,$AK906))</f>
        <v>20</v>
      </c>
      <c r="J906" s="10" t="n">
        <f aca="false">IF($AK906=0,"",INDEX('Part types'!$S:$S,$AK906))</f>
        <v>5</v>
      </c>
      <c r="K906" s="11" t="s">
        <v>3699</v>
      </c>
      <c r="L906" s="11" t="s">
        <v>3761</v>
      </c>
      <c r="M906" s="11" t="str">
        <f aca="false">L906&amp;" - "&amp;N906</f>
        <v>غطاء الأمتعة - عام</v>
      </c>
      <c r="N906" s="11" t="s">
        <v>72</v>
      </c>
      <c r="O906" s="11" t="s">
        <v>3762</v>
      </c>
      <c r="P906" s="10" t="n">
        <f aca="false">G906</f>
        <v>50</v>
      </c>
      <c r="Q906" s="10" t="n">
        <f aca="false">H906</f>
        <v>30</v>
      </c>
      <c r="R906" s="10" t="n">
        <f aca="false">I906</f>
        <v>20</v>
      </c>
      <c r="S906" s="10" t="n">
        <f aca="false">J906</f>
        <v>5</v>
      </c>
      <c r="T906" s="12" t="s">
        <v>2110</v>
      </c>
      <c r="U906" s="12" t="s">
        <v>3763</v>
      </c>
      <c r="V906" s="9" t="str">
        <f aca="false">U906&amp;" - "&amp;W906</f>
        <v>行李箱遮物帘 - 通用</v>
      </c>
      <c r="W906" s="12" t="s">
        <v>76</v>
      </c>
      <c r="X906" s="12" t="s">
        <v>3764</v>
      </c>
      <c r="Y906" s="10" t="n">
        <f aca="false">G906</f>
        <v>50</v>
      </c>
      <c r="Z906" s="10" t="n">
        <f aca="false">H906</f>
        <v>30</v>
      </c>
      <c r="AA906" s="10" t="n">
        <f aca="false">I906</f>
        <v>20</v>
      </c>
      <c r="AB906" s="10" t="n">
        <f aca="false">J906</f>
        <v>5</v>
      </c>
      <c r="AC906" s="9" t="s">
        <v>3702</v>
      </c>
      <c r="AD906" s="9" t="s">
        <v>3765</v>
      </c>
      <c r="AE906" s="9" t="str">
        <f aca="false">IF($AK906=0,"",INDEX('Part types'!$T:$T,$AK906)&amp;"")</f>
        <v>All vehicles</v>
      </c>
      <c r="AF906" s="9" t="str">
        <f aca="false">IF($AK906=0,"",INDEX('Part types'!$U:$U,$AK906)&amp;"")</f>
        <v/>
      </c>
      <c r="AG906" s="9" t="str">
        <f aca="false">IF($AK906=0,"",INDEX('Part types'!$V:$V,$AK906)&amp;"")</f>
        <v>Estimate: size class L2</v>
      </c>
      <c r="AH906" s="9" t="str">
        <f aca="false">IF($AK906=0,"",INDEX('Part types'!$W:$W,$AK906)&amp;"")</f>
        <v/>
      </c>
      <c r="AI906" s="11" t="str">
        <f aca="false">IF($AK906=0,"",INDEX('Part types'!$X:$X,$AK906)&amp;"")</f>
        <v/>
      </c>
      <c r="AJ906" s="9" t="str">
        <f aca="false">IF($AK906=0,"",INDEX('Part types'!$Y:$Y,$AK906)&amp;"")</f>
        <v/>
      </c>
      <c r="AK906" s="9" t="n">
        <f aca="false">IFERROR(MATCH($AD906,'Part types'!$E:$E,0),0)</f>
        <v>608</v>
      </c>
    </row>
    <row r="907" customFormat="false" ht="15" hidden="false" customHeight="false" outlineLevel="0" collapsed="false">
      <c r="A907" s="9" t="s">
        <v>3766</v>
      </c>
      <c r="B907" s="9" t="s">
        <v>2106</v>
      </c>
      <c r="C907" s="9" t="s">
        <v>3767</v>
      </c>
      <c r="D907" s="9" t="str">
        <f aca="false">C907&amp;" - "&amp;E907</f>
        <v>Cargo Net - Universal</v>
      </c>
      <c r="E907" s="9" t="s">
        <v>68</v>
      </c>
      <c r="F907" s="9" t="s">
        <v>3760</v>
      </c>
      <c r="G907" s="10" t="n">
        <f aca="false">IF($AK907=0,"",INDEX('Part types'!$P:$P,$AK907))</f>
        <v>15</v>
      </c>
      <c r="H907" s="10" t="n">
        <f aca="false">IF($AK907=0,"",INDEX('Part types'!$Q:$Q,$AK907))</f>
        <v>10</v>
      </c>
      <c r="I907" s="10" t="n">
        <f aca="false">IF($AK907=0,"",INDEX('Part types'!$R:$R,$AK907))</f>
        <v>8</v>
      </c>
      <c r="J907" s="10" t="n">
        <f aca="false">IF($AK907=0,"",INDEX('Part types'!$S:$S,$AK907))</f>
        <v>0.3</v>
      </c>
      <c r="K907" s="11" t="s">
        <v>3699</v>
      </c>
      <c r="L907" s="11" t="s">
        <v>3768</v>
      </c>
      <c r="M907" s="11" t="str">
        <f aca="false">L907&amp;" - "&amp;N907</f>
        <v>شبكة الأمتعة - عام</v>
      </c>
      <c r="N907" s="11" t="s">
        <v>72</v>
      </c>
      <c r="O907" s="11" t="s">
        <v>3762</v>
      </c>
      <c r="P907" s="10" t="n">
        <f aca="false">G907</f>
        <v>15</v>
      </c>
      <c r="Q907" s="10" t="n">
        <f aca="false">H907</f>
        <v>10</v>
      </c>
      <c r="R907" s="10" t="n">
        <f aca="false">I907</f>
        <v>8</v>
      </c>
      <c r="S907" s="10" t="n">
        <f aca="false">J907</f>
        <v>0.3</v>
      </c>
      <c r="T907" s="12" t="s">
        <v>2110</v>
      </c>
      <c r="U907" s="12" t="s">
        <v>3769</v>
      </c>
      <c r="V907" s="9" t="str">
        <f aca="false">U907&amp;" - "&amp;W907</f>
        <v>行李网 - 通用</v>
      </c>
      <c r="W907" s="12" t="s">
        <v>76</v>
      </c>
      <c r="X907" s="12" t="s">
        <v>3764</v>
      </c>
      <c r="Y907" s="10" t="n">
        <f aca="false">G907</f>
        <v>15</v>
      </c>
      <c r="Z907" s="10" t="n">
        <f aca="false">H907</f>
        <v>10</v>
      </c>
      <c r="AA907" s="10" t="n">
        <f aca="false">I907</f>
        <v>8</v>
      </c>
      <c r="AB907" s="10" t="n">
        <f aca="false">J907</f>
        <v>0.3</v>
      </c>
      <c r="AC907" s="9" t="s">
        <v>3702</v>
      </c>
      <c r="AD907" s="9" t="s">
        <v>3770</v>
      </c>
      <c r="AE907" s="9" t="str">
        <f aca="false">IF($AK907=0,"",INDEX('Part types'!$T:$T,$AK907)&amp;"")</f>
        <v>All vehicles</v>
      </c>
      <c r="AF907" s="9" t="str">
        <f aca="false">IF($AK907=0,"",INDEX('Part types'!$U:$U,$AK907)&amp;"")</f>
        <v/>
      </c>
      <c r="AG907" s="9" t="str">
        <f aca="false">IF($AK907=0,"",INDEX('Part types'!$V:$V,$AK907)&amp;"")</f>
        <v>Estimate: size class S</v>
      </c>
      <c r="AH907" s="9" t="str">
        <f aca="false">IF($AK907=0,"",INDEX('Part types'!$W:$W,$AK907)&amp;"")</f>
        <v/>
      </c>
      <c r="AI907" s="11" t="str">
        <f aca="false">IF($AK907=0,"",INDEX('Part types'!$X:$X,$AK907)&amp;"")</f>
        <v/>
      </c>
      <c r="AJ907" s="9" t="str">
        <f aca="false">IF($AK907=0,"",INDEX('Part types'!$Y:$Y,$AK907)&amp;"")</f>
        <v/>
      </c>
      <c r="AK907" s="9" t="n">
        <f aca="false">IFERROR(MATCH($AD907,'Part types'!$E:$E,0),0)</f>
        <v>609</v>
      </c>
    </row>
    <row r="908" customFormat="false" ht="15" hidden="false" customHeight="false" outlineLevel="0" collapsed="false">
      <c r="A908" s="9" t="s">
        <v>3771</v>
      </c>
      <c r="B908" s="9" t="s">
        <v>3772</v>
      </c>
      <c r="C908" s="9" t="s">
        <v>3773</v>
      </c>
      <c r="D908" s="9" t="str">
        <f aca="false">C908&amp;" - "&amp;E908</f>
        <v>Roof Panel - Universal</v>
      </c>
      <c r="E908" s="9" t="s">
        <v>68</v>
      </c>
      <c r="F908" s="9" t="s">
        <v>3772</v>
      </c>
      <c r="G908" s="10" t="n">
        <f aca="false">IF($AK908=0,"",INDEX('Part types'!$P:$P,$AK908))</f>
        <v>150</v>
      </c>
      <c r="H908" s="10" t="n">
        <f aca="false">IF($AK908=0,"",INDEX('Part types'!$Q:$Q,$AK908))</f>
        <v>110</v>
      </c>
      <c r="I908" s="10" t="n">
        <f aca="false">IF($AK908=0,"",INDEX('Part types'!$R:$R,$AK908))</f>
        <v>15</v>
      </c>
      <c r="J908" s="10" t="n">
        <f aca="false">IF($AK908=0,"",INDEX('Part types'!$S:$S,$AK908))</f>
        <v>16</v>
      </c>
      <c r="K908" s="11" t="s">
        <v>3774</v>
      </c>
      <c r="L908" s="11" t="s">
        <v>3775</v>
      </c>
      <c r="M908" s="11" t="str">
        <f aca="false">L908&amp;" - "&amp;N908</f>
        <v>سقف السيارة - عام</v>
      </c>
      <c r="N908" s="11" t="s">
        <v>72</v>
      </c>
      <c r="O908" s="11" t="s">
        <v>3774</v>
      </c>
      <c r="P908" s="10" t="n">
        <f aca="false">G908</f>
        <v>150</v>
      </c>
      <c r="Q908" s="10" t="n">
        <f aca="false">H908</f>
        <v>110</v>
      </c>
      <c r="R908" s="10" t="n">
        <f aca="false">I908</f>
        <v>15</v>
      </c>
      <c r="S908" s="10" t="n">
        <f aca="false">J908</f>
        <v>16</v>
      </c>
      <c r="T908" s="12" t="s">
        <v>3776</v>
      </c>
      <c r="U908" s="12" t="s">
        <v>3777</v>
      </c>
      <c r="V908" s="9" t="str">
        <f aca="false">U908&amp;" - "&amp;W908</f>
        <v>车顶板 - 通用</v>
      </c>
      <c r="W908" s="12" t="s">
        <v>76</v>
      </c>
      <c r="X908" s="12" t="s">
        <v>3776</v>
      </c>
      <c r="Y908" s="10" t="n">
        <f aca="false">G908</f>
        <v>150</v>
      </c>
      <c r="Z908" s="10" t="n">
        <f aca="false">H908</f>
        <v>110</v>
      </c>
      <c r="AA908" s="10" t="n">
        <f aca="false">I908</f>
        <v>15</v>
      </c>
      <c r="AB908" s="10" t="n">
        <f aca="false">J908</f>
        <v>16</v>
      </c>
      <c r="AC908" s="9" t="s">
        <v>3778</v>
      </c>
      <c r="AD908" s="9" t="s">
        <v>3779</v>
      </c>
      <c r="AE908" s="9" t="str">
        <f aca="false">IF($AK908=0,"",INDEX('Part types'!$T:$T,$AK908)&amp;"")</f>
        <v>All vehicles</v>
      </c>
      <c r="AF908" s="9" t="str">
        <f aca="false">IF($AK908=0,"",INDEX('Part types'!$U:$U,$AK908)&amp;"")</f>
        <v>Oversized (over 120 cm)</v>
      </c>
      <c r="AG908" s="9" t="str">
        <f aca="false">IF($AK908=0,"",INDEX('Part types'!$V:$V,$AK908)&amp;"")</f>
        <v>Estimate: item-specific</v>
      </c>
      <c r="AH908" s="9" t="str">
        <f aca="false">IF($AK908=0,"",INDEX('Part types'!$W:$W,$AK908)&amp;"")</f>
        <v/>
      </c>
      <c r="AI908" s="11" t="str">
        <f aca="false">IF($AK908=0,"",INDEX('Part types'!$X:$X,$AK908)&amp;"")</f>
        <v/>
      </c>
      <c r="AJ908" s="9" t="str">
        <f aca="false">IF($AK908=0,"",INDEX('Part types'!$Y:$Y,$AK908)&amp;"")</f>
        <v/>
      </c>
      <c r="AK908" s="9" t="n">
        <f aca="false">IFERROR(MATCH($AD908,'Part types'!$E:$E,0),0)</f>
        <v>610</v>
      </c>
    </row>
    <row r="909" customFormat="false" ht="15" hidden="false" customHeight="false" outlineLevel="0" collapsed="false">
      <c r="A909" s="9" t="s">
        <v>3780</v>
      </c>
      <c r="B909" s="9" t="s">
        <v>3772</v>
      </c>
      <c r="C909" s="9" t="s">
        <v>3781</v>
      </c>
      <c r="D909" s="9" t="str">
        <f aca="false">C909&amp;" - "&amp;E909</f>
        <v>Roof Rail - Left</v>
      </c>
      <c r="E909" s="9" t="s">
        <v>218</v>
      </c>
      <c r="F909" s="9" t="s">
        <v>3364</v>
      </c>
      <c r="G909" s="10" t="n">
        <f aca="false">IF($AK909=0,"",INDEX('Part types'!$P:$P,$AK909))</f>
        <v>130</v>
      </c>
      <c r="H909" s="10" t="n">
        <f aca="false">IF($AK909=0,"",INDEX('Part types'!$Q:$Q,$AK909))</f>
        <v>8</v>
      </c>
      <c r="I909" s="10" t="n">
        <f aca="false">IF($AK909=0,"",INDEX('Part types'!$R:$R,$AK909))</f>
        <v>8</v>
      </c>
      <c r="J909" s="10" t="n">
        <f aca="false">IF($AK909=0,"",INDEX('Part types'!$S:$S,$AK909))</f>
        <v>2.5</v>
      </c>
      <c r="K909" s="11" t="s">
        <v>3774</v>
      </c>
      <c r="L909" s="11" t="s">
        <v>3782</v>
      </c>
      <c r="M909" s="11" t="str">
        <f aca="false">L909&amp;" - "&amp;N909</f>
        <v>قضبان السقف - يسار</v>
      </c>
      <c r="N909" s="11" t="s">
        <v>220</v>
      </c>
      <c r="O909" s="11" t="s">
        <v>3366</v>
      </c>
      <c r="P909" s="10" t="n">
        <f aca="false">G909</f>
        <v>130</v>
      </c>
      <c r="Q909" s="10" t="n">
        <f aca="false">H909</f>
        <v>8</v>
      </c>
      <c r="R909" s="10" t="n">
        <f aca="false">I909</f>
        <v>8</v>
      </c>
      <c r="S909" s="10" t="n">
        <f aca="false">J909</f>
        <v>2.5</v>
      </c>
      <c r="T909" s="12" t="s">
        <v>3776</v>
      </c>
      <c r="U909" s="12" t="s">
        <v>3783</v>
      </c>
      <c r="V909" s="9" t="str">
        <f aca="false">U909&amp;" - "&amp;W909</f>
        <v>车顶行李架纵梁 - 左侧</v>
      </c>
      <c r="W909" s="12" t="s">
        <v>222</v>
      </c>
      <c r="X909" s="12" t="s">
        <v>3368</v>
      </c>
      <c r="Y909" s="10" t="n">
        <f aca="false">G909</f>
        <v>130</v>
      </c>
      <c r="Z909" s="10" t="n">
        <f aca="false">H909</f>
        <v>8</v>
      </c>
      <c r="AA909" s="10" t="n">
        <f aca="false">I909</f>
        <v>8</v>
      </c>
      <c r="AB909" s="10" t="n">
        <f aca="false">J909</f>
        <v>2.5</v>
      </c>
      <c r="AC909" s="9" t="s">
        <v>3778</v>
      </c>
      <c r="AD909" s="9" t="s">
        <v>3784</v>
      </c>
      <c r="AE909" s="9" t="str">
        <f aca="false">IF($AK909=0,"",INDEX('Part types'!$T:$T,$AK909)&amp;"")</f>
        <v>All vehicles</v>
      </c>
      <c r="AF909" s="9" t="str">
        <f aca="false">IF($AK909=0,"",INDEX('Part types'!$U:$U,$AK909)&amp;"")</f>
        <v>Oversized (over 120 cm)</v>
      </c>
      <c r="AG909" s="9" t="str">
        <f aca="false">IF($AK909=0,"",INDEX('Part types'!$V:$V,$AK909)&amp;"")</f>
        <v>Estimate: item-specific</v>
      </c>
      <c r="AH909" s="9" t="str">
        <f aca="false">IF($AK909=0,"",INDEX('Part types'!$W:$W,$AK909)&amp;"")</f>
        <v/>
      </c>
      <c r="AI909" s="11" t="str">
        <f aca="false">IF($AK909=0,"",INDEX('Part types'!$X:$X,$AK909)&amp;"")</f>
        <v/>
      </c>
      <c r="AJ909" s="9" t="str">
        <f aca="false">IF($AK909=0,"",INDEX('Part types'!$Y:$Y,$AK909)&amp;"")</f>
        <v/>
      </c>
      <c r="AK909" s="9" t="n">
        <f aca="false">IFERROR(MATCH($AD909,'Part types'!$E:$E,0),0)</f>
        <v>611</v>
      </c>
    </row>
    <row r="910" customFormat="false" ht="15" hidden="false" customHeight="false" outlineLevel="0" collapsed="false">
      <c r="A910" s="9" t="s">
        <v>3785</v>
      </c>
      <c r="B910" s="9" t="s">
        <v>3772</v>
      </c>
      <c r="C910" s="9" t="s">
        <v>3781</v>
      </c>
      <c r="D910" s="9" t="str">
        <f aca="false">C910&amp;" - "&amp;E910</f>
        <v>Roof Rail - Right</v>
      </c>
      <c r="E910" s="9" t="s">
        <v>225</v>
      </c>
      <c r="F910" s="9" t="s">
        <v>3364</v>
      </c>
      <c r="G910" s="10" t="n">
        <f aca="false">IF($AK910=0,"",INDEX('Part types'!$P:$P,$AK910))</f>
        <v>130</v>
      </c>
      <c r="H910" s="10" t="n">
        <f aca="false">IF($AK910=0,"",INDEX('Part types'!$Q:$Q,$AK910))</f>
        <v>8</v>
      </c>
      <c r="I910" s="10" t="n">
        <f aca="false">IF($AK910=0,"",INDEX('Part types'!$R:$R,$AK910))</f>
        <v>8</v>
      </c>
      <c r="J910" s="10" t="n">
        <f aca="false">IF($AK910=0,"",INDEX('Part types'!$S:$S,$AK910))</f>
        <v>2.5</v>
      </c>
      <c r="K910" s="11" t="s">
        <v>3774</v>
      </c>
      <c r="L910" s="11" t="s">
        <v>3782</v>
      </c>
      <c r="M910" s="11" t="str">
        <f aca="false">L910&amp;" - "&amp;N910</f>
        <v>قضبان السقف - يمين</v>
      </c>
      <c r="N910" s="11" t="s">
        <v>226</v>
      </c>
      <c r="O910" s="11" t="s">
        <v>3366</v>
      </c>
      <c r="P910" s="10" t="n">
        <f aca="false">G910</f>
        <v>130</v>
      </c>
      <c r="Q910" s="10" t="n">
        <f aca="false">H910</f>
        <v>8</v>
      </c>
      <c r="R910" s="10" t="n">
        <f aca="false">I910</f>
        <v>8</v>
      </c>
      <c r="S910" s="10" t="n">
        <f aca="false">J910</f>
        <v>2.5</v>
      </c>
      <c r="T910" s="12" t="s">
        <v>3776</v>
      </c>
      <c r="U910" s="12" t="s">
        <v>3783</v>
      </c>
      <c r="V910" s="9" t="str">
        <f aca="false">U910&amp;" - "&amp;W910</f>
        <v>车顶行李架纵梁 - 右侧</v>
      </c>
      <c r="W910" s="12" t="s">
        <v>227</v>
      </c>
      <c r="X910" s="12" t="s">
        <v>3368</v>
      </c>
      <c r="Y910" s="10" t="n">
        <f aca="false">G910</f>
        <v>130</v>
      </c>
      <c r="Z910" s="10" t="n">
        <f aca="false">H910</f>
        <v>8</v>
      </c>
      <c r="AA910" s="10" t="n">
        <f aca="false">I910</f>
        <v>8</v>
      </c>
      <c r="AB910" s="10" t="n">
        <f aca="false">J910</f>
        <v>2.5</v>
      </c>
      <c r="AC910" s="9" t="s">
        <v>3778</v>
      </c>
      <c r="AD910" s="9" t="s">
        <v>3784</v>
      </c>
      <c r="AE910" s="9" t="str">
        <f aca="false">IF($AK910=0,"",INDEX('Part types'!$T:$T,$AK910)&amp;"")</f>
        <v>All vehicles</v>
      </c>
      <c r="AF910" s="9" t="str">
        <f aca="false">IF($AK910=0,"",INDEX('Part types'!$U:$U,$AK910)&amp;"")</f>
        <v>Oversized (over 120 cm)</v>
      </c>
      <c r="AG910" s="9" t="str">
        <f aca="false">IF($AK910=0,"",INDEX('Part types'!$V:$V,$AK910)&amp;"")</f>
        <v>Estimate: item-specific</v>
      </c>
      <c r="AH910" s="9" t="str">
        <f aca="false">IF($AK910=0,"",INDEX('Part types'!$W:$W,$AK910)&amp;"")</f>
        <v/>
      </c>
      <c r="AI910" s="11" t="str">
        <f aca="false">IF($AK910=0,"",INDEX('Part types'!$X:$X,$AK910)&amp;"")</f>
        <v/>
      </c>
      <c r="AJ910" s="9" t="str">
        <f aca="false">IF($AK910=0,"",INDEX('Part types'!$Y:$Y,$AK910)&amp;"")</f>
        <v/>
      </c>
      <c r="AK910" s="9" t="n">
        <f aca="false">IFERROR(MATCH($AD910,'Part types'!$E:$E,0),0)</f>
        <v>611</v>
      </c>
    </row>
    <row r="911" customFormat="false" ht="15" hidden="false" customHeight="false" outlineLevel="0" collapsed="false">
      <c r="A911" s="9" t="s">
        <v>3786</v>
      </c>
      <c r="B911" s="9" t="s">
        <v>3772</v>
      </c>
      <c r="C911" s="9" t="s">
        <v>3787</v>
      </c>
      <c r="D911" s="9" t="str">
        <f aca="false">C911&amp;" - "&amp;E911</f>
        <v>Roof Drip Molding - Left</v>
      </c>
      <c r="E911" s="9" t="s">
        <v>218</v>
      </c>
      <c r="F911" s="9" t="s">
        <v>3364</v>
      </c>
      <c r="G911" s="10" t="n">
        <f aca="false">IF($AK911=0,"",INDEX('Part types'!$P:$P,$AK911))</f>
        <v>40</v>
      </c>
      <c r="H911" s="10" t="n">
        <f aca="false">IF($AK911=0,"",INDEX('Part types'!$Q:$Q,$AK911))</f>
        <v>25</v>
      </c>
      <c r="I911" s="10" t="n">
        <f aca="false">IF($AK911=0,"",INDEX('Part types'!$R:$R,$AK911))</f>
        <v>15</v>
      </c>
      <c r="J911" s="10" t="n">
        <f aca="false">IF($AK911=0,"",INDEX('Part types'!$S:$S,$AK911))</f>
        <v>3</v>
      </c>
      <c r="K911" s="11" t="s">
        <v>3774</v>
      </c>
      <c r="L911" s="11" t="s">
        <v>3788</v>
      </c>
      <c r="M911" s="11" t="str">
        <f aca="false">L911&amp;" - "&amp;N911</f>
        <v>شريط السقف - يسار</v>
      </c>
      <c r="N911" s="11" t="s">
        <v>220</v>
      </c>
      <c r="O911" s="11" t="s">
        <v>3366</v>
      </c>
      <c r="P911" s="10" t="n">
        <f aca="false">G911</f>
        <v>40</v>
      </c>
      <c r="Q911" s="10" t="n">
        <f aca="false">H911</f>
        <v>25</v>
      </c>
      <c r="R911" s="10" t="n">
        <f aca="false">I911</f>
        <v>15</v>
      </c>
      <c r="S911" s="10" t="n">
        <f aca="false">J911</f>
        <v>3</v>
      </c>
      <c r="T911" s="12" t="s">
        <v>3776</v>
      </c>
      <c r="U911" s="12" t="s">
        <v>3789</v>
      </c>
      <c r="V911" s="9" t="str">
        <f aca="false">U911&amp;" - "&amp;W911</f>
        <v>车顶饰条 - 左侧</v>
      </c>
      <c r="W911" s="12" t="s">
        <v>222</v>
      </c>
      <c r="X911" s="12" t="s">
        <v>3368</v>
      </c>
      <c r="Y911" s="10" t="n">
        <f aca="false">G911</f>
        <v>40</v>
      </c>
      <c r="Z911" s="10" t="n">
        <f aca="false">H911</f>
        <v>25</v>
      </c>
      <c r="AA911" s="10" t="n">
        <f aca="false">I911</f>
        <v>15</v>
      </c>
      <c r="AB911" s="10" t="n">
        <f aca="false">J911</f>
        <v>3</v>
      </c>
      <c r="AC911" s="9" t="s">
        <v>3778</v>
      </c>
      <c r="AD911" s="9" t="s">
        <v>3790</v>
      </c>
      <c r="AE911" s="9" t="str">
        <f aca="false">IF($AK911=0,"",INDEX('Part types'!$T:$T,$AK911)&amp;"")</f>
        <v>All vehicles</v>
      </c>
      <c r="AF911" s="9" t="str">
        <f aca="false">IF($AK911=0,"",INDEX('Part types'!$U:$U,$AK911)&amp;"")</f>
        <v/>
      </c>
      <c r="AG911" s="9" t="str">
        <f aca="false">IF($AK911=0,"",INDEX('Part types'!$V:$V,$AK911)&amp;"")</f>
        <v>Estimate: size class L</v>
      </c>
      <c r="AH911" s="9" t="str">
        <f aca="false">IF($AK911=0,"",INDEX('Part types'!$W:$W,$AK911)&amp;"")</f>
        <v/>
      </c>
      <c r="AI911" s="11" t="str">
        <f aca="false">IF($AK911=0,"",INDEX('Part types'!$X:$X,$AK911)&amp;"")</f>
        <v>مجرى المياه</v>
      </c>
      <c r="AJ911" s="9" t="str">
        <f aca="false">IF($AK911=0,"",INDEX('Part types'!$Y:$Y,$AK911)&amp;"")</f>
        <v>排水槽</v>
      </c>
      <c r="AK911" s="9" t="n">
        <f aca="false">IFERROR(MATCH($AD911,'Part types'!$E:$E,0),0)</f>
        <v>612</v>
      </c>
    </row>
    <row r="912" customFormat="false" ht="15" hidden="false" customHeight="false" outlineLevel="0" collapsed="false">
      <c r="A912" s="9" t="s">
        <v>3791</v>
      </c>
      <c r="B912" s="9" t="s">
        <v>3772</v>
      </c>
      <c r="C912" s="9" t="s">
        <v>3787</v>
      </c>
      <c r="D912" s="9" t="str">
        <f aca="false">C912&amp;" - "&amp;E912</f>
        <v>Roof Drip Molding - Right</v>
      </c>
      <c r="E912" s="9" t="s">
        <v>225</v>
      </c>
      <c r="F912" s="9" t="s">
        <v>3364</v>
      </c>
      <c r="G912" s="10" t="n">
        <f aca="false">IF($AK912=0,"",INDEX('Part types'!$P:$P,$AK912))</f>
        <v>40</v>
      </c>
      <c r="H912" s="10" t="n">
        <f aca="false">IF($AK912=0,"",INDEX('Part types'!$Q:$Q,$AK912))</f>
        <v>25</v>
      </c>
      <c r="I912" s="10" t="n">
        <f aca="false">IF($AK912=0,"",INDEX('Part types'!$R:$R,$AK912))</f>
        <v>15</v>
      </c>
      <c r="J912" s="10" t="n">
        <f aca="false">IF($AK912=0,"",INDEX('Part types'!$S:$S,$AK912))</f>
        <v>3</v>
      </c>
      <c r="K912" s="11" t="s">
        <v>3774</v>
      </c>
      <c r="L912" s="11" t="s">
        <v>3788</v>
      </c>
      <c r="M912" s="11" t="str">
        <f aca="false">L912&amp;" - "&amp;N912</f>
        <v>شريط السقف - يمين</v>
      </c>
      <c r="N912" s="11" t="s">
        <v>226</v>
      </c>
      <c r="O912" s="11" t="s">
        <v>3366</v>
      </c>
      <c r="P912" s="10" t="n">
        <f aca="false">G912</f>
        <v>40</v>
      </c>
      <c r="Q912" s="10" t="n">
        <f aca="false">H912</f>
        <v>25</v>
      </c>
      <c r="R912" s="10" t="n">
        <f aca="false">I912</f>
        <v>15</v>
      </c>
      <c r="S912" s="10" t="n">
        <f aca="false">J912</f>
        <v>3</v>
      </c>
      <c r="T912" s="12" t="s">
        <v>3776</v>
      </c>
      <c r="U912" s="12" t="s">
        <v>3789</v>
      </c>
      <c r="V912" s="9" t="str">
        <f aca="false">U912&amp;" - "&amp;W912</f>
        <v>车顶饰条 - 右侧</v>
      </c>
      <c r="W912" s="12" t="s">
        <v>227</v>
      </c>
      <c r="X912" s="12" t="s">
        <v>3368</v>
      </c>
      <c r="Y912" s="10" t="n">
        <f aca="false">G912</f>
        <v>40</v>
      </c>
      <c r="Z912" s="10" t="n">
        <f aca="false">H912</f>
        <v>25</v>
      </c>
      <c r="AA912" s="10" t="n">
        <f aca="false">I912</f>
        <v>15</v>
      </c>
      <c r="AB912" s="10" t="n">
        <f aca="false">J912</f>
        <v>3</v>
      </c>
      <c r="AC912" s="9" t="s">
        <v>3778</v>
      </c>
      <c r="AD912" s="9" t="s">
        <v>3790</v>
      </c>
      <c r="AE912" s="9" t="str">
        <f aca="false">IF($AK912=0,"",INDEX('Part types'!$T:$T,$AK912)&amp;"")</f>
        <v>All vehicles</v>
      </c>
      <c r="AF912" s="9" t="str">
        <f aca="false">IF($AK912=0,"",INDEX('Part types'!$U:$U,$AK912)&amp;"")</f>
        <v/>
      </c>
      <c r="AG912" s="9" t="str">
        <f aca="false">IF($AK912=0,"",INDEX('Part types'!$V:$V,$AK912)&amp;"")</f>
        <v>Estimate: size class L</v>
      </c>
      <c r="AH912" s="9" t="str">
        <f aca="false">IF($AK912=0,"",INDEX('Part types'!$W:$W,$AK912)&amp;"")</f>
        <v/>
      </c>
      <c r="AI912" s="11" t="str">
        <f aca="false">IF($AK912=0,"",INDEX('Part types'!$X:$X,$AK912)&amp;"")</f>
        <v>مجرى المياه</v>
      </c>
      <c r="AJ912" s="9" t="str">
        <f aca="false">IF($AK912=0,"",INDEX('Part types'!$Y:$Y,$AK912)&amp;"")</f>
        <v>排水槽</v>
      </c>
      <c r="AK912" s="9" t="n">
        <f aca="false">IFERROR(MATCH($AD912,'Part types'!$E:$E,0),0)</f>
        <v>612</v>
      </c>
    </row>
    <row r="913" customFormat="false" ht="15" hidden="false" customHeight="false" outlineLevel="0" collapsed="false">
      <c r="A913" s="9" t="s">
        <v>3792</v>
      </c>
      <c r="B913" s="9" t="s">
        <v>3772</v>
      </c>
      <c r="C913" s="9" t="s">
        <v>3793</v>
      </c>
      <c r="D913" s="9" t="str">
        <f aca="false">C913&amp;" - "&amp;E913</f>
        <v>Sunroof Assembly - Universal</v>
      </c>
      <c r="E913" s="9" t="s">
        <v>68</v>
      </c>
      <c r="F913" s="9" t="s">
        <v>3794</v>
      </c>
      <c r="G913" s="10" t="n">
        <f aca="false">IF($AK913=0,"",INDEX('Part types'!$P:$P,$AK913))</f>
        <v>110</v>
      </c>
      <c r="H913" s="10" t="n">
        <f aca="false">IF($AK913=0,"",INDEX('Part types'!$Q:$Q,$AK913))</f>
        <v>90</v>
      </c>
      <c r="I913" s="10" t="n">
        <f aca="false">IF($AK913=0,"",INDEX('Part types'!$R:$R,$AK913))</f>
        <v>15</v>
      </c>
      <c r="J913" s="10" t="n">
        <f aca="false">IF($AK913=0,"",INDEX('Part types'!$S:$S,$AK913))</f>
        <v>22</v>
      </c>
      <c r="K913" s="11" t="s">
        <v>3774</v>
      </c>
      <c r="L913" s="11" t="s">
        <v>3795</v>
      </c>
      <c r="M913" s="11" t="str">
        <f aca="false">L913&amp;" - "&amp;N913</f>
        <v>فتحة سقف كاملة - عام</v>
      </c>
      <c r="N913" s="11" t="s">
        <v>72</v>
      </c>
      <c r="O913" s="11" t="s">
        <v>3796</v>
      </c>
      <c r="P913" s="10" t="n">
        <f aca="false">G913</f>
        <v>110</v>
      </c>
      <c r="Q913" s="10" t="n">
        <f aca="false">H913</f>
        <v>90</v>
      </c>
      <c r="R913" s="10" t="n">
        <f aca="false">I913</f>
        <v>15</v>
      </c>
      <c r="S913" s="10" t="n">
        <f aca="false">J913</f>
        <v>22</v>
      </c>
      <c r="T913" s="12" t="s">
        <v>3776</v>
      </c>
      <c r="U913" s="12" t="s">
        <v>3797</v>
      </c>
      <c r="V913" s="9" t="str">
        <f aca="false">U913&amp;" - "&amp;W913</f>
        <v>天窗总成 - 通用</v>
      </c>
      <c r="W913" s="12" t="s">
        <v>76</v>
      </c>
      <c r="X913" s="12" t="s">
        <v>3798</v>
      </c>
      <c r="Y913" s="10" t="n">
        <f aca="false">G913</f>
        <v>110</v>
      </c>
      <c r="Z913" s="10" t="n">
        <f aca="false">H913</f>
        <v>90</v>
      </c>
      <c r="AA913" s="10" t="n">
        <f aca="false">I913</f>
        <v>15</v>
      </c>
      <c r="AB913" s="10" t="n">
        <f aca="false">J913</f>
        <v>22</v>
      </c>
      <c r="AC913" s="9" t="s">
        <v>3778</v>
      </c>
      <c r="AD913" s="9" t="s">
        <v>3799</v>
      </c>
      <c r="AE913" s="9" t="str">
        <f aca="false">IF($AK913=0,"",INDEX('Part types'!$T:$T,$AK913)&amp;"")</f>
        <v>All vehicles</v>
      </c>
      <c r="AF913" s="9" t="str">
        <f aca="false">IF($AK913=0,"",INDEX('Part types'!$U:$U,$AK913)&amp;"")</f>
        <v/>
      </c>
      <c r="AG913" s="9" t="str">
        <f aca="false">IF($AK913=0,"",INDEX('Part types'!$V:$V,$AK913)&amp;"")</f>
        <v>Estimate: item-specific</v>
      </c>
      <c r="AH913" s="9" t="str">
        <f aca="false">IF($AK913=0,"",INDEX('Part types'!$W:$W,$AK913)&amp;"")</f>
        <v/>
      </c>
      <c r="AI913" s="11" t="str">
        <f aca="false">IF($AK913=0,"",INDEX('Part types'!$X:$X,$AK913)&amp;"")</f>
        <v/>
      </c>
      <c r="AJ913" s="9" t="str">
        <f aca="false">IF($AK913=0,"",INDEX('Part types'!$Y:$Y,$AK913)&amp;"")</f>
        <v/>
      </c>
      <c r="AK913" s="9" t="n">
        <f aca="false">IFERROR(MATCH($AD913,'Part types'!$E:$E,0),0)</f>
        <v>613</v>
      </c>
    </row>
    <row r="914" customFormat="false" ht="15" hidden="false" customHeight="false" outlineLevel="0" collapsed="false">
      <c r="A914" s="9" t="s">
        <v>3800</v>
      </c>
      <c r="B914" s="9" t="s">
        <v>3772</v>
      </c>
      <c r="C914" s="9" t="s">
        <v>3801</v>
      </c>
      <c r="D914" s="9" t="str">
        <f aca="false">C914&amp;" - "&amp;E914</f>
        <v>Sunroof Motor - Universal</v>
      </c>
      <c r="E914" s="9" t="s">
        <v>68</v>
      </c>
      <c r="F914" s="9" t="s">
        <v>3794</v>
      </c>
      <c r="G914" s="10" t="n">
        <f aca="false">IF($AK914=0,"",INDEX('Part types'!$P:$P,$AK914))</f>
        <v>25</v>
      </c>
      <c r="H914" s="10" t="n">
        <f aca="false">IF($AK914=0,"",INDEX('Part types'!$Q:$Q,$AK914))</f>
        <v>15</v>
      </c>
      <c r="I914" s="10" t="n">
        <f aca="false">IF($AK914=0,"",INDEX('Part types'!$R:$R,$AK914))</f>
        <v>10</v>
      </c>
      <c r="J914" s="10" t="n">
        <f aca="false">IF($AK914=0,"",INDEX('Part types'!$S:$S,$AK914))</f>
        <v>0.9</v>
      </c>
      <c r="K914" s="11" t="s">
        <v>3774</v>
      </c>
      <c r="L914" s="11" t="s">
        <v>3802</v>
      </c>
      <c r="M914" s="11" t="str">
        <f aca="false">L914&amp;" - "&amp;N914</f>
        <v>موتور فتحة السقف - عام</v>
      </c>
      <c r="N914" s="11" t="s">
        <v>72</v>
      </c>
      <c r="O914" s="11" t="s">
        <v>3796</v>
      </c>
      <c r="P914" s="10" t="n">
        <f aca="false">G914</f>
        <v>25</v>
      </c>
      <c r="Q914" s="10" t="n">
        <f aca="false">H914</f>
        <v>15</v>
      </c>
      <c r="R914" s="10" t="n">
        <f aca="false">I914</f>
        <v>10</v>
      </c>
      <c r="S914" s="10" t="n">
        <f aca="false">J914</f>
        <v>0.9</v>
      </c>
      <c r="T914" s="12" t="s">
        <v>3776</v>
      </c>
      <c r="U914" s="12" t="s">
        <v>3803</v>
      </c>
      <c r="V914" s="9" t="str">
        <f aca="false">U914&amp;" - "&amp;W914</f>
        <v>天窗电机 - 通用</v>
      </c>
      <c r="W914" s="12" t="s">
        <v>76</v>
      </c>
      <c r="X914" s="12" t="s">
        <v>3798</v>
      </c>
      <c r="Y914" s="10" t="n">
        <f aca="false">G914</f>
        <v>25</v>
      </c>
      <c r="Z914" s="10" t="n">
        <f aca="false">H914</f>
        <v>15</v>
      </c>
      <c r="AA914" s="10" t="n">
        <f aca="false">I914</f>
        <v>10</v>
      </c>
      <c r="AB914" s="10" t="n">
        <f aca="false">J914</f>
        <v>0.9</v>
      </c>
      <c r="AC914" s="9" t="s">
        <v>3778</v>
      </c>
      <c r="AD914" s="9" t="s">
        <v>3804</v>
      </c>
      <c r="AE914" s="9" t="str">
        <f aca="false">IF($AK914=0,"",INDEX('Part types'!$T:$T,$AK914)&amp;"")</f>
        <v>All vehicles</v>
      </c>
      <c r="AF914" s="9" t="str">
        <f aca="false">IF($AK914=0,"",INDEX('Part types'!$U:$U,$AK914)&amp;"")</f>
        <v/>
      </c>
      <c r="AG914" s="9" t="str">
        <f aca="false">IF($AK914=0,"",INDEX('Part types'!$V:$V,$AK914)&amp;"")</f>
        <v>Estimate: size class M</v>
      </c>
      <c r="AH914" s="9" t="str">
        <f aca="false">IF($AK914=0,"",INDEX('Part types'!$W:$W,$AK914)&amp;"")</f>
        <v/>
      </c>
      <c r="AI914" s="11" t="str">
        <f aca="false">IF($AK914=0,"",INDEX('Part types'!$X:$X,$AK914)&amp;"")</f>
        <v/>
      </c>
      <c r="AJ914" s="9" t="str">
        <f aca="false">IF($AK914=0,"",INDEX('Part types'!$Y:$Y,$AK914)&amp;"")</f>
        <v/>
      </c>
      <c r="AK914" s="9" t="n">
        <f aca="false">IFERROR(MATCH($AD914,'Part types'!$E:$E,0),0)</f>
        <v>614</v>
      </c>
    </row>
    <row r="915" customFormat="false" ht="15" hidden="false" customHeight="false" outlineLevel="0" collapsed="false">
      <c r="A915" s="9" t="s">
        <v>3805</v>
      </c>
      <c r="B915" s="9" t="s">
        <v>3772</v>
      </c>
      <c r="C915" s="9" t="s">
        <v>3806</v>
      </c>
      <c r="D915" s="9" t="str">
        <f aca="false">C915&amp;" - "&amp;E915</f>
        <v>Sunroof Glass Panel - Universal</v>
      </c>
      <c r="E915" s="9" t="s">
        <v>68</v>
      </c>
      <c r="F915" s="9" t="s">
        <v>3794</v>
      </c>
      <c r="G915" s="10" t="n">
        <f aca="false">IF($AK915=0,"",INDEX('Part types'!$P:$P,$AK915))</f>
        <v>100</v>
      </c>
      <c r="H915" s="10" t="n">
        <f aca="false">IF($AK915=0,"",INDEX('Part types'!$Q:$Q,$AK915))</f>
        <v>80</v>
      </c>
      <c r="I915" s="10" t="n">
        <f aca="false">IF($AK915=0,"",INDEX('Part types'!$R:$R,$AK915))</f>
        <v>5</v>
      </c>
      <c r="J915" s="10" t="n">
        <f aca="false">IF($AK915=0,"",INDEX('Part types'!$S:$S,$AK915))</f>
        <v>10</v>
      </c>
      <c r="K915" s="11" t="s">
        <v>3774</v>
      </c>
      <c r="L915" s="11" t="s">
        <v>3807</v>
      </c>
      <c r="M915" s="11" t="str">
        <f aca="false">L915&amp;" - "&amp;N915</f>
        <v>زجاج فتحة السقف - عام</v>
      </c>
      <c r="N915" s="11" t="s">
        <v>72</v>
      </c>
      <c r="O915" s="11" t="s">
        <v>3796</v>
      </c>
      <c r="P915" s="10" t="n">
        <f aca="false">G915</f>
        <v>100</v>
      </c>
      <c r="Q915" s="10" t="n">
        <f aca="false">H915</f>
        <v>80</v>
      </c>
      <c r="R915" s="10" t="n">
        <f aca="false">I915</f>
        <v>5</v>
      </c>
      <c r="S915" s="10" t="n">
        <f aca="false">J915</f>
        <v>10</v>
      </c>
      <c r="T915" s="12" t="s">
        <v>3776</v>
      </c>
      <c r="U915" s="12" t="s">
        <v>3808</v>
      </c>
      <c r="V915" s="9" t="str">
        <f aca="false">U915&amp;" - "&amp;W915</f>
        <v>天窗玻璃 - 通用</v>
      </c>
      <c r="W915" s="12" t="s">
        <v>76</v>
      </c>
      <c r="X915" s="12" t="s">
        <v>3798</v>
      </c>
      <c r="Y915" s="10" t="n">
        <f aca="false">G915</f>
        <v>100</v>
      </c>
      <c r="Z915" s="10" t="n">
        <f aca="false">H915</f>
        <v>80</v>
      </c>
      <c r="AA915" s="10" t="n">
        <f aca="false">I915</f>
        <v>5</v>
      </c>
      <c r="AB915" s="10" t="n">
        <f aca="false">J915</f>
        <v>10</v>
      </c>
      <c r="AC915" s="9" t="s">
        <v>3778</v>
      </c>
      <c r="AD915" s="9" t="s">
        <v>3809</v>
      </c>
      <c r="AE915" s="9" t="str">
        <f aca="false">IF($AK915=0,"",INDEX('Part types'!$T:$T,$AK915)&amp;"")</f>
        <v>All vehicles</v>
      </c>
      <c r="AF915" s="9" t="str">
        <f aca="false">IF($AK915=0,"",INDEX('Part types'!$U:$U,$AK915)&amp;"")</f>
        <v>Fragile</v>
      </c>
      <c r="AG915" s="9" t="str">
        <f aca="false">IF($AK915=0,"",INDEX('Part types'!$V:$V,$AK915)&amp;"")</f>
        <v>Estimate: item-specific</v>
      </c>
      <c r="AH915" s="9" t="str">
        <f aca="false">IF($AK915=0,"",INDEX('Part types'!$W:$W,$AK915)&amp;"")</f>
        <v/>
      </c>
      <c r="AI915" s="11" t="str">
        <f aca="false">IF($AK915=0,"",INDEX('Part types'!$X:$X,$AK915)&amp;"")</f>
        <v/>
      </c>
      <c r="AJ915" s="9" t="str">
        <f aca="false">IF($AK915=0,"",INDEX('Part types'!$Y:$Y,$AK915)&amp;"")</f>
        <v/>
      </c>
      <c r="AK915" s="9" t="n">
        <f aca="false">IFERROR(MATCH($AD915,'Part types'!$E:$E,0),0)</f>
        <v>615</v>
      </c>
    </row>
    <row r="916" customFormat="false" ht="15" hidden="false" customHeight="false" outlineLevel="0" collapsed="false">
      <c r="A916" s="9" t="s">
        <v>3810</v>
      </c>
      <c r="B916" s="9" t="s">
        <v>3811</v>
      </c>
      <c r="C916" s="9" t="s">
        <v>3812</v>
      </c>
      <c r="D916" s="9" t="str">
        <f aca="false">C916&amp;" - "&amp;E916</f>
        <v>Trunk Emblem - Universal</v>
      </c>
      <c r="E916" s="9" t="s">
        <v>68</v>
      </c>
      <c r="F916" s="9" t="s">
        <v>2106</v>
      </c>
      <c r="G916" s="10" t="n">
        <f aca="false">IF($AK916=0,"",INDEX('Part types'!$P:$P,$AK916))</f>
        <v>10</v>
      </c>
      <c r="H916" s="10" t="n">
        <f aca="false">IF($AK916=0,"",INDEX('Part types'!$Q:$Q,$AK916))</f>
        <v>8</v>
      </c>
      <c r="I916" s="10" t="n">
        <f aca="false">IF($AK916=0,"",INDEX('Part types'!$R:$R,$AK916))</f>
        <v>6</v>
      </c>
      <c r="J916" s="10" t="n">
        <f aca="false">IF($AK916=0,"",INDEX('Part types'!$S:$S,$AK916))</f>
        <v>0.1</v>
      </c>
      <c r="K916" s="11" t="s">
        <v>3813</v>
      </c>
      <c r="L916" s="11" t="s">
        <v>3814</v>
      </c>
      <c r="M916" s="11" t="str">
        <f aca="false">L916&amp;" - "&amp;N916</f>
        <v>شعار الصندوق - عام</v>
      </c>
      <c r="N916" s="11" t="s">
        <v>72</v>
      </c>
      <c r="O916" s="11" t="s">
        <v>2108</v>
      </c>
      <c r="P916" s="10" t="n">
        <f aca="false">G916</f>
        <v>10</v>
      </c>
      <c r="Q916" s="10" t="n">
        <f aca="false">H916</f>
        <v>8</v>
      </c>
      <c r="R916" s="10" t="n">
        <f aca="false">I916</f>
        <v>6</v>
      </c>
      <c r="S916" s="10" t="n">
        <f aca="false">J916</f>
        <v>0.1</v>
      </c>
      <c r="T916" s="12" t="s">
        <v>3815</v>
      </c>
      <c r="U916" s="12" t="s">
        <v>3816</v>
      </c>
      <c r="V916" s="9" t="str">
        <f aca="false">U916&amp;" - "&amp;W916</f>
        <v>尾箱车标 - 通用</v>
      </c>
      <c r="W916" s="12" t="s">
        <v>76</v>
      </c>
      <c r="X916" s="12" t="s">
        <v>2110</v>
      </c>
      <c r="Y916" s="10" t="n">
        <f aca="false">G916</f>
        <v>10</v>
      </c>
      <c r="Z916" s="10" t="n">
        <f aca="false">H916</f>
        <v>8</v>
      </c>
      <c r="AA916" s="10" t="n">
        <f aca="false">I916</f>
        <v>6</v>
      </c>
      <c r="AB916" s="10" t="n">
        <f aca="false">J916</f>
        <v>0.1</v>
      </c>
      <c r="AC916" s="9" t="s">
        <v>3817</v>
      </c>
      <c r="AD916" s="9" t="s">
        <v>3818</v>
      </c>
      <c r="AE916" s="9" t="str">
        <f aca="false">IF($AK916=0,"",INDEX('Part types'!$T:$T,$AK916)&amp;"")</f>
        <v>All vehicles</v>
      </c>
      <c r="AF916" s="9" t="str">
        <f aca="false">IF($AK916=0,"",INDEX('Part types'!$U:$U,$AK916)&amp;"")</f>
        <v/>
      </c>
      <c r="AG916" s="9" t="str">
        <f aca="false">IF($AK916=0,"",INDEX('Part types'!$V:$V,$AK916)&amp;"")</f>
        <v>Estimate: size class XS</v>
      </c>
      <c r="AH916" s="9" t="str">
        <f aca="false">IF($AK916=0,"",INDEX('Part types'!$W:$W,$AK916)&amp;"")</f>
        <v/>
      </c>
      <c r="AI916" s="11" t="str">
        <f aca="false">IF($AK916=0,"",INDEX('Part types'!$X:$X,$AK916)&amp;"")</f>
        <v/>
      </c>
      <c r="AJ916" s="9" t="str">
        <f aca="false">IF($AK916=0,"",INDEX('Part types'!$Y:$Y,$AK916)&amp;"")</f>
        <v/>
      </c>
      <c r="AK916" s="9" t="n">
        <f aca="false">IFERROR(MATCH($AD916,'Part types'!$E:$E,0),0)</f>
        <v>616</v>
      </c>
    </row>
    <row r="917" customFormat="false" ht="15" hidden="false" customHeight="false" outlineLevel="0" collapsed="false">
      <c r="A917" s="9" t="s">
        <v>3819</v>
      </c>
      <c r="B917" s="9" t="s">
        <v>3811</v>
      </c>
      <c r="C917" s="9" t="s">
        <v>3820</v>
      </c>
      <c r="D917" s="9" t="str">
        <f aca="false">C917&amp;" - "&amp;E917</f>
        <v>Model Name Badge - Universal</v>
      </c>
      <c r="E917" s="9" t="s">
        <v>68</v>
      </c>
      <c r="F917" s="9" t="s">
        <v>2106</v>
      </c>
      <c r="G917" s="10" t="n">
        <f aca="false">IF($AK917=0,"",INDEX('Part types'!$P:$P,$AK917))</f>
        <v>10</v>
      </c>
      <c r="H917" s="10" t="n">
        <f aca="false">IF($AK917=0,"",INDEX('Part types'!$Q:$Q,$AK917))</f>
        <v>8</v>
      </c>
      <c r="I917" s="10" t="n">
        <f aca="false">IF($AK917=0,"",INDEX('Part types'!$R:$R,$AK917))</f>
        <v>6</v>
      </c>
      <c r="J917" s="10" t="n">
        <f aca="false">IF($AK917=0,"",INDEX('Part types'!$S:$S,$AK917))</f>
        <v>0.1</v>
      </c>
      <c r="K917" s="11" t="s">
        <v>3813</v>
      </c>
      <c r="L917" s="11" t="s">
        <v>3821</v>
      </c>
      <c r="M917" s="11" t="str">
        <f aca="false">L917&amp;" - "&amp;N917</f>
        <v>شعار اسم الطراز - عام</v>
      </c>
      <c r="N917" s="11" t="s">
        <v>72</v>
      </c>
      <c r="O917" s="11" t="s">
        <v>2108</v>
      </c>
      <c r="P917" s="10" t="n">
        <f aca="false">G917</f>
        <v>10</v>
      </c>
      <c r="Q917" s="10" t="n">
        <f aca="false">H917</f>
        <v>8</v>
      </c>
      <c r="R917" s="10" t="n">
        <f aca="false">I917</f>
        <v>6</v>
      </c>
      <c r="S917" s="10" t="n">
        <f aca="false">J917</f>
        <v>0.1</v>
      </c>
      <c r="T917" s="12" t="s">
        <v>3815</v>
      </c>
      <c r="U917" s="12" t="s">
        <v>3822</v>
      </c>
      <c r="V917" s="9" t="str">
        <f aca="false">U917&amp;" - "&amp;W917</f>
        <v>车型字标 - 通用</v>
      </c>
      <c r="W917" s="12" t="s">
        <v>76</v>
      </c>
      <c r="X917" s="12" t="s">
        <v>2110</v>
      </c>
      <c r="Y917" s="10" t="n">
        <f aca="false">G917</f>
        <v>10</v>
      </c>
      <c r="Z917" s="10" t="n">
        <f aca="false">H917</f>
        <v>8</v>
      </c>
      <c r="AA917" s="10" t="n">
        <f aca="false">I917</f>
        <v>6</v>
      </c>
      <c r="AB917" s="10" t="n">
        <f aca="false">J917</f>
        <v>0.1</v>
      </c>
      <c r="AC917" s="9" t="s">
        <v>3817</v>
      </c>
      <c r="AD917" s="9" t="s">
        <v>3823</v>
      </c>
      <c r="AE917" s="9" t="str">
        <f aca="false">IF($AK917=0,"",INDEX('Part types'!$T:$T,$AK917)&amp;"")</f>
        <v>All vehicles</v>
      </c>
      <c r="AF917" s="9" t="str">
        <f aca="false">IF($AK917=0,"",INDEX('Part types'!$U:$U,$AK917)&amp;"")</f>
        <v/>
      </c>
      <c r="AG917" s="9" t="str">
        <f aca="false">IF($AK917=0,"",INDEX('Part types'!$V:$V,$AK917)&amp;"")</f>
        <v>Estimate: size class XS</v>
      </c>
      <c r="AH917" s="9" t="str">
        <f aca="false">IF($AK917=0,"",INDEX('Part types'!$W:$W,$AK917)&amp;"")</f>
        <v/>
      </c>
      <c r="AI917" s="11" t="str">
        <f aca="false">IF($AK917=0,"",INDEX('Part types'!$X:$X,$AK917)&amp;"")</f>
        <v/>
      </c>
      <c r="AJ917" s="9" t="str">
        <f aca="false">IF($AK917=0,"",INDEX('Part types'!$Y:$Y,$AK917)&amp;"")</f>
        <v/>
      </c>
      <c r="AK917" s="9" t="n">
        <f aca="false">IFERROR(MATCH($AD917,'Part types'!$E:$E,0),0)</f>
        <v>617</v>
      </c>
    </row>
    <row r="918" customFormat="false" ht="15" hidden="false" customHeight="false" outlineLevel="0" collapsed="false">
      <c r="A918" s="9" t="s">
        <v>3824</v>
      </c>
      <c r="B918" s="9" t="s">
        <v>3811</v>
      </c>
      <c r="C918" s="9" t="s">
        <v>3825</v>
      </c>
      <c r="D918" s="9" t="str">
        <f aca="false">C918&amp;" - "&amp;E918</f>
        <v>Fuel Filler Door - Universal</v>
      </c>
      <c r="E918" s="9" t="s">
        <v>68</v>
      </c>
      <c r="F918" s="9" t="s">
        <v>2839</v>
      </c>
      <c r="G918" s="10" t="n">
        <f aca="false">IF($AK918=0,"",INDEX('Part types'!$P:$P,$AK918))</f>
        <v>15</v>
      </c>
      <c r="H918" s="10" t="n">
        <f aca="false">IF($AK918=0,"",INDEX('Part types'!$Q:$Q,$AK918))</f>
        <v>10</v>
      </c>
      <c r="I918" s="10" t="n">
        <f aca="false">IF($AK918=0,"",INDEX('Part types'!$R:$R,$AK918))</f>
        <v>8</v>
      </c>
      <c r="J918" s="10" t="n">
        <f aca="false">IF($AK918=0,"",INDEX('Part types'!$S:$S,$AK918))</f>
        <v>0.3</v>
      </c>
      <c r="K918" s="11" t="s">
        <v>3813</v>
      </c>
      <c r="L918" s="11" t="s">
        <v>3826</v>
      </c>
      <c r="M918" s="11" t="str">
        <f aca="false">L918&amp;" - "&amp;N918</f>
        <v>غطاء فتحة الوقود - عام</v>
      </c>
      <c r="N918" s="11" t="s">
        <v>72</v>
      </c>
      <c r="O918" s="11" t="s">
        <v>2841</v>
      </c>
      <c r="P918" s="10" t="n">
        <f aca="false">G918</f>
        <v>15</v>
      </c>
      <c r="Q918" s="10" t="n">
        <f aca="false">H918</f>
        <v>10</v>
      </c>
      <c r="R918" s="10" t="n">
        <f aca="false">I918</f>
        <v>8</v>
      </c>
      <c r="S918" s="10" t="n">
        <f aca="false">J918</f>
        <v>0.3</v>
      </c>
      <c r="T918" s="12" t="s">
        <v>3815</v>
      </c>
      <c r="U918" s="12" t="s">
        <v>3827</v>
      </c>
      <c r="V918" s="9" t="str">
        <f aca="false">U918&amp;" - "&amp;W918</f>
        <v>加油口盖板 - 通用</v>
      </c>
      <c r="W918" s="12" t="s">
        <v>76</v>
      </c>
      <c r="X918" s="12" t="s">
        <v>2843</v>
      </c>
      <c r="Y918" s="10" t="n">
        <f aca="false">G918</f>
        <v>15</v>
      </c>
      <c r="Z918" s="10" t="n">
        <f aca="false">H918</f>
        <v>10</v>
      </c>
      <c r="AA918" s="10" t="n">
        <f aca="false">I918</f>
        <v>8</v>
      </c>
      <c r="AB918" s="10" t="n">
        <f aca="false">J918</f>
        <v>0.3</v>
      </c>
      <c r="AC918" s="9" t="s">
        <v>3817</v>
      </c>
      <c r="AD918" s="9" t="s">
        <v>3828</v>
      </c>
      <c r="AE918" s="9" t="str">
        <f aca="false">IF($AK918=0,"",INDEX('Part types'!$T:$T,$AK918)&amp;"")</f>
        <v>Combustion engine (petrol, diesel, hybrid, range extender)</v>
      </c>
      <c r="AF918" s="9" t="str">
        <f aca="false">IF($AK918=0,"",INDEX('Part types'!$U:$U,$AK918)&amp;"")</f>
        <v/>
      </c>
      <c r="AG918" s="9" t="str">
        <f aca="false">IF($AK918=0,"",INDEX('Part types'!$V:$V,$AK918)&amp;"")</f>
        <v>Estimate: size class S</v>
      </c>
      <c r="AH918" s="9" t="str">
        <f aca="false">IF($AK918=0,"",INDEX('Part types'!$W:$W,$AK918)&amp;"")</f>
        <v/>
      </c>
      <c r="AI918" s="11" t="str">
        <f aca="false">IF($AK918=0,"",INDEX('Part types'!$X:$X,$AK918)&amp;"")</f>
        <v/>
      </c>
      <c r="AJ918" s="9" t="str">
        <f aca="false">IF($AK918=0,"",INDEX('Part types'!$Y:$Y,$AK918)&amp;"")</f>
        <v/>
      </c>
      <c r="AK918" s="9" t="n">
        <f aca="false">IFERROR(MATCH($AD918,'Part types'!$E:$E,0),0)</f>
        <v>618</v>
      </c>
    </row>
    <row r="919" customFormat="false" ht="15" hidden="false" customHeight="false" outlineLevel="0" collapsed="false">
      <c r="A919" s="9" t="s">
        <v>3829</v>
      </c>
      <c r="B919" s="9" t="s">
        <v>3811</v>
      </c>
      <c r="C919" s="9" t="s">
        <v>3830</v>
      </c>
      <c r="D919" s="9" t="str">
        <f aca="false">C919&amp;" - "&amp;E919</f>
        <v>Underbody Aero Panel - Universal</v>
      </c>
      <c r="E919" s="9" t="s">
        <v>68</v>
      </c>
      <c r="F919" s="9" t="s">
        <v>237</v>
      </c>
      <c r="G919" s="10" t="n">
        <f aca="false">IF($AK919=0,"",INDEX('Part types'!$P:$P,$AK919))</f>
        <v>70</v>
      </c>
      <c r="H919" s="10" t="n">
        <f aca="false">IF($AK919=0,"",INDEX('Part types'!$Q:$Q,$AK919))</f>
        <v>40</v>
      </c>
      <c r="I919" s="10" t="n">
        <f aca="false">IF($AK919=0,"",INDEX('Part types'!$R:$R,$AK919))</f>
        <v>25</v>
      </c>
      <c r="J919" s="10" t="n">
        <f aca="false">IF($AK919=0,"",INDEX('Part types'!$S:$S,$AK919))</f>
        <v>9</v>
      </c>
      <c r="K919" s="11" t="s">
        <v>3813</v>
      </c>
      <c r="L919" s="11" t="s">
        <v>3831</v>
      </c>
      <c r="M919" s="11" t="str">
        <f aca="false">L919&amp;" - "&amp;N919</f>
        <v>لوحة حماية أسفل السيارة - عام</v>
      </c>
      <c r="N919" s="11" t="s">
        <v>72</v>
      </c>
      <c r="O919" s="11" t="s">
        <v>239</v>
      </c>
      <c r="P919" s="10" t="n">
        <f aca="false">G919</f>
        <v>70</v>
      </c>
      <c r="Q919" s="10" t="n">
        <f aca="false">H919</f>
        <v>40</v>
      </c>
      <c r="R919" s="10" t="n">
        <f aca="false">I919</f>
        <v>25</v>
      </c>
      <c r="S919" s="10" t="n">
        <f aca="false">J919</f>
        <v>9</v>
      </c>
      <c r="T919" s="12" t="s">
        <v>3815</v>
      </c>
      <c r="U919" s="12" t="s">
        <v>3832</v>
      </c>
      <c r="V919" s="9" t="str">
        <f aca="false">U919&amp;" - "&amp;W919</f>
        <v>底盘导流下护板 - 通用</v>
      </c>
      <c r="W919" s="12" t="s">
        <v>76</v>
      </c>
      <c r="X919" s="12" t="s">
        <v>241</v>
      </c>
      <c r="Y919" s="10" t="n">
        <f aca="false">G919</f>
        <v>70</v>
      </c>
      <c r="Z919" s="10" t="n">
        <f aca="false">H919</f>
        <v>40</v>
      </c>
      <c r="AA919" s="10" t="n">
        <f aca="false">I919</f>
        <v>25</v>
      </c>
      <c r="AB919" s="10" t="n">
        <f aca="false">J919</f>
        <v>9</v>
      </c>
      <c r="AC919" s="9" t="s">
        <v>3817</v>
      </c>
      <c r="AD919" s="9" t="s">
        <v>3833</v>
      </c>
      <c r="AE919" s="9" t="str">
        <f aca="false">IF($AK919=0,"",INDEX('Part types'!$T:$T,$AK919)&amp;"")</f>
        <v>All vehicles</v>
      </c>
      <c r="AF919" s="9" t="str">
        <f aca="false">IF($AK919=0,"",INDEX('Part types'!$U:$U,$AK919)&amp;"")</f>
        <v/>
      </c>
      <c r="AG919" s="9" t="str">
        <f aca="false">IF($AK919=0,"",INDEX('Part types'!$V:$V,$AK919)&amp;"")</f>
        <v>Estimate: size class XL</v>
      </c>
      <c r="AH919" s="9" t="str">
        <f aca="false">IF($AK919=0,"",INDEX('Part types'!$W:$W,$AK919)&amp;"")</f>
        <v/>
      </c>
      <c r="AI919" s="11" t="str">
        <f aca="false">IF($AK919=0,"",INDEX('Part types'!$X:$X,$AK919)&amp;"")</f>
        <v/>
      </c>
      <c r="AJ919" s="9" t="str">
        <f aca="false">IF($AK919=0,"",INDEX('Part types'!$Y:$Y,$AK919)&amp;"")</f>
        <v/>
      </c>
      <c r="AK919" s="9" t="n">
        <f aca="false">IFERROR(MATCH($AD919,'Part types'!$E:$E,0),0)</f>
        <v>619</v>
      </c>
    </row>
    <row r="920" customFormat="false" ht="15" hidden="false" customHeight="false" outlineLevel="0" collapsed="false">
      <c r="A920" s="9" t="s">
        <v>3834</v>
      </c>
      <c r="B920" s="9" t="s">
        <v>3811</v>
      </c>
      <c r="C920" s="9" t="s">
        <v>3835</v>
      </c>
      <c r="D920" s="9" t="str">
        <f aca="false">C920&amp;" - "&amp;E920</f>
        <v>Cowl Panel - Universal</v>
      </c>
      <c r="E920" s="9" t="s">
        <v>68</v>
      </c>
      <c r="F920" s="9" t="s">
        <v>3836</v>
      </c>
      <c r="G920" s="10" t="n">
        <f aca="false">IF($AK920=0,"",INDEX('Part types'!$P:$P,$AK920))</f>
        <v>50</v>
      </c>
      <c r="H920" s="10" t="n">
        <f aca="false">IF($AK920=0,"",INDEX('Part types'!$Q:$Q,$AK920))</f>
        <v>30</v>
      </c>
      <c r="I920" s="10" t="n">
        <f aca="false">IF($AK920=0,"",INDEX('Part types'!$R:$R,$AK920))</f>
        <v>20</v>
      </c>
      <c r="J920" s="10" t="n">
        <f aca="false">IF($AK920=0,"",INDEX('Part types'!$S:$S,$AK920))</f>
        <v>5</v>
      </c>
      <c r="K920" s="11" t="s">
        <v>3813</v>
      </c>
      <c r="L920" s="11" t="s">
        <v>3837</v>
      </c>
      <c r="M920" s="11" t="str">
        <f aca="false">L920&amp;" - "&amp;N920</f>
        <v>غطاء قاعدة الزجاج الأمامي - عام</v>
      </c>
      <c r="N920" s="11" t="s">
        <v>72</v>
      </c>
      <c r="O920" s="11" t="s">
        <v>3838</v>
      </c>
      <c r="P920" s="10" t="n">
        <f aca="false">G920</f>
        <v>50</v>
      </c>
      <c r="Q920" s="10" t="n">
        <f aca="false">H920</f>
        <v>30</v>
      </c>
      <c r="R920" s="10" t="n">
        <f aca="false">I920</f>
        <v>20</v>
      </c>
      <c r="S920" s="10" t="n">
        <f aca="false">J920</f>
        <v>5</v>
      </c>
      <c r="T920" s="12" t="s">
        <v>3815</v>
      </c>
      <c r="U920" s="12" t="s">
        <v>3839</v>
      </c>
      <c r="V920" s="9" t="str">
        <f aca="false">U920&amp;" - "&amp;W920</f>
        <v>前挡风玻璃下饰板 - 通用</v>
      </c>
      <c r="W920" s="12" t="s">
        <v>76</v>
      </c>
      <c r="X920" s="12" t="s">
        <v>3840</v>
      </c>
      <c r="Y920" s="10" t="n">
        <f aca="false">G920</f>
        <v>50</v>
      </c>
      <c r="Z920" s="10" t="n">
        <f aca="false">H920</f>
        <v>30</v>
      </c>
      <c r="AA920" s="10" t="n">
        <f aca="false">I920</f>
        <v>20</v>
      </c>
      <c r="AB920" s="10" t="n">
        <f aca="false">J920</f>
        <v>5</v>
      </c>
      <c r="AC920" s="9" t="s">
        <v>3817</v>
      </c>
      <c r="AD920" s="9" t="s">
        <v>3841</v>
      </c>
      <c r="AE920" s="9" t="str">
        <f aca="false">IF($AK920=0,"",INDEX('Part types'!$T:$T,$AK920)&amp;"")</f>
        <v>All vehicles</v>
      </c>
      <c r="AF920" s="9" t="str">
        <f aca="false">IF($AK920=0,"",INDEX('Part types'!$U:$U,$AK920)&amp;"")</f>
        <v/>
      </c>
      <c r="AG920" s="9" t="str">
        <f aca="false">IF($AK920=0,"",INDEX('Part types'!$V:$V,$AK920)&amp;"")</f>
        <v>Estimate: size class L2</v>
      </c>
      <c r="AH920" s="9" t="str">
        <f aca="false">IF($AK920=0,"",INDEX('Part types'!$W:$W,$AK920)&amp;"")</f>
        <v/>
      </c>
      <c r="AI920" s="11" t="str">
        <f aca="false">IF($AK920=0,"",INDEX('Part types'!$X:$X,$AK920)&amp;"")</f>
        <v/>
      </c>
      <c r="AJ920" s="9" t="str">
        <f aca="false">IF($AK920=0,"",INDEX('Part types'!$Y:$Y,$AK920)&amp;"")</f>
        <v/>
      </c>
      <c r="AK920" s="9" t="n">
        <f aca="false">IFERROR(MATCH($AD920,'Part types'!$E:$E,0),0)</f>
        <v>620</v>
      </c>
    </row>
    <row r="921" customFormat="false" ht="15" hidden="false" customHeight="false" outlineLevel="0" collapsed="false">
      <c r="A921" s="9" t="s">
        <v>3842</v>
      </c>
      <c r="B921" s="9" t="s">
        <v>3811</v>
      </c>
      <c r="C921" s="9" t="s">
        <v>3843</v>
      </c>
      <c r="D921" s="9" t="str">
        <f aca="false">C921&amp;" - "&amp;E921</f>
        <v>Chrome Trim Set - Universal</v>
      </c>
      <c r="E921" s="9" t="s">
        <v>68</v>
      </c>
      <c r="F921" s="9" t="s">
        <v>2660</v>
      </c>
      <c r="G921" s="10" t="n">
        <f aca="false">IF($AK921=0,"",INDEX('Part types'!$P:$P,$AK921))</f>
        <v>30</v>
      </c>
      <c r="H921" s="10" t="n">
        <f aca="false">IF($AK921=0,"",INDEX('Part types'!$Q:$Q,$AK921))</f>
        <v>20</v>
      </c>
      <c r="I921" s="10" t="n">
        <f aca="false">IF($AK921=0,"",INDEX('Part types'!$R:$R,$AK921))</f>
        <v>15</v>
      </c>
      <c r="J921" s="10" t="n">
        <f aca="false">IF($AK921=0,"",INDEX('Part types'!$S:$S,$AK921))</f>
        <v>1.8</v>
      </c>
      <c r="K921" s="11" t="s">
        <v>3813</v>
      </c>
      <c r="L921" s="11" t="s">
        <v>3844</v>
      </c>
      <c r="M921" s="11" t="str">
        <f aca="false">L921&amp;" - "&amp;N921</f>
        <v>طقم زينة كروم - عام</v>
      </c>
      <c r="N921" s="11" t="s">
        <v>72</v>
      </c>
      <c r="O921" s="11" t="s">
        <v>2663</v>
      </c>
      <c r="P921" s="10" t="n">
        <f aca="false">G921</f>
        <v>30</v>
      </c>
      <c r="Q921" s="10" t="n">
        <f aca="false">H921</f>
        <v>20</v>
      </c>
      <c r="R921" s="10" t="n">
        <f aca="false">I921</f>
        <v>15</v>
      </c>
      <c r="S921" s="10" t="n">
        <f aca="false">J921</f>
        <v>1.8</v>
      </c>
      <c r="T921" s="12" t="s">
        <v>3815</v>
      </c>
      <c r="U921" s="12" t="s">
        <v>3845</v>
      </c>
      <c r="V921" s="9" t="str">
        <f aca="false">U921&amp;" - "&amp;W921</f>
        <v>镀铬饰条套装 - 通用</v>
      </c>
      <c r="W921" s="12" t="s">
        <v>76</v>
      </c>
      <c r="X921" s="12" t="s">
        <v>2666</v>
      </c>
      <c r="Y921" s="10" t="n">
        <f aca="false">G921</f>
        <v>30</v>
      </c>
      <c r="Z921" s="10" t="n">
        <f aca="false">H921</f>
        <v>20</v>
      </c>
      <c r="AA921" s="10" t="n">
        <f aca="false">I921</f>
        <v>15</v>
      </c>
      <c r="AB921" s="10" t="n">
        <f aca="false">J921</f>
        <v>1.8</v>
      </c>
      <c r="AC921" s="9" t="s">
        <v>3817</v>
      </c>
      <c r="AD921" s="9" t="s">
        <v>3846</v>
      </c>
      <c r="AE921" s="9" t="str">
        <f aca="false">IF($AK921=0,"",INDEX('Part types'!$T:$T,$AK921)&amp;"")</f>
        <v>All vehicles</v>
      </c>
      <c r="AF921" s="9" t="str">
        <f aca="false">IF($AK921=0,"",INDEX('Part types'!$U:$U,$AK921)&amp;"")</f>
        <v/>
      </c>
      <c r="AG921" s="9" t="str">
        <f aca="false">IF($AK921=0,"",INDEX('Part types'!$V:$V,$AK921)&amp;"")</f>
        <v>Estimate: size class M2</v>
      </c>
      <c r="AH921" s="9" t="str">
        <f aca="false">IF($AK921=0,"",INDEX('Part types'!$W:$W,$AK921)&amp;"")</f>
        <v/>
      </c>
      <c r="AI921" s="11" t="str">
        <f aca="false">IF($AK921=0,"",INDEX('Part types'!$X:$X,$AK921)&amp;"")</f>
        <v/>
      </c>
      <c r="AJ921" s="9" t="str">
        <f aca="false">IF($AK921=0,"",INDEX('Part types'!$Y:$Y,$AK921)&amp;"")</f>
        <v/>
      </c>
      <c r="AK921" s="9" t="n">
        <f aca="false">IFERROR(MATCH($AD921,'Part types'!$E:$E,0),0)</f>
        <v>621</v>
      </c>
    </row>
    <row r="922" customFormat="false" ht="15" hidden="false" customHeight="false" outlineLevel="0" collapsed="false">
      <c r="A922" s="9" t="s">
        <v>3847</v>
      </c>
      <c r="B922" s="9" t="s">
        <v>3848</v>
      </c>
      <c r="C922" s="9" t="s">
        <v>3849</v>
      </c>
      <c r="D922" s="9" t="str">
        <f aca="false">C922&amp;" - "&amp;E922</f>
        <v>Windshield Glass - Universal</v>
      </c>
      <c r="E922" s="9" t="s">
        <v>68</v>
      </c>
      <c r="F922" s="9" t="s">
        <v>2575</v>
      </c>
      <c r="G922" s="10" t="n">
        <f aca="false">IF($AK922=0,"",INDEX('Part types'!$P:$P,$AK922))</f>
        <v>150</v>
      </c>
      <c r="H922" s="10" t="n">
        <f aca="false">IF($AK922=0,"",INDEX('Part types'!$Q:$Q,$AK922))</f>
        <v>90</v>
      </c>
      <c r="I922" s="10" t="n">
        <f aca="false">IF($AK922=0,"",INDEX('Part types'!$R:$R,$AK922))</f>
        <v>5</v>
      </c>
      <c r="J922" s="10" t="n">
        <f aca="false">IF($AK922=0,"",INDEX('Part types'!$S:$S,$AK922))</f>
        <v>14</v>
      </c>
      <c r="K922" s="11" t="s">
        <v>3850</v>
      </c>
      <c r="L922" s="11" t="s">
        <v>2577</v>
      </c>
      <c r="M922" s="11" t="str">
        <f aca="false">L922&amp;" - "&amp;N922</f>
        <v>الزجاج الأمامي - عام</v>
      </c>
      <c r="N922" s="11" t="s">
        <v>72</v>
      </c>
      <c r="O922" s="11" t="s">
        <v>2577</v>
      </c>
      <c r="P922" s="10" t="n">
        <f aca="false">G922</f>
        <v>150</v>
      </c>
      <c r="Q922" s="10" t="n">
        <f aca="false">H922</f>
        <v>90</v>
      </c>
      <c r="R922" s="10" t="n">
        <f aca="false">I922</f>
        <v>5</v>
      </c>
      <c r="S922" s="10" t="n">
        <f aca="false">J922</f>
        <v>14</v>
      </c>
      <c r="T922" s="12" t="s">
        <v>3851</v>
      </c>
      <c r="U922" s="12" t="s">
        <v>2579</v>
      </c>
      <c r="V922" s="9" t="str">
        <f aca="false">U922&amp;" - "&amp;W922</f>
        <v>前挡风玻璃 - 通用</v>
      </c>
      <c r="W922" s="12" t="s">
        <v>76</v>
      </c>
      <c r="X922" s="12" t="s">
        <v>2579</v>
      </c>
      <c r="Y922" s="10" t="n">
        <f aca="false">G922</f>
        <v>150</v>
      </c>
      <c r="Z922" s="10" t="n">
        <f aca="false">H922</f>
        <v>90</v>
      </c>
      <c r="AA922" s="10" t="n">
        <f aca="false">I922</f>
        <v>5</v>
      </c>
      <c r="AB922" s="10" t="n">
        <f aca="false">J922</f>
        <v>14</v>
      </c>
      <c r="AC922" s="9" t="s">
        <v>3852</v>
      </c>
      <c r="AD922" s="9" t="s">
        <v>3853</v>
      </c>
      <c r="AE922" s="9" t="str">
        <f aca="false">IF($AK922=0,"",INDEX('Part types'!$T:$T,$AK922)&amp;"")</f>
        <v>All vehicles</v>
      </c>
      <c r="AF922" s="9" t="str">
        <f aca="false">IF($AK922=0,"",INDEX('Part types'!$U:$U,$AK922)&amp;"")</f>
        <v>Fragile; Oversized (over 120 cm)</v>
      </c>
      <c r="AG922" s="9" t="str">
        <f aca="false">IF($AK922=0,"",INDEX('Part types'!$V:$V,$AK922)&amp;"")</f>
        <v>Estimate: item-specific</v>
      </c>
      <c r="AH922" s="9" t="str">
        <f aca="false">IF($AK922=0,"",INDEX('Part types'!$W:$W,$AK922)&amp;"")</f>
        <v/>
      </c>
      <c r="AI922" s="11" t="str">
        <f aca="false">IF($AK922=0,"",INDEX('Part types'!$X:$X,$AK922)&amp;"")</f>
        <v>الشباك الأمامي</v>
      </c>
      <c r="AJ922" s="9" t="str">
        <f aca="false">IF($AK922=0,"",INDEX('Part types'!$Y:$Y,$AK922)&amp;"")</f>
        <v/>
      </c>
      <c r="AK922" s="9" t="n">
        <f aca="false">IFERROR(MATCH($AD922,'Part types'!$E:$E,0),0)</f>
        <v>622</v>
      </c>
    </row>
    <row r="923" customFormat="false" ht="15" hidden="false" customHeight="false" outlineLevel="0" collapsed="false">
      <c r="A923" s="9" t="s">
        <v>3854</v>
      </c>
      <c r="B923" s="9" t="s">
        <v>3848</v>
      </c>
      <c r="C923" s="9" t="s">
        <v>3855</v>
      </c>
      <c r="D923" s="9" t="str">
        <f aca="false">C923&amp;" - "&amp;E923</f>
        <v>Back Glass - Rear</v>
      </c>
      <c r="E923" s="9" t="s">
        <v>168</v>
      </c>
      <c r="F923" s="9" t="s">
        <v>2813</v>
      </c>
      <c r="G923" s="10" t="n">
        <f aca="false">IF($AK923=0,"",INDEX('Part types'!$P:$P,$AK923))</f>
        <v>130</v>
      </c>
      <c r="H923" s="10" t="n">
        <f aca="false">IF($AK923=0,"",INDEX('Part types'!$Q:$Q,$AK923))</f>
        <v>60</v>
      </c>
      <c r="I923" s="10" t="n">
        <f aca="false">IF($AK923=0,"",INDEX('Part types'!$R:$R,$AK923))</f>
        <v>5</v>
      </c>
      <c r="J923" s="10" t="n">
        <f aca="false">IF($AK923=0,"",INDEX('Part types'!$S:$S,$AK923))</f>
        <v>10</v>
      </c>
      <c r="K923" s="11" t="s">
        <v>3850</v>
      </c>
      <c r="L923" s="11" t="s">
        <v>2815</v>
      </c>
      <c r="M923" s="11" t="str">
        <f aca="false">L923&amp;" - "&amp;N923</f>
        <v>الزجاج الخلفي - خلفي</v>
      </c>
      <c r="N923" s="11" t="s">
        <v>169</v>
      </c>
      <c r="O923" s="11" t="s">
        <v>2815</v>
      </c>
      <c r="P923" s="10" t="n">
        <f aca="false">G923</f>
        <v>130</v>
      </c>
      <c r="Q923" s="10" t="n">
        <f aca="false">H923</f>
        <v>60</v>
      </c>
      <c r="R923" s="10" t="n">
        <f aca="false">I923</f>
        <v>5</v>
      </c>
      <c r="S923" s="10" t="n">
        <f aca="false">J923</f>
        <v>10</v>
      </c>
      <c r="T923" s="12" t="s">
        <v>3851</v>
      </c>
      <c r="U923" s="12" t="s">
        <v>2817</v>
      </c>
      <c r="V923" s="9" t="str">
        <f aca="false">U923&amp;" - "&amp;W923</f>
        <v>后挡风玻璃 - 后部</v>
      </c>
      <c r="W923" s="12" t="s">
        <v>170</v>
      </c>
      <c r="X923" s="12" t="s">
        <v>2817</v>
      </c>
      <c r="Y923" s="10" t="n">
        <f aca="false">G923</f>
        <v>130</v>
      </c>
      <c r="Z923" s="10" t="n">
        <f aca="false">H923</f>
        <v>60</v>
      </c>
      <c r="AA923" s="10" t="n">
        <f aca="false">I923</f>
        <v>5</v>
      </c>
      <c r="AB923" s="10" t="n">
        <f aca="false">J923</f>
        <v>10</v>
      </c>
      <c r="AC923" s="9" t="s">
        <v>3852</v>
      </c>
      <c r="AD923" s="9" t="s">
        <v>3856</v>
      </c>
      <c r="AE923" s="9" t="str">
        <f aca="false">IF($AK923=0,"",INDEX('Part types'!$T:$T,$AK923)&amp;"")</f>
        <v>All vehicles</v>
      </c>
      <c r="AF923" s="9" t="str">
        <f aca="false">IF($AK923=0,"",INDEX('Part types'!$U:$U,$AK923)&amp;"")</f>
        <v>Fragile; Oversized (over 120 cm)</v>
      </c>
      <c r="AG923" s="9" t="str">
        <f aca="false">IF($AK923=0,"",INDEX('Part types'!$V:$V,$AK923)&amp;"")</f>
        <v>Estimate: item-specific</v>
      </c>
      <c r="AH923" s="9" t="str">
        <f aca="false">IF($AK923=0,"",INDEX('Part types'!$W:$W,$AK923)&amp;"")</f>
        <v/>
      </c>
      <c r="AI923" s="11" t="str">
        <f aca="false">IF($AK923=0,"",INDEX('Part types'!$X:$X,$AK923)&amp;"")</f>
        <v/>
      </c>
      <c r="AJ923" s="9" t="str">
        <f aca="false">IF($AK923=0,"",INDEX('Part types'!$Y:$Y,$AK923)&amp;"")</f>
        <v/>
      </c>
      <c r="AK923" s="9" t="n">
        <f aca="false">IFERROR(MATCH($AD923,'Part types'!$E:$E,0),0)</f>
        <v>623</v>
      </c>
    </row>
    <row r="924" customFormat="false" ht="15" hidden="false" customHeight="false" outlineLevel="0" collapsed="false">
      <c r="A924" s="9" t="s">
        <v>3857</v>
      </c>
      <c r="B924" s="9" t="s">
        <v>3848</v>
      </c>
      <c r="C924" s="9" t="s">
        <v>3858</v>
      </c>
      <c r="D924" s="9" t="str">
        <f aca="false">C924&amp;" - "&amp;E924</f>
        <v>Door Window Glass - Front-Left</v>
      </c>
      <c r="E924" s="9" t="s">
        <v>1346</v>
      </c>
      <c r="F924" s="9" t="s">
        <v>3859</v>
      </c>
      <c r="G924" s="10" t="n">
        <f aca="false">IF($AK924=0,"",INDEX('Part types'!$P:$P,$AK924))</f>
        <v>90</v>
      </c>
      <c r="H924" s="10" t="n">
        <f aca="false">IF($AK924=0,"",INDEX('Part types'!$Q:$Q,$AK924))</f>
        <v>50</v>
      </c>
      <c r="I924" s="10" t="n">
        <f aca="false">IF($AK924=0,"",INDEX('Part types'!$R:$R,$AK924))</f>
        <v>4</v>
      </c>
      <c r="J924" s="10" t="n">
        <f aca="false">IF($AK924=0,"",INDEX('Part types'!$S:$S,$AK924))</f>
        <v>6</v>
      </c>
      <c r="K924" s="11" t="s">
        <v>3850</v>
      </c>
      <c r="L924" s="11" t="s">
        <v>3860</v>
      </c>
      <c r="M924" s="11" t="str">
        <f aca="false">L924&amp;" - "&amp;N924</f>
        <v>زجاج الباب - أمامي يسار</v>
      </c>
      <c r="N924" s="11" t="s">
        <v>1349</v>
      </c>
      <c r="O924" s="11" t="s">
        <v>3861</v>
      </c>
      <c r="P924" s="10" t="n">
        <f aca="false">G924</f>
        <v>90</v>
      </c>
      <c r="Q924" s="10" t="n">
        <f aca="false">H924</f>
        <v>50</v>
      </c>
      <c r="R924" s="10" t="n">
        <f aca="false">I924</f>
        <v>4</v>
      </c>
      <c r="S924" s="10" t="n">
        <f aca="false">J924</f>
        <v>6</v>
      </c>
      <c r="T924" s="12" t="s">
        <v>3851</v>
      </c>
      <c r="U924" s="12" t="s">
        <v>3862</v>
      </c>
      <c r="V924" s="9" t="str">
        <f aca="false">U924&amp;" - "&amp;W924</f>
        <v>车门玻璃 - 前左</v>
      </c>
      <c r="W924" s="12" t="s">
        <v>1352</v>
      </c>
      <c r="X924" s="12" t="s">
        <v>3863</v>
      </c>
      <c r="Y924" s="10" t="n">
        <f aca="false">G924</f>
        <v>90</v>
      </c>
      <c r="Z924" s="10" t="n">
        <f aca="false">H924</f>
        <v>50</v>
      </c>
      <c r="AA924" s="10" t="n">
        <f aca="false">I924</f>
        <v>4</v>
      </c>
      <c r="AB924" s="10" t="n">
        <f aca="false">J924</f>
        <v>6</v>
      </c>
      <c r="AC924" s="9" t="s">
        <v>3852</v>
      </c>
      <c r="AD924" s="9" t="s">
        <v>3864</v>
      </c>
      <c r="AE924" s="9" t="str">
        <f aca="false">IF($AK924=0,"",INDEX('Part types'!$T:$T,$AK924)&amp;"")</f>
        <v>All vehicles</v>
      </c>
      <c r="AF924" s="9" t="str">
        <f aca="false">IF($AK924=0,"",INDEX('Part types'!$U:$U,$AK924)&amp;"")</f>
        <v>Fragile</v>
      </c>
      <c r="AG924" s="9" t="str">
        <f aca="false">IF($AK924=0,"",INDEX('Part types'!$V:$V,$AK924)&amp;"")</f>
        <v>Estimate: item-specific</v>
      </c>
      <c r="AH924" s="9" t="str">
        <f aca="false">IF($AK924=0,"",INDEX('Part types'!$W:$W,$AK924)&amp;"")</f>
        <v/>
      </c>
      <c r="AI924" s="11" t="str">
        <f aca="false">IF($AK924=0,"",INDEX('Part types'!$X:$X,$AK924)&amp;"")</f>
        <v/>
      </c>
      <c r="AJ924" s="9" t="str">
        <f aca="false">IF($AK924=0,"",INDEX('Part types'!$Y:$Y,$AK924)&amp;"")</f>
        <v/>
      </c>
      <c r="AK924" s="9" t="n">
        <f aca="false">IFERROR(MATCH($AD924,'Part types'!$E:$E,0),0)</f>
        <v>624</v>
      </c>
    </row>
    <row r="925" customFormat="false" ht="15" hidden="false" customHeight="false" outlineLevel="0" collapsed="false">
      <c r="A925" s="9" t="s">
        <v>3865</v>
      </c>
      <c r="B925" s="9" t="s">
        <v>3848</v>
      </c>
      <c r="C925" s="9" t="s">
        <v>3858</v>
      </c>
      <c r="D925" s="9" t="str">
        <f aca="false">C925&amp;" - "&amp;E925</f>
        <v>Door Window Glass - Front-Right</v>
      </c>
      <c r="E925" s="9" t="s">
        <v>1356</v>
      </c>
      <c r="F925" s="9" t="s">
        <v>3859</v>
      </c>
      <c r="G925" s="10" t="n">
        <f aca="false">IF($AK925=0,"",INDEX('Part types'!$P:$P,$AK925))</f>
        <v>90</v>
      </c>
      <c r="H925" s="10" t="n">
        <f aca="false">IF($AK925=0,"",INDEX('Part types'!$Q:$Q,$AK925))</f>
        <v>50</v>
      </c>
      <c r="I925" s="10" t="n">
        <f aca="false">IF($AK925=0,"",INDEX('Part types'!$R:$R,$AK925))</f>
        <v>4</v>
      </c>
      <c r="J925" s="10" t="n">
        <f aca="false">IF($AK925=0,"",INDEX('Part types'!$S:$S,$AK925))</f>
        <v>6</v>
      </c>
      <c r="K925" s="11" t="s">
        <v>3850</v>
      </c>
      <c r="L925" s="11" t="s">
        <v>3860</v>
      </c>
      <c r="M925" s="11" t="str">
        <f aca="false">L925&amp;" - "&amp;N925</f>
        <v>زجاج الباب - أمامي يمين</v>
      </c>
      <c r="N925" s="11" t="s">
        <v>1357</v>
      </c>
      <c r="O925" s="11" t="s">
        <v>3861</v>
      </c>
      <c r="P925" s="10" t="n">
        <f aca="false">G925</f>
        <v>90</v>
      </c>
      <c r="Q925" s="10" t="n">
        <f aca="false">H925</f>
        <v>50</v>
      </c>
      <c r="R925" s="10" t="n">
        <f aca="false">I925</f>
        <v>4</v>
      </c>
      <c r="S925" s="10" t="n">
        <f aca="false">J925</f>
        <v>6</v>
      </c>
      <c r="T925" s="12" t="s">
        <v>3851</v>
      </c>
      <c r="U925" s="12" t="s">
        <v>3862</v>
      </c>
      <c r="V925" s="9" t="str">
        <f aca="false">U925&amp;" - "&amp;W925</f>
        <v>车门玻璃 - 前右</v>
      </c>
      <c r="W925" s="12" t="s">
        <v>1358</v>
      </c>
      <c r="X925" s="12" t="s">
        <v>3863</v>
      </c>
      <c r="Y925" s="10" t="n">
        <f aca="false">G925</f>
        <v>90</v>
      </c>
      <c r="Z925" s="10" t="n">
        <f aca="false">H925</f>
        <v>50</v>
      </c>
      <c r="AA925" s="10" t="n">
        <f aca="false">I925</f>
        <v>4</v>
      </c>
      <c r="AB925" s="10" t="n">
        <f aca="false">J925</f>
        <v>6</v>
      </c>
      <c r="AC925" s="9" t="s">
        <v>3852</v>
      </c>
      <c r="AD925" s="9" t="s">
        <v>3864</v>
      </c>
      <c r="AE925" s="9" t="str">
        <f aca="false">IF($AK925=0,"",INDEX('Part types'!$T:$T,$AK925)&amp;"")</f>
        <v>All vehicles</v>
      </c>
      <c r="AF925" s="9" t="str">
        <f aca="false">IF($AK925=0,"",INDEX('Part types'!$U:$U,$AK925)&amp;"")</f>
        <v>Fragile</v>
      </c>
      <c r="AG925" s="9" t="str">
        <f aca="false">IF($AK925=0,"",INDEX('Part types'!$V:$V,$AK925)&amp;"")</f>
        <v>Estimate: item-specific</v>
      </c>
      <c r="AH925" s="9" t="str">
        <f aca="false">IF($AK925=0,"",INDEX('Part types'!$W:$W,$AK925)&amp;"")</f>
        <v/>
      </c>
      <c r="AI925" s="11" t="str">
        <f aca="false">IF($AK925=0,"",INDEX('Part types'!$X:$X,$AK925)&amp;"")</f>
        <v/>
      </c>
      <c r="AJ925" s="9" t="str">
        <f aca="false">IF($AK925=0,"",INDEX('Part types'!$Y:$Y,$AK925)&amp;"")</f>
        <v/>
      </c>
      <c r="AK925" s="9" t="n">
        <f aca="false">IFERROR(MATCH($AD925,'Part types'!$E:$E,0),0)</f>
        <v>624</v>
      </c>
    </row>
    <row r="926" customFormat="false" ht="15" hidden="false" customHeight="false" outlineLevel="0" collapsed="false">
      <c r="A926" s="9" t="s">
        <v>3866</v>
      </c>
      <c r="B926" s="9" t="s">
        <v>3848</v>
      </c>
      <c r="C926" s="9" t="s">
        <v>3858</v>
      </c>
      <c r="D926" s="9" t="str">
        <f aca="false">C926&amp;" - "&amp;E926</f>
        <v>Door Window Glass - Rear-Left</v>
      </c>
      <c r="E926" s="9" t="s">
        <v>1360</v>
      </c>
      <c r="F926" s="9" t="s">
        <v>3859</v>
      </c>
      <c r="G926" s="10" t="n">
        <f aca="false">IF($AK926=0,"",INDEX('Part types'!$P:$P,$AK926))</f>
        <v>90</v>
      </c>
      <c r="H926" s="10" t="n">
        <f aca="false">IF($AK926=0,"",INDEX('Part types'!$Q:$Q,$AK926))</f>
        <v>50</v>
      </c>
      <c r="I926" s="10" t="n">
        <f aca="false">IF($AK926=0,"",INDEX('Part types'!$R:$R,$AK926))</f>
        <v>4</v>
      </c>
      <c r="J926" s="10" t="n">
        <f aca="false">IF($AK926=0,"",INDEX('Part types'!$S:$S,$AK926))</f>
        <v>6</v>
      </c>
      <c r="K926" s="11" t="s">
        <v>3850</v>
      </c>
      <c r="L926" s="11" t="s">
        <v>3860</v>
      </c>
      <c r="M926" s="11" t="str">
        <f aca="false">L926&amp;" - "&amp;N926</f>
        <v>زجاج الباب - خلفي يسار</v>
      </c>
      <c r="N926" s="11" t="s">
        <v>1361</v>
      </c>
      <c r="O926" s="11" t="s">
        <v>3861</v>
      </c>
      <c r="P926" s="10" t="n">
        <f aca="false">G926</f>
        <v>90</v>
      </c>
      <c r="Q926" s="10" t="n">
        <f aca="false">H926</f>
        <v>50</v>
      </c>
      <c r="R926" s="10" t="n">
        <f aca="false">I926</f>
        <v>4</v>
      </c>
      <c r="S926" s="10" t="n">
        <f aca="false">J926</f>
        <v>6</v>
      </c>
      <c r="T926" s="12" t="s">
        <v>3851</v>
      </c>
      <c r="U926" s="12" t="s">
        <v>3862</v>
      </c>
      <c r="V926" s="9" t="str">
        <f aca="false">U926&amp;" - "&amp;W926</f>
        <v>车门玻璃 - 后左</v>
      </c>
      <c r="W926" s="12" t="s">
        <v>1362</v>
      </c>
      <c r="X926" s="12" t="s">
        <v>3863</v>
      </c>
      <c r="Y926" s="10" t="n">
        <f aca="false">G926</f>
        <v>90</v>
      </c>
      <c r="Z926" s="10" t="n">
        <f aca="false">H926</f>
        <v>50</v>
      </c>
      <c r="AA926" s="10" t="n">
        <f aca="false">I926</f>
        <v>4</v>
      </c>
      <c r="AB926" s="10" t="n">
        <f aca="false">J926</f>
        <v>6</v>
      </c>
      <c r="AC926" s="9" t="s">
        <v>3852</v>
      </c>
      <c r="AD926" s="9" t="s">
        <v>3864</v>
      </c>
      <c r="AE926" s="9" t="str">
        <f aca="false">IF($AK926=0,"",INDEX('Part types'!$T:$T,$AK926)&amp;"")</f>
        <v>All vehicles</v>
      </c>
      <c r="AF926" s="9" t="str">
        <f aca="false">IF($AK926=0,"",INDEX('Part types'!$U:$U,$AK926)&amp;"")</f>
        <v>Fragile</v>
      </c>
      <c r="AG926" s="9" t="str">
        <f aca="false">IF($AK926=0,"",INDEX('Part types'!$V:$V,$AK926)&amp;"")</f>
        <v>Estimate: item-specific</v>
      </c>
      <c r="AH926" s="9" t="str">
        <f aca="false">IF($AK926=0,"",INDEX('Part types'!$W:$W,$AK926)&amp;"")</f>
        <v/>
      </c>
      <c r="AI926" s="11" t="str">
        <f aca="false">IF($AK926=0,"",INDEX('Part types'!$X:$X,$AK926)&amp;"")</f>
        <v/>
      </c>
      <c r="AJ926" s="9" t="str">
        <f aca="false">IF($AK926=0,"",INDEX('Part types'!$Y:$Y,$AK926)&amp;"")</f>
        <v/>
      </c>
      <c r="AK926" s="9" t="n">
        <f aca="false">IFERROR(MATCH($AD926,'Part types'!$E:$E,0),0)</f>
        <v>624</v>
      </c>
    </row>
    <row r="927" customFormat="false" ht="15" hidden="false" customHeight="false" outlineLevel="0" collapsed="false">
      <c r="A927" s="9" t="s">
        <v>3867</v>
      </c>
      <c r="B927" s="9" t="s">
        <v>3848</v>
      </c>
      <c r="C927" s="9" t="s">
        <v>3858</v>
      </c>
      <c r="D927" s="9" t="str">
        <f aca="false">C927&amp;" - "&amp;E927</f>
        <v>Door Window Glass - Rear-Right</v>
      </c>
      <c r="E927" s="9" t="s">
        <v>1364</v>
      </c>
      <c r="F927" s="9" t="s">
        <v>3859</v>
      </c>
      <c r="G927" s="10" t="n">
        <f aca="false">IF($AK927=0,"",INDEX('Part types'!$P:$P,$AK927))</f>
        <v>90</v>
      </c>
      <c r="H927" s="10" t="n">
        <f aca="false">IF($AK927=0,"",INDEX('Part types'!$Q:$Q,$AK927))</f>
        <v>50</v>
      </c>
      <c r="I927" s="10" t="n">
        <f aca="false">IF($AK927=0,"",INDEX('Part types'!$R:$R,$AK927))</f>
        <v>4</v>
      </c>
      <c r="J927" s="10" t="n">
        <f aca="false">IF($AK927=0,"",INDEX('Part types'!$S:$S,$AK927))</f>
        <v>6</v>
      </c>
      <c r="K927" s="11" t="s">
        <v>3850</v>
      </c>
      <c r="L927" s="11" t="s">
        <v>3860</v>
      </c>
      <c r="M927" s="11" t="str">
        <f aca="false">L927&amp;" - "&amp;N927</f>
        <v>زجاج الباب - خلفي يمين</v>
      </c>
      <c r="N927" s="11" t="s">
        <v>1365</v>
      </c>
      <c r="O927" s="11" t="s">
        <v>3861</v>
      </c>
      <c r="P927" s="10" t="n">
        <f aca="false">G927</f>
        <v>90</v>
      </c>
      <c r="Q927" s="10" t="n">
        <f aca="false">H927</f>
        <v>50</v>
      </c>
      <c r="R927" s="10" t="n">
        <f aca="false">I927</f>
        <v>4</v>
      </c>
      <c r="S927" s="10" t="n">
        <f aca="false">J927</f>
        <v>6</v>
      </c>
      <c r="T927" s="12" t="s">
        <v>3851</v>
      </c>
      <c r="U927" s="12" t="s">
        <v>3862</v>
      </c>
      <c r="V927" s="9" t="str">
        <f aca="false">U927&amp;" - "&amp;W927</f>
        <v>车门玻璃 - 后右</v>
      </c>
      <c r="W927" s="12" t="s">
        <v>1366</v>
      </c>
      <c r="X927" s="12" t="s">
        <v>3863</v>
      </c>
      <c r="Y927" s="10" t="n">
        <f aca="false">G927</f>
        <v>90</v>
      </c>
      <c r="Z927" s="10" t="n">
        <f aca="false">H927</f>
        <v>50</v>
      </c>
      <c r="AA927" s="10" t="n">
        <f aca="false">I927</f>
        <v>4</v>
      </c>
      <c r="AB927" s="10" t="n">
        <f aca="false">J927</f>
        <v>6</v>
      </c>
      <c r="AC927" s="9" t="s">
        <v>3852</v>
      </c>
      <c r="AD927" s="9" t="s">
        <v>3864</v>
      </c>
      <c r="AE927" s="9" t="str">
        <f aca="false">IF($AK927=0,"",INDEX('Part types'!$T:$T,$AK927)&amp;"")</f>
        <v>All vehicles</v>
      </c>
      <c r="AF927" s="9" t="str">
        <f aca="false">IF($AK927=0,"",INDEX('Part types'!$U:$U,$AK927)&amp;"")</f>
        <v>Fragile</v>
      </c>
      <c r="AG927" s="9" t="str">
        <f aca="false">IF($AK927=0,"",INDEX('Part types'!$V:$V,$AK927)&amp;"")</f>
        <v>Estimate: item-specific</v>
      </c>
      <c r="AH927" s="9" t="str">
        <f aca="false">IF($AK927=0,"",INDEX('Part types'!$W:$W,$AK927)&amp;"")</f>
        <v/>
      </c>
      <c r="AI927" s="11" t="str">
        <f aca="false">IF($AK927=0,"",INDEX('Part types'!$X:$X,$AK927)&amp;"")</f>
        <v/>
      </c>
      <c r="AJ927" s="9" t="str">
        <f aca="false">IF($AK927=0,"",INDEX('Part types'!$Y:$Y,$AK927)&amp;"")</f>
        <v/>
      </c>
      <c r="AK927" s="9" t="n">
        <f aca="false">IFERROR(MATCH($AD927,'Part types'!$E:$E,0),0)</f>
        <v>624</v>
      </c>
    </row>
    <row r="928" customFormat="false" ht="15" hidden="false" customHeight="false" outlineLevel="0" collapsed="false">
      <c r="A928" s="9" t="s">
        <v>3868</v>
      </c>
      <c r="B928" s="9" t="s">
        <v>3848</v>
      </c>
      <c r="C928" s="9" t="s">
        <v>3869</v>
      </c>
      <c r="D928" s="9" t="str">
        <f aca="false">C928&amp;" - "&amp;E928</f>
        <v>Quarter Window Glass - Left</v>
      </c>
      <c r="E928" s="9" t="s">
        <v>218</v>
      </c>
      <c r="F928" s="9" t="s">
        <v>3859</v>
      </c>
      <c r="G928" s="10" t="n">
        <f aca="false">IF($AK928=0,"",INDEX('Part types'!$P:$P,$AK928))</f>
        <v>60</v>
      </c>
      <c r="H928" s="10" t="n">
        <f aca="false">IF($AK928=0,"",INDEX('Part types'!$Q:$Q,$AK928))</f>
        <v>40</v>
      </c>
      <c r="I928" s="10" t="n">
        <f aca="false">IF($AK928=0,"",INDEX('Part types'!$R:$R,$AK928))</f>
        <v>4</v>
      </c>
      <c r="J928" s="10" t="n">
        <f aca="false">IF($AK928=0,"",INDEX('Part types'!$S:$S,$AK928))</f>
        <v>2.5</v>
      </c>
      <c r="K928" s="11" t="s">
        <v>3850</v>
      </c>
      <c r="L928" s="11" t="s">
        <v>3870</v>
      </c>
      <c r="M928" s="11" t="str">
        <f aca="false">L928&amp;" - "&amp;N928</f>
        <v>زجاج جانبي صغير - يسار</v>
      </c>
      <c r="N928" s="11" t="s">
        <v>220</v>
      </c>
      <c r="O928" s="11" t="s">
        <v>3861</v>
      </c>
      <c r="P928" s="10" t="n">
        <f aca="false">G928</f>
        <v>60</v>
      </c>
      <c r="Q928" s="10" t="n">
        <f aca="false">H928</f>
        <v>40</v>
      </c>
      <c r="R928" s="10" t="n">
        <f aca="false">I928</f>
        <v>4</v>
      </c>
      <c r="S928" s="10" t="n">
        <f aca="false">J928</f>
        <v>2.5</v>
      </c>
      <c r="T928" s="12" t="s">
        <v>3851</v>
      </c>
      <c r="U928" s="12" t="s">
        <v>3871</v>
      </c>
      <c r="V928" s="9" t="str">
        <f aca="false">U928&amp;" - "&amp;W928</f>
        <v>三角窗玻璃 - 左侧</v>
      </c>
      <c r="W928" s="12" t="s">
        <v>222</v>
      </c>
      <c r="X928" s="12" t="s">
        <v>3863</v>
      </c>
      <c r="Y928" s="10" t="n">
        <f aca="false">G928</f>
        <v>60</v>
      </c>
      <c r="Z928" s="10" t="n">
        <f aca="false">H928</f>
        <v>40</v>
      </c>
      <c r="AA928" s="10" t="n">
        <f aca="false">I928</f>
        <v>4</v>
      </c>
      <c r="AB928" s="10" t="n">
        <f aca="false">J928</f>
        <v>2.5</v>
      </c>
      <c r="AC928" s="9" t="s">
        <v>3852</v>
      </c>
      <c r="AD928" s="9" t="s">
        <v>3872</v>
      </c>
      <c r="AE928" s="9" t="str">
        <f aca="false">IF($AK928=0,"",INDEX('Part types'!$T:$T,$AK928)&amp;"")</f>
        <v>All vehicles</v>
      </c>
      <c r="AF928" s="9" t="str">
        <f aca="false">IF($AK928=0,"",INDEX('Part types'!$U:$U,$AK928)&amp;"")</f>
        <v>Fragile</v>
      </c>
      <c r="AG928" s="9" t="str">
        <f aca="false">IF($AK928=0,"",INDEX('Part types'!$V:$V,$AK928)&amp;"")</f>
        <v>Estimate: item-specific</v>
      </c>
      <c r="AH928" s="9" t="str">
        <f aca="false">IF($AK928=0,"",INDEX('Part types'!$W:$W,$AK928)&amp;"")</f>
        <v/>
      </c>
      <c r="AI928" s="11" t="str">
        <f aca="false">IF($AK928=0,"",INDEX('Part types'!$X:$X,$AK928)&amp;"")</f>
        <v>كوارتر</v>
      </c>
      <c r="AJ928" s="9" t="str">
        <f aca="false">IF($AK928=0,"",INDEX('Part types'!$Y:$Y,$AK928)&amp;"")</f>
        <v/>
      </c>
      <c r="AK928" s="9" t="n">
        <f aca="false">IFERROR(MATCH($AD928,'Part types'!$E:$E,0),0)</f>
        <v>625</v>
      </c>
    </row>
    <row r="929" customFormat="false" ht="15" hidden="false" customHeight="false" outlineLevel="0" collapsed="false">
      <c r="A929" s="9" t="s">
        <v>3873</v>
      </c>
      <c r="B929" s="9" t="s">
        <v>3848</v>
      </c>
      <c r="C929" s="9" t="s">
        <v>3869</v>
      </c>
      <c r="D929" s="9" t="str">
        <f aca="false">C929&amp;" - "&amp;E929</f>
        <v>Quarter Window Glass - Right</v>
      </c>
      <c r="E929" s="9" t="s">
        <v>225</v>
      </c>
      <c r="F929" s="9" t="s">
        <v>3859</v>
      </c>
      <c r="G929" s="10" t="n">
        <f aca="false">IF($AK929=0,"",INDEX('Part types'!$P:$P,$AK929))</f>
        <v>60</v>
      </c>
      <c r="H929" s="10" t="n">
        <f aca="false">IF($AK929=0,"",INDEX('Part types'!$Q:$Q,$AK929))</f>
        <v>40</v>
      </c>
      <c r="I929" s="10" t="n">
        <f aca="false">IF($AK929=0,"",INDEX('Part types'!$R:$R,$AK929))</f>
        <v>4</v>
      </c>
      <c r="J929" s="10" t="n">
        <f aca="false">IF($AK929=0,"",INDEX('Part types'!$S:$S,$AK929))</f>
        <v>2.5</v>
      </c>
      <c r="K929" s="11" t="s">
        <v>3850</v>
      </c>
      <c r="L929" s="11" t="s">
        <v>3870</v>
      </c>
      <c r="M929" s="11" t="str">
        <f aca="false">L929&amp;" - "&amp;N929</f>
        <v>زجاج جانبي صغير - يمين</v>
      </c>
      <c r="N929" s="11" t="s">
        <v>226</v>
      </c>
      <c r="O929" s="11" t="s">
        <v>3861</v>
      </c>
      <c r="P929" s="10" t="n">
        <f aca="false">G929</f>
        <v>60</v>
      </c>
      <c r="Q929" s="10" t="n">
        <f aca="false">H929</f>
        <v>40</v>
      </c>
      <c r="R929" s="10" t="n">
        <f aca="false">I929</f>
        <v>4</v>
      </c>
      <c r="S929" s="10" t="n">
        <f aca="false">J929</f>
        <v>2.5</v>
      </c>
      <c r="T929" s="12" t="s">
        <v>3851</v>
      </c>
      <c r="U929" s="12" t="s">
        <v>3871</v>
      </c>
      <c r="V929" s="9" t="str">
        <f aca="false">U929&amp;" - "&amp;W929</f>
        <v>三角窗玻璃 - 右侧</v>
      </c>
      <c r="W929" s="12" t="s">
        <v>227</v>
      </c>
      <c r="X929" s="12" t="s">
        <v>3863</v>
      </c>
      <c r="Y929" s="10" t="n">
        <f aca="false">G929</f>
        <v>60</v>
      </c>
      <c r="Z929" s="10" t="n">
        <f aca="false">H929</f>
        <v>40</v>
      </c>
      <c r="AA929" s="10" t="n">
        <f aca="false">I929</f>
        <v>4</v>
      </c>
      <c r="AB929" s="10" t="n">
        <f aca="false">J929</f>
        <v>2.5</v>
      </c>
      <c r="AC929" s="9" t="s">
        <v>3852</v>
      </c>
      <c r="AD929" s="9" t="s">
        <v>3872</v>
      </c>
      <c r="AE929" s="9" t="str">
        <f aca="false">IF($AK929=0,"",INDEX('Part types'!$T:$T,$AK929)&amp;"")</f>
        <v>All vehicles</v>
      </c>
      <c r="AF929" s="9" t="str">
        <f aca="false">IF($AK929=0,"",INDEX('Part types'!$U:$U,$AK929)&amp;"")</f>
        <v>Fragile</v>
      </c>
      <c r="AG929" s="9" t="str">
        <f aca="false">IF($AK929=0,"",INDEX('Part types'!$V:$V,$AK929)&amp;"")</f>
        <v>Estimate: item-specific</v>
      </c>
      <c r="AH929" s="9" t="str">
        <f aca="false">IF($AK929=0,"",INDEX('Part types'!$W:$W,$AK929)&amp;"")</f>
        <v/>
      </c>
      <c r="AI929" s="11" t="str">
        <f aca="false">IF($AK929=0,"",INDEX('Part types'!$X:$X,$AK929)&amp;"")</f>
        <v>كوارتر</v>
      </c>
      <c r="AJ929" s="9" t="str">
        <f aca="false">IF($AK929=0,"",INDEX('Part types'!$Y:$Y,$AK929)&amp;"")</f>
        <v/>
      </c>
      <c r="AK929" s="9" t="n">
        <f aca="false">IFERROR(MATCH($AD929,'Part types'!$E:$E,0),0)</f>
        <v>625</v>
      </c>
    </row>
    <row r="930" customFormat="false" ht="15" hidden="false" customHeight="false" outlineLevel="0" collapsed="false">
      <c r="A930" s="9" t="s">
        <v>3874</v>
      </c>
      <c r="B930" s="9" t="s">
        <v>3848</v>
      </c>
      <c r="C930" s="9" t="s">
        <v>3875</v>
      </c>
      <c r="D930" s="9" t="str">
        <f aca="false">C930&amp;" - "&amp;E930</f>
        <v>Window Regulator - Front-Left</v>
      </c>
      <c r="E930" s="9" t="s">
        <v>1346</v>
      </c>
      <c r="F930" s="9" t="s">
        <v>2405</v>
      </c>
      <c r="G930" s="10" t="n">
        <f aca="false">IF($AK930=0,"",INDEX('Part types'!$P:$P,$AK930))</f>
        <v>30</v>
      </c>
      <c r="H930" s="10" t="n">
        <f aca="false">IF($AK930=0,"",INDEX('Part types'!$Q:$Q,$AK930))</f>
        <v>20</v>
      </c>
      <c r="I930" s="10" t="n">
        <f aca="false">IF($AK930=0,"",INDEX('Part types'!$R:$R,$AK930))</f>
        <v>15</v>
      </c>
      <c r="J930" s="10" t="n">
        <f aca="false">IF($AK930=0,"",INDEX('Part types'!$S:$S,$AK930))</f>
        <v>1.8</v>
      </c>
      <c r="K930" s="11" t="s">
        <v>3850</v>
      </c>
      <c r="L930" s="11" t="s">
        <v>3876</v>
      </c>
      <c r="M930" s="11" t="str">
        <f aca="false">L930&amp;" - "&amp;N930</f>
        <v>رافع الزجاج - أمامي يسار</v>
      </c>
      <c r="N930" s="11" t="s">
        <v>1349</v>
      </c>
      <c r="O930" s="11" t="s">
        <v>2408</v>
      </c>
      <c r="P930" s="10" t="n">
        <f aca="false">G930</f>
        <v>30</v>
      </c>
      <c r="Q930" s="10" t="n">
        <f aca="false">H930</f>
        <v>20</v>
      </c>
      <c r="R930" s="10" t="n">
        <f aca="false">I930</f>
        <v>15</v>
      </c>
      <c r="S930" s="10" t="n">
        <f aca="false">J930</f>
        <v>1.8</v>
      </c>
      <c r="T930" s="12" t="s">
        <v>3851</v>
      </c>
      <c r="U930" s="12" t="s">
        <v>3877</v>
      </c>
      <c r="V930" s="9" t="str">
        <f aca="false">U930&amp;" - "&amp;W930</f>
        <v>玻璃升降器 - 前左</v>
      </c>
      <c r="W930" s="12" t="s">
        <v>1352</v>
      </c>
      <c r="X930" s="12" t="s">
        <v>2411</v>
      </c>
      <c r="Y930" s="10" t="n">
        <f aca="false">G930</f>
        <v>30</v>
      </c>
      <c r="Z930" s="10" t="n">
        <f aca="false">H930</f>
        <v>20</v>
      </c>
      <c r="AA930" s="10" t="n">
        <f aca="false">I930</f>
        <v>15</v>
      </c>
      <c r="AB930" s="10" t="n">
        <f aca="false">J930</f>
        <v>1.8</v>
      </c>
      <c r="AC930" s="9" t="s">
        <v>3852</v>
      </c>
      <c r="AD930" s="9" t="s">
        <v>3878</v>
      </c>
      <c r="AE930" s="9" t="str">
        <f aca="false">IF($AK930=0,"",INDEX('Part types'!$T:$T,$AK930)&amp;"")</f>
        <v>All vehicles</v>
      </c>
      <c r="AF930" s="9" t="str">
        <f aca="false">IF($AK930=0,"",INDEX('Part types'!$U:$U,$AK930)&amp;"")</f>
        <v/>
      </c>
      <c r="AG930" s="9" t="str">
        <f aca="false">IF($AK930=0,"",INDEX('Part types'!$V:$V,$AK930)&amp;"")</f>
        <v>Estimate: size class M2</v>
      </c>
      <c r="AH930" s="9" t="str">
        <f aca="false">IF($AK930=0,"",INDEX('Part types'!$W:$W,$AK930)&amp;"")</f>
        <v/>
      </c>
      <c r="AI930" s="11" t="str">
        <f aca="false">IF($AK930=0,"",INDEX('Part types'!$X:$X,$AK930)&amp;"")</f>
        <v>ميكانيزم</v>
      </c>
      <c r="AJ930" s="9" t="str">
        <f aca="false">IF($AK930=0,"",INDEX('Part types'!$Y:$Y,$AK930)&amp;"")</f>
        <v/>
      </c>
      <c r="AK930" s="9" t="n">
        <f aca="false">IFERROR(MATCH($AD930,'Part types'!$E:$E,0),0)</f>
        <v>626</v>
      </c>
    </row>
    <row r="931" customFormat="false" ht="15" hidden="false" customHeight="false" outlineLevel="0" collapsed="false">
      <c r="A931" s="9" t="s">
        <v>3879</v>
      </c>
      <c r="B931" s="9" t="s">
        <v>3848</v>
      </c>
      <c r="C931" s="9" t="s">
        <v>3875</v>
      </c>
      <c r="D931" s="9" t="str">
        <f aca="false">C931&amp;" - "&amp;E931</f>
        <v>Window Regulator - Front-Right</v>
      </c>
      <c r="E931" s="9" t="s">
        <v>1356</v>
      </c>
      <c r="F931" s="9" t="s">
        <v>2405</v>
      </c>
      <c r="G931" s="10" t="n">
        <f aca="false">IF($AK931=0,"",INDEX('Part types'!$P:$P,$AK931))</f>
        <v>30</v>
      </c>
      <c r="H931" s="10" t="n">
        <f aca="false">IF($AK931=0,"",INDEX('Part types'!$Q:$Q,$AK931))</f>
        <v>20</v>
      </c>
      <c r="I931" s="10" t="n">
        <f aca="false">IF($AK931=0,"",INDEX('Part types'!$R:$R,$AK931))</f>
        <v>15</v>
      </c>
      <c r="J931" s="10" t="n">
        <f aca="false">IF($AK931=0,"",INDEX('Part types'!$S:$S,$AK931))</f>
        <v>1.8</v>
      </c>
      <c r="K931" s="11" t="s">
        <v>3850</v>
      </c>
      <c r="L931" s="11" t="s">
        <v>3876</v>
      </c>
      <c r="M931" s="11" t="str">
        <f aca="false">L931&amp;" - "&amp;N931</f>
        <v>رافع الزجاج - أمامي يمين</v>
      </c>
      <c r="N931" s="11" t="s">
        <v>1357</v>
      </c>
      <c r="O931" s="11" t="s">
        <v>2408</v>
      </c>
      <c r="P931" s="10" t="n">
        <f aca="false">G931</f>
        <v>30</v>
      </c>
      <c r="Q931" s="10" t="n">
        <f aca="false">H931</f>
        <v>20</v>
      </c>
      <c r="R931" s="10" t="n">
        <f aca="false">I931</f>
        <v>15</v>
      </c>
      <c r="S931" s="10" t="n">
        <f aca="false">J931</f>
        <v>1.8</v>
      </c>
      <c r="T931" s="12" t="s">
        <v>3851</v>
      </c>
      <c r="U931" s="12" t="s">
        <v>3877</v>
      </c>
      <c r="V931" s="9" t="str">
        <f aca="false">U931&amp;" - "&amp;W931</f>
        <v>玻璃升降器 - 前右</v>
      </c>
      <c r="W931" s="12" t="s">
        <v>1358</v>
      </c>
      <c r="X931" s="12" t="s">
        <v>2411</v>
      </c>
      <c r="Y931" s="10" t="n">
        <f aca="false">G931</f>
        <v>30</v>
      </c>
      <c r="Z931" s="10" t="n">
        <f aca="false">H931</f>
        <v>20</v>
      </c>
      <c r="AA931" s="10" t="n">
        <f aca="false">I931</f>
        <v>15</v>
      </c>
      <c r="AB931" s="10" t="n">
        <f aca="false">J931</f>
        <v>1.8</v>
      </c>
      <c r="AC931" s="9" t="s">
        <v>3852</v>
      </c>
      <c r="AD931" s="9" t="s">
        <v>3878</v>
      </c>
      <c r="AE931" s="9" t="str">
        <f aca="false">IF($AK931=0,"",INDEX('Part types'!$T:$T,$AK931)&amp;"")</f>
        <v>All vehicles</v>
      </c>
      <c r="AF931" s="9" t="str">
        <f aca="false">IF($AK931=0,"",INDEX('Part types'!$U:$U,$AK931)&amp;"")</f>
        <v/>
      </c>
      <c r="AG931" s="9" t="str">
        <f aca="false">IF($AK931=0,"",INDEX('Part types'!$V:$V,$AK931)&amp;"")</f>
        <v>Estimate: size class M2</v>
      </c>
      <c r="AH931" s="9" t="str">
        <f aca="false">IF($AK931=0,"",INDEX('Part types'!$W:$W,$AK931)&amp;"")</f>
        <v/>
      </c>
      <c r="AI931" s="11" t="str">
        <f aca="false">IF($AK931=0,"",INDEX('Part types'!$X:$X,$AK931)&amp;"")</f>
        <v>ميكانيزم</v>
      </c>
      <c r="AJ931" s="9" t="str">
        <f aca="false">IF($AK931=0,"",INDEX('Part types'!$Y:$Y,$AK931)&amp;"")</f>
        <v/>
      </c>
      <c r="AK931" s="9" t="n">
        <f aca="false">IFERROR(MATCH($AD931,'Part types'!$E:$E,0),0)</f>
        <v>626</v>
      </c>
    </row>
    <row r="932" customFormat="false" ht="15" hidden="false" customHeight="false" outlineLevel="0" collapsed="false">
      <c r="A932" s="9" t="s">
        <v>3880</v>
      </c>
      <c r="B932" s="9" t="s">
        <v>3848</v>
      </c>
      <c r="C932" s="9" t="s">
        <v>3875</v>
      </c>
      <c r="D932" s="9" t="str">
        <f aca="false">C932&amp;" - "&amp;E932</f>
        <v>Window Regulator - Rear-Left</v>
      </c>
      <c r="E932" s="9" t="s">
        <v>1360</v>
      </c>
      <c r="F932" s="9" t="s">
        <v>2405</v>
      </c>
      <c r="G932" s="10" t="n">
        <f aca="false">IF($AK932=0,"",INDEX('Part types'!$P:$P,$AK932))</f>
        <v>30</v>
      </c>
      <c r="H932" s="10" t="n">
        <f aca="false">IF($AK932=0,"",INDEX('Part types'!$Q:$Q,$AK932))</f>
        <v>20</v>
      </c>
      <c r="I932" s="10" t="n">
        <f aca="false">IF($AK932=0,"",INDEX('Part types'!$R:$R,$AK932))</f>
        <v>15</v>
      </c>
      <c r="J932" s="10" t="n">
        <f aca="false">IF($AK932=0,"",INDEX('Part types'!$S:$S,$AK932))</f>
        <v>1.8</v>
      </c>
      <c r="K932" s="11" t="s">
        <v>3850</v>
      </c>
      <c r="L932" s="11" t="s">
        <v>3876</v>
      </c>
      <c r="M932" s="11" t="str">
        <f aca="false">L932&amp;" - "&amp;N932</f>
        <v>رافع الزجاج - خلفي يسار</v>
      </c>
      <c r="N932" s="11" t="s">
        <v>1361</v>
      </c>
      <c r="O932" s="11" t="s">
        <v>2408</v>
      </c>
      <c r="P932" s="10" t="n">
        <f aca="false">G932</f>
        <v>30</v>
      </c>
      <c r="Q932" s="10" t="n">
        <f aca="false">H932</f>
        <v>20</v>
      </c>
      <c r="R932" s="10" t="n">
        <f aca="false">I932</f>
        <v>15</v>
      </c>
      <c r="S932" s="10" t="n">
        <f aca="false">J932</f>
        <v>1.8</v>
      </c>
      <c r="T932" s="12" t="s">
        <v>3851</v>
      </c>
      <c r="U932" s="12" t="s">
        <v>3877</v>
      </c>
      <c r="V932" s="9" t="str">
        <f aca="false">U932&amp;" - "&amp;W932</f>
        <v>玻璃升降器 - 后左</v>
      </c>
      <c r="W932" s="12" t="s">
        <v>1362</v>
      </c>
      <c r="X932" s="12" t="s">
        <v>2411</v>
      </c>
      <c r="Y932" s="10" t="n">
        <f aca="false">G932</f>
        <v>30</v>
      </c>
      <c r="Z932" s="10" t="n">
        <f aca="false">H932</f>
        <v>20</v>
      </c>
      <c r="AA932" s="10" t="n">
        <f aca="false">I932</f>
        <v>15</v>
      </c>
      <c r="AB932" s="10" t="n">
        <f aca="false">J932</f>
        <v>1.8</v>
      </c>
      <c r="AC932" s="9" t="s">
        <v>3852</v>
      </c>
      <c r="AD932" s="9" t="s">
        <v>3878</v>
      </c>
      <c r="AE932" s="9" t="str">
        <f aca="false">IF($AK932=0,"",INDEX('Part types'!$T:$T,$AK932)&amp;"")</f>
        <v>All vehicles</v>
      </c>
      <c r="AF932" s="9" t="str">
        <f aca="false">IF($AK932=0,"",INDEX('Part types'!$U:$U,$AK932)&amp;"")</f>
        <v/>
      </c>
      <c r="AG932" s="9" t="str">
        <f aca="false">IF($AK932=0,"",INDEX('Part types'!$V:$V,$AK932)&amp;"")</f>
        <v>Estimate: size class M2</v>
      </c>
      <c r="AH932" s="9" t="str">
        <f aca="false">IF($AK932=0,"",INDEX('Part types'!$W:$W,$AK932)&amp;"")</f>
        <v/>
      </c>
      <c r="AI932" s="11" t="str">
        <f aca="false">IF($AK932=0,"",INDEX('Part types'!$X:$X,$AK932)&amp;"")</f>
        <v>ميكانيزم</v>
      </c>
      <c r="AJ932" s="9" t="str">
        <f aca="false">IF($AK932=0,"",INDEX('Part types'!$Y:$Y,$AK932)&amp;"")</f>
        <v/>
      </c>
      <c r="AK932" s="9" t="n">
        <f aca="false">IFERROR(MATCH($AD932,'Part types'!$E:$E,0),0)</f>
        <v>626</v>
      </c>
    </row>
    <row r="933" customFormat="false" ht="15" hidden="false" customHeight="false" outlineLevel="0" collapsed="false">
      <c r="A933" s="9" t="s">
        <v>3881</v>
      </c>
      <c r="B933" s="9" t="s">
        <v>3848</v>
      </c>
      <c r="C933" s="9" t="s">
        <v>3875</v>
      </c>
      <c r="D933" s="9" t="str">
        <f aca="false">C933&amp;" - "&amp;E933</f>
        <v>Window Regulator - Rear-Right</v>
      </c>
      <c r="E933" s="9" t="s">
        <v>1364</v>
      </c>
      <c r="F933" s="9" t="s">
        <v>2405</v>
      </c>
      <c r="G933" s="10" t="n">
        <f aca="false">IF($AK933=0,"",INDEX('Part types'!$P:$P,$AK933))</f>
        <v>30</v>
      </c>
      <c r="H933" s="10" t="n">
        <f aca="false">IF($AK933=0,"",INDEX('Part types'!$Q:$Q,$AK933))</f>
        <v>20</v>
      </c>
      <c r="I933" s="10" t="n">
        <f aca="false">IF($AK933=0,"",INDEX('Part types'!$R:$R,$AK933))</f>
        <v>15</v>
      </c>
      <c r="J933" s="10" t="n">
        <f aca="false">IF($AK933=0,"",INDEX('Part types'!$S:$S,$AK933))</f>
        <v>1.8</v>
      </c>
      <c r="K933" s="11" t="s">
        <v>3850</v>
      </c>
      <c r="L933" s="11" t="s">
        <v>3876</v>
      </c>
      <c r="M933" s="11" t="str">
        <f aca="false">L933&amp;" - "&amp;N933</f>
        <v>رافع الزجاج - خلفي يمين</v>
      </c>
      <c r="N933" s="11" t="s">
        <v>1365</v>
      </c>
      <c r="O933" s="11" t="s">
        <v>2408</v>
      </c>
      <c r="P933" s="10" t="n">
        <f aca="false">G933</f>
        <v>30</v>
      </c>
      <c r="Q933" s="10" t="n">
        <f aca="false">H933</f>
        <v>20</v>
      </c>
      <c r="R933" s="10" t="n">
        <f aca="false">I933</f>
        <v>15</v>
      </c>
      <c r="S933" s="10" t="n">
        <f aca="false">J933</f>
        <v>1.8</v>
      </c>
      <c r="T933" s="12" t="s">
        <v>3851</v>
      </c>
      <c r="U933" s="12" t="s">
        <v>3877</v>
      </c>
      <c r="V933" s="9" t="str">
        <f aca="false">U933&amp;" - "&amp;W933</f>
        <v>玻璃升降器 - 后右</v>
      </c>
      <c r="W933" s="12" t="s">
        <v>1366</v>
      </c>
      <c r="X933" s="12" t="s">
        <v>2411</v>
      </c>
      <c r="Y933" s="10" t="n">
        <f aca="false">G933</f>
        <v>30</v>
      </c>
      <c r="Z933" s="10" t="n">
        <f aca="false">H933</f>
        <v>20</v>
      </c>
      <c r="AA933" s="10" t="n">
        <f aca="false">I933</f>
        <v>15</v>
      </c>
      <c r="AB933" s="10" t="n">
        <f aca="false">J933</f>
        <v>1.8</v>
      </c>
      <c r="AC933" s="9" t="s">
        <v>3852</v>
      </c>
      <c r="AD933" s="9" t="s">
        <v>3878</v>
      </c>
      <c r="AE933" s="9" t="str">
        <f aca="false">IF($AK933=0,"",INDEX('Part types'!$T:$T,$AK933)&amp;"")</f>
        <v>All vehicles</v>
      </c>
      <c r="AF933" s="9" t="str">
        <f aca="false">IF($AK933=0,"",INDEX('Part types'!$U:$U,$AK933)&amp;"")</f>
        <v/>
      </c>
      <c r="AG933" s="9" t="str">
        <f aca="false">IF($AK933=0,"",INDEX('Part types'!$V:$V,$AK933)&amp;"")</f>
        <v>Estimate: size class M2</v>
      </c>
      <c r="AH933" s="9" t="str">
        <f aca="false">IF($AK933=0,"",INDEX('Part types'!$W:$W,$AK933)&amp;"")</f>
        <v/>
      </c>
      <c r="AI933" s="11" t="str">
        <f aca="false">IF($AK933=0,"",INDEX('Part types'!$X:$X,$AK933)&amp;"")</f>
        <v>ميكانيزم</v>
      </c>
      <c r="AJ933" s="9" t="str">
        <f aca="false">IF($AK933=0,"",INDEX('Part types'!$Y:$Y,$AK933)&amp;"")</f>
        <v/>
      </c>
      <c r="AK933" s="9" t="n">
        <f aca="false">IFERROR(MATCH($AD933,'Part types'!$E:$E,0),0)</f>
        <v>626</v>
      </c>
    </row>
    <row r="934" customFormat="false" ht="15" hidden="false" customHeight="false" outlineLevel="0" collapsed="false">
      <c r="A934" s="9" t="s">
        <v>3882</v>
      </c>
      <c r="B934" s="9" t="s">
        <v>3848</v>
      </c>
      <c r="C934" s="9" t="s">
        <v>3883</v>
      </c>
      <c r="D934" s="9" t="str">
        <f aca="false">C934&amp;" - "&amp;E934</f>
        <v>Glass Run Channel - Front-Left</v>
      </c>
      <c r="E934" s="9" t="s">
        <v>1346</v>
      </c>
      <c r="F934" s="9" t="s">
        <v>3602</v>
      </c>
      <c r="G934" s="10" t="n">
        <f aca="false">IF($AK934=0,"",INDEX('Part types'!$P:$P,$AK934))</f>
        <v>25</v>
      </c>
      <c r="H934" s="10" t="n">
        <f aca="false">IF($AK934=0,"",INDEX('Part types'!$Q:$Q,$AK934))</f>
        <v>15</v>
      </c>
      <c r="I934" s="10" t="n">
        <f aca="false">IF($AK934=0,"",INDEX('Part types'!$R:$R,$AK934))</f>
        <v>10</v>
      </c>
      <c r="J934" s="10" t="n">
        <f aca="false">IF($AK934=0,"",INDEX('Part types'!$S:$S,$AK934))</f>
        <v>0.9</v>
      </c>
      <c r="K934" s="11" t="s">
        <v>3850</v>
      </c>
      <c r="L934" s="11" t="s">
        <v>3884</v>
      </c>
      <c r="M934" s="11" t="str">
        <f aca="false">L934&amp;" - "&amp;N934</f>
        <v>مجرى زجاج الباب - أمامي يسار</v>
      </c>
      <c r="N934" s="11" t="s">
        <v>1349</v>
      </c>
      <c r="O934" s="11" t="s">
        <v>3604</v>
      </c>
      <c r="P934" s="10" t="n">
        <f aca="false">G934</f>
        <v>25</v>
      </c>
      <c r="Q934" s="10" t="n">
        <f aca="false">H934</f>
        <v>15</v>
      </c>
      <c r="R934" s="10" t="n">
        <f aca="false">I934</f>
        <v>10</v>
      </c>
      <c r="S934" s="10" t="n">
        <f aca="false">J934</f>
        <v>0.9</v>
      </c>
      <c r="T934" s="12" t="s">
        <v>3851</v>
      </c>
      <c r="U934" s="12" t="s">
        <v>3885</v>
      </c>
      <c r="V934" s="9" t="str">
        <f aca="false">U934&amp;" - "&amp;W934</f>
        <v>车窗导槽 - 前左</v>
      </c>
      <c r="W934" s="12" t="s">
        <v>1352</v>
      </c>
      <c r="X934" s="12" t="s">
        <v>3606</v>
      </c>
      <c r="Y934" s="10" t="n">
        <f aca="false">G934</f>
        <v>25</v>
      </c>
      <c r="Z934" s="10" t="n">
        <f aca="false">H934</f>
        <v>15</v>
      </c>
      <c r="AA934" s="10" t="n">
        <f aca="false">I934</f>
        <v>10</v>
      </c>
      <c r="AB934" s="10" t="n">
        <f aca="false">J934</f>
        <v>0.9</v>
      </c>
      <c r="AC934" s="9" t="s">
        <v>3852</v>
      </c>
      <c r="AD934" s="9" t="s">
        <v>3886</v>
      </c>
      <c r="AE934" s="9" t="str">
        <f aca="false">IF($AK934=0,"",INDEX('Part types'!$T:$T,$AK934)&amp;"")</f>
        <v>All vehicles</v>
      </c>
      <c r="AF934" s="9" t="str">
        <f aca="false">IF($AK934=0,"",INDEX('Part types'!$U:$U,$AK934)&amp;"")</f>
        <v/>
      </c>
      <c r="AG934" s="9" t="str">
        <f aca="false">IF($AK934=0,"",INDEX('Part types'!$V:$V,$AK934)&amp;"")</f>
        <v>Estimate: size class M</v>
      </c>
      <c r="AH934" s="9" t="str">
        <f aca="false">IF($AK934=0,"",INDEX('Part types'!$W:$W,$AK934)&amp;"")</f>
        <v>Window Glass Run Channel</v>
      </c>
      <c r="AI934" s="11" t="str">
        <f aca="false">IF($AK934=0,"",INDEX('Part types'!$X:$X,$AK934)&amp;"")</f>
        <v>مطاط</v>
      </c>
      <c r="AJ934" s="9" t="str">
        <f aca="false">IF($AK934=0,"",INDEX('Part types'!$Y:$Y,$AK934)&amp;"")</f>
        <v/>
      </c>
      <c r="AK934" s="9" t="n">
        <f aca="false">IFERROR(MATCH($AD934,'Part types'!$E:$E,0),0)</f>
        <v>627</v>
      </c>
    </row>
    <row r="935" customFormat="false" ht="15" hidden="false" customHeight="false" outlineLevel="0" collapsed="false">
      <c r="A935" s="9" t="s">
        <v>3887</v>
      </c>
      <c r="B935" s="9" t="s">
        <v>3848</v>
      </c>
      <c r="C935" s="9" t="s">
        <v>3883</v>
      </c>
      <c r="D935" s="9" t="str">
        <f aca="false">C935&amp;" - "&amp;E935</f>
        <v>Glass Run Channel - Front-Right</v>
      </c>
      <c r="E935" s="9" t="s">
        <v>1356</v>
      </c>
      <c r="F935" s="9" t="s">
        <v>3602</v>
      </c>
      <c r="G935" s="10" t="n">
        <f aca="false">IF($AK935=0,"",INDEX('Part types'!$P:$P,$AK935))</f>
        <v>25</v>
      </c>
      <c r="H935" s="10" t="n">
        <f aca="false">IF($AK935=0,"",INDEX('Part types'!$Q:$Q,$AK935))</f>
        <v>15</v>
      </c>
      <c r="I935" s="10" t="n">
        <f aca="false">IF($AK935=0,"",INDEX('Part types'!$R:$R,$AK935))</f>
        <v>10</v>
      </c>
      <c r="J935" s="10" t="n">
        <f aca="false">IF($AK935=0,"",INDEX('Part types'!$S:$S,$AK935))</f>
        <v>0.9</v>
      </c>
      <c r="K935" s="11" t="s">
        <v>3850</v>
      </c>
      <c r="L935" s="11" t="s">
        <v>3884</v>
      </c>
      <c r="M935" s="11" t="str">
        <f aca="false">L935&amp;" - "&amp;N935</f>
        <v>مجرى زجاج الباب - أمامي يمين</v>
      </c>
      <c r="N935" s="11" t="s">
        <v>1357</v>
      </c>
      <c r="O935" s="11" t="s">
        <v>3604</v>
      </c>
      <c r="P935" s="10" t="n">
        <f aca="false">G935</f>
        <v>25</v>
      </c>
      <c r="Q935" s="10" t="n">
        <f aca="false">H935</f>
        <v>15</v>
      </c>
      <c r="R935" s="10" t="n">
        <f aca="false">I935</f>
        <v>10</v>
      </c>
      <c r="S935" s="10" t="n">
        <f aca="false">J935</f>
        <v>0.9</v>
      </c>
      <c r="T935" s="12" t="s">
        <v>3851</v>
      </c>
      <c r="U935" s="12" t="s">
        <v>3885</v>
      </c>
      <c r="V935" s="9" t="str">
        <f aca="false">U935&amp;" - "&amp;W935</f>
        <v>车窗导槽 - 前右</v>
      </c>
      <c r="W935" s="12" t="s">
        <v>1358</v>
      </c>
      <c r="X935" s="12" t="s">
        <v>3606</v>
      </c>
      <c r="Y935" s="10" t="n">
        <f aca="false">G935</f>
        <v>25</v>
      </c>
      <c r="Z935" s="10" t="n">
        <f aca="false">H935</f>
        <v>15</v>
      </c>
      <c r="AA935" s="10" t="n">
        <f aca="false">I935</f>
        <v>10</v>
      </c>
      <c r="AB935" s="10" t="n">
        <f aca="false">J935</f>
        <v>0.9</v>
      </c>
      <c r="AC935" s="9" t="s">
        <v>3852</v>
      </c>
      <c r="AD935" s="9" t="s">
        <v>3886</v>
      </c>
      <c r="AE935" s="9" t="str">
        <f aca="false">IF($AK935=0,"",INDEX('Part types'!$T:$T,$AK935)&amp;"")</f>
        <v>All vehicles</v>
      </c>
      <c r="AF935" s="9" t="str">
        <f aca="false">IF($AK935=0,"",INDEX('Part types'!$U:$U,$AK935)&amp;"")</f>
        <v/>
      </c>
      <c r="AG935" s="9" t="str">
        <f aca="false">IF($AK935=0,"",INDEX('Part types'!$V:$V,$AK935)&amp;"")</f>
        <v>Estimate: size class M</v>
      </c>
      <c r="AH935" s="9" t="str">
        <f aca="false">IF($AK935=0,"",INDEX('Part types'!$W:$W,$AK935)&amp;"")</f>
        <v>Window Glass Run Channel</v>
      </c>
      <c r="AI935" s="11" t="str">
        <f aca="false">IF($AK935=0,"",INDEX('Part types'!$X:$X,$AK935)&amp;"")</f>
        <v>مطاط</v>
      </c>
      <c r="AJ935" s="9" t="str">
        <f aca="false">IF($AK935=0,"",INDEX('Part types'!$Y:$Y,$AK935)&amp;"")</f>
        <v/>
      </c>
      <c r="AK935" s="9" t="n">
        <f aca="false">IFERROR(MATCH($AD935,'Part types'!$E:$E,0),0)</f>
        <v>627</v>
      </c>
    </row>
    <row r="936" customFormat="false" ht="15" hidden="false" customHeight="false" outlineLevel="0" collapsed="false">
      <c r="A936" s="9" t="s">
        <v>3888</v>
      </c>
      <c r="B936" s="9" t="s">
        <v>3848</v>
      </c>
      <c r="C936" s="9" t="s">
        <v>3883</v>
      </c>
      <c r="D936" s="9" t="str">
        <f aca="false">C936&amp;" - "&amp;E936</f>
        <v>Glass Run Channel - Rear-Left</v>
      </c>
      <c r="E936" s="9" t="s">
        <v>1360</v>
      </c>
      <c r="F936" s="9" t="s">
        <v>3602</v>
      </c>
      <c r="G936" s="10" t="n">
        <f aca="false">IF($AK936=0,"",INDEX('Part types'!$P:$P,$AK936))</f>
        <v>25</v>
      </c>
      <c r="H936" s="10" t="n">
        <f aca="false">IF($AK936=0,"",INDEX('Part types'!$Q:$Q,$AK936))</f>
        <v>15</v>
      </c>
      <c r="I936" s="10" t="n">
        <f aca="false">IF($AK936=0,"",INDEX('Part types'!$R:$R,$AK936))</f>
        <v>10</v>
      </c>
      <c r="J936" s="10" t="n">
        <f aca="false">IF($AK936=0,"",INDEX('Part types'!$S:$S,$AK936))</f>
        <v>0.9</v>
      </c>
      <c r="K936" s="11" t="s">
        <v>3850</v>
      </c>
      <c r="L936" s="11" t="s">
        <v>3884</v>
      </c>
      <c r="M936" s="11" t="str">
        <f aca="false">L936&amp;" - "&amp;N936</f>
        <v>مجرى زجاج الباب - خلفي يسار</v>
      </c>
      <c r="N936" s="11" t="s">
        <v>1361</v>
      </c>
      <c r="O936" s="11" t="s">
        <v>3604</v>
      </c>
      <c r="P936" s="10" t="n">
        <f aca="false">G936</f>
        <v>25</v>
      </c>
      <c r="Q936" s="10" t="n">
        <f aca="false">H936</f>
        <v>15</v>
      </c>
      <c r="R936" s="10" t="n">
        <f aca="false">I936</f>
        <v>10</v>
      </c>
      <c r="S936" s="10" t="n">
        <f aca="false">J936</f>
        <v>0.9</v>
      </c>
      <c r="T936" s="12" t="s">
        <v>3851</v>
      </c>
      <c r="U936" s="12" t="s">
        <v>3885</v>
      </c>
      <c r="V936" s="9" t="str">
        <f aca="false">U936&amp;" - "&amp;W936</f>
        <v>车窗导槽 - 后左</v>
      </c>
      <c r="W936" s="12" t="s">
        <v>1362</v>
      </c>
      <c r="X936" s="12" t="s">
        <v>3606</v>
      </c>
      <c r="Y936" s="10" t="n">
        <f aca="false">G936</f>
        <v>25</v>
      </c>
      <c r="Z936" s="10" t="n">
        <f aca="false">H936</f>
        <v>15</v>
      </c>
      <c r="AA936" s="10" t="n">
        <f aca="false">I936</f>
        <v>10</v>
      </c>
      <c r="AB936" s="10" t="n">
        <f aca="false">J936</f>
        <v>0.9</v>
      </c>
      <c r="AC936" s="9" t="s">
        <v>3852</v>
      </c>
      <c r="AD936" s="9" t="s">
        <v>3886</v>
      </c>
      <c r="AE936" s="9" t="str">
        <f aca="false">IF($AK936=0,"",INDEX('Part types'!$T:$T,$AK936)&amp;"")</f>
        <v>All vehicles</v>
      </c>
      <c r="AF936" s="9" t="str">
        <f aca="false">IF($AK936=0,"",INDEX('Part types'!$U:$U,$AK936)&amp;"")</f>
        <v/>
      </c>
      <c r="AG936" s="9" t="str">
        <f aca="false">IF($AK936=0,"",INDEX('Part types'!$V:$V,$AK936)&amp;"")</f>
        <v>Estimate: size class M</v>
      </c>
      <c r="AH936" s="9" t="str">
        <f aca="false">IF($AK936=0,"",INDEX('Part types'!$W:$W,$AK936)&amp;"")</f>
        <v>Window Glass Run Channel</v>
      </c>
      <c r="AI936" s="11" t="str">
        <f aca="false">IF($AK936=0,"",INDEX('Part types'!$X:$X,$AK936)&amp;"")</f>
        <v>مطاط</v>
      </c>
      <c r="AJ936" s="9" t="str">
        <f aca="false">IF($AK936=0,"",INDEX('Part types'!$Y:$Y,$AK936)&amp;"")</f>
        <v/>
      </c>
      <c r="AK936" s="9" t="n">
        <f aca="false">IFERROR(MATCH($AD936,'Part types'!$E:$E,0),0)</f>
        <v>627</v>
      </c>
    </row>
    <row r="937" customFormat="false" ht="15" hidden="false" customHeight="false" outlineLevel="0" collapsed="false">
      <c r="A937" s="9" t="s">
        <v>3889</v>
      </c>
      <c r="B937" s="9" t="s">
        <v>3848</v>
      </c>
      <c r="C937" s="9" t="s">
        <v>3883</v>
      </c>
      <c r="D937" s="9" t="str">
        <f aca="false">C937&amp;" - "&amp;E937</f>
        <v>Glass Run Channel - Rear-Right</v>
      </c>
      <c r="E937" s="9" t="s">
        <v>1364</v>
      </c>
      <c r="F937" s="9" t="s">
        <v>3602</v>
      </c>
      <c r="G937" s="10" t="n">
        <f aca="false">IF($AK937=0,"",INDEX('Part types'!$P:$P,$AK937))</f>
        <v>25</v>
      </c>
      <c r="H937" s="10" t="n">
        <f aca="false">IF($AK937=0,"",INDEX('Part types'!$Q:$Q,$AK937))</f>
        <v>15</v>
      </c>
      <c r="I937" s="10" t="n">
        <f aca="false">IF($AK937=0,"",INDEX('Part types'!$R:$R,$AK937))</f>
        <v>10</v>
      </c>
      <c r="J937" s="10" t="n">
        <f aca="false">IF($AK937=0,"",INDEX('Part types'!$S:$S,$AK937))</f>
        <v>0.9</v>
      </c>
      <c r="K937" s="11" t="s">
        <v>3850</v>
      </c>
      <c r="L937" s="11" t="s">
        <v>3884</v>
      </c>
      <c r="M937" s="11" t="str">
        <f aca="false">L937&amp;" - "&amp;N937</f>
        <v>مجرى زجاج الباب - خلفي يمين</v>
      </c>
      <c r="N937" s="11" t="s">
        <v>1365</v>
      </c>
      <c r="O937" s="11" t="s">
        <v>3604</v>
      </c>
      <c r="P937" s="10" t="n">
        <f aca="false">G937</f>
        <v>25</v>
      </c>
      <c r="Q937" s="10" t="n">
        <f aca="false">H937</f>
        <v>15</v>
      </c>
      <c r="R937" s="10" t="n">
        <f aca="false">I937</f>
        <v>10</v>
      </c>
      <c r="S937" s="10" t="n">
        <f aca="false">J937</f>
        <v>0.9</v>
      </c>
      <c r="T937" s="12" t="s">
        <v>3851</v>
      </c>
      <c r="U937" s="12" t="s">
        <v>3885</v>
      </c>
      <c r="V937" s="9" t="str">
        <f aca="false">U937&amp;" - "&amp;W937</f>
        <v>车窗导槽 - 后右</v>
      </c>
      <c r="W937" s="12" t="s">
        <v>1366</v>
      </c>
      <c r="X937" s="12" t="s">
        <v>3606</v>
      </c>
      <c r="Y937" s="10" t="n">
        <f aca="false">G937</f>
        <v>25</v>
      </c>
      <c r="Z937" s="10" t="n">
        <f aca="false">H937</f>
        <v>15</v>
      </c>
      <c r="AA937" s="10" t="n">
        <f aca="false">I937</f>
        <v>10</v>
      </c>
      <c r="AB937" s="10" t="n">
        <f aca="false">J937</f>
        <v>0.9</v>
      </c>
      <c r="AC937" s="9" t="s">
        <v>3852</v>
      </c>
      <c r="AD937" s="9" t="s">
        <v>3886</v>
      </c>
      <c r="AE937" s="9" t="str">
        <f aca="false">IF($AK937=0,"",INDEX('Part types'!$T:$T,$AK937)&amp;"")</f>
        <v>All vehicles</v>
      </c>
      <c r="AF937" s="9" t="str">
        <f aca="false">IF($AK937=0,"",INDEX('Part types'!$U:$U,$AK937)&amp;"")</f>
        <v/>
      </c>
      <c r="AG937" s="9" t="str">
        <f aca="false">IF($AK937=0,"",INDEX('Part types'!$V:$V,$AK937)&amp;"")</f>
        <v>Estimate: size class M</v>
      </c>
      <c r="AH937" s="9" t="str">
        <f aca="false">IF($AK937=0,"",INDEX('Part types'!$W:$W,$AK937)&amp;"")</f>
        <v>Window Glass Run Channel</v>
      </c>
      <c r="AI937" s="11" t="str">
        <f aca="false">IF($AK937=0,"",INDEX('Part types'!$X:$X,$AK937)&amp;"")</f>
        <v>مطاط</v>
      </c>
      <c r="AJ937" s="9" t="str">
        <f aca="false">IF($AK937=0,"",INDEX('Part types'!$Y:$Y,$AK937)&amp;"")</f>
        <v/>
      </c>
      <c r="AK937" s="9" t="n">
        <f aca="false">IFERROR(MATCH($AD937,'Part types'!$E:$E,0),0)</f>
        <v>627</v>
      </c>
    </row>
    <row r="938" customFormat="false" ht="15" hidden="false" customHeight="false" outlineLevel="0" collapsed="false">
      <c r="A938" s="9" t="s">
        <v>3890</v>
      </c>
      <c r="B938" s="9" t="s">
        <v>3848</v>
      </c>
      <c r="C938" s="9" t="s">
        <v>3891</v>
      </c>
      <c r="D938" s="9" t="str">
        <f aca="false">C938&amp;" - "&amp;E938</f>
        <v>Window Seal Strip - Front-Left</v>
      </c>
      <c r="E938" s="9" t="s">
        <v>1346</v>
      </c>
      <c r="F938" s="9" t="s">
        <v>3602</v>
      </c>
      <c r="G938" s="10" t="n">
        <f aca="false">IF($AK938=0,"",INDEX('Part types'!$P:$P,$AK938))</f>
        <v>25</v>
      </c>
      <c r="H938" s="10" t="n">
        <f aca="false">IF($AK938=0,"",INDEX('Part types'!$Q:$Q,$AK938))</f>
        <v>15</v>
      </c>
      <c r="I938" s="10" t="n">
        <f aca="false">IF($AK938=0,"",INDEX('Part types'!$R:$R,$AK938))</f>
        <v>10</v>
      </c>
      <c r="J938" s="10" t="n">
        <f aca="false">IF($AK938=0,"",INDEX('Part types'!$S:$S,$AK938))</f>
        <v>0.9</v>
      </c>
      <c r="K938" s="11" t="s">
        <v>3850</v>
      </c>
      <c r="L938" s="11" t="s">
        <v>3892</v>
      </c>
      <c r="M938" s="11" t="str">
        <f aca="false">L938&amp;" - "&amp;N938</f>
        <v>مطاط حواف الزجاج - أمامي يسار</v>
      </c>
      <c r="N938" s="11" t="s">
        <v>1349</v>
      </c>
      <c r="O938" s="11" t="s">
        <v>3604</v>
      </c>
      <c r="P938" s="10" t="n">
        <f aca="false">G938</f>
        <v>25</v>
      </c>
      <c r="Q938" s="10" t="n">
        <f aca="false">H938</f>
        <v>15</v>
      </c>
      <c r="R938" s="10" t="n">
        <f aca="false">I938</f>
        <v>10</v>
      </c>
      <c r="S938" s="10" t="n">
        <f aca="false">J938</f>
        <v>0.9</v>
      </c>
      <c r="T938" s="12" t="s">
        <v>3851</v>
      </c>
      <c r="U938" s="12" t="s">
        <v>3893</v>
      </c>
      <c r="V938" s="9" t="str">
        <f aca="false">U938&amp;" - "&amp;W938</f>
        <v>车窗内外水切 - 前左</v>
      </c>
      <c r="W938" s="12" t="s">
        <v>1352</v>
      </c>
      <c r="X938" s="12" t="s">
        <v>3606</v>
      </c>
      <c r="Y938" s="10" t="n">
        <f aca="false">G938</f>
        <v>25</v>
      </c>
      <c r="Z938" s="10" t="n">
        <f aca="false">H938</f>
        <v>15</v>
      </c>
      <c r="AA938" s="10" t="n">
        <f aca="false">I938</f>
        <v>10</v>
      </c>
      <c r="AB938" s="10" t="n">
        <f aca="false">J938</f>
        <v>0.9</v>
      </c>
      <c r="AC938" s="9" t="s">
        <v>3852</v>
      </c>
      <c r="AD938" s="9" t="s">
        <v>3894</v>
      </c>
      <c r="AE938" s="9" t="str">
        <f aca="false">IF($AK938=0,"",INDEX('Part types'!$T:$T,$AK938)&amp;"")</f>
        <v>All vehicles</v>
      </c>
      <c r="AF938" s="9" t="str">
        <f aca="false">IF($AK938=0,"",INDEX('Part types'!$U:$U,$AK938)&amp;"")</f>
        <v/>
      </c>
      <c r="AG938" s="9" t="str">
        <f aca="false">IF($AK938=0,"",INDEX('Part types'!$V:$V,$AK938)&amp;"")</f>
        <v>Estimate: size class M</v>
      </c>
      <c r="AH938" s="9" t="str">
        <f aca="false">IF($AK938=0,"",INDEX('Part types'!$W:$W,$AK938)&amp;"")</f>
        <v>Window Inner and Outer Seal Strip</v>
      </c>
      <c r="AI938" s="11" t="str">
        <f aca="false">IF($AK938=0,"",INDEX('Part types'!$X:$X,$AK938)&amp;"")</f>
        <v/>
      </c>
      <c r="AJ938" s="9" t="str">
        <f aca="false">IF($AK938=0,"",INDEX('Part types'!$Y:$Y,$AK938)&amp;"")</f>
        <v/>
      </c>
      <c r="AK938" s="9" t="n">
        <f aca="false">IFERROR(MATCH($AD938,'Part types'!$E:$E,0),0)</f>
        <v>628</v>
      </c>
    </row>
    <row r="939" customFormat="false" ht="15" hidden="false" customHeight="false" outlineLevel="0" collapsed="false">
      <c r="A939" s="9" t="s">
        <v>3895</v>
      </c>
      <c r="B939" s="9" t="s">
        <v>3848</v>
      </c>
      <c r="C939" s="9" t="s">
        <v>3891</v>
      </c>
      <c r="D939" s="9" t="str">
        <f aca="false">C939&amp;" - "&amp;E939</f>
        <v>Window Seal Strip - Front-Right</v>
      </c>
      <c r="E939" s="9" t="s">
        <v>1356</v>
      </c>
      <c r="F939" s="9" t="s">
        <v>3602</v>
      </c>
      <c r="G939" s="10" t="n">
        <f aca="false">IF($AK939=0,"",INDEX('Part types'!$P:$P,$AK939))</f>
        <v>25</v>
      </c>
      <c r="H939" s="10" t="n">
        <f aca="false">IF($AK939=0,"",INDEX('Part types'!$Q:$Q,$AK939))</f>
        <v>15</v>
      </c>
      <c r="I939" s="10" t="n">
        <f aca="false">IF($AK939=0,"",INDEX('Part types'!$R:$R,$AK939))</f>
        <v>10</v>
      </c>
      <c r="J939" s="10" t="n">
        <f aca="false">IF($AK939=0,"",INDEX('Part types'!$S:$S,$AK939))</f>
        <v>0.9</v>
      </c>
      <c r="K939" s="11" t="s">
        <v>3850</v>
      </c>
      <c r="L939" s="11" t="s">
        <v>3892</v>
      </c>
      <c r="M939" s="11" t="str">
        <f aca="false">L939&amp;" - "&amp;N939</f>
        <v>مطاط حواف الزجاج - أمامي يمين</v>
      </c>
      <c r="N939" s="11" t="s">
        <v>1357</v>
      </c>
      <c r="O939" s="11" t="s">
        <v>3604</v>
      </c>
      <c r="P939" s="10" t="n">
        <f aca="false">G939</f>
        <v>25</v>
      </c>
      <c r="Q939" s="10" t="n">
        <f aca="false">H939</f>
        <v>15</v>
      </c>
      <c r="R939" s="10" t="n">
        <f aca="false">I939</f>
        <v>10</v>
      </c>
      <c r="S939" s="10" t="n">
        <f aca="false">J939</f>
        <v>0.9</v>
      </c>
      <c r="T939" s="12" t="s">
        <v>3851</v>
      </c>
      <c r="U939" s="12" t="s">
        <v>3893</v>
      </c>
      <c r="V939" s="9" t="str">
        <f aca="false">U939&amp;" - "&amp;W939</f>
        <v>车窗内外水切 - 前右</v>
      </c>
      <c r="W939" s="12" t="s">
        <v>1358</v>
      </c>
      <c r="X939" s="12" t="s">
        <v>3606</v>
      </c>
      <c r="Y939" s="10" t="n">
        <f aca="false">G939</f>
        <v>25</v>
      </c>
      <c r="Z939" s="10" t="n">
        <f aca="false">H939</f>
        <v>15</v>
      </c>
      <c r="AA939" s="10" t="n">
        <f aca="false">I939</f>
        <v>10</v>
      </c>
      <c r="AB939" s="10" t="n">
        <f aca="false">J939</f>
        <v>0.9</v>
      </c>
      <c r="AC939" s="9" t="s">
        <v>3852</v>
      </c>
      <c r="AD939" s="9" t="s">
        <v>3894</v>
      </c>
      <c r="AE939" s="9" t="str">
        <f aca="false">IF($AK939=0,"",INDEX('Part types'!$T:$T,$AK939)&amp;"")</f>
        <v>All vehicles</v>
      </c>
      <c r="AF939" s="9" t="str">
        <f aca="false">IF($AK939=0,"",INDEX('Part types'!$U:$U,$AK939)&amp;"")</f>
        <v/>
      </c>
      <c r="AG939" s="9" t="str">
        <f aca="false">IF($AK939=0,"",INDEX('Part types'!$V:$V,$AK939)&amp;"")</f>
        <v>Estimate: size class M</v>
      </c>
      <c r="AH939" s="9" t="str">
        <f aca="false">IF($AK939=0,"",INDEX('Part types'!$W:$W,$AK939)&amp;"")</f>
        <v>Window Inner and Outer Seal Strip</v>
      </c>
      <c r="AI939" s="11" t="str">
        <f aca="false">IF($AK939=0,"",INDEX('Part types'!$X:$X,$AK939)&amp;"")</f>
        <v/>
      </c>
      <c r="AJ939" s="9" t="str">
        <f aca="false">IF($AK939=0,"",INDEX('Part types'!$Y:$Y,$AK939)&amp;"")</f>
        <v/>
      </c>
      <c r="AK939" s="9" t="n">
        <f aca="false">IFERROR(MATCH($AD939,'Part types'!$E:$E,0),0)</f>
        <v>628</v>
      </c>
    </row>
    <row r="940" customFormat="false" ht="15" hidden="false" customHeight="false" outlineLevel="0" collapsed="false">
      <c r="A940" s="9" t="s">
        <v>3896</v>
      </c>
      <c r="B940" s="9" t="s">
        <v>3848</v>
      </c>
      <c r="C940" s="9" t="s">
        <v>3891</v>
      </c>
      <c r="D940" s="9" t="str">
        <f aca="false">C940&amp;" - "&amp;E940</f>
        <v>Window Seal Strip - Rear-Left</v>
      </c>
      <c r="E940" s="9" t="s">
        <v>1360</v>
      </c>
      <c r="F940" s="9" t="s">
        <v>3602</v>
      </c>
      <c r="G940" s="10" t="n">
        <f aca="false">IF($AK940=0,"",INDEX('Part types'!$P:$P,$AK940))</f>
        <v>25</v>
      </c>
      <c r="H940" s="10" t="n">
        <f aca="false">IF($AK940=0,"",INDEX('Part types'!$Q:$Q,$AK940))</f>
        <v>15</v>
      </c>
      <c r="I940" s="10" t="n">
        <f aca="false">IF($AK940=0,"",INDEX('Part types'!$R:$R,$AK940))</f>
        <v>10</v>
      </c>
      <c r="J940" s="10" t="n">
        <f aca="false">IF($AK940=0,"",INDEX('Part types'!$S:$S,$AK940))</f>
        <v>0.9</v>
      </c>
      <c r="K940" s="11" t="s">
        <v>3850</v>
      </c>
      <c r="L940" s="11" t="s">
        <v>3892</v>
      </c>
      <c r="M940" s="11" t="str">
        <f aca="false">L940&amp;" - "&amp;N940</f>
        <v>مطاط حواف الزجاج - خلفي يسار</v>
      </c>
      <c r="N940" s="11" t="s">
        <v>1361</v>
      </c>
      <c r="O940" s="11" t="s">
        <v>3604</v>
      </c>
      <c r="P940" s="10" t="n">
        <f aca="false">G940</f>
        <v>25</v>
      </c>
      <c r="Q940" s="10" t="n">
        <f aca="false">H940</f>
        <v>15</v>
      </c>
      <c r="R940" s="10" t="n">
        <f aca="false">I940</f>
        <v>10</v>
      </c>
      <c r="S940" s="10" t="n">
        <f aca="false">J940</f>
        <v>0.9</v>
      </c>
      <c r="T940" s="12" t="s">
        <v>3851</v>
      </c>
      <c r="U940" s="12" t="s">
        <v>3893</v>
      </c>
      <c r="V940" s="9" t="str">
        <f aca="false">U940&amp;" - "&amp;W940</f>
        <v>车窗内外水切 - 后左</v>
      </c>
      <c r="W940" s="12" t="s">
        <v>1362</v>
      </c>
      <c r="X940" s="12" t="s">
        <v>3606</v>
      </c>
      <c r="Y940" s="10" t="n">
        <f aca="false">G940</f>
        <v>25</v>
      </c>
      <c r="Z940" s="10" t="n">
        <f aca="false">H940</f>
        <v>15</v>
      </c>
      <c r="AA940" s="10" t="n">
        <f aca="false">I940</f>
        <v>10</v>
      </c>
      <c r="AB940" s="10" t="n">
        <f aca="false">J940</f>
        <v>0.9</v>
      </c>
      <c r="AC940" s="9" t="s">
        <v>3852</v>
      </c>
      <c r="AD940" s="9" t="s">
        <v>3894</v>
      </c>
      <c r="AE940" s="9" t="str">
        <f aca="false">IF($AK940=0,"",INDEX('Part types'!$T:$T,$AK940)&amp;"")</f>
        <v>All vehicles</v>
      </c>
      <c r="AF940" s="9" t="str">
        <f aca="false">IF($AK940=0,"",INDEX('Part types'!$U:$U,$AK940)&amp;"")</f>
        <v/>
      </c>
      <c r="AG940" s="9" t="str">
        <f aca="false">IF($AK940=0,"",INDEX('Part types'!$V:$V,$AK940)&amp;"")</f>
        <v>Estimate: size class M</v>
      </c>
      <c r="AH940" s="9" t="str">
        <f aca="false">IF($AK940=0,"",INDEX('Part types'!$W:$W,$AK940)&amp;"")</f>
        <v>Window Inner and Outer Seal Strip</v>
      </c>
      <c r="AI940" s="11" t="str">
        <f aca="false">IF($AK940=0,"",INDEX('Part types'!$X:$X,$AK940)&amp;"")</f>
        <v/>
      </c>
      <c r="AJ940" s="9" t="str">
        <f aca="false">IF($AK940=0,"",INDEX('Part types'!$Y:$Y,$AK940)&amp;"")</f>
        <v/>
      </c>
      <c r="AK940" s="9" t="n">
        <f aca="false">IFERROR(MATCH($AD940,'Part types'!$E:$E,0),0)</f>
        <v>628</v>
      </c>
    </row>
    <row r="941" customFormat="false" ht="15" hidden="false" customHeight="false" outlineLevel="0" collapsed="false">
      <c r="A941" s="9" t="s">
        <v>3897</v>
      </c>
      <c r="B941" s="9" t="s">
        <v>3848</v>
      </c>
      <c r="C941" s="9" t="s">
        <v>3891</v>
      </c>
      <c r="D941" s="9" t="str">
        <f aca="false">C941&amp;" - "&amp;E941</f>
        <v>Window Seal Strip - Rear-Right</v>
      </c>
      <c r="E941" s="9" t="s">
        <v>1364</v>
      </c>
      <c r="F941" s="9" t="s">
        <v>3602</v>
      </c>
      <c r="G941" s="10" t="n">
        <f aca="false">IF($AK941=0,"",INDEX('Part types'!$P:$P,$AK941))</f>
        <v>25</v>
      </c>
      <c r="H941" s="10" t="n">
        <f aca="false">IF($AK941=0,"",INDEX('Part types'!$Q:$Q,$AK941))</f>
        <v>15</v>
      </c>
      <c r="I941" s="10" t="n">
        <f aca="false">IF($AK941=0,"",INDEX('Part types'!$R:$R,$AK941))</f>
        <v>10</v>
      </c>
      <c r="J941" s="10" t="n">
        <f aca="false">IF($AK941=0,"",INDEX('Part types'!$S:$S,$AK941))</f>
        <v>0.9</v>
      </c>
      <c r="K941" s="11" t="s">
        <v>3850</v>
      </c>
      <c r="L941" s="11" t="s">
        <v>3892</v>
      </c>
      <c r="M941" s="11" t="str">
        <f aca="false">L941&amp;" - "&amp;N941</f>
        <v>مطاط حواف الزجاج - خلفي يمين</v>
      </c>
      <c r="N941" s="11" t="s">
        <v>1365</v>
      </c>
      <c r="O941" s="11" t="s">
        <v>3604</v>
      </c>
      <c r="P941" s="10" t="n">
        <f aca="false">G941</f>
        <v>25</v>
      </c>
      <c r="Q941" s="10" t="n">
        <f aca="false">H941</f>
        <v>15</v>
      </c>
      <c r="R941" s="10" t="n">
        <f aca="false">I941</f>
        <v>10</v>
      </c>
      <c r="S941" s="10" t="n">
        <f aca="false">J941</f>
        <v>0.9</v>
      </c>
      <c r="T941" s="12" t="s">
        <v>3851</v>
      </c>
      <c r="U941" s="12" t="s">
        <v>3893</v>
      </c>
      <c r="V941" s="9" t="str">
        <f aca="false">U941&amp;" - "&amp;W941</f>
        <v>车窗内外水切 - 后右</v>
      </c>
      <c r="W941" s="12" t="s">
        <v>1366</v>
      </c>
      <c r="X941" s="12" t="s">
        <v>3606</v>
      </c>
      <c r="Y941" s="10" t="n">
        <f aca="false">G941</f>
        <v>25</v>
      </c>
      <c r="Z941" s="10" t="n">
        <f aca="false">H941</f>
        <v>15</v>
      </c>
      <c r="AA941" s="10" t="n">
        <f aca="false">I941</f>
        <v>10</v>
      </c>
      <c r="AB941" s="10" t="n">
        <f aca="false">J941</f>
        <v>0.9</v>
      </c>
      <c r="AC941" s="9" t="s">
        <v>3852</v>
      </c>
      <c r="AD941" s="9" t="s">
        <v>3894</v>
      </c>
      <c r="AE941" s="9" t="str">
        <f aca="false">IF($AK941=0,"",INDEX('Part types'!$T:$T,$AK941)&amp;"")</f>
        <v>All vehicles</v>
      </c>
      <c r="AF941" s="9" t="str">
        <f aca="false">IF($AK941=0,"",INDEX('Part types'!$U:$U,$AK941)&amp;"")</f>
        <v/>
      </c>
      <c r="AG941" s="9" t="str">
        <f aca="false">IF($AK941=0,"",INDEX('Part types'!$V:$V,$AK941)&amp;"")</f>
        <v>Estimate: size class M</v>
      </c>
      <c r="AH941" s="9" t="str">
        <f aca="false">IF($AK941=0,"",INDEX('Part types'!$W:$W,$AK941)&amp;"")</f>
        <v>Window Inner and Outer Seal Strip</v>
      </c>
      <c r="AI941" s="11" t="str">
        <f aca="false">IF($AK941=0,"",INDEX('Part types'!$X:$X,$AK941)&amp;"")</f>
        <v/>
      </c>
      <c r="AJ941" s="9" t="str">
        <f aca="false">IF($AK941=0,"",INDEX('Part types'!$Y:$Y,$AK941)&amp;"")</f>
        <v/>
      </c>
      <c r="AK941" s="9" t="n">
        <f aca="false">IFERROR(MATCH($AD941,'Part types'!$E:$E,0),0)</f>
        <v>628</v>
      </c>
    </row>
    <row r="942" customFormat="false" ht="15" hidden="false" customHeight="false" outlineLevel="0" collapsed="false">
      <c r="A942" s="9" t="s">
        <v>3898</v>
      </c>
      <c r="B942" s="9" t="s">
        <v>3848</v>
      </c>
      <c r="C942" s="9" t="s">
        <v>3899</v>
      </c>
      <c r="D942" s="9" t="str">
        <f aca="false">C942&amp;" - "&amp;E942</f>
        <v>Windshield Molding - Universal</v>
      </c>
      <c r="E942" s="9" t="s">
        <v>68</v>
      </c>
      <c r="F942" s="9" t="s">
        <v>2575</v>
      </c>
      <c r="G942" s="10" t="n">
        <f aca="false">IF($AK942=0,"",INDEX('Part types'!$P:$P,$AK942))</f>
        <v>30</v>
      </c>
      <c r="H942" s="10" t="n">
        <f aca="false">IF($AK942=0,"",INDEX('Part types'!$Q:$Q,$AK942))</f>
        <v>20</v>
      </c>
      <c r="I942" s="10" t="n">
        <f aca="false">IF($AK942=0,"",INDEX('Part types'!$R:$R,$AK942))</f>
        <v>15</v>
      </c>
      <c r="J942" s="10" t="n">
        <f aca="false">IF($AK942=0,"",INDEX('Part types'!$S:$S,$AK942))</f>
        <v>1.8</v>
      </c>
      <c r="K942" s="11" t="s">
        <v>3850</v>
      </c>
      <c r="L942" s="11" t="s">
        <v>3900</v>
      </c>
      <c r="M942" s="11" t="str">
        <f aca="false">L942&amp;" - "&amp;N942</f>
        <v>زينة الزجاج الأمامي - عام</v>
      </c>
      <c r="N942" s="11" t="s">
        <v>72</v>
      </c>
      <c r="O942" s="11" t="s">
        <v>2577</v>
      </c>
      <c r="P942" s="10" t="n">
        <f aca="false">G942</f>
        <v>30</v>
      </c>
      <c r="Q942" s="10" t="n">
        <f aca="false">H942</f>
        <v>20</v>
      </c>
      <c r="R942" s="10" t="n">
        <f aca="false">I942</f>
        <v>15</v>
      </c>
      <c r="S942" s="10" t="n">
        <f aca="false">J942</f>
        <v>1.8</v>
      </c>
      <c r="T942" s="12" t="s">
        <v>3851</v>
      </c>
      <c r="U942" s="12" t="s">
        <v>3901</v>
      </c>
      <c r="V942" s="9" t="str">
        <f aca="false">U942&amp;" - "&amp;W942</f>
        <v>前挡风玻璃饰条 - 通用</v>
      </c>
      <c r="W942" s="12" t="s">
        <v>76</v>
      </c>
      <c r="X942" s="12" t="s">
        <v>2579</v>
      </c>
      <c r="Y942" s="10" t="n">
        <f aca="false">G942</f>
        <v>30</v>
      </c>
      <c r="Z942" s="10" t="n">
        <f aca="false">H942</f>
        <v>20</v>
      </c>
      <c r="AA942" s="10" t="n">
        <f aca="false">I942</f>
        <v>15</v>
      </c>
      <c r="AB942" s="10" t="n">
        <f aca="false">J942</f>
        <v>1.8</v>
      </c>
      <c r="AC942" s="9" t="s">
        <v>3852</v>
      </c>
      <c r="AD942" s="9" t="s">
        <v>3902</v>
      </c>
      <c r="AE942" s="9" t="str">
        <f aca="false">IF($AK942=0,"",INDEX('Part types'!$T:$T,$AK942)&amp;"")</f>
        <v>All vehicles</v>
      </c>
      <c r="AF942" s="9" t="str">
        <f aca="false">IF($AK942=0,"",INDEX('Part types'!$U:$U,$AK942)&amp;"")</f>
        <v/>
      </c>
      <c r="AG942" s="9" t="str">
        <f aca="false">IF($AK942=0,"",INDEX('Part types'!$V:$V,$AK942)&amp;"")</f>
        <v>Estimate: size class M2</v>
      </c>
      <c r="AH942" s="9" t="str">
        <f aca="false">IF($AK942=0,"",INDEX('Part types'!$W:$W,$AK942)&amp;"")</f>
        <v/>
      </c>
      <c r="AI942" s="11" t="str">
        <f aca="false">IF($AK942=0,"",INDEX('Part types'!$X:$X,$AK942)&amp;"")</f>
        <v/>
      </c>
      <c r="AJ942" s="9" t="str">
        <f aca="false">IF($AK942=0,"",INDEX('Part types'!$Y:$Y,$AK942)&amp;"")</f>
        <v/>
      </c>
      <c r="AK942" s="9" t="n">
        <f aca="false">IFERROR(MATCH($AD942,'Part types'!$E:$E,0),0)</f>
        <v>629</v>
      </c>
    </row>
    <row r="943" customFormat="false" ht="15" hidden="false" customHeight="false" outlineLevel="0" collapsed="false">
      <c r="A943" s="9" t="s">
        <v>3903</v>
      </c>
      <c r="B943" s="9" t="s">
        <v>3848</v>
      </c>
      <c r="C943" s="9" t="s">
        <v>3904</v>
      </c>
      <c r="D943" s="9" t="str">
        <f aca="false">C943&amp;" - "&amp;E943</f>
        <v>Windshield Rubber Seal - Universal</v>
      </c>
      <c r="E943" s="9" t="s">
        <v>68</v>
      </c>
      <c r="F943" s="9" t="s">
        <v>2575</v>
      </c>
      <c r="G943" s="10" t="n">
        <f aca="false">IF($AK943=0,"",INDEX('Part types'!$P:$P,$AK943))</f>
        <v>40</v>
      </c>
      <c r="H943" s="10" t="n">
        <f aca="false">IF($AK943=0,"",INDEX('Part types'!$Q:$Q,$AK943))</f>
        <v>30</v>
      </c>
      <c r="I943" s="10" t="n">
        <f aca="false">IF($AK943=0,"",INDEX('Part types'!$R:$R,$AK943))</f>
        <v>6</v>
      </c>
      <c r="J943" s="10" t="n">
        <f aca="false">IF($AK943=0,"",INDEX('Part types'!$S:$S,$AK943))</f>
        <v>1.3</v>
      </c>
      <c r="K943" s="11" t="s">
        <v>3850</v>
      </c>
      <c r="L943" s="11" t="s">
        <v>3905</v>
      </c>
      <c r="M943" s="11" t="str">
        <f aca="false">L943&amp;" - "&amp;N943</f>
        <v>مطاط الزجاج الأمامي - عام</v>
      </c>
      <c r="N943" s="11" t="s">
        <v>72</v>
      </c>
      <c r="O943" s="11" t="s">
        <v>2577</v>
      </c>
      <c r="P943" s="10" t="n">
        <f aca="false">G943</f>
        <v>40</v>
      </c>
      <c r="Q943" s="10" t="n">
        <f aca="false">H943</f>
        <v>30</v>
      </c>
      <c r="R943" s="10" t="n">
        <f aca="false">I943</f>
        <v>6</v>
      </c>
      <c r="S943" s="10" t="n">
        <f aca="false">J943</f>
        <v>1.3</v>
      </c>
      <c r="T943" s="12" t="s">
        <v>3851</v>
      </c>
      <c r="U943" s="12" t="s">
        <v>3906</v>
      </c>
      <c r="V943" s="9" t="str">
        <f aca="false">U943&amp;" - "&amp;W943</f>
        <v>前挡风玻璃密封胶条 - 通用</v>
      </c>
      <c r="W943" s="12" t="s">
        <v>76</v>
      </c>
      <c r="X943" s="12" t="s">
        <v>2579</v>
      </c>
      <c r="Y943" s="10" t="n">
        <f aca="false">G943</f>
        <v>40</v>
      </c>
      <c r="Z943" s="10" t="n">
        <f aca="false">H943</f>
        <v>30</v>
      </c>
      <c r="AA943" s="10" t="n">
        <f aca="false">I943</f>
        <v>6</v>
      </c>
      <c r="AB943" s="10" t="n">
        <f aca="false">J943</f>
        <v>1.3</v>
      </c>
      <c r="AC943" s="9" t="s">
        <v>3852</v>
      </c>
      <c r="AD943" s="9" t="s">
        <v>3907</v>
      </c>
      <c r="AE943" s="9" t="str">
        <f aca="false">IF($AK943=0,"",INDEX('Part types'!$T:$T,$AK943)&amp;"")</f>
        <v>All vehicles</v>
      </c>
      <c r="AF943" s="9" t="str">
        <f aca="false">IF($AK943=0,"",INDEX('Part types'!$U:$U,$AK943)&amp;"")</f>
        <v/>
      </c>
      <c r="AG943" s="9" t="str">
        <f aca="false">IF($AK943=0,"",INDEX('Part types'!$V:$V,$AK943)&amp;"")</f>
        <v>Estimate: item-specific</v>
      </c>
      <c r="AH943" s="9" t="str">
        <f aca="false">IF($AK943=0,"",INDEX('Part types'!$W:$W,$AK943)&amp;"")</f>
        <v/>
      </c>
      <c r="AI943" s="11" t="str">
        <f aca="false">IF($AK943=0,"",INDEX('Part types'!$X:$X,$AK943)&amp;"")</f>
        <v/>
      </c>
      <c r="AJ943" s="9" t="str">
        <f aca="false">IF($AK943=0,"",INDEX('Part types'!$Y:$Y,$AK943)&amp;"")</f>
        <v/>
      </c>
      <c r="AK943" s="9" t="n">
        <f aca="false">IFERROR(MATCH($AD943,'Part types'!$E:$E,0),0)</f>
        <v>630</v>
      </c>
    </row>
    <row r="944" customFormat="false" ht="15" hidden="false" customHeight="false" outlineLevel="0" collapsed="false">
      <c r="A944" s="9" t="s">
        <v>3908</v>
      </c>
      <c r="B944" s="9" t="s">
        <v>3848</v>
      </c>
      <c r="C944" s="9" t="s">
        <v>3909</v>
      </c>
      <c r="D944" s="9" t="str">
        <f aca="false">C944&amp;" - "&amp;E944</f>
        <v>Tint Film Set - Universal</v>
      </c>
      <c r="E944" s="9" t="s">
        <v>68</v>
      </c>
      <c r="F944" s="9" t="s">
        <v>3859</v>
      </c>
      <c r="G944" s="10" t="n">
        <f aca="false">IF($AK944=0,"",INDEX('Part types'!$P:$P,$AK944))</f>
        <v>25</v>
      </c>
      <c r="H944" s="10" t="n">
        <f aca="false">IF($AK944=0,"",INDEX('Part types'!$Q:$Q,$AK944))</f>
        <v>15</v>
      </c>
      <c r="I944" s="10" t="n">
        <f aca="false">IF($AK944=0,"",INDEX('Part types'!$R:$R,$AK944))</f>
        <v>10</v>
      </c>
      <c r="J944" s="10" t="n">
        <f aca="false">IF($AK944=0,"",INDEX('Part types'!$S:$S,$AK944))</f>
        <v>0.9</v>
      </c>
      <c r="K944" s="11" t="s">
        <v>3850</v>
      </c>
      <c r="L944" s="11" t="s">
        <v>3910</v>
      </c>
      <c r="M944" s="11" t="str">
        <f aca="false">L944&amp;" - "&amp;N944</f>
        <v>طقم فيلم تظليل - عام</v>
      </c>
      <c r="N944" s="11" t="s">
        <v>72</v>
      </c>
      <c r="O944" s="11" t="s">
        <v>3861</v>
      </c>
      <c r="P944" s="10" t="n">
        <f aca="false">G944</f>
        <v>25</v>
      </c>
      <c r="Q944" s="10" t="n">
        <f aca="false">H944</f>
        <v>15</v>
      </c>
      <c r="R944" s="10" t="n">
        <f aca="false">I944</f>
        <v>10</v>
      </c>
      <c r="S944" s="10" t="n">
        <f aca="false">J944</f>
        <v>0.9</v>
      </c>
      <c r="T944" s="12" t="s">
        <v>3851</v>
      </c>
      <c r="U944" s="12" t="s">
        <v>3911</v>
      </c>
      <c r="V944" s="9" t="str">
        <f aca="false">U944&amp;" - "&amp;W944</f>
        <v>车窗贴膜 - 通用</v>
      </c>
      <c r="W944" s="12" t="s">
        <v>76</v>
      </c>
      <c r="X944" s="12" t="s">
        <v>3863</v>
      </c>
      <c r="Y944" s="10" t="n">
        <f aca="false">G944</f>
        <v>25</v>
      </c>
      <c r="Z944" s="10" t="n">
        <f aca="false">H944</f>
        <v>15</v>
      </c>
      <c r="AA944" s="10" t="n">
        <f aca="false">I944</f>
        <v>10</v>
      </c>
      <c r="AB944" s="10" t="n">
        <f aca="false">J944</f>
        <v>0.9</v>
      </c>
      <c r="AC944" s="9" t="s">
        <v>3852</v>
      </c>
      <c r="AD944" s="9" t="s">
        <v>3912</v>
      </c>
      <c r="AE944" s="9" t="str">
        <f aca="false">IF($AK944=0,"",INDEX('Part types'!$T:$T,$AK944)&amp;"")</f>
        <v>All vehicles</v>
      </c>
      <c r="AF944" s="9" t="str">
        <f aca="false">IF($AK944=0,"",INDEX('Part types'!$U:$U,$AK944)&amp;"")</f>
        <v/>
      </c>
      <c r="AG944" s="9" t="str">
        <f aca="false">IF($AK944=0,"",INDEX('Part types'!$V:$V,$AK944)&amp;"")</f>
        <v>Estimate: size class M</v>
      </c>
      <c r="AH944" s="9" t="str">
        <f aca="false">IF($AK944=0,"",INDEX('Part types'!$W:$W,$AK944)&amp;"")</f>
        <v>Window Tint Film Set</v>
      </c>
      <c r="AI944" s="11" t="str">
        <f aca="false">IF($AK944=0,"",INDEX('Part types'!$X:$X,$AK944)&amp;"")</f>
        <v/>
      </c>
      <c r="AJ944" s="9" t="str">
        <f aca="false">IF($AK944=0,"",INDEX('Part types'!$Y:$Y,$AK944)&amp;"")</f>
        <v>套装</v>
      </c>
      <c r="AK944" s="9" t="n">
        <f aca="false">IFERROR(MATCH($AD944,'Part types'!$E:$E,0),0)</f>
        <v>631</v>
      </c>
    </row>
    <row r="945" customFormat="false" ht="15" hidden="false" customHeight="false" outlineLevel="0" collapsed="false">
      <c r="A945" s="9" t="s">
        <v>3913</v>
      </c>
      <c r="B945" s="9" t="s">
        <v>3914</v>
      </c>
      <c r="C945" s="9" t="s">
        <v>3915</v>
      </c>
      <c r="D945" s="9" t="str">
        <f aca="false">C945&amp;" - "&amp;E945</f>
        <v>Side Mirror Assembly - Left</v>
      </c>
      <c r="E945" s="9" t="s">
        <v>218</v>
      </c>
      <c r="F945" s="9" t="s">
        <v>3916</v>
      </c>
      <c r="G945" s="10" t="n">
        <f aca="false">IF($AK945=0,"",INDEX('Part types'!$P:$P,$AK945))</f>
        <v>30</v>
      </c>
      <c r="H945" s="10" t="n">
        <f aca="false">IF($AK945=0,"",INDEX('Part types'!$Q:$Q,$AK945))</f>
        <v>25</v>
      </c>
      <c r="I945" s="10" t="n">
        <f aca="false">IF($AK945=0,"",INDEX('Part types'!$R:$R,$AK945))</f>
        <v>20</v>
      </c>
      <c r="J945" s="10" t="n">
        <f aca="false">IF($AK945=0,"",INDEX('Part types'!$S:$S,$AK945))</f>
        <v>1.6</v>
      </c>
      <c r="K945" s="11" t="s">
        <v>3917</v>
      </c>
      <c r="L945" s="11" t="s">
        <v>3918</v>
      </c>
      <c r="M945" s="11" t="str">
        <f aca="false">L945&amp;" - "&amp;N945</f>
        <v>مرآة جانبية كاملة - يسار</v>
      </c>
      <c r="N945" s="11" t="s">
        <v>220</v>
      </c>
      <c r="O945" s="11" t="s">
        <v>3919</v>
      </c>
      <c r="P945" s="10" t="n">
        <f aca="false">G945</f>
        <v>30</v>
      </c>
      <c r="Q945" s="10" t="n">
        <f aca="false">H945</f>
        <v>25</v>
      </c>
      <c r="R945" s="10" t="n">
        <f aca="false">I945</f>
        <v>20</v>
      </c>
      <c r="S945" s="10" t="n">
        <f aca="false">J945</f>
        <v>1.6</v>
      </c>
      <c r="T945" s="12" t="s">
        <v>3920</v>
      </c>
      <c r="U945" s="12" t="s">
        <v>3921</v>
      </c>
      <c r="V945" s="9" t="str">
        <f aca="false">U945&amp;" - "&amp;W945</f>
        <v>外后视镜总成 - 左侧</v>
      </c>
      <c r="W945" s="12" t="s">
        <v>222</v>
      </c>
      <c r="X945" s="12" t="s">
        <v>3922</v>
      </c>
      <c r="Y945" s="10" t="n">
        <f aca="false">G945</f>
        <v>30</v>
      </c>
      <c r="Z945" s="10" t="n">
        <f aca="false">H945</f>
        <v>25</v>
      </c>
      <c r="AA945" s="10" t="n">
        <f aca="false">I945</f>
        <v>20</v>
      </c>
      <c r="AB945" s="10" t="n">
        <f aca="false">J945</f>
        <v>1.6</v>
      </c>
      <c r="AC945" s="9" t="s">
        <v>3923</v>
      </c>
      <c r="AD945" s="9" t="s">
        <v>3924</v>
      </c>
      <c r="AE945" s="9" t="str">
        <f aca="false">IF($AK945=0,"",INDEX('Part types'!$T:$T,$AK945)&amp;"")</f>
        <v>All vehicles</v>
      </c>
      <c r="AF945" s="9" t="str">
        <f aca="false">IF($AK945=0,"",INDEX('Part types'!$U:$U,$AK945)&amp;"")</f>
        <v>Fragile</v>
      </c>
      <c r="AG945" s="9" t="str">
        <f aca="false">IF($AK945=0,"",INDEX('Part types'!$V:$V,$AK945)&amp;"")</f>
        <v>Estimate: item-specific</v>
      </c>
      <c r="AH945" s="9" t="str">
        <f aca="false">IF($AK945=0,"",INDEX('Part types'!$W:$W,$AK945)&amp;"")</f>
        <v/>
      </c>
      <c r="AI945" s="11" t="str">
        <f aca="false">IF($AK945=0,"",INDEX('Part types'!$X:$X,$AK945)&amp;"")</f>
        <v/>
      </c>
      <c r="AJ945" s="9" t="str">
        <f aca="false">IF($AK945=0,"",INDEX('Part types'!$Y:$Y,$AK945)&amp;"")</f>
        <v/>
      </c>
      <c r="AK945" s="9" t="n">
        <f aca="false">IFERROR(MATCH($AD945,'Part types'!$E:$E,0),0)</f>
        <v>632</v>
      </c>
    </row>
    <row r="946" customFormat="false" ht="15" hidden="false" customHeight="false" outlineLevel="0" collapsed="false">
      <c r="A946" s="9" t="s">
        <v>3925</v>
      </c>
      <c r="B946" s="9" t="s">
        <v>3914</v>
      </c>
      <c r="C946" s="9" t="s">
        <v>3915</v>
      </c>
      <c r="D946" s="9" t="str">
        <f aca="false">C946&amp;" - "&amp;E946</f>
        <v>Side Mirror Assembly - Right</v>
      </c>
      <c r="E946" s="9" t="s">
        <v>225</v>
      </c>
      <c r="F946" s="9" t="s">
        <v>3916</v>
      </c>
      <c r="G946" s="10" t="n">
        <f aca="false">IF($AK946=0,"",INDEX('Part types'!$P:$P,$AK946))</f>
        <v>30</v>
      </c>
      <c r="H946" s="10" t="n">
        <f aca="false">IF($AK946=0,"",INDEX('Part types'!$Q:$Q,$AK946))</f>
        <v>25</v>
      </c>
      <c r="I946" s="10" t="n">
        <f aca="false">IF($AK946=0,"",INDEX('Part types'!$R:$R,$AK946))</f>
        <v>20</v>
      </c>
      <c r="J946" s="10" t="n">
        <f aca="false">IF($AK946=0,"",INDEX('Part types'!$S:$S,$AK946))</f>
        <v>1.6</v>
      </c>
      <c r="K946" s="11" t="s">
        <v>3917</v>
      </c>
      <c r="L946" s="11" t="s">
        <v>3918</v>
      </c>
      <c r="M946" s="11" t="str">
        <f aca="false">L946&amp;" - "&amp;N946</f>
        <v>مرآة جانبية كاملة - يمين</v>
      </c>
      <c r="N946" s="11" t="s">
        <v>226</v>
      </c>
      <c r="O946" s="11" t="s">
        <v>3919</v>
      </c>
      <c r="P946" s="10" t="n">
        <f aca="false">G946</f>
        <v>30</v>
      </c>
      <c r="Q946" s="10" t="n">
        <f aca="false">H946</f>
        <v>25</v>
      </c>
      <c r="R946" s="10" t="n">
        <f aca="false">I946</f>
        <v>20</v>
      </c>
      <c r="S946" s="10" t="n">
        <f aca="false">J946</f>
        <v>1.6</v>
      </c>
      <c r="T946" s="12" t="s">
        <v>3920</v>
      </c>
      <c r="U946" s="12" t="s">
        <v>3921</v>
      </c>
      <c r="V946" s="9" t="str">
        <f aca="false">U946&amp;" - "&amp;W946</f>
        <v>外后视镜总成 - 右侧</v>
      </c>
      <c r="W946" s="12" t="s">
        <v>227</v>
      </c>
      <c r="X946" s="12" t="s">
        <v>3922</v>
      </c>
      <c r="Y946" s="10" t="n">
        <f aca="false">G946</f>
        <v>30</v>
      </c>
      <c r="Z946" s="10" t="n">
        <f aca="false">H946</f>
        <v>25</v>
      </c>
      <c r="AA946" s="10" t="n">
        <f aca="false">I946</f>
        <v>20</v>
      </c>
      <c r="AB946" s="10" t="n">
        <f aca="false">J946</f>
        <v>1.6</v>
      </c>
      <c r="AC946" s="9" t="s">
        <v>3923</v>
      </c>
      <c r="AD946" s="9" t="s">
        <v>3924</v>
      </c>
      <c r="AE946" s="9" t="str">
        <f aca="false">IF($AK946=0,"",INDEX('Part types'!$T:$T,$AK946)&amp;"")</f>
        <v>All vehicles</v>
      </c>
      <c r="AF946" s="9" t="str">
        <f aca="false">IF($AK946=0,"",INDEX('Part types'!$U:$U,$AK946)&amp;"")</f>
        <v>Fragile</v>
      </c>
      <c r="AG946" s="9" t="str">
        <f aca="false">IF($AK946=0,"",INDEX('Part types'!$V:$V,$AK946)&amp;"")</f>
        <v>Estimate: item-specific</v>
      </c>
      <c r="AH946" s="9" t="str">
        <f aca="false">IF($AK946=0,"",INDEX('Part types'!$W:$W,$AK946)&amp;"")</f>
        <v/>
      </c>
      <c r="AI946" s="11" t="str">
        <f aca="false">IF($AK946=0,"",INDEX('Part types'!$X:$X,$AK946)&amp;"")</f>
        <v/>
      </c>
      <c r="AJ946" s="9" t="str">
        <f aca="false">IF($AK946=0,"",INDEX('Part types'!$Y:$Y,$AK946)&amp;"")</f>
        <v/>
      </c>
      <c r="AK946" s="9" t="n">
        <f aca="false">IFERROR(MATCH($AD946,'Part types'!$E:$E,0),0)</f>
        <v>632</v>
      </c>
    </row>
    <row r="947" customFormat="false" ht="15" hidden="false" customHeight="false" outlineLevel="0" collapsed="false">
      <c r="A947" s="9" t="s">
        <v>3926</v>
      </c>
      <c r="B947" s="9" t="s">
        <v>3914</v>
      </c>
      <c r="C947" s="9" t="s">
        <v>3927</v>
      </c>
      <c r="D947" s="9" t="str">
        <f aca="false">C947&amp;" - "&amp;E947</f>
        <v>Side Mirror Glass - Left</v>
      </c>
      <c r="E947" s="9" t="s">
        <v>218</v>
      </c>
      <c r="F947" s="9" t="s">
        <v>3916</v>
      </c>
      <c r="G947" s="10" t="n">
        <f aca="false">IF($AK947=0,"",INDEX('Part types'!$P:$P,$AK947))</f>
        <v>15</v>
      </c>
      <c r="H947" s="10" t="n">
        <f aca="false">IF($AK947=0,"",INDEX('Part types'!$Q:$Q,$AK947))</f>
        <v>10</v>
      </c>
      <c r="I947" s="10" t="n">
        <f aca="false">IF($AK947=0,"",INDEX('Part types'!$R:$R,$AK947))</f>
        <v>8</v>
      </c>
      <c r="J947" s="10" t="n">
        <f aca="false">IF($AK947=0,"",INDEX('Part types'!$S:$S,$AK947))</f>
        <v>0.3</v>
      </c>
      <c r="K947" s="11" t="s">
        <v>3917</v>
      </c>
      <c r="L947" s="11" t="s">
        <v>3928</v>
      </c>
      <c r="M947" s="11" t="str">
        <f aca="false">L947&amp;" - "&amp;N947</f>
        <v>زجاج المرآة الجانبية - يسار</v>
      </c>
      <c r="N947" s="11" t="s">
        <v>220</v>
      </c>
      <c r="O947" s="11" t="s">
        <v>3919</v>
      </c>
      <c r="P947" s="10" t="n">
        <f aca="false">G947</f>
        <v>15</v>
      </c>
      <c r="Q947" s="10" t="n">
        <f aca="false">H947</f>
        <v>10</v>
      </c>
      <c r="R947" s="10" t="n">
        <f aca="false">I947</f>
        <v>8</v>
      </c>
      <c r="S947" s="10" t="n">
        <f aca="false">J947</f>
        <v>0.3</v>
      </c>
      <c r="T947" s="12" t="s">
        <v>3920</v>
      </c>
      <c r="U947" s="12" t="s">
        <v>3929</v>
      </c>
      <c r="V947" s="9" t="str">
        <f aca="false">U947&amp;" - "&amp;W947</f>
        <v>外后视镜镜片 - 左侧</v>
      </c>
      <c r="W947" s="12" t="s">
        <v>222</v>
      </c>
      <c r="X947" s="12" t="s">
        <v>3922</v>
      </c>
      <c r="Y947" s="10" t="n">
        <f aca="false">G947</f>
        <v>15</v>
      </c>
      <c r="Z947" s="10" t="n">
        <f aca="false">H947</f>
        <v>10</v>
      </c>
      <c r="AA947" s="10" t="n">
        <f aca="false">I947</f>
        <v>8</v>
      </c>
      <c r="AB947" s="10" t="n">
        <f aca="false">J947</f>
        <v>0.3</v>
      </c>
      <c r="AC947" s="9" t="s">
        <v>3923</v>
      </c>
      <c r="AD947" s="9" t="s">
        <v>3930</v>
      </c>
      <c r="AE947" s="9" t="str">
        <f aca="false">IF($AK947=0,"",INDEX('Part types'!$T:$T,$AK947)&amp;"")</f>
        <v>All vehicles</v>
      </c>
      <c r="AF947" s="9" t="str">
        <f aca="false">IF($AK947=0,"",INDEX('Part types'!$U:$U,$AK947)&amp;"")</f>
        <v>Fragile</v>
      </c>
      <c r="AG947" s="9" t="str">
        <f aca="false">IF($AK947=0,"",INDEX('Part types'!$V:$V,$AK947)&amp;"")</f>
        <v>Estimate: size class S</v>
      </c>
      <c r="AH947" s="9" t="str">
        <f aca="false">IF($AK947=0,"",INDEX('Part types'!$W:$W,$AK947)&amp;"")</f>
        <v/>
      </c>
      <c r="AI947" s="11" t="str">
        <f aca="false">IF($AK947=0,"",INDEX('Part types'!$X:$X,$AK947)&amp;"")</f>
        <v/>
      </c>
      <c r="AJ947" s="9" t="str">
        <f aca="false">IF($AK947=0,"",INDEX('Part types'!$Y:$Y,$AK947)&amp;"")</f>
        <v/>
      </c>
      <c r="AK947" s="9" t="n">
        <f aca="false">IFERROR(MATCH($AD947,'Part types'!$E:$E,0),0)</f>
        <v>633</v>
      </c>
    </row>
    <row r="948" customFormat="false" ht="15" hidden="false" customHeight="false" outlineLevel="0" collapsed="false">
      <c r="A948" s="9" t="s">
        <v>3931</v>
      </c>
      <c r="B948" s="9" t="s">
        <v>3914</v>
      </c>
      <c r="C948" s="9" t="s">
        <v>3927</v>
      </c>
      <c r="D948" s="9" t="str">
        <f aca="false">C948&amp;" - "&amp;E948</f>
        <v>Side Mirror Glass - Right</v>
      </c>
      <c r="E948" s="9" t="s">
        <v>225</v>
      </c>
      <c r="F948" s="9" t="s">
        <v>3916</v>
      </c>
      <c r="G948" s="10" t="n">
        <f aca="false">IF($AK948=0,"",INDEX('Part types'!$P:$P,$AK948))</f>
        <v>15</v>
      </c>
      <c r="H948" s="10" t="n">
        <f aca="false">IF($AK948=0,"",INDEX('Part types'!$Q:$Q,$AK948))</f>
        <v>10</v>
      </c>
      <c r="I948" s="10" t="n">
        <f aca="false">IF($AK948=0,"",INDEX('Part types'!$R:$R,$AK948))</f>
        <v>8</v>
      </c>
      <c r="J948" s="10" t="n">
        <f aca="false">IF($AK948=0,"",INDEX('Part types'!$S:$S,$AK948))</f>
        <v>0.3</v>
      </c>
      <c r="K948" s="11" t="s">
        <v>3917</v>
      </c>
      <c r="L948" s="11" t="s">
        <v>3928</v>
      </c>
      <c r="M948" s="11" t="str">
        <f aca="false">L948&amp;" - "&amp;N948</f>
        <v>زجاج المرآة الجانبية - يمين</v>
      </c>
      <c r="N948" s="11" t="s">
        <v>226</v>
      </c>
      <c r="O948" s="11" t="s">
        <v>3919</v>
      </c>
      <c r="P948" s="10" t="n">
        <f aca="false">G948</f>
        <v>15</v>
      </c>
      <c r="Q948" s="10" t="n">
        <f aca="false">H948</f>
        <v>10</v>
      </c>
      <c r="R948" s="10" t="n">
        <f aca="false">I948</f>
        <v>8</v>
      </c>
      <c r="S948" s="10" t="n">
        <f aca="false">J948</f>
        <v>0.3</v>
      </c>
      <c r="T948" s="12" t="s">
        <v>3920</v>
      </c>
      <c r="U948" s="12" t="s">
        <v>3929</v>
      </c>
      <c r="V948" s="9" t="str">
        <f aca="false">U948&amp;" - "&amp;W948</f>
        <v>外后视镜镜片 - 右侧</v>
      </c>
      <c r="W948" s="12" t="s">
        <v>227</v>
      </c>
      <c r="X948" s="12" t="s">
        <v>3922</v>
      </c>
      <c r="Y948" s="10" t="n">
        <f aca="false">G948</f>
        <v>15</v>
      </c>
      <c r="Z948" s="10" t="n">
        <f aca="false">H948</f>
        <v>10</v>
      </c>
      <c r="AA948" s="10" t="n">
        <f aca="false">I948</f>
        <v>8</v>
      </c>
      <c r="AB948" s="10" t="n">
        <f aca="false">J948</f>
        <v>0.3</v>
      </c>
      <c r="AC948" s="9" t="s">
        <v>3923</v>
      </c>
      <c r="AD948" s="9" t="s">
        <v>3930</v>
      </c>
      <c r="AE948" s="9" t="str">
        <f aca="false">IF($AK948=0,"",INDEX('Part types'!$T:$T,$AK948)&amp;"")</f>
        <v>All vehicles</v>
      </c>
      <c r="AF948" s="9" t="str">
        <f aca="false">IF($AK948=0,"",INDEX('Part types'!$U:$U,$AK948)&amp;"")</f>
        <v>Fragile</v>
      </c>
      <c r="AG948" s="9" t="str">
        <f aca="false">IF($AK948=0,"",INDEX('Part types'!$V:$V,$AK948)&amp;"")</f>
        <v>Estimate: size class S</v>
      </c>
      <c r="AH948" s="9" t="str">
        <f aca="false">IF($AK948=0,"",INDEX('Part types'!$W:$W,$AK948)&amp;"")</f>
        <v/>
      </c>
      <c r="AI948" s="11" t="str">
        <f aca="false">IF($AK948=0,"",INDEX('Part types'!$X:$X,$AK948)&amp;"")</f>
        <v/>
      </c>
      <c r="AJ948" s="9" t="str">
        <f aca="false">IF($AK948=0,"",INDEX('Part types'!$Y:$Y,$AK948)&amp;"")</f>
        <v/>
      </c>
      <c r="AK948" s="9" t="n">
        <f aca="false">IFERROR(MATCH($AD948,'Part types'!$E:$E,0),0)</f>
        <v>633</v>
      </c>
    </row>
    <row r="949" customFormat="false" ht="15" hidden="false" customHeight="false" outlineLevel="0" collapsed="false">
      <c r="A949" s="9" t="s">
        <v>3932</v>
      </c>
      <c r="B949" s="9" t="s">
        <v>3914</v>
      </c>
      <c r="C949" s="9" t="s">
        <v>3933</v>
      </c>
      <c r="D949" s="9" t="str">
        <f aca="false">C949&amp;" - "&amp;E949</f>
        <v>Side Mirror Cover - Left</v>
      </c>
      <c r="E949" s="9" t="s">
        <v>218</v>
      </c>
      <c r="F949" s="9" t="s">
        <v>3916</v>
      </c>
      <c r="G949" s="10" t="n">
        <f aca="false">IF($AK949=0,"",INDEX('Part types'!$P:$P,$AK949))</f>
        <v>15</v>
      </c>
      <c r="H949" s="10" t="n">
        <f aca="false">IF($AK949=0,"",INDEX('Part types'!$Q:$Q,$AK949))</f>
        <v>10</v>
      </c>
      <c r="I949" s="10" t="n">
        <f aca="false">IF($AK949=0,"",INDEX('Part types'!$R:$R,$AK949))</f>
        <v>8</v>
      </c>
      <c r="J949" s="10" t="n">
        <f aca="false">IF($AK949=0,"",INDEX('Part types'!$S:$S,$AK949))</f>
        <v>0.3</v>
      </c>
      <c r="K949" s="11" t="s">
        <v>3917</v>
      </c>
      <c r="L949" s="11" t="s">
        <v>3934</v>
      </c>
      <c r="M949" s="11" t="str">
        <f aca="false">L949&amp;" - "&amp;N949</f>
        <v>غطاء المرآة الجانبية - يسار</v>
      </c>
      <c r="N949" s="11" t="s">
        <v>220</v>
      </c>
      <c r="O949" s="11" t="s">
        <v>3919</v>
      </c>
      <c r="P949" s="10" t="n">
        <f aca="false">G949</f>
        <v>15</v>
      </c>
      <c r="Q949" s="10" t="n">
        <f aca="false">H949</f>
        <v>10</v>
      </c>
      <c r="R949" s="10" t="n">
        <f aca="false">I949</f>
        <v>8</v>
      </c>
      <c r="S949" s="10" t="n">
        <f aca="false">J949</f>
        <v>0.3</v>
      </c>
      <c r="T949" s="12" t="s">
        <v>3920</v>
      </c>
      <c r="U949" s="12" t="s">
        <v>3935</v>
      </c>
      <c r="V949" s="9" t="str">
        <f aca="false">U949&amp;" - "&amp;W949</f>
        <v>外后视镜外壳 - 左侧</v>
      </c>
      <c r="W949" s="12" t="s">
        <v>222</v>
      </c>
      <c r="X949" s="12" t="s">
        <v>3922</v>
      </c>
      <c r="Y949" s="10" t="n">
        <f aca="false">G949</f>
        <v>15</v>
      </c>
      <c r="Z949" s="10" t="n">
        <f aca="false">H949</f>
        <v>10</v>
      </c>
      <c r="AA949" s="10" t="n">
        <f aca="false">I949</f>
        <v>8</v>
      </c>
      <c r="AB949" s="10" t="n">
        <f aca="false">J949</f>
        <v>0.3</v>
      </c>
      <c r="AC949" s="9" t="s">
        <v>3923</v>
      </c>
      <c r="AD949" s="9" t="s">
        <v>3936</v>
      </c>
      <c r="AE949" s="9" t="str">
        <f aca="false">IF($AK949=0,"",INDEX('Part types'!$T:$T,$AK949)&amp;"")</f>
        <v>All vehicles</v>
      </c>
      <c r="AF949" s="9" t="str">
        <f aca="false">IF($AK949=0,"",INDEX('Part types'!$U:$U,$AK949)&amp;"")</f>
        <v/>
      </c>
      <c r="AG949" s="9" t="str">
        <f aca="false">IF($AK949=0,"",INDEX('Part types'!$V:$V,$AK949)&amp;"")</f>
        <v>Estimate: size class S</v>
      </c>
      <c r="AH949" s="9" t="str">
        <f aca="false">IF($AK949=0,"",INDEX('Part types'!$W:$W,$AK949)&amp;"")</f>
        <v/>
      </c>
      <c r="AI949" s="11" t="str">
        <f aca="false">IF($AK949=0,"",INDEX('Part types'!$X:$X,$AK949)&amp;"")</f>
        <v/>
      </c>
      <c r="AJ949" s="9" t="str">
        <f aca="false">IF($AK949=0,"",INDEX('Part types'!$Y:$Y,$AK949)&amp;"")</f>
        <v/>
      </c>
      <c r="AK949" s="9" t="n">
        <f aca="false">IFERROR(MATCH($AD949,'Part types'!$E:$E,0),0)</f>
        <v>634</v>
      </c>
    </row>
    <row r="950" customFormat="false" ht="15" hidden="false" customHeight="false" outlineLevel="0" collapsed="false">
      <c r="A950" s="9" t="s">
        <v>3937</v>
      </c>
      <c r="B950" s="9" t="s">
        <v>3914</v>
      </c>
      <c r="C950" s="9" t="s">
        <v>3933</v>
      </c>
      <c r="D950" s="9" t="str">
        <f aca="false">C950&amp;" - "&amp;E950</f>
        <v>Side Mirror Cover - Right</v>
      </c>
      <c r="E950" s="9" t="s">
        <v>225</v>
      </c>
      <c r="F950" s="9" t="s">
        <v>3916</v>
      </c>
      <c r="G950" s="10" t="n">
        <f aca="false">IF($AK950=0,"",INDEX('Part types'!$P:$P,$AK950))</f>
        <v>15</v>
      </c>
      <c r="H950" s="10" t="n">
        <f aca="false">IF($AK950=0,"",INDEX('Part types'!$Q:$Q,$AK950))</f>
        <v>10</v>
      </c>
      <c r="I950" s="10" t="n">
        <f aca="false">IF($AK950=0,"",INDEX('Part types'!$R:$R,$AK950))</f>
        <v>8</v>
      </c>
      <c r="J950" s="10" t="n">
        <f aca="false">IF($AK950=0,"",INDEX('Part types'!$S:$S,$AK950))</f>
        <v>0.3</v>
      </c>
      <c r="K950" s="11" t="s">
        <v>3917</v>
      </c>
      <c r="L950" s="11" t="s">
        <v>3934</v>
      </c>
      <c r="M950" s="11" t="str">
        <f aca="false">L950&amp;" - "&amp;N950</f>
        <v>غطاء المرآة الجانبية - يمين</v>
      </c>
      <c r="N950" s="11" t="s">
        <v>226</v>
      </c>
      <c r="O950" s="11" t="s">
        <v>3919</v>
      </c>
      <c r="P950" s="10" t="n">
        <f aca="false">G950</f>
        <v>15</v>
      </c>
      <c r="Q950" s="10" t="n">
        <f aca="false">H950</f>
        <v>10</v>
      </c>
      <c r="R950" s="10" t="n">
        <f aca="false">I950</f>
        <v>8</v>
      </c>
      <c r="S950" s="10" t="n">
        <f aca="false">J950</f>
        <v>0.3</v>
      </c>
      <c r="T950" s="12" t="s">
        <v>3920</v>
      </c>
      <c r="U950" s="12" t="s">
        <v>3935</v>
      </c>
      <c r="V950" s="9" t="str">
        <f aca="false">U950&amp;" - "&amp;W950</f>
        <v>外后视镜外壳 - 右侧</v>
      </c>
      <c r="W950" s="12" t="s">
        <v>227</v>
      </c>
      <c r="X950" s="12" t="s">
        <v>3922</v>
      </c>
      <c r="Y950" s="10" t="n">
        <f aca="false">G950</f>
        <v>15</v>
      </c>
      <c r="Z950" s="10" t="n">
        <f aca="false">H950</f>
        <v>10</v>
      </c>
      <c r="AA950" s="10" t="n">
        <f aca="false">I950</f>
        <v>8</v>
      </c>
      <c r="AB950" s="10" t="n">
        <f aca="false">J950</f>
        <v>0.3</v>
      </c>
      <c r="AC950" s="9" t="s">
        <v>3923</v>
      </c>
      <c r="AD950" s="9" t="s">
        <v>3936</v>
      </c>
      <c r="AE950" s="9" t="str">
        <f aca="false">IF($AK950=0,"",INDEX('Part types'!$T:$T,$AK950)&amp;"")</f>
        <v>All vehicles</v>
      </c>
      <c r="AF950" s="9" t="str">
        <f aca="false">IF($AK950=0,"",INDEX('Part types'!$U:$U,$AK950)&amp;"")</f>
        <v/>
      </c>
      <c r="AG950" s="9" t="str">
        <f aca="false">IF($AK950=0,"",INDEX('Part types'!$V:$V,$AK950)&amp;"")</f>
        <v>Estimate: size class S</v>
      </c>
      <c r="AH950" s="9" t="str">
        <f aca="false">IF($AK950=0,"",INDEX('Part types'!$W:$W,$AK950)&amp;"")</f>
        <v/>
      </c>
      <c r="AI950" s="11" t="str">
        <f aca="false">IF($AK950=0,"",INDEX('Part types'!$X:$X,$AK950)&amp;"")</f>
        <v/>
      </c>
      <c r="AJ950" s="9" t="str">
        <f aca="false">IF($AK950=0,"",INDEX('Part types'!$Y:$Y,$AK950)&amp;"")</f>
        <v/>
      </c>
      <c r="AK950" s="9" t="n">
        <f aca="false">IFERROR(MATCH($AD950,'Part types'!$E:$E,0),0)</f>
        <v>634</v>
      </c>
    </row>
    <row r="951" customFormat="false" ht="15" hidden="false" customHeight="false" outlineLevel="0" collapsed="false">
      <c r="A951" s="9" t="s">
        <v>3938</v>
      </c>
      <c r="B951" s="9" t="s">
        <v>3914</v>
      </c>
      <c r="C951" s="9" t="s">
        <v>3939</v>
      </c>
      <c r="D951" s="9" t="str">
        <f aca="false">C951&amp;" - "&amp;E951</f>
        <v>Side Mirror Motor - Left</v>
      </c>
      <c r="E951" s="9" t="s">
        <v>218</v>
      </c>
      <c r="F951" s="9" t="s">
        <v>3916</v>
      </c>
      <c r="G951" s="10" t="n">
        <f aca="false">IF($AK951=0,"",INDEX('Part types'!$P:$P,$AK951))</f>
        <v>15</v>
      </c>
      <c r="H951" s="10" t="n">
        <f aca="false">IF($AK951=0,"",INDEX('Part types'!$Q:$Q,$AK951))</f>
        <v>10</v>
      </c>
      <c r="I951" s="10" t="n">
        <f aca="false">IF($AK951=0,"",INDEX('Part types'!$R:$R,$AK951))</f>
        <v>8</v>
      </c>
      <c r="J951" s="10" t="n">
        <f aca="false">IF($AK951=0,"",INDEX('Part types'!$S:$S,$AK951))</f>
        <v>0.3</v>
      </c>
      <c r="K951" s="11" t="s">
        <v>3917</v>
      </c>
      <c r="L951" s="11" t="s">
        <v>3940</v>
      </c>
      <c r="M951" s="11" t="str">
        <f aca="false">L951&amp;" - "&amp;N951</f>
        <v>موتور المرآة الجانبية - يسار</v>
      </c>
      <c r="N951" s="11" t="s">
        <v>220</v>
      </c>
      <c r="O951" s="11" t="s">
        <v>3919</v>
      </c>
      <c r="P951" s="10" t="n">
        <f aca="false">G951</f>
        <v>15</v>
      </c>
      <c r="Q951" s="10" t="n">
        <f aca="false">H951</f>
        <v>10</v>
      </c>
      <c r="R951" s="10" t="n">
        <f aca="false">I951</f>
        <v>8</v>
      </c>
      <c r="S951" s="10" t="n">
        <f aca="false">J951</f>
        <v>0.3</v>
      </c>
      <c r="T951" s="12" t="s">
        <v>3920</v>
      </c>
      <c r="U951" s="12" t="s">
        <v>3941</v>
      </c>
      <c r="V951" s="9" t="str">
        <f aca="false">U951&amp;" - "&amp;W951</f>
        <v>外后视镜调节电机 - 左侧</v>
      </c>
      <c r="W951" s="12" t="s">
        <v>222</v>
      </c>
      <c r="X951" s="12" t="s">
        <v>3922</v>
      </c>
      <c r="Y951" s="10" t="n">
        <f aca="false">G951</f>
        <v>15</v>
      </c>
      <c r="Z951" s="10" t="n">
        <f aca="false">H951</f>
        <v>10</v>
      </c>
      <c r="AA951" s="10" t="n">
        <f aca="false">I951</f>
        <v>8</v>
      </c>
      <c r="AB951" s="10" t="n">
        <f aca="false">J951</f>
        <v>0.3</v>
      </c>
      <c r="AC951" s="9" t="s">
        <v>3923</v>
      </c>
      <c r="AD951" s="9" t="s">
        <v>3942</v>
      </c>
      <c r="AE951" s="9" t="str">
        <f aca="false">IF($AK951=0,"",INDEX('Part types'!$T:$T,$AK951)&amp;"")</f>
        <v>All vehicles</v>
      </c>
      <c r="AF951" s="9" t="str">
        <f aca="false">IF($AK951=0,"",INDEX('Part types'!$U:$U,$AK951)&amp;"")</f>
        <v/>
      </c>
      <c r="AG951" s="9" t="str">
        <f aca="false">IF($AK951=0,"",INDEX('Part types'!$V:$V,$AK951)&amp;"")</f>
        <v>Estimate: size class S</v>
      </c>
      <c r="AH951" s="9" t="str">
        <f aca="false">IF($AK951=0,"",INDEX('Part types'!$W:$W,$AK951)&amp;"")</f>
        <v/>
      </c>
      <c r="AI951" s="11" t="str">
        <f aca="false">IF($AK951=0,"",INDEX('Part types'!$X:$X,$AK951)&amp;"")</f>
        <v/>
      </c>
      <c r="AJ951" s="9" t="str">
        <f aca="false">IF($AK951=0,"",INDEX('Part types'!$Y:$Y,$AK951)&amp;"")</f>
        <v/>
      </c>
      <c r="AK951" s="9" t="n">
        <f aca="false">IFERROR(MATCH($AD951,'Part types'!$E:$E,0),0)</f>
        <v>635</v>
      </c>
    </row>
    <row r="952" customFormat="false" ht="15" hidden="false" customHeight="false" outlineLevel="0" collapsed="false">
      <c r="A952" s="9" t="s">
        <v>3943</v>
      </c>
      <c r="B952" s="9" t="s">
        <v>3914</v>
      </c>
      <c r="C952" s="9" t="s">
        <v>3939</v>
      </c>
      <c r="D952" s="9" t="str">
        <f aca="false">C952&amp;" - "&amp;E952</f>
        <v>Side Mirror Motor - Right</v>
      </c>
      <c r="E952" s="9" t="s">
        <v>225</v>
      </c>
      <c r="F952" s="9" t="s">
        <v>3916</v>
      </c>
      <c r="G952" s="10" t="n">
        <f aca="false">IF($AK952=0,"",INDEX('Part types'!$P:$P,$AK952))</f>
        <v>15</v>
      </c>
      <c r="H952" s="10" t="n">
        <f aca="false">IF($AK952=0,"",INDEX('Part types'!$Q:$Q,$AK952))</f>
        <v>10</v>
      </c>
      <c r="I952" s="10" t="n">
        <f aca="false">IF($AK952=0,"",INDEX('Part types'!$R:$R,$AK952))</f>
        <v>8</v>
      </c>
      <c r="J952" s="10" t="n">
        <f aca="false">IF($AK952=0,"",INDEX('Part types'!$S:$S,$AK952))</f>
        <v>0.3</v>
      </c>
      <c r="K952" s="11" t="s">
        <v>3917</v>
      </c>
      <c r="L952" s="11" t="s">
        <v>3940</v>
      </c>
      <c r="M952" s="11" t="str">
        <f aca="false">L952&amp;" - "&amp;N952</f>
        <v>موتور المرآة الجانبية - يمين</v>
      </c>
      <c r="N952" s="11" t="s">
        <v>226</v>
      </c>
      <c r="O952" s="11" t="s">
        <v>3919</v>
      </c>
      <c r="P952" s="10" t="n">
        <f aca="false">G952</f>
        <v>15</v>
      </c>
      <c r="Q952" s="10" t="n">
        <f aca="false">H952</f>
        <v>10</v>
      </c>
      <c r="R952" s="10" t="n">
        <f aca="false">I952</f>
        <v>8</v>
      </c>
      <c r="S952" s="10" t="n">
        <f aca="false">J952</f>
        <v>0.3</v>
      </c>
      <c r="T952" s="12" t="s">
        <v>3920</v>
      </c>
      <c r="U952" s="12" t="s">
        <v>3941</v>
      </c>
      <c r="V952" s="9" t="str">
        <f aca="false">U952&amp;" - "&amp;W952</f>
        <v>外后视镜调节电机 - 右侧</v>
      </c>
      <c r="W952" s="12" t="s">
        <v>227</v>
      </c>
      <c r="X952" s="12" t="s">
        <v>3922</v>
      </c>
      <c r="Y952" s="10" t="n">
        <f aca="false">G952</f>
        <v>15</v>
      </c>
      <c r="Z952" s="10" t="n">
        <f aca="false">H952</f>
        <v>10</v>
      </c>
      <c r="AA952" s="10" t="n">
        <f aca="false">I952</f>
        <v>8</v>
      </c>
      <c r="AB952" s="10" t="n">
        <f aca="false">J952</f>
        <v>0.3</v>
      </c>
      <c r="AC952" s="9" t="s">
        <v>3923</v>
      </c>
      <c r="AD952" s="9" t="s">
        <v>3942</v>
      </c>
      <c r="AE952" s="9" t="str">
        <f aca="false">IF($AK952=0,"",INDEX('Part types'!$T:$T,$AK952)&amp;"")</f>
        <v>All vehicles</v>
      </c>
      <c r="AF952" s="9" t="str">
        <f aca="false">IF($AK952=0,"",INDEX('Part types'!$U:$U,$AK952)&amp;"")</f>
        <v/>
      </c>
      <c r="AG952" s="9" t="str">
        <f aca="false">IF($AK952=0,"",INDEX('Part types'!$V:$V,$AK952)&amp;"")</f>
        <v>Estimate: size class S</v>
      </c>
      <c r="AH952" s="9" t="str">
        <f aca="false">IF($AK952=0,"",INDEX('Part types'!$W:$W,$AK952)&amp;"")</f>
        <v/>
      </c>
      <c r="AI952" s="11" t="str">
        <f aca="false">IF($AK952=0,"",INDEX('Part types'!$X:$X,$AK952)&amp;"")</f>
        <v/>
      </c>
      <c r="AJ952" s="9" t="str">
        <f aca="false">IF($AK952=0,"",INDEX('Part types'!$Y:$Y,$AK952)&amp;"")</f>
        <v/>
      </c>
      <c r="AK952" s="9" t="n">
        <f aca="false">IFERROR(MATCH($AD952,'Part types'!$E:$E,0),0)</f>
        <v>635</v>
      </c>
    </row>
    <row r="953" customFormat="false" ht="15" hidden="false" customHeight="false" outlineLevel="0" collapsed="false">
      <c r="A953" s="9" t="s">
        <v>3944</v>
      </c>
      <c r="B953" s="9" t="s">
        <v>3914</v>
      </c>
      <c r="C953" s="9" t="s">
        <v>3945</v>
      </c>
      <c r="D953" s="9" t="str">
        <f aca="false">C953&amp;" - "&amp;E953</f>
        <v>Mirror Signal Lamp - Left</v>
      </c>
      <c r="E953" s="9" t="s">
        <v>218</v>
      </c>
      <c r="F953" s="9" t="s">
        <v>3916</v>
      </c>
      <c r="G953" s="10" t="n">
        <f aca="false">IF($AK953=0,"",INDEX('Part types'!$P:$P,$AK953))</f>
        <v>10</v>
      </c>
      <c r="H953" s="10" t="n">
        <f aca="false">IF($AK953=0,"",INDEX('Part types'!$Q:$Q,$AK953))</f>
        <v>8</v>
      </c>
      <c r="I953" s="10" t="n">
        <f aca="false">IF($AK953=0,"",INDEX('Part types'!$R:$R,$AK953))</f>
        <v>6</v>
      </c>
      <c r="J953" s="10" t="n">
        <f aca="false">IF($AK953=0,"",INDEX('Part types'!$S:$S,$AK953))</f>
        <v>0.1</v>
      </c>
      <c r="K953" s="11" t="s">
        <v>3917</v>
      </c>
      <c r="L953" s="11" t="s">
        <v>3946</v>
      </c>
      <c r="M953" s="11" t="str">
        <f aca="false">L953&amp;" - "&amp;N953</f>
        <v>إشارة المرآة الجانبية - يسار</v>
      </c>
      <c r="N953" s="11" t="s">
        <v>220</v>
      </c>
      <c r="O953" s="11" t="s">
        <v>3919</v>
      </c>
      <c r="P953" s="10" t="n">
        <f aca="false">G953</f>
        <v>10</v>
      </c>
      <c r="Q953" s="10" t="n">
        <f aca="false">H953</f>
        <v>8</v>
      </c>
      <c r="R953" s="10" t="n">
        <f aca="false">I953</f>
        <v>6</v>
      </c>
      <c r="S953" s="10" t="n">
        <f aca="false">J953</f>
        <v>0.1</v>
      </c>
      <c r="T953" s="12" t="s">
        <v>3920</v>
      </c>
      <c r="U953" s="12" t="s">
        <v>3947</v>
      </c>
      <c r="V953" s="9" t="str">
        <f aca="false">U953&amp;" - "&amp;W953</f>
        <v>外后视镜转向灯 - 左侧</v>
      </c>
      <c r="W953" s="12" t="s">
        <v>222</v>
      </c>
      <c r="X953" s="12" t="s">
        <v>3922</v>
      </c>
      <c r="Y953" s="10" t="n">
        <f aca="false">G953</f>
        <v>10</v>
      </c>
      <c r="Z953" s="10" t="n">
        <f aca="false">H953</f>
        <v>8</v>
      </c>
      <c r="AA953" s="10" t="n">
        <f aca="false">I953</f>
        <v>6</v>
      </c>
      <c r="AB953" s="10" t="n">
        <f aca="false">J953</f>
        <v>0.1</v>
      </c>
      <c r="AC953" s="9" t="s">
        <v>3923</v>
      </c>
      <c r="AD953" s="9" t="s">
        <v>3948</v>
      </c>
      <c r="AE953" s="9" t="str">
        <f aca="false">IF($AK953=0,"",INDEX('Part types'!$T:$T,$AK953)&amp;"")</f>
        <v>All vehicles</v>
      </c>
      <c r="AF953" s="9" t="str">
        <f aca="false">IF($AK953=0,"",INDEX('Part types'!$U:$U,$AK953)&amp;"")</f>
        <v/>
      </c>
      <c r="AG953" s="9" t="str">
        <f aca="false">IF($AK953=0,"",INDEX('Part types'!$V:$V,$AK953)&amp;"")</f>
        <v>Estimate: size class XS</v>
      </c>
      <c r="AH953" s="9" t="str">
        <f aca="false">IF($AK953=0,"",INDEX('Part types'!$W:$W,$AK953)&amp;"")</f>
        <v>Side Mirror Turn Signal</v>
      </c>
      <c r="AI953" s="11" t="str">
        <f aca="false">IF($AK953=0,"",INDEX('Part types'!$X:$X,$AK953)&amp;"")</f>
        <v/>
      </c>
      <c r="AJ953" s="9" t="str">
        <f aca="false">IF($AK953=0,"",INDEX('Part types'!$Y:$Y,$AK953)&amp;"")</f>
        <v/>
      </c>
      <c r="AK953" s="9" t="n">
        <f aca="false">IFERROR(MATCH($AD953,'Part types'!$E:$E,0),0)</f>
        <v>636</v>
      </c>
    </row>
    <row r="954" customFormat="false" ht="15" hidden="false" customHeight="false" outlineLevel="0" collapsed="false">
      <c r="A954" s="9" t="s">
        <v>3949</v>
      </c>
      <c r="B954" s="9" t="s">
        <v>3914</v>
      </c>
      <c r="C954" s="9" t="s">
        <v>3945</v>
      </c>
      <c r="D954" s="9" t="str">
        <f aca="false">C954&amp;" - "&amp;E954</f>
        <v>Mirror Signal Lamp - Right</v>
      </c>
      <c r="E954" s="9" t="s">
        <v>225</v>
      </c>
      <c r="F954" s="9" t="s">
        <v>3916</v>
      </c>
      <c r="G954" s="10" t="n">
        <f aca="false">IF($AK954=0,"",INDEX('Part types'!$P:$P,$AK954))</f>
        <v>10</v>
      </c>
      <c r="H954" s="10" t="n">
        <f aca="false">IF($AK954=0,"",INDEX('Part types'!$Q:$Q,$AK954))</f>
        <v>8</v>
      </c>
      <c r="I954" s="10" t="n">
        <f aca="false">IF($AK954=0,"",INDEX('Part types'!$R:$R,$AK954))</f>
        <v>6</v>
      </c>
      <c r="J954" s="10" t="n">
        <f aca="false">IF($AK954=0,"",INDEX('Part types'!$S:$S,$AK954))</f>
        <v>0.1</v>
      </c>
      <c r="K954" s="11" t="s">
        <v>3917</v>
      </c>
      <c r="L954" s="11" t="s">
        <v>3946</v>
      </c>
      <c r="M954" s="11" t="str">
        <f aca="false">L954&amp;" - "&amp;N954</f>
        <v>إشارة المرآة الجانبية - يمين</v>
      </c>
      <c r="N954" s="11" t="s">
        <v>226</v>
      </c>
      <c r="O954" s="11" t="s">
        <v>3919</v>
      </c>
      <c r="P954" s="10" t="n">
        <f aca="false">G954</f>
        <v>10</v>
      </c>
      <c r="Q954" s="10" t="n">
        <f aca="false">H954</f>
        <v>8</v>
      </c>
      <c r="R954" s="10" t="n">
        <f aca="false">I954</f>
        <v>6</v>
      </c>
      <c r="S954" s="10" t="n">
        <f aca="false">J954</f>
        <v>0.1</v>
      </c>
      <c r="T954" s="12" t="s">
        <v>3920</v>
      </c>
      <c r="U954" s="12" t="s">
        <v>3947</v>
      </c>
      <c r="V954" s="9" t="str">
        <f aca="false">U954&amp;" - "&amp;W954</f>
        <v>外后视镜转向灯 - 右侧</v>
      </c>
      <c r="W954" s="12" t="s">
        <v>227</v>
      </c>
      <c r="X954" s="12" t="s">
        <v>3922</v>
      </c>
      <c r="Y954" s="10" t="n">
        <f aca="false">G954</f>
        <v>10</v>
      </c>
      <c r="Z954" s="10" t="n">
        <f aca="false">H954</f>
        <v>8</v>
      </c>
      <c r="AA954" s="10" t="n">
        <f aca="false">I954</f>
        <v>6</v>
      </c>
      <c r="AB954" s="10" t="n">
        <f aca="false">J954</f>
        <v>0.1</v>
      </c>
      <c r="AC954" s="9" t="s">
        <v>3923</v>
      </c>
      <c r="AD954" s="9" t="s">
        <v>3948</v>
      </c>
      <c r="AE954" s="9" t="str">
        <f aca="false">IF($AK954=0,"",INDEX('Part types'!$T:$T,$AK954)&amp;"")</f>
        <v>All vehicles</v>
      </c>
      <c r="AF954" s="9" t="str">
        <f aca="false">IF($AK954=0,"",INDEX('Part types'!$U:$U,$AK954)&amp;"")</f>
        <v/>
      </c>
      <c r="AG954" s="9" t="str">
        <f aca="false">IF($AK954=0,"",INDEX('Part types'!$V:$V,$AK954)&amp;"")</f>
        <v>Estimate: size class XS</v>
      </c>
      <c r="AH954" s="9" t="str">
        <f aca="false">IF($AK954=0,"",INDEX('Part types'!$W:$W,$AK954)&amp;"")</f>
        <v>Side Mirror Turn Signal</v>
      </c>
      <c r="AI954" s="11" t="str">
        <f aca="false">IF($AK954=0,"",INDEX('Part types'!$X:$X,$AK954)&amp;"")</f>
        <v/>
      </c>
      <c r="AJ954" s="9" t="str">
        <f aca="false">IF($AK954=0,"",INDEX('Part types'!$Y:$Y,$AK954)&amp;"")</f>
        <v/>
      </c>
      <c r="AK954" s="9" t="n">
        <f aca="false">IFERROR(MATCH($AD954,'Part types'!$E:$E,0),0)</f>
        <v>636</v>
      </c>
    </row>
    <row r="955" customFormat="false" ht="15" hidden="false" customHeight="false" outlineLevel="0" collapsed="false">
      <c r="A955" s="9" t="s">
        <v>3950</v>
      </c>
      <c r="B955" s="9" t="s">
        <v>3914</v>
      </c>
      <c r="C955" s="9" t="s">
        <v>3951</v>
      </c>
      <c r="D955" s="9" t="str">
        <f aca="false">C955&amp;" - "&amp;E955</f>
        <v>Interior Rearview Mirror - Universal</v>
      </c>
      <c r="E955" s="9" t="s">
        <v>68</v>
      </c>
      <c r="F955" s="9" t="s">
        <v>2575</v>
      </c>
      <c r="G955" s="10" t="n">
        <f aca="false">IF($AK955=0,"",INDEX('Part types'!$P:$P,$AK955))</f>
        <v>15</v>
      </c>
      <c r="H955" s="10" t="n">
        <f aca="false">IF($AK955=0,"",INDEX('Part types'!$Q:$Q,$AK955))</f>
        <v>10</v>
      </c>
      <c r="I955" s="10" t="n">
        <f aca="false">IF($AK955=0,"",INDEX('Part types'!$R:$R,$AK955))</f>
        <v>8</v>
      </c>
      <c r="J955" s="10" t="n">
        <f aca="false">IF($AK955=0,"",INDEX('Part types'!$S:$S,$AK955))</f>
        <v>0.3</v>
      </c>
      <c r="K955" s="11" t="s">
        <v>3917</v>
      </c>
      <c r="L955" s="11" t="s">
        <v>3952</v>
      </c>
      <c r="M955" s="11" t="str">
        <f aca="false">L955&amp;" - "&amp;N955</f>
        <v>مرآة داخلية - عام</v>
      </c>
      <c r="N955" s="11" t="s">
        <v>72</v>
      </c>
      <c r="O955" s="11" t="s">
        <v>2577</v>
      </c>
      <c r="P955" s="10" t="n">
        <f aca="false">G955</f>
        <v>15</v>
      </c>
      <c r="Q955" s="10" t="n">
        <f aca="false">H955</f>
        <v>10</v>
      </c>
      <c r="R955" s="10" t="n">
        <f aca="false">I955</f>
        <v>8</v>
      </c>
      <c r="S955" s="10" t="n">
        <f aca="false">J955</f>
        <v>0.3</v>
      </c>
      <c r="T955" s="12" t="s">
        <v>3920</v>
      </c>
      <c r="U955" s="12" t="s">
        <v>3953</v>
      </c>
      <c r="V955" s="9" t="str">
        <f aca="false">U955&amp;" - "&amp;W955</f>
        <v>车内后视镜 - 通用</v>
      </c>
      <c r="W955" s="12" t="s">
        <v>76</v>
      </c>
      <c r="X955" s="12" t="s">
        <v>2579</v>
      </c>
      <c r="Y955" s="10" t="n">
        <f aca="false">G955</f>
        <v>15</v>
      </c>
      <c r="Z955" s="10" t="n">
        <f aca="false">H955</f>
        <v>10</v>
      </c>
      <c r="AA955" s="10" t="n">
        <f aca="false">I955</f>
        <v>8</v>
      </c>
      <c r="AB955" s="10" t="n">
        <f aca="false">J955</f>
        <v>0.3</v>
      </c>
      <c r="AC955" s="9" t="s">
        <v>3923</v>
      </c>
      <c r="AD955" s="9" t="s">
        <v>3954</v>
      </c>
      <c r="AE955" s="9" t="str">
        <f aca="false">IF($AK955=0,"",INDEX('Part types'!$T:$T,$AK955)&amp;"")</f>
        <v>All vehicles</v>
      </c>
      <c r="AF955" s="9" t="str">
        <f aca="false">IF($AK955=0,"",INDEX('Part types'!$U:$U,$AK955)&amp;"")</f>
        <v>Fragile</v>
      </c>
      <c r="AG955" s="9" t="str">
        <f aca="false">IF($AK955=0,"",INDEX('Part types'!$V:$V,$AK955)&amp;"")</f>
        <v>Estimate: size class S</v>
      </c>
      <c r="AH955" s="9" t="str">
        <f aca="false">IF($AK955=0,"",INDEX('Part types'!$W:$W,$AK955)&amp;"")</f>
        <v/>
      </c>
      <c r="AI955" s="11" t="str">
        <f aca="false">IF($AK955=0,"",INDEX('Part types'!$X:$X,$AK955)&amp;"")</f>
        <v/>
      </c>
      <c r="AJ955" s="9" t="str">
        <f aca="false">IF($AK955=0,"",INDEX('Part types'!$Y:$Y,$AK955)&amp;"")</f>
        <v/>
      </c>
      <c r="AK955" s="9" t="n">
        <f aca="false">IFERROR(MATCH($AD955,'Part types'!$E:$E,0),0)</f>
        <v>637</v>
      </c>
    </row>
    <row r="956" customFormat="false" ht="15" hidden="false" customHeight="false" outlineLevel="0" collapsed="false">
      <c r="A956" s="9" t="s">
        <v>3955</v>
      </c>
      <c r="B956" s="9" t="s">
        <v>3914</v>
      </c>
      <c r="C956" s="9" t="s">
        <v>3956</v>
      </c>
      <c r="D956" s="9" t="str">
        <f aca="false">C956&amp;" - "&amp;E956</f>
        <v>Auto-Dimming Rearview Mirror - Universal</v>
      </c>
      <c r="E956" s="9" t="s">
        <v>68</v>
      </c>
      <c r="F956" s="9" t="s">
        <v>2575</v>
      </c>
      <c r="G956" s="10" t="n">
        <f aca="false">IF($AK956=0,"",INDEX('Part types'!$P:$P,$AK956))</f>
        <v>15</v>
      </c>
      <c r="H956" s="10" t="n">
        <f aca="false">IF($AK956=0,"",INDEX('Part types'!$Q:$Q,$AK956))</f>
        <v>10</v>
      </c>
      <c r="I956" s="10" t="n">
        <f aca="false">IF($AK956=0,"",INDEX('Part types'!$R:$R,$AK956))</f>
        <v>8</v>
      </c>
      <c r="J956" s="10" t="n">
        <f aca="false">IF($AK956=0,"",INDEX('Part types'!$S:$S,$AK956))</f>
        <v>0.3</v>
      </c>
      <c r="K956" s="11" t="s">
        <v>3917</v>
      </c>
      <c r="L956" s="11" t="s">
        <v>3957</v>
      </c>
      <c r="M956" s="11" t="str">
        <f aca="false">L956&amp;" - "&amp;N956</f>
        <v>مرآة داخلية أوتوماتيكية - عام</v>
      </c>
      <c r="N956" s="11" t="s">
        <v>72</v>
      </c>
      <c r="O956" s="11" t="s">
        <v>2577</v>
      </c>
      <c r="P956" s="10" t="n">
        <f aca="false">G956</f>
        <v>15</v>
      </c>
      <c r="Q956" s="10" t="n">
        <f aca="false">H956</f>
        <v>10</v>
      </c>
      <c r="R956" s="10" t="n">
        <f aca="false">I956</f>
        <v>8</v>
      </c>
      <c r="S956" s="10" t="n">
        <f aca="false">J956</f>
        <v>0.3</v>
      </c>
      <c r="T956" s="12" t="s">
        <v>3920</v>
      </c>
      <c r="U956" s="12" t="s">
        <v>3958</v>
      </c>
      <c r="V956" s="9" t="str">
        <f aca="false">U956&amp;" - "&amp;W956</f>
        <v>自动防眩目内后视镜 - 通用</v>
      </c>
      <c r="W956" s="12" t="s">
        <v>76</v>
      </c>
      <c r="X956" s="12" t="s">
        <v>2579</v>
      </c>
      <c r="Y956" s="10" t="n">
        <f aca="false">G956</f>
        <v>15</v>
      </c>
      <c r="Z956" s="10" t="n">
        <f aca="false">H956</f>
        <v>10</v>
      </c>
      <c r="AA956" s="10" t="n">
        <f aca="false">I956</f>
        <v>8</v>
      </c>
      <c r="AB956" s="10" t="n">
        <f aca="false">J956</f>
        <v>0.3</v>
      </c>
      <c r="AC956" s="9" t="s">
        <v>3923</v>
      </c>
      <c r="AD956" s="9" t="s">
        <v>3959</v>
      </c>
      <c r="AE956" s="9" t="str">
        <f aca="false">IF($AK956=0,"",INDEX('Part types'!$T:$T,$AK956)&amp;"")</f>
        <v>All vehicles</v>
      </c>
      <c r="AF956" s="9" t="str">
        <f aca="false">IF($AK956=0,"",INDEX('Part types'!$U:$U,$AK956)&amp;"")</f>
        <v>Fragile</v>
      </c>
      <c r="AG956" s="9" t="str">
        <f aca="false">IF($AK956=0,"",INDEX('Part types'!$V:$V,$AK956)&amp;"")</f>
        <v>Estimate: size class S</v>
      </c>
      <c r="AH956" s="9" t="str">
        <f aca="false">IF($AK956=0,"",INDEX('Part types'!$W:$W,$AK956)&amp;"")</f>
        <v/>
      </c>
      <c r="AI956" s="11" t="str">
        <f aca="false">IF($AK956=0,"",INDEX('Part types'!$X:$X,$AK956)&amp;"")</f>
        <v/>
      </c>
      <c r="AJ956" s="9" t="str">
        <f aca="false">IF($AK956=0,"",INDEX('Part types'!$Y:$Y,$AK956)&amp;"")</f>
        <v/>
      </c>
      <c r="AK956" s="9" t="n">
        <f aca="false">IFERROR(MATCH($AD956,'Part types'!$E:$E,0),0)</f>
        <v>638</v>
      </c>
    </row>
    <row r="957" customFormat="false" ht="15" hidden="false" customHeight="false" outlineLevel="0" collapsed="false">
      <c r="A957" s="9" t="s">
        <v>3960</v>
      </c>
      <c r="B957" s="9" t="s">
        <v>2601</v>
      </c>
      <c r="C957" s="9" t="s">
        <v>3961</v>
      </c>
      <c r="D957" s="9" t="str">
        <f aca="false">C957&amp;" - "&amp;E957</f>
        <v>Seat Assembly - Front-Left</v>
      </c>
      <c r="E957" s="9" t="s">
        <v>1346</v>
      </c>
      <c r="F957" s="9" t="s">
        <v>2601</v>
      </c>
      <c r="G957" s="10" t="n">
        <f aca="false">IF($AK957=0,"",INDEX('Part types'!$P:$P,$AK957))</f>
        <v>70</v>
      </c>
      <c r="H957" s="10" t="n">
        <f aca="false">IF($AK957=0,"",INDEX('Part types'!$Q:$Q,$AK957))</f>
        <v>60</v>
      </c>
      <c r="I957" s="10" t="n">
        <f aca="false">IF($AK957=0,"",INDEX('Part types'!$R:$R,$AK957))</f>
        <v>70</v>
      </c>
      <c r="J957" s="10" t="n">
        <f aca="false">IF($AK957=0,"",INDEX('Part types'!$S:$S,$AK957))</f>
        <v>20</v>
      </c>
      <c r="K957" s="11" t="s">
        <v>2603</v>
      </c>
      <c r="L957" s="11" t="s">
        <v>3962</v>
      </c>
      <c r="M957" s="11" t="str">
        <f aca="false">L957&amp;" - "&amp;N957</f>
        <v>مقعد كامل - أمامي يسار</v>
      </c>
      <c r="N957" s="11" t="s">
        <v>1349</v>
      </c>
      <c r="O957" s="11" t="s">
        <v>2603</v>
      </c>
      <c r="P957" s="10" t="n">
        <f aca="false">G957</f>
        <v>70</v>
      </c>
      <c r="Q957" s="10" t="n">
        <f aca="false">H957</f>
        <v>60</v>
      </c>
      <c r="R957" s="10" t="n">
        <f aca="false">I957</f>
        <v>70</v>
      </c>
      <c r="S957" s="10" t="n">
        <f aca="false">J957</f>
        <v>20</v>
      </c>
      <c r="T957" s="12" t="s">
        <v>2605</v>
      </c>
      <c r="U957" s="12" t="s">
        <v>3963</v>
      </c>
      <c r="V957" s="9" t="str">
        <f aca="false">U957&amp;" - "&amp;W957</f>
        <v>座椅总成 - 前左</v>
      </c>
      <c r="W957" s="12" t="s">
        <v>1352</v>
      </c>
      <c r="X957" s="12" t="s">
        <v>2605</v>
      </c>
      <c r="Y957" s="10" t="n">
        <f aca="false">G957</f>
        <v>70</v>
      </c>
      <c r="Z957" s="10" t="n">
        <f aca="false">H957</f>
        <v>60</v>
      </c>
      <c r="AA957" s="10" t="n">
        <f aca="false">I957</f>
        <v>70</v>
      </c>
      <c r="AB957" s="10" t="n">
        <f aca="false">J957</f>
        <v>20</v>
      </c>
      <c r="AC957" s="9" t="s">
        <v>3964</v>
      </c>
      <c r="AD957" s="9" t="s">
        <v>3965</v>
      </c>
      <c r="AE957" s="9" t="str">
        <f aca="false">IF($AK957=0,"",INDEX('Part types'!$T:$T,$AK957)&amp;"")</f>
        <v>All vehicles</v>
      </c>
      <c r="AF957" s="9" t="str">
        <f aca="false">IF($AK957=0,"",INDEX('Part types'!$U:$U,$AK957)&amp;"")</f>
        <v/>
      </c>
      <c r="AG957" s="9" t="str">
        <f aca="false">IF($AK957=0,"",INDEX('Part types'!$V:$V,$AK957)&amp;"")</f>
        <v>Estimate: item-specific</v>
      </c>
      <c r="AH957" s="9" t="str">
        <f aca="false">IF($AK957=0,"",INDEX('Part types'!$W:$W,$AK957)&amp;"")</f>
        <v/>
      </c>
      <c r="AI957" s="11" t="str">
        <f aca="false">IF($AK957=0,"",INDEX('Part types'!$X:$X,$AK957)&amp;"")</f>
        <v/>
      </c>
      <c r="AJ957" s="9" t="str">
        <f aca="false">IF($AK957=0,"",INDEX('Part types'!$Y:$Y,$AK957)&amp;"")</f>
        <v/>
      </c>
      <c r="AK957" s="9" t="n">
        <f aca="false">IFERROR(MATCH($AD957,'Part types'!$E:$E,0),0)</f>
        <v>639</v>
      </c>
    </row>
    <row r="958" customFormat="false" ht="15" hidden="false" customHeight="false" outlineLevel="0" collapsed="false">
      <c r="A958" s="9" t="s">
        <v>3966</v>
      </c>
      <c r="B958" s="9" t="s">
        <v>2601</v>
      </c>
      <c r="C958" s="9" t="s">
        <v>3961</v>
      </c>
      <c r="D958" s="9" t="str">
        <f aca="false">C958&amp;" - "&amp;E958</f>
        <v>Seat Assembly - Front-Right</v>
      </c>
      <c r="E958" s="9" t="s">
        <v>1356</v>
      </c>
      <c r="F958" s="9" t="s">
        <v>2601</v>
      </c>
      <c r="G958" s="10" t="n">
        <f aca="false">IF($AK958=0,"",INDEX('Part types'!$P:$P,$AK958))</f>
        <v>70</v>
      </c>
      <c r="H958" s="10" t="n">
        <f aca="false">IF($AK958=0,"",INDEX('Part types'!$Q:$Q,$AK958))</f>
        <v>60</v>
      </c>
      <c r="I958" s="10" t="n">
        <f aca="false">IF($AK958=0,"",INDEX('Part types'!$R:$R,$AK958))</f>
        <v>70</v>
      </c>
      <c r="J958" s="10" t="n">
        <f aca="false">IF($AK958=0,"",INDEX('Part types'!$S:$S,$AK958))</f>
        <v>20</v>
      </c>
      <c r="K958" s="11" t="s">
        <v>2603</v>
      </c>
      <c r="L958" s="11" t="s">
        <v>3962</v>
      </c>
      <c r="M958" s="11" t="str">
        <f aca="false">L958&amp;" - "&amp;N958</f>
        <v>مقعد كامل - أمامي يمين</v>
      </c>
      <c r="N958" s="11" t="s">
        <v>1357</v>
      </c>
      <c r="O958" s="11" t="s">
        <v>2603</v>
      </c>
      <c r="P958" s="10" t="n">
        <f aca="false">G958</f>
        <v>70</v>
      </c>
      <c r="Q958" s="10" t="n">
        <f aca="false">H958</f>
        <v>60</v>
      </c>
      <c r="R958" s="10" t="n">
        <f aca="false">I958</f>
        <v>70</v>
      </c>
      <c r="S958" s="10" t="n">
        <f aca="false">J958</f>
        <v>20</v>
      </c>
      <c r="T958" s="12" t="s">
        <v>2605</v>
      </c>
      <c r="U958" s="12" t="s">
        <v>3963</v>
      </c>
      <c r="V958" s="9" t="str">
        <f aca="false">U958&amp;" - "&amp;W958</f>
        <v>座椅总成 - 前右</v>
      </c>
      <c r="W958" s="12" t="s">
        <v>1358</v>
      </c>
      <c r="X958" s="12" t="s">
        <v>2605</v>
      </c>
      <c r="Y958" s="10" t="n">
        <f aca="false">G958</f>
        <v>70</v>
      </c>
      <c r="Z958" s="10" t="n">
        <f aca="false">H958</f>
        <v>60</v>
      </c>
      <c r="AA958" s="10" t="n">
        <f aca="false">I958</f>
        <v>70</v>
      </c>
      <c r="AB958" s="10" t="n">
        <f aca="false">J958</f>
        <v>20</v>
      </c>
      <c r="AC958" s="9" t="s">
        <v>3964</v>
      </c>
      <c r="AD958" s="9" t="s">
        <v>3965</v>
      </c>
      <c r="AE958" s="9" t="str">
        <f aca="false">IF($AK958=0,"",INDEX('Part types'!$T:$T,$AK958)&amp;"")</f>
        <v>All vehicles</v>
      </c>
      <c r="AF958" s="9" t="str">
        <f aca="false">IF($AK958=0,"",INDEX('Part types'!$U:$U,$AK958)&amp;"")</f>
        <v/>
      </c>
      <c r="AG958" s="9" t="str">
        <f aca="false">IF($AK958=0,"",INDEX('Part types'!$V:$V,$AK958)&amp;"")</f>
        <v>Estimate: item-specific</v>
      </c>
      <c r="AH958" s="9" t="str">
        <f aca="false">IF($AK958=0,"",INDEX('Part types'!$W:$W,$AK958)&amp;"")</f>
        <v/>
      </c>
      <c r="AI958" s="11" t="str">
        <f aca="false">IF($AK958=0,"",INDEX('Part types'!$X:$X,$AK958)&amp;"")</f>
        <v/>
      </c>
      <c r="AJ958" s="9" t="str">
        <f aca="false">IF($AK958=0,"",INDEX('Part types'!$Y:$Y,$AK958)&amp;"")</f>
        <v/>
      </c>
      <c r="AK958" s="9" t="n">
        <f aca="false">IFERROR(MATCH($AD958,'Part types'!$E:$E,0),0)</f>
        <v>639</v>
      </c>
    </row>
    <row r="959" customFormat="false" ht="15" hidden="false" customHeight="false" outlineLevel="0" collapsed="false">
      <c r="A959" s="9" t="s">
        <v>3967</v>
      </c>
      <c r="B959" s="9" t="s">
        <v>2601</v>
      </c>
      <c r="C959" s="9" t="s">
        <v>3961</v>
      </c>
      <c r="D959" s="9" t="str">
        <f aca="false">C959&amp;" - "&amp;E959</f>
        <v>Seat Assembly - Rear-Left</v>
      </c>
      <c r="E959" s="9" t="s">
        <v>1360</v>
      </c>
      <c r="F959" s="9" t="s">
        <v>2601</v>
      </c>
      <c r="G959" s="10" t="n">
        <f aca="false">IF($AK959=0,"",INDEX('Part types'!$P:$P,$AK959))</f>
        <v>70</v>
      </c>
      <c r="H959" s="10" t="n">
        <f aca="false">IF($AK959=0,"",INDEX('Part types'!$Q:$Q,$AK959))</f>
        <v>60</v>
      </c>
      <c r="I959" s="10" t="n">
        <f aca="false">IF($AK959=0,"",INDEX('Part types'!$R:$R,$AK959))</f>
        <v>70</v>
      </c>
      <c r="J959" s="10" t="n">
        <f aca="false">IF($AK959=0,"",INDEX('Part types'!$S:$S,$AK959))</f>
        <v>20</v>
      </c>
      <c r="K959" s="11" t="s">
        <v>2603</v>
      </c>
      <c r="L959" s="11" t="s">
        <v>3962</v>
      </c>
      <c r="M959" s="11" t="str">
        <f aca="false">L959&amp;" - "&amp;N959</f>
        <v>مقعد كامل - خلفي يسار</v>
      </c>
      <c r="N959" s="11" t="s">
        <v>1361</v>
      </c>
      <c r="O959" s="11" t="s">
        <v>2603</v>
      </c>
      <c r="P959" s="10" t="n">
        <f aca="false">G959</f>
        <v>70</v>
      </c>
      <c r="Q959" s="10" t="n">
        <f aca="false">H959</f>
        <v>60</v>
      </c>
      <c r="R959" s="10" t="n">
        <f aca="false">I959</f>
        <v>70</v>
      </c>
      <c r="S959" s="10" t="n">
        <f aca="false">J959</f>
        <v>20</v>
      </c>
      <c r="T959" s="12" t="s">
        <v>2605</v>
      </c>
      <c r="U959" s="12" t="s">
        <v>3963</v>
      </c>
      <c r="V959" s="9" t="str">
        <f aca="false">U959&amp;" - "&amp;W959</f>
        <v>座椅总成 - 后左</v>
      </c>
      <c r="W959" s="12" t="s">
        <v>1362</v>
      </c>
      <c r="X959" s="12" t="s">
        <v>2605</v>
      </c>
      <c r="Y959" s="10" t="n">
        <f aca="false">G959</f>
        <v>70</v>
      </c>
      <c r="Z959" s="10" t="n">
        <f aca="false">H959</f>
        <v>60</v>
      </c>
      <c r="AA959" s="10" t="n">
        <f aca="false">I959</f>
        <v>70</v>
      </c>
      <c r="AB959" s="10" t="n">
        <f aca="false">J959</f>
        <v>20</v>
      </c>
      <c r="AC959" s="9" t="s">
        <v>3964</v>
      </c>
      <c r="AD959" s="9" t="s">
        <v>3965</v>
      </c>
      <c r="AE959" s="9" t="str">
        <f aca="false">IF($AK959=0,"",INDEX('Part types'!$T:$T,$AK959)&amp;"")</f>
        <v>All vehicles</v>
      </c>
      <c r="AF959" s="9" t="str">
        <f aca="false">IF($AK959=0,"",INDEX('Part types'!$U:$U,$AK959)&amp;"")</f>
        <v/>
      </c>
      <c r="AG959" s="9" t="str">
        <f aca="false">IF($AK959=0,"",INDEX('Part types'!$V:$V,$AK959)&amp;"")</f>
        <v>Estimate: item-specific</v>
      </c>
      <c r="AH959" s="9" t="str">
        <f aca="false">IF($AK959=0,"",INDEX('Part types'!$W:$W,$AK959)&amp;"")</f>
        <v/>
      </c>
      <c r="AI959" s="11" t="str">
        <f aca="false">IF($AK959=0,"",INDEX('Part types'!$X:$X,$AK959)&amp;"")</f>
        <v/>
      </c>
      <c r="AJ959" s="9" t="str">
        <f aca="false">IF($AK959=0,"",INDEX('Part types'!$Y:$Y,$AK959)&amp;"")</f>
        <v/>
      </c>
      <c r="AK959" s="9" t="n">
        <f aca="false">IFERROR(MATCH($AD959,'Part types'!$E:$E,0),0)</f>
        <v>639</v>
      </c>
    </row>
    <row r="960" customFormat="false" ht="15" hidden="false" customHeight="false" outlineLevel="0" collapsed="false">
      <c r="A960" s="9" t="s">
        <v>3968</v>
      </c>
      <c r="B960" s="9" t="s">
        <v>2601</v>
      </c>
      <c r="C960" s="9" t="s">
        <v>3961</v>
      </c>
      <c r="D960" s="9" t="str">
        <f aca="false">C960&amp;" - "&amp;E960</f>
        <v>Seat Assembly - Rear-Right</v>
      </c>
      <c r="E960" s="9" t="s">
        <v>1364</v>
      </c>
      <c r="F960" s="9" t="s">
        <v>2601</v>
      </c>
      <c r="G960" s="10" t="n">
        <f aca="false">IF($AK960=0,"",INDEX('Part types'!$P:$P,$AK960))</f>
        <v>70</v>
      </c>
      <c r="H960" s="10" t="n">
        <f aca="false">IF($AK960=0,"",INDEX('Part types'!$Q:$Q,$AK960))</f>
        <v>60</v>
      </c>
      <c r="I960" s="10" t="n">
        <f aca="false">IF($AK960=0,"",INDEX('Part types'!$R:$R,$AK960))</f>
        <v>70</v>
      </c>
      <c r="J960" s="10" t="n">
        <f aca="false">IF($AK960=0,"",INDEX('Part types'!$S:$S,$AK960))</f>
        <v>20</v>
      </c>
      <c r="K960" s="11" t="s">
        <v>2603</v>
      </c>
      <c r="L960" s="11" t="s">
        <v>3962</v>
      </c>
      <c r="M960" s="11" t="str">
        <f aca="false">L960&amp;" - "&amp;N960</f>
        <v>مقعد كامل - خلفي يمين</v>
      </c>
      <c r="N960" s="11" t="s">
        <v>1365</v>
      </c>
      <c r="O960" s="11" t="s">
        <v>2603</v>
      </c>
      <c r="P960" s="10" t="n">
        <f aca="false">G960</f>
        <v>70</v>
      </c>
      <c r="Q960" s="10" t="n">
        <f aca="false">H960</f>
        <v>60</v>
      </c>
      <c r="R960" s="10" t="n">
        <f aca="false">I960</f>
        <v>70</v>
      </c>
      <c r="S960" s="10" t="n">
        <f aca="false">J960</f>
        <v>20</v>
      </c>
      <c r="T960" s="12" t="s">
        <v>2605</v>
      </c>
      <c r="U960" s="12" t="s">
        <v>3963</v>
      </c>
      <c r="V960" s="9" t="str">
        <f aca="false">U960&amp;" - "&amp;W960</f>
        <v>座椅总成 - 后右</v>
      </c>
      <c r="W960" s="12" t="s">
        <v>1366</v>
      </c>
      <c r="X960" s="12" t="s">
        <v>2605</v>
      </c>
      <c r="Y960" s="10" t="n">
        <f aca="false">G960</f>
        <v>70</v>
      </c>
      <c r="Z960" s="10" t="n">
        <f aca="false">H960</f>
        <v>60</v>
      </c>
      <c r="AA960" s="10" t="n">
        <f aca="false">I960</f>
        <v>70</v>
      </c>
      <c r="AB960" s="10" t="n">
        <f aca="false">J960</f>
        <v>20</v>
      </c>
      <c r="AC960" s="9" t="s">
        <v>3964</v>
      </c>
      <c r="AD960" s="9" t="s">
        <v>3965</v>
      </c>
      <c r="AE960" s="9" t="str">
        <f aca="false">IF($AK960=0,"",INDEX('Part types'!$T:$T,$AK960)&amp;"")</f>
        <v>All vehicles</v>
      </c>
      <c r="AF960" s="9" t="str">
        <f aca="false">IF($AK960=0,"",INDEX('Part types'!$U:$U,$AK960)&amp;"")</f>
        <v/>
      </c>
      <c r="AG960" s="9" t="str">
        <f aca="false">IF($AK960=0,"",INDEX('Part types'!$V:$V,$AK960)&amp;"")</f>
        <v>Estimate: item-specific</v>
      </c>
      <c r="AH960" s="9" t="str">
        <f aca="false">IF($AK960=0,"",INDEX('Part types'!$W:$W,$AK960)&amp;"")</f>
        <v/>
      </c>
      <c r="AI960" s="11" t="str">
        <f aca="false">IF($AK960=0,"",INDEX('Part types'!$X:$X,$AK960)&amp;"")</f>
        <v/>
      </c>
      <c r="AJ960" s="9" t="str">
        <f aca="false">IF($AK960=0,"",INDEX('Part types'!$Y:$Y,$AK960)&amp;"")</f>
        <v/>
      </c>
      <c r="AK960" s="9" t="n">
        <f aca="false">IFERROR(MATCH($AD960,'Part types'!$E:$E,0),0)</f>
        <v>639</v>
      </c>
    </row>
    <row r="961" customFormat="false" ht="15" hidden="false" customHeight="false" outlineLevel="0" collapsed="false">
      <c r="A961" s="9" t="s">
        <v>3969</v>
      </c>
      <c r="B961" s="9" t="s">
        <v>2601</v>
      </c>
      <c r="C961" s="9" t="s">
        <v>3970</v>
      </c>
      <c r="D961" s="9" t="str">
        <f aca="false">C961&amp;" - "&amp;E961</f>
        <v>Seat Cover Set - Universal</v>
      </c>
      <c r="E961" s="9" t="s">
        <v>68</v>
      </c>
      <c r="F961" s="9" t="s">
        <v>2601</v>
      </c>
      <c r="G961" s="10" t="n">
        <f aca="false">IF($AK961=0,"",INDEX('Part types'!$P:$P,$AK961))</f>
        <v>50</v>
      </c>
      <c r="H961" s="10" t="n">
        <f aca="false">IF($AK961=0,"",INDEX('Part types'!$Q:$Q,$AK961))</f>
        <v>40</v>
      </c>
      <c r="I961" s="10" t="n">
        <f aca="false">IF($AK961=0,"",INDEX('Part types'!$R:$R,$AK961))</f>
        <v>15</v>
      </c>
      <c r="J961" s="10" t="n">
        <f aca="false">IF($AK961=0,"",INDEX('Part types'!$S:$S,$AK961))</f>
        <v>3</v>
      </c>
      <c r="K961" s="11" t="s">
        <v>2603</v>
      </c>
      <c r="L961" s="11" t="s">
        <v>3971</v>
      </c>
      <c r="M961" s="11" t="str">
        <f aca="false">L961&amp;" - "&amp;N961</f>
        <v>طقم تلبيس المقاعد - عام</v>
      </c>
      <c r="N961" s="11" t="s">
        <v>72</v>
      </c>
      <c r="O961" s="11" t="s">
        <v>2603</v>
      </c>
      <c r="P961" s="10" t="n">
        <f aca="false">G961</f>
        <v>50</v>
      </c>
      <c r="Q961" s="10" t="n">
        <f aca="false">H961</f>
        <v>40</v>
      </c>
      <c r="R961" s="10" t="n">
        <f aca="false">I961</f>
        <v>15</v>
      </c>
      <c r="S961" s="10" t="n">
        <f aca="false">J961</f>
        <v>3</v>
      </c>
      <c r="T961" s="12" t="s">
        <v>2605</v>
      </c>
      <c r="U961" s="12" t="s">
        <v>3972</v>
      </c>
      <c r="V961" s="9" t="str">
        <f aca="false">U961&amp;" - "&amp;W961</f>
        <v>座套套装 - 通用</v>
      </c>
      <c r="W961" s="12" t="s">
        <v>76</v>
      </c>
      <c r="X961" s="12" t="s">
        <v>2605</v>
      </c>
      <c r="Y961" s="10" t="n">
        <f aca="false">G961</f>
        <v>50</v>
      </c>
      <c r="Z961" s="10" t="n">
        <f aca="false">H961</f>
        <v>40</v>
      </c>
      <c r="AA961" s="10" t="n">
        <f aca="false">I961</f>
        <v>15</v>
      </c>
      <c r="AB961" s="10" t="n">
        <f aca="false">J961</f>
        <v>3</v>
      </c>
      <c r="AC961" s="9" t="s">
        <v>3964</v>
      </c>
      <c r="AD961" s="9" t="s">
        <v>3973</v>
      </c>
      <c r="AE961" s="9" t="str">
        <f aca="false">IF($AK961=0,"",INDEX('Part types'!$T:$T,$AK961)&amp;"")</f>
        <v>All vehicles</v>
      </c>
      <c r="AF961" s="9" t="str">
        <f aca="false">IF($AK961=0,"",INDEX('Part types'!$U:$U,$AK961)&amp;"")</f>
        <v/>
      </c>
      <c r="AG961" s="9" t="str">
        <f aca="false">IF($AK961=0,"",INDEX('Part types'!$V:$V,$AK961)&amp;"")</f>
        <v>Estimate: item-specific</v>
      </c>
      <c r="AH961" s="9" t="str">
        <f aca="false">IF($AK961=0,"",INDEX('Part types'!$W:$W,$AK961)&amp;"")</f>
        <v/>
      </c>
      <c r="AI961" s="11" t="str">
        <f aca="false">IF($AK961=0,"",INDEX('Part types'!$X:$X,$AK961)&amp;"")</f>
        <v/>
      </c>
      <c r="AJ961" s="9" t="str">
        <f aca="false">IF($AK961=0,"",INDEX('Part types'!$Y:$Y,$AK961)&amp;"")</f>
        <v/>
      </c>
      <c r="AK961" s="9" t="n">
        <f aca="false">IFERROR(MATCH($AD961,'Part types'!$E:$E,0),0)</f>
        <v>640</v>
      </c>
    </row>
    <row r="962" customFormat="false" ht="15" hidden="false" customHeight="false" outlineLevel="0" collapsed="false">
      <c r="A962" s="9" t="s">
        <v>3974</v>
      </c>
      <c r="B962" s="9" t="s">
        <v>2601</v>
      </c>
      <c r="C962" s="9" t="s">
        <v>3975</v>
      </c>
      <c r="D962" s="9" t="str">
        <f aca="false">C962&amp;" - "&amp;E962</f>
        <v>Seat Cushion - Front-Left</v>
      </c>
      <c r="E962" s="9" t="s">
        <v>1346</v>
      </c>
      <c r="F962" s="9" t="s">
        <v>2601</v>
      </c>
      <c r="G962" s="10" t="n">
        <f aca="false">IF($AK962=0,"",INDEX('Part types'!$P:$P,$AK962))</f>
        <v>50</v>
      </c>
      <c r="H962" s="10" t="n">
        <f aca="false">IF($AK962=0,"",INDEX('Part types'!$Q:$Q,$AK962))</f>
        <v>30</v>
      </c>
      <c r="I962" s="10" t="n">
        <f aca="false">IF($AK962=0,"",INDEX('Part types'!$R:$R,$AK962))</f>
        <v>20</v>
      </c>
      <c r="J962" s="10" t="n">
        <f aca="false">IF($AK962=0,"",INDEX('Part types'!$S:$S,$AK962))</f>
        <v>5</v>
      </c>
      <c r="K962" s="11" t="s">
        <v>2603</v>
      </c>
      <c r="L962" s="11" t="s">
        <v>3976</v>
      </c>
      <c r="M962" s="11" t="str">
        <f aca="false">L962&amp;" - "&amp;N962</f>
        <v>وسادة المقعد - أمامي يسار</v>
      </c>
      <c r="N962" s="11" t="s">
        <v>1349</v>
      </c>
      <c r="O962" s="11" t="s">
        <v>2603</v>
      </c>
      <c r="P962" s="10" t="n">
        <f aca="false">G962</f>
        <v>50</v>
      </c>
      <c r="Q962" s="10" t="n">
        <f aca="false">H962</f>
        <v>30</v>
      </c>
      <c r="R962" s="10" t="n">
        <f aca="false">I962</f>
        <v>20</v>
      </c>
      <c r="S962" s="10" t="n">
        <f aca="false">J962</f>
        <v>5</v>
      </c>
      <c r="T962" s="12" t="s">
        <v>2605</v>
      </c>
      <c r="U962" s="12" t="s">
        <v>3977</v>
      </c>
      <c r="V962" s="9" t="str">
        <f aca="false">U962&amp;" - "&amp;W962</f>
        <v>座椅坐垫总成 - 前左</v>
      </c>
      <c r="W962" s="12" t="s">
        <v>1352</v>
      </c>
      <c r="X962" s="12" t="s">
        <v>2605</v>
      </c>
      <c r="Y962" s="10" t="n">
        <f aca="false">G962</f>
        <v>50</v>
      </c>
      <c r="Z962" s="10" t="n">
        <f aca="false">H962</f>
        <v>30</v>
      </c>
      <c r="AA962" s="10" t="n">
        <f aca="false">I962</f>
        <v>20</v>
      </c>
      <c r="AB962" s="10" t="n">
        <f aca="false">J962</f>
        <v>5</v>
      </c>
      <c r="AC962" s="9" t="s">
        <v>3964</v>
      </c>
      <c r="AD962" s="9" t="s">
        <v>3978</v>
      </c>
      <c r="AE962" s="9" t="str">
        <f aca="false">IF($AK962=0,"",INDEX('Part types'!$T:$T,$AK962)&amp;"")</f>
        <v>All vehicles</v>
      </c>
      <c r="AF962" s="9" t="str">
        <f aca="false">IF($AK962=0,"",INDEX('Part types'!$U:$U,$AK962)&amp;"")</f>
        <v/>
      </c>
      <c r="AG962" s="9" t="str">
        <f aca="false">IF($AK962=0,"",INDEX('Part types'!$V:$V,$AK962)&amp;"")</f>
        <v>Estimate: size class L2</v>
      </c>
      <c r="AH962" s="9" t="str">
        <f aca="false">IF($AK962=0,"",INDEX('Part types'!$W:$W,$AK962)&amp;"")</f>
        <v/>
      </c>
      <c r="AI962" s="11" t="str">
        <f aca="false">IF($AK962=0,"",INDEX('Part types'!$X:$X,$AK962)&amp;"")</f>
        <v>القاعدة</v>
      </c>
      <c r="AJ962" s="9" t="str">
        <f aca="false">IF($AK962=0,"",INDEX('Part types'!$Y:$Y,$AK962)&amp;"")</f>
        <v/>
      </c>
      <c r="AK962" s="9" t="n">
        <f aca="false">IFERROR(MATCH($AD962,'Part types'!$E:$E,0),0)</f>
        <v>641</v>
      </c>
    </row>
    <row r="963" customFormat="false" ht="15" hidden="false" customHeight="false" outlineLevel="0" collapsed="false">
      <c r="A963" s="9" t="s">
        <v>3979</v>
      </c>
      <c r="B963" s="9" t="s">
        <v>2601</v>
      </c>
      <c r="C963" s="9" t="s">
        <v>3975</v>
      </c>
      <c r="D963" s="9" t="str">
        <f aca="false">C963&amp;" - "&amp;E963</f>
        <v>Seat Cushion - Front-Right</v>
      </c>
      <c r="E963" s="9" t="s">
        <v>1356</v>
      </c>
      <c r="F963" s="9" t="s">
        <v>2601</v>
      </c>
      <c r="G963" s="10" t="n">
        <f aca="false">IF($AK963=0,"",INDEX('Part types'!$P:$P,$AK963))</f>
        <v>50</v>
      </c>
      <c r="H963" s="10" t="n">
        <f aca="false">IF($AK963=0,"",INDEX('Part types'!$Q:$Q,$AK963))</f>
        <v>30</v>
      </c>
      <c r="I963" s="10" t="n">
        <f aca="false">IF($AK963=0,"",INDEX('Part types'!$R:$R,$AK963))</f>
        <v>20</v>
      </c>
      <c r="J963" s="10" t="n">
        <f aca="false">IF($AK963=0,"",INDEX('Part types'!$S:$S,$AK963))</f>
        <v>5</v>
      </c>
      <c r="K963" s="11" t="s">
        <v>2603</v>
      </c>
      <c r="L963" s="11" t="s">
        <v>3976</v>
      </c>
      <c r="M963" s="11" t="str">
        <f aca="false">L963&amp;" - "&amp;N963</f>
        <v>وسادة المقعد - أمامي يمين</v>
      </c>
      <c r="N963" s="11" t="s">
        <v>1357</v>
      </c>
      <c r="O963" s="11" t="s">
        <v>2603</v>
      </c>
      <c r="P963" s="10" t="n">
        <f aca="false">G963</f>
        <v>50</v>
      </c>
      <c r="Q963" s="10" t="n">
        <f aca="false">H963</f>
        <v>30</v>
      </c>
      <c r="R963" s="10" t="n">
        <f aca="false">I963</f>
        <v>20</v>
      </c>
      <c r="S963" s="10" t="n">
        <f aca="false">J963</f>
        <v>5</v>
      </c>
      <c r="T963" s="12" t="s">
        <v>2605</v>
      </c>
      <c r="U963" s="12" t="s">
        <v>3977</v>
      </c>
      <c r="V963" s="9" t="str">
        <f aca="false">U963&amp;" - "&amp;W963</f>
        <v>座椅坐垫总成 - 前右</v>
      </c>
      <c r="W963" s="12" t="s">
        <v>1358</v>
      </c>
      <c r="X963" s="12" t="s">
        <v>2605</v>
      </c>
      <c r="Y963" s="10" t="n">
        <f aca="false">G963</f>
        <v>50</v>
      </c>
      <c r="Z963" s="10" t="n">
        <f aca="false">H963</f>
        <v>30</v>
      </c>
      <c r="AA963" s="10" t="n">
        <f aca="false">I963</f>
        <v>20</v>
      </c>
      <c r="AB963" s="10" t="n">
        <f aca="false">J963</f>
        <v>5</v>
      </c>
      <c r="AC963" s="9" t="s">
        <v>3964</v>
      </c>
      <c r="AD963" s="9" t="s">
        <v>3978</v>
      </c>
      <c r="AE963" s="9" t="str">
        <f aca="false">IF($AK963=0,"",INDEX('Part types'!$T:$T,$AK963)&amp;"")</f>
        <v>All vehicles</v>
      </c>
      <c r="AF963" s="9" t="str">
        <f aca="false">IF($AK963=0,"",INDEX('Part types'!$U:$U,$AK963)&amp;"")</f>
        <v/>
      </c>
      <c r="AG963" s="9" t="str">
        <f aca="false">IF($AK963=0,"",INDEX('Part types'!$V:$V,$AK963)&amp;"")</f>
        <v>Estimate: size class L2</v>
      </c>
      <c r="AH963" s="9" t="str">
        <f aca="false">IF($AK963=0,"",INDEX('Part types'!$W:$W,$AK963)&amp;"")</f>
        <v/>
      </c>
      <c r="AI963" s="11" t="str">
        <f aca="false">IF($AK963=0,"",INDEX('Part types'!$X:$X,$AK963)&amp;"")</f>
        <v>القاعدة</v>
      </c>
      <c r="AJ963" s="9" t="str">
        <f aca="false">IF($AK963=0,"",INDEX('Part types'!$Y:$Y,$AK963)&amp;"")</f>
        <v/>
      </c>
      <c r="AK963" s="9" t="n">
        <f aca="false">IFERROR(MATCH($AD963,'Part types'!$E:$E,0),0)</f>
        <v>641</v>
      </c>
    </row>
    <row r="964" customFormat="false" ht="15" hidden="false" customHeight="false" outlineLevel="0" collapsed="false">
      <c r="A964" s="9" t="s">
        <v>3980</v>
      </c>
      <c r="B964" s="9" t="s">
        <v>2601</v>
      </c>
      <c r="C964" s="9" t="s">
        <v>3975</v>
      </c>
      <c r="D964" s="9" t="str">
        <f aca="false">C964&amp;" - "&amp;E964</f>
        <v>Seat Cushion - Rear-Left</v>
      </c>
      <c r="E964" s="9" t="s">
        <v>1360</v>
      </c>
      <c r="F964" s="9" t="s">
        <v>2601</v>
      </c>
      <c r="G964" s="10" t="n">
        <f aca="false">IF($AK964=0,"",INDEX('Part types'!$P:$P,$AK964))</f>
        <v>50</v>
      </c>
      <c r="H964" s="10" t="n">
        <f aca="false">IF($AK964=0,"",INDEX('Part types'!$Q:$Q,$AK964))</f>
        <v>30</v>
      </c>
      <c r="I964" s="10" t="n">
        <f aca="false">IF($AK964=0,"",INDEX('Part types'!$R:$R,$AK964))</f>
        <v>20</v>
      </c>
      <c r="J964" s="10" t="n">
        <f aca="false">IF($AK964=0,"",INDEX('Part types'!$S:$S,$AK964))</f>
        <v>5</v>
      </c>
      <c r="K964" s="11" t="s">
        <v>2603</v>
      </c>
      <c r="L964" s="11" t="s">
        <v>3976</v>
      </c>
      <c r="M964" s="11" t="str">
        <f aca="false">L964&amp;" - "&amp;N964</f>
        <v>وسادة المقعد - خلفي يسار</v>
      </c>
      <c r="N964" s="11" t="s">
        <v>1361</v>
      </c>
      <c r="O964" s="11" t="s">
        <v>2603</v>
      </c>
      <c r="P964" s="10" t="n">
        <f aca="false">G964</f>
        <v>50</v>
      </c>
      <c r="Q964" s="10" t="n">
        <f aca="false">H964</f>
        <v>30</v>
      </c>
      <c r="R964" s="10" t="n">
        <f aca="false">I964</f>
        <v>20</v>
      </c>
      <c r="S964" s="10" t="n">
        <f aca="false">J964</f>
        <v>5</v>
      </c>
      <c r="T964" s="12" t="s">
        <v>2605</v>
      </c>
      <c r="U964" s="12" t="s">
        <v>3977</v>
      </c>
      <c r="V964" s="9" t="str">
        <f aca="false">U964&amp;" - "&amp;W964</f>
        <v>座椅坐垫总成 - 后左</v>
      </c>
      <c r="W964" s="12" t="s">
        <v>1362</v>
      </c>
      <c r="X964" s="12" t="s">
        <v>2605</v>
      </c>
      <c r="Y964" s="10" t="n">
        <f aca="false">G964</f>
        <v>50</v>
      </c>
      <c r="Z964" s="10" t="n">
        <f aca="false">H964</f>
        <v>30</v>
      </c>
      <c r="AA964" s="10" t="n">
        <f aca="false">I964</f>
        <v>20</v>
      </c>
      <c r="AB964" s="10" t="n">
        <f aca="false">J964</f>
        <v>5</v>
      </c>
      <c r="AC964" s="9" t="s">
        <v>3964</v>
      </c>
      <c r="AD964" s="9" t="s">
        <v>3978</v>
      </c>
      <c r="AE964" s="9" t="str">
        <f aca="false">IF($AK964=0,"",INDEX('Part types'!$T:$T,$AK964)&amp;"")</f>
        <v>All vehicles</v>
      </c>
      <c r="AF964" s="9" t="str">
        <f aca="false">IF($AK964=0,"",INDEX('Part types'!$U:$U,$AK964)&amp;"")</f>
        <v/>
      </c>
      <c r="AG964" s="9" t="str">
        <f aca="false">IF($AK964=0,"",INDEX('Part types'!$V:$V,$AK964)&amp;"")</f>
        <v>Estimate: size class L2</v>
      </c>
      <c r="AH964" s="9" t="str">
        <f aca="false">IF($AK964=0,"",INDEX('Part types'!$W:$W,$AK964)&amp;"")</f>
        <v/>
      </c>
      <c r="AI964" s="11" t="str">
        <f aca="false">IF($AK964=0,"",INDEX('Part types'!$X:$X,$AK964)&amp;"")</f>
        <v>القاعدة</v>
      </c>
      <c r="AJ964" s="9" t="str">
        <f aca="false">IF($AK964=0,"",INDEX('Part types'!$Y:$Y,$AK964)&amp;"")</f>
        <v/>
      </c>
      <c r="AK964" s="9" t="n">
        <f aca="false">IFERROR(MATCH($AD964,'Part types'!$E:$E,0),0)</f>
        <v>641</v>
      </c>
    </row>
    <row r="965" customFormat="false" ht="15" hidden="false" customHeight="false" outlineLevel="0" collapsed="false">
      <c r="A965" s="9" t="s">
        <v>3981</v>
      </c>
      <c r="B965" s="9" t="s">
        <v>2601</v>
      </c>
      <c r="C965" s="9" t="s">
        <v>3975</v>
      </c>
      <c r="D965" s="9" t="str">
        <f aca="false">C965&amp;" - "&amp;E965</f>
        <v>Seat Cushion - Rear-Right</v>
      </c>
      <c r="E965" s="9" t="s">
        <v>1364</v>
      </c>
      <c r="F965" s="9" t="s">
        <v>2601</v>
      </c>
      <c r="G965" s="10" t="n">
        <f aca="false">IF($AK965=0,"",INDEX('Part types'!$P:$P,$AK965))</f>
        <v>50</v>
      </c>
      <c r="H965" s="10" t="n">
        <f aca="false">IF($AK965=0,"",INDEX('Part types'!$Q:$Q,$AK965))</f>
        <v>30</v>
      </c>
      <c r="I965" s="10" t="n">
        <f aca="false">IF($AK965=0,"",INDEX('Part types'!$R:$R,$AK965))</f>
        <v>20</v>
      </c>
      <c r="J965" s="10" t="n">
        <f aca="false">IF($AK965=0,"",INDEX('Part types'!$S:$S,$AK965))</f>
        <v>5</v>
      </c>
      <c r="K965" s="11" t="s">
        <v>2603</v>
      </c>
      <c r="L965" s="11" t="s">
        <v>3976</v>
      </c>
      <c r="M965" s="11" t="str">
        <f aca="false">L965&amp;" - "&amp;N965</f>
        <v>وسادة المقعد - خلفي يمين</v>
      </c>
      <c r="N965" s="11" t="s">
        <v>1365</v>
      </c>
      <c r="O965" s="11" t="s">
        <v>2603</v>
      </c>
      <c r="P965" s="10" t="n">
        <f aca="false">G965</f>
        <v>50</v>
      </c>
      <c r="Q965" s="10" t="n">
        <f aca="false">H965</f>
        <v>30</v>
      </c>
      <c r="R965" s="10" t="n">
        <f aca="false">I965</f>
        <v>20</v>
      </c>
      <c r="S965" s="10" t="n">
        <f aca="false">J965</f>
        <v>5</v>
      </c>
      <c r="T965" s="12" t="s">
        <v>2605</v>
      </c>
      <c r="U965" s="12" t="s">
        <v>3977</v>
      </c>
      <c r="V965" s="9" t="str">
        <f aca="false">U965&amp;" - "&amp;W965</f>
        <v>座椅坐垫总成 - 后右</v>
      </c>
      <c r="W965" s="12" t="s">
        <v>1366</v>
      </c>
      <c r="X965" s="12" t="s">
        <v>2605</v>
      </c>
      <c r="Y965" s="10" t="n">
        <f aca="false">G965</f>
        <v>50</v>
      </c>
      <c r="Z965" s="10" t="n">
        <f aca="false">H965</f>
        <v>30</v>
      </c>
      <c r="AA965" s="10" t="n">
        <f aca="false">I965</f>
        <v>20</v>
      </c>
      <c r="AB965" s="10" t="n">
        <f aca="false">J965</f>
        <v>5</v>
      </c>
      <c r="AC965" s="9" t="s">
        <v>3964</v>
      </c>
      <c r="AD965" s="9" t="s">
        <v>3978</v>
      </c>
      <c r="AE965" s="9" t="str">
        <f aca="false">IF($AK965=0,"",INDEX('Part types'!$T:$T,$AK965)&amp;"")</f>
        <v>All vehicles</v>
      </c>
      <c r="AF965" s="9" t="str">
        <f aca="false">IF($AK965=0,"",INDEX('Part types'!$U:$U,$AK965)&amp;"")</f>
        <v/>
      </c>
      <c r="AG965" s="9" t="str">
        <f aca="false">IF($AK965=0,"",INDEX('Part types'!$V:$V,$AK965)&amp;"")</f>
        <v>Estimate: size class L2</v>
      </c>
      <c r="AH965" s="9" t="str">
        <f aca="false">IF($AK965=0,"",INDEX('Part types'!$W:$W,$AK965)&amp;"")</f>
        <v/>
      </c>
      <c r="AI965" s="11" t="str">
        <f aca="false">IF($AK965=0,"",INDEX('Part types'!$X:$X,$AK965)&amp;"")</f>
        <v>القاعدة</v>
      </c>
      <c r="AJ965" s="9" t="str">
        <f aca="false">IF($AK965=0,"",INDEX('Part types'!$Y:$Y,$AK965)&amp;"")</f>
        <v/>
      </c>
      <c r="AK965" s="9" t="n">
        <f aca="false">IFERROR(MATCH($AD965,'Part types'!$E:$E,0),0)</f>
        <v>641</v>
      </c>
    </row>
    <row r="966" customFormat="false" ht="15" hidden="false" customHeight="false" outlineLevel="0" collapsed="false">
      <c r="A966" s="9" t="s">
        <v>3982</v>
      </c>
      <c r="B966" s="9" t="s">
        <v>2601</v>
      </c>
      <c r="C966" s="9" t="s">
        <v>3983</v>
      </c>
      <c r="D966" s="9" t="str">
        <f aca="false">C966&amp;" - "&amp;E966</f>
        <v>Seat Backrest Frame - Front-Left</v>
      </c>
      <c r="E966" s="9" t="s">
        <v>1346</v>
      </c>
      <c r="F966" s="9" t="s">
        <v>2601</v>
      </c>
      <c r="G966" s="10" t="n">
        <f aca="false">IF($AK966=0,"",INDEX('Part types'!$P:$P,$AK966))</f>
        <v>50</v>
      </c>
      <c r="H966" s="10" t="n">
        <f aca="false">IF($AK966=0,"",INDEX('Part types'!$Q:$Q,$AK966))</f>
        <v>30</v>
      </c>
      <c r="I966" s="10" t="n">
        <f aca="false">IF($AK966=0,"",INDEX('Part types'!$R:$R,$AK966))</f>
        <v>20</v>
      </c>
      <c r="J966" s="10" t="n">
        <f aca="false">IF($AK966=0,"",INDEX('Part types'!$S:$S,$AK966))</f>
        <v>5</v>
      </c>
      <c r="K966" s="11" t="s">
        <v>2603</v>
      </c>
      <c r="L966" s="11" t="s">
        <v>3984</v>
      </c>
      <c r="M966" s="11" t="str">
        <f aca="false">L966&amp;" - "&amp;N966</f>
        <v>هيكل مسند ظهر المقعد - أمامي يسار</v>
      </c>
      <c r="N966" s="11" t="s">
        <v>1349</v>
      </c>
      <c r="O966" s="11" t="s">
        <v>2603</v>
      </c>
      <c r="P966" s="10" t="n">
        <f aca="false">G966</f>
        <v>50</v>
      </c>
      <c r="Q966" s="10" t="n">
        <f aca="false">H966</f>
        <v>30</v>
      </c>
      <c r="R966" s="10" t="n">
        <f aca="false">I966</f>
        <v>20</v>
      </c>
      <c r="S966" s="10" t="n">
        <f aca="false">J966</f>
        <v>5</v>
      </c>
      <c r="T966" s="12" t="s">
        <v>2605</v>
      </c>
      <c r="U966" s="12" t="s">
        <v>3985</v>
      </c>
      <c r="V966" s="9" t="str">
        <f aca="false">U966&amp;" - "&amp;W966</f>
        <v>座椅靠背骨架 - 前左</v>
      </c>
      <c r="W966" s="12" t="s">
        <v>1352</v>
      </c>
      <c r="X966" s="12" t="s">
        <v>2605</v>
      </c>
      <c r="Y966" s="10" t="n">
        <f aca="false">G966</f>
        <v>50</v>
      </c>
      <c r="Z966" s="10" t="n">
        <f aca="false">H966</f>
        <v>30</v>
      </c>
      <c r="AA966" s="10" t="n">
        <f aca="false">I966</f>
        <v>20</v>
      </c>
      <c r="AB966" s="10" t="n">
        <f aca="false">J966</f>
        <v>5</v>
      </c>
      <c r="AC966" s="9" t="s">
        <v>3964</v>
      </c>
      <c r="AD966" s="9" t="s">
        <v>3986</v>
      </c>
      <c r="AE966" s="9" t="str">
        <f aca="false">IF($AK966=0,"",INDEX('Part types'!$T:$T,$AK966)&amp;"")</f>
        <v>All vehicles</v>
      </c>
      <c r="AF966" s="9" t="str">
        <f aca="false">IF($AK966=0,"",INDEX('Part types'!$U:$U,$AK966)&amp;"")</f>
        <v/>
      </c>
      <c r="AG966" s="9" t="str">
        <f aca="false">IF($AK966=0,"",INDEX('Part types'!$V:$V,$AK966)&amp;"")</f>
        <v>Estimate: size class L2</v>
      </c>
      <c r="AH966" s="9" t="str">
        <f aca="false">IF($AK966=0,"",INDEX('Part types'!$W:$W,$AK966)&amp;"")</f>
        <v/>
      </c>
      <c r="AI966" s="11" t="str">
        <f aca="false">IF($AK966=0,"",INDEX('Part types'!$X:$X,$AK966)&amp;"")</f>
        <v/>
      </c>
      <c r="AJ966" s="9" t="str">
        <f aca="false">IF($AK966=0,"",INDEX('Part types'!$Y:$Y,$AK966)&amp;"")</f>
        <v/>
      </c>
      <c r="AK966" s="9" t="n">
        <f aca="false">IFERROR(MATCH($AD966,'Part types'!$E:$E,0),0)</f>
        <v>642</v>
      </c>
    </row>
    <row r="967" customFormat="false" ht="15" hidden="false" customHeight="false" outlineLevel="0" collapsed="false">
      <c r="A967" s="9" t="s">
        <v>3987</v>
      </c>
      <c r="B967" s="9" t="s">
        <v>2601</v>
      </c>
      <c r="C967" s="9" t="s">
        <v>3983</v>
      </c>
      <c r="D967" s="9" t="str">
        <f aca="false">C967&amp;" - "&amp;E967</f>
        <v>Seat Backrest Frame - Front-Right</v>
      </c>
      <c r="E967" s="9" t="s">
        <v>1356</v>
      </c>
      <c r="F967" s="9" t="s">
        <v>2601</v>
      </c>
      <c r="G967" s="10" t="n">
        <f aca="false">IF($AK967=0,"",INDEX('Part types'!$P:$P,$AK967))</f>
        <v>50</v>
      </c>
      <c r="H967" s="10" t="n">
        <f aca="false">IF($AK967=0,"",INDEX('Part types'!$Q:$Q,$AK967))</f>
        <v>30</v>
      </c>
      <c r="I967" s="10" t="n">
        <f aca="false">IF($AK967=0,"",INDEX('Part types'!$R:$R,$AK967))</f>
        <v>20</v>
      </c>
      <c r="J967" s="10" t="n">
        <f aca="false">IF($AK967=0,"",INDEX('Part types'!$S:$S,$AK967))</f>
        <v>5</v>
      </c>
      <c r="K967" s="11" t="s">
        <v>2603</v>
      </c>
      <c r="L967" s="11" t="s">
        <v>3984</v>
      </c>
      <c r="M967" s="11" t="str">
        <f aca="false">L967&amp;" - "&amp;N967</f>
        <v>هيكل مسند ظهر المقعد - أمامي يمين</v>
      </c>
      <c r="N967" s="11" t="s">
        <v>1357</v>
      </c>
      <c r="O967" s="11" t="s">
        <v>2603</v>
      </c>
      <c r="P967" s="10" t="n">
        <f aca="false">G967</f>
        <v>50</v>
      </c>
      <c r="Q967" s="10" t="n">
        <f aca="false">H967</f>
        <v>30</v>
      </c>
      <c r="R967" s="10" t="n">
        <f aca="false">I967</f>
        <v>20</v>
      </c>
      <c r="S967" s="10" t="n">
        <f aca="false">J967</f>
        <v>5</v>
      </c>
      <c r="T967" s="12" t="s">
        <v>2605</v>
      </c>
      <c r="U967" s="12" t="s">
        <v>3985</v>
      </c>
      <c r="V967" s="9" t="str">
        <f aca="false">U967&amp;" - "&amp;W967</f>
        <v>座椅靠背骨架 - 前右</v>
      </c>
      <c r="W967" s="12" t="s">
        <v>1358</v>
      </c>
      <c r="X967" s="12" t="s">
        <v>2605</v>
      </c>
      <c r="Y967" s="10" t="n">
        <f aca="false">G967</f>
        <v>50</v>
      </c>
      <c r="Z967" s="10" t="n">
        <f aca="false">H967</f>
        <v>30</v>
      </c>
      <c r="AA967" s="10" t="n">
        <f aca="false">I967</f>
        <v>20</v>
      </c>
      <c r="AB967" s="10" t="n">
        <f aca="false">J967</f>
        <v>5</v>
      </c>
      <c r="AC967" s="9" t="s">
        <v>3964</v>
      </c>
      <c r="AD967" s="9" t="s">
        <v>3986</v>
      </c>
      <c r="AE967" s="9" t="str">
        <f aca="false">IF($AK967=0,"",INDEX('Part types'!$T:$T,$AK967)&amp;"")</f>
        <v>All vehicles</v>
      </c>
      <c r="AF967" s="9" t="str">
        <f aca="false">IF($AK967=0,"",INDEX('Part types'!$U:$U,$AK967)&amp;"")</f>
        <v/>
      </c>
      <c r="AG967" s="9" t="str">
        <f aca="false">IF($AK967=0,"",INDEX('Part types'!$V:$V,$AK967)&amp;"")</f>
        <v>Estimate: size class L2</v>
      </c>
      <c r="AH967" s="9" t="str">
        <f aca="false">IF($AK967=0,"",INDEX('Part types'!$W:$W,$AK967)&amp;"")</f>
        <v/>
      </c>
      <c r="AI967" s="11" t="str">
        <f aca="false">IF($AK967=0,"",INDEX('Part types'!$X:$X,$AK967)&amp;"")</f>
        <v/>
      </c>
      <c r="AJ967" s="9" t="str">
        <f aca="false">IF($AK967=0,"",INDEX('Part types'!$Y:$Y,$AK967)&amp;"")</f>
        <v/>
      </c>
      <c r="AK967" s="9" t="n">
        <f aca="false">IFERROR(MATCH($AD967,'Part types'!$E:$E,0),0)</f>
        <v>642</v>
      </c>
    </row>
    <row r="968" customFormat="false" ht="15" hidden="false" customHeight="false" outlineLevel="0" collapsed="false">
      <c r="A968" s="9" t="s">
        <v>3988</v>
      </c>
      <c r="B968" s="9" t="s">
        <v>2601</v>
      </c>
      <c r="C968" s="9" t="s">
        <v>3983</v>
      </c>
      <c r="D968" s="9" t="str">
        <f aca="false">C968&amp;" - "&amp;E968</f>
        <v>Seat Backrest Frame - Rear-Left</v>
      </c>
      <c r="E968" s="9" t="s">
        <v>1360</v>
      </c>
      <c r="F968" s="9" t="s">
        <v>2601</v>
      </c>
      <c r="G968" s="10" t="n">
        <f aca="false">IF($AK968=0,"",INDEX('Part types'!$P:$P,$AK968))</f>
        <v>50</v>
      </c>
      <c r="H968" s="10" t="n">
        <f aca="false">IF($AK968=0,"",INDEX('Part types'!$Q:$Q,$AK968))</f>
        <v>30</v>
      </c>
      <c r="I968" s="10" t="n">
        <f aca="false">IF($AK968=0,"",INDEX('Part types'!$R:$R,$AK968))</f>
        <v>20</v>
      </c>
      <c r="J968" s="10" t="n">
        <f aca="false">IF($AK968=0,"",INDEX('Part types'!$S:$S,$AK968))</f>
        <v>5</v>
      </c>
      <c r="K968" s="11" t="s">
        <v>2603</v>
      </c>
      <c r="L968" s="11" t="s">
        <v>3984</v>
      </c>
      <c r="M968" s="11" t="str">
        <f aca="false">L968&amp;" - "&amp;N968</f>
        <v>هيكل مسند ظهر المقعد - خلفي يسار</v>
      </c>
      <c r="N968" s="11" t="s">
        <v>1361</v>
      </c>
      <c r="O968" s="11" t="s">
        <v>2603</v>
      </c>
      <c r="P968" s="10" t="n">
        <f aca="false">G968</f>
        <v>50</v>
      </c>
      <c r="Q968" s="10" t="n">
        <f aca="false">H968</f>
        <v>30</v>
      </c>
      <c r="R968" s="10" t="n">
        <f aca="false">I968</f>
        <v>20</v>
      </c>
      <c r="S968" s="10" t="n">
        <f aca="false">J968</f>
        <v>5</v>
      </c>
      <c r="T968" s="12" t="s">
        <v>2605</v>
      </c>
      <c r="U968" s="12" t="s">
        <v>3985</v>
      </c>
      <c r="V968" s="9" t="str">
        <f aca="false">U968&amp;" - "&amp;W968</f>
        <v>座椅靠背骨架 - 后左</v>
      </c>
      <c r="W968" s="12" t="s">
        <v>1362</v>
      </c>
      <c r="X968" s="12" t="s">
        <v>2605</v>
      </c>
      <c r="Y968" s="10" t="n">
        <f aca="false">G968</f>
        <v>50</v>
      </c>
      <c r="Z968" s="10" t="n">
        <f aca="false">H968</f>
        <v>30</v>
      </c>
      <c r="AA968" s="10" t="n">
        <f aca="false">I968</f>
        <v>20</v>
      </c>
      <c r="AB968" s="10" t="n">
        <f aca="false">J968</f>
        <v>5</v>
      </c>
      <c r="AC968" s="9" t="s">
        <v>3964</v>
      </c>
      <c r="AD968" s="9" t="s">
        <v>3986</v>
      </c>
      <c r="AE968" s="9" t="str">
        <f aca="false">IF($AK968=0,"",INDEX('Part types'!$T:$T,$AK968)&amp;"")</f>
        <v>All vehicles</v>
      </c>
      <c r="AF968" s="9" t="str">
        <f aca="false">IF($AK968=0,"",INDEX('Part types'!$U:$U,$AK968)&amp;"")</f>
        <v/>
      </c>
      <c r="AG968" s="9" t="str">
        <f aca="false">IF($AK968=0,"",INDEX('Part types'!$V:$V,$AK968)&amp;"")</f>
        <v>Estimate: size class L2</v>
      </c>
      <c r="AH968" s="9" t="str">
        <f aca="false">IF($AK968=0,"",INDEX('Part types'!$W:$W,$AK968)&amp;"")</f>
        <v/>
      </c>
      <c r="AI968" s="11" t="str">
        <f aca="false">IF($AK968=0,"",INDEX('Part types'!$X:$X,$AK968)&amp;"")</f>
        <v/>
      </c>
      <c r="AJ968" s="9" t="str">
        <f aca="false">IF($AK968=0,"",INDEX('Part types'!$Y:$Y,$AK968)&amp;"")</f>
        <v/>
      </c>
      <c r="AK968" s="9" t="n">
        <f aca="false">IFERROR(MATCH($AD968,'Part types'!$E:$E,0),0)</f>
        <v>642</v>
      </c>
    </row>
    <row r="969" customFormat="false" ht="15" hidden="false" customHeight="false" outlineLevel="0" collapsed="false">
      <c r="A969" s="9" t="s">
        <v>3989</v>
      </c>
      <c r="B969" s="9" t="s">
        <v>2601</v>
      </c>
      <c r="C969" s="9" t="s">
        <v>3983</v>
      </c>
      <c r="D969" s="9" t="str">
        <f aca="false">C969&amp;" - "&amp;E969</f>
        <v>Seat Backrest Frame - Rear-Right</v>
      </c>
      <c r="E969" s="9" t="s">
        <v>1364</v>
      </c>
      <c r="F969" s="9" t="s">
        <v>2601</v>
      </c>
      <c r="G969" s="10" t="n">
        <f aca="false">IF($AK969=0,"",INDEX('Part types'!$P:$P,$AK969))</f>
        <v>50</v>
      </c>
      <c r="H969" s="10" t="n">
        <f aca="false">IF($AK969=0,"",INDEX('Part types'!$Q:$Q,$AK969))</f>
        <v>30</v>
      </c>
      <c r="I969" s="10" t="n">
        <f aca="false">IF($AK969=0,"",INDEX('Part types'!$R:$R,$AK969))</f>
        <v>20</v>
      </c>
      <c r="J969" s="10" t="n">
        <f aca="false">IF($AK969=0,"",INDEX('Part types'!$S:$S,$AK969))</f>
        <v>5</v>
      </c>
      <c r="K969" s="11" t="s">
        <v>2603</v>
      </c>
      <c r="L969" s="11" t="s">
        <v>3984</v>
      </c>
      <c r="M969" s="11" t="str">
        <f aca="false">L969&amp;" - "&amp;N969</f>
        <v>هيكل مسند ظهر المقعد - خلفي يمين</v>
      </c>
      <c r="N969" s="11" t="s">
        <v>1365</v>
      </c>
      <c r="O969" s="11" t="s">
        <v>2603</v>
      </c>
      <c r="P969" s="10" t="n">
        <f aca="false">G969</f>
        <v>50</v>
      </c>
      <c r="Q969" s="10" t="n">
        <f aca="false">H969</f>
        <v>30</v>
      </c>
      <c r="R969" s="10" t="n">
        <f aca="false">I969</f>
        <v>20</v>
      </c>
      <c r="S969" s="10" t="n">
        <f aca="false">J969</f>
        <v>5</v>
      </c>
      <c r="T969" s="12" t="s">
        <v>2605</v>
      </c>
      <c r="U969" s="12" t="s">
        <v>3985</v>
      </c>
      <c r="V969" s="9" t="str">
        <f aca="false">U969&amp;" - "&amp;W969</f>
        <v>座椅靠背骨架 - 后右</v>
      </c>
      <c r="W969" s="12" t="s">
        <v>1366</v>
      </c>
      <c r="X969" s="12" t="s">
        <v>2605</v>
      </c>
      <c r="Y969" s="10" t="n">
        <f aca="false">G969</f>
        <v>50</v>
      </c>
      <c r="Z969" s="10" t="n">
        <f aca="false">H969</f>
        <v>30</v>
      </c>
      <c r="AA969" s="10" t="n">
        <f aca="false">I969</f>
        <v>20</v>
      </c>
      <c r="AB969" s="10" t="n">
        <f aca="false">J969</f>
        <v>5</v>
      </c>
      <c r="AC969" s="9" t="s">
        <v>3964</v>
      </c>
      <c r="AD969" s="9" t="s">
        <v>3986</v>
      </c>
      <c r="AE969" s="9" t="str">
        <f aca="false">IF($AK969=0,"",INDEX('Part types'!$T:$T,$AK969)&amp;"")</f>
        <v>All vehicles</v>
      </c>
      <c r="AF969" s="9" t="str">
        <f aca="false">IF($AK969=0,"",INDEX('Part types'!$U:$U,$AK969)&amp;"")</f>
        <v/>
      </c>
      <c r="AG969" s="9" t="str">
        <f aca="false">IF($AK969=0,"",INDEX('Part types'!$V:$V,$AK969)&amp;"")</f>
        <v>Estimate: size class L2</v>
      </c>
      <c r="AH969" s="9" t="str">
        <f aca="false">IF($AK969=0,"",INDEX('Part types'!$W:$W,$AK969)&amp;"")</f>
        <v/>
      </c>
      <c r="AI969" s="11" t="str">
        <f aca="false">IF($AK969=0,"",INDEX('Part types'!$X:$X,$AK969)&amp;"")</f>
        <v/>
      </c>
      <c r="AJ969" s="9" t="str">
        <f aca="false">IF($AK969=0,"",INDEX('Part types'!$Y:$Y,$AK969)&amp;"")</f>
        <v/>
      </c>
      <c r="AK969" s="9" t="n">
        <f aca="false">IFERROR(MATCH($AD969,'Part types'!$E:$E,0),0)</f>
        <v>642</v>
      </c>
    </row>
    <row r="970" customFormat="false" ht="15" hidden="false" customHeight="false" outlineLevel="0" collapsed="false">
      <c r="A970" s="9" t="s">
        <v>3990</v>
      </c>
      <c r="B970" s="9" t="s">
        <v>2601</v>
      </c>
      <c r="C970" s="9" t="s">
        <v>3991</v>
      </c>
      <c r="D970" s="9" t="str">
        <f aca="false">C970&amp;" - "&amp;E970</f>
        <v>Seat Rail - Front-Left</v>
      </c>
      <c r="E970" s="9" t="s">
        <v>1346</v>
      </c>
      <c r="F970" s="9" t="s">
        <v>2601</v>
      </c>
      <c r="G970" s="10" t="n">
        <f aca="false">IF($AK970=0,"",INDEX('Part types'!$P:$P,$AK970))</f>
        <v>30</v>
      </c>
      <c r="H970" s="10" t="n">
        <f aca="false">IF($AK970=0,"",INDEX('Part types'!$Q:$Q,$AK970))</f>
        <v>20</v>
      </c>
      <c r="I970" s="10" t="n">
        <f aca="false">IF($AK970=0,"",INDEX('Part types'!$R:$R,$AK970))</f>
        <v>15</v>
      </c>
      <c r="J970" s="10" t="n">
        <f aca="false">IF($AK970=0,"",INDEX('Part types'!$S:$S,$AK970))</f>
        <v>1.8</v>
      </c>
      <c r="K970" s="11" t="s">
        <v>2603</v>
      </c>
      <c r="L970" s="11" t="s">
        <v>3992</v>
      </c>
      <c r="M970" s="11" t="str">
        <f aca="false">L970&amp;" - "&amp;N970</f>
        <v>سكة المقعد - أمامي يسار</v>
      </c>
      <c r="N970" s="11" t="s">
        <v>1349</v>
      </c>
      <c r="O970" s="11" t="s">
        <v>2603</v>
      </c>
      <c r="P970" s="10" t="n">
        <f aca="false">G970</f>
        <v>30</v>
      </c>
      <c r="Q970" s="10" t="n">
        <f aca="false">H970</f>
        <v>20</v>
      </c>
      <c r="R970" s="10" t="n">
        <f aca="false">I970</f>
        <v>15</v>
      </c>
      <c r="S970" s="10" t="n">
        <f aca="false">J970</f>
        <v>1.8</v>
      </c>
      <c r="T970" s="12" t="s">
        <v>2605</v>
      </c>
      <c r="U970" s="12" t="s">
        <v>3993</v>
      </c>
      <c r="V970" s="9" t="str">
        <f aca="false">U970&amp;" - "&amp;W970</f>
        <v>座椅滑轨 - 前左</v>
      </c>
      <c r="W970" s="12" t="s">
        <v>1352</v>
      </c>
      <c r="X970" s="12" t="s">
        <v>2605</v>
      </c>
      <c r="Y970" s="10" t="n">
        <f aca="false">G970</f>
        <v>30</v>
      </c>
      <c r="Z970" s="10" t="n">
        <f aca="false">H970</f>
        <v>20</v>
      </c>
      <c r="AA970" s="10" t="n">
        <f aca="false">I970</f>
        <v>15</v>
      </c>
      <c r="AB970" s="10" t="n">
        <f aca="false">J970</f>
        <v>1.8</v>
      </c>
      <c r="AC970" s="9" t="s">
        <v>3964</v>
      </c>
      <c r="AD970" s="9" t="s">
        <v>3994</v>
      </c>
      <c r="AE970" s="9" t="str">
        <f aca="false">IF($AK970=0,"",INDEX('Part types'!$T:$T,$AK970)&amp;"")</f>
        <v>All vehicles</v>
      </c>
      <c r="AF970" s="9" t="str">
        <f aca="false">IF($AK970=0,"",INDEX('Part types'!$U:$U,$AK970)&amp;"")</f>
        <v/>
      </c>
      <c r="AG970" s="9" t="str">
        <f aca="false">IF($AK970=0,"",INDEX('Part types'!$V:$V,$AK970)&amp;"")</f>
        <v>Estimate: size class M2</v>
      </c>
      <c r="AH970" s="9" t="str">
        <f aca="false">IF($AK970=0,"",INDEX('Part types'!$W:$W,$AK970)&amp;"")</f>
        <v>Slide Track</v>
      </c>
      <c r="AI970" s="11" t="str">
        <f aca="false">IF($AK970=0,"",INDEX('Part types'!$X:$X,$AK970)&amp;"")</f>
        <v/>
      </c>
      <c r="AJ970" s="9" t="str">
        <f aca="false">IF($AK970=0,"",INDEX('Part types'!$Y:$Y,$AK970)&amp;"")</f>
        <v/>
      </c>
      <c r="AK970" s="9" t="n">
        <f aca="false">IFERROR(MATCH($AD970,'Part types'!$E:$E,0),0)</f>
        <v>643</v>
      </c>
    </row>
    <row r="971" customFormat="false" ht="15" hidden="false" customHeight="false" outlineLevel="0" collapsed="false">
      <c r="A971" s="9" t="s">
        <v>3995</v>
      </c>
      <c r="B971" s="9" t="s">
        <v>2601</v>
      </c>
      <c r="C971" s="9" t="s">
        <v>3991</v>
      </c>
      <c r="D971" s="9" t="str">
        <f aca="false">C971&amp;" - "&amp;E971</f>
        <v>Seat Rail - Front-Right</v>
      </c>
      <c r="E971" s="9" t="s">
        <v>1356</v>
      </c>
      <c r="F971" s="9" t="s">
        <v>2601</v>
      </c>
      <c r="G971" s="10" t="n">
        <f aca="false">IF($AK971=0,"",INDEX('Part types'!$P:$P,$AK971))</f>
        <v>30</v>
      </c>
      <c r="H971" s="10" t="n">
        <f aca="false">IF($AK971=0,"",INDEX('Part types'!$Q:$Q,$AK971))</f>
        <v>20</v>
      </c>
      <c r="I971" s="10" t="n">
        <f aca="false">IF($AK971=0,"",INDEX('Part types'!$R:$R,$AK971))</f>
        <v>15</v>
      </c>
      <c r="J971" s="10" t="n">
        <f aca="false">IF($AK971=0,"",INDEX('Part types'!$S:$S,$AK971))</f>
        <v>1.8</v>
      </c>
      <c r="K971" s="11" t="s">
        <v>2603</v>
      </c>
      <c r="L971" s="11" t="s">
        <v>3992</v>
      </c>
      <c r="M971" s="11" t="str">
        <f aca="false">L971&amp;" - "&amp;N971</f>
        <v>سكة المقعد - أمامي يمين</v>
      </c>
      <c r="N971" s="11" t="s">
        <v>1357</v>
      </c>
      <c r="O971" s="11" t="s">
        <v>2603</v>
      </c>
      <c r="P971" s="10" t="n">
        <f aca="false">G971</f>
        <v>30</v>
      </c>
      <c r="Q971" s="10" t="n">
        <f aca="false">H971</f>
        <v>20</v>
      </c>
      <c r="R971" s="10" t="n">
        <f aca="false">I971</f>
        <v>15</v>
      </c>
      <c r="S971" s="10" t="n">
        <f aca="false">J971</f>
        <v>1.8</v>
      </c>
      <c r="T971" s="12" t="s">
        <v>2605</v>
      </c>
      <c r="U971" s="12" t="s">
        <v>3993</v>
      </c>
      <c r="V971" s="9" t="str">
        <f aca="false">U971&amp;" - "&amp;W971</f>
        <v>座椅滑轨 - 前右</v>
      </c>
      <c r="W971" s="12" t="s">
        <v>1358</v>
      </c>
      <c r="X971" s="12" t="s">
        <v>2605</v>
      </c>
      <c r="Y971" s="10" t="n">
        <f aca="false">G971</f>
        <v>30</v>
      </c>
      <c r="Z971" s="10" t="n">
        <f aca="false">H971</f>
        <v>20</v>
      </c>
      <c r="AA971" s="10" t="n">
        <f aca="false">I971</f>
        <v>15</v>
      </c>
      <c r="AB971" s="10" t="n">
        <f aca="false">J971</f>
        <v>1.8</v>
      </c>
      <c r="AC971" s="9" t="s">
        <v>3964</v>
      </c>
      <c r="AD971" s="9" t="s">
        <v>3994</v>
      </c>
      <c r="AE971" s="9" t="str">
        <f aca="false">IF($AK971=0,"",INDEX('Part types'!$T:$T,$AK971)&amp;"")</f>
        <v>All vehicles</v>
      </c>
      <c r="AF971" s="9" t="str">
        <f aca="false">IF($AK971=0,"",INDEX('Part types'!$U:$U,$AK971)&amp;"")</f>
        <v/>
      </c>
      <c r="AG971" s="9" t="str">
        <f aca="false">IF($AK971=0,"",INDEX('Part types'!$V:$V,$AK971)&amp;"")</f>
        <v>Estimate: size class M2</v>
      </c>
      <c r="AH971" s="9" t="str">
        <f aca="false">IF($AK971=0,"",INDEX('Part types'!$W:$W,$AK971)&amp;"")</f>
        <v>Slide Track</v>
      </c>
      <c r="AI971" s="11" t="str">
        <f aca="false">IF($AK971=0,"",INDEX('Part types'!$X:$X,$AK971)&amp;"")</f>
        <v/>
      </c>
      <c r="AJ971" s="9" t="str">
        <f aca="false">IF($AK971=0,"",INDEX('Part types'!$Y:$Y,$AK971)&amp;"")</f>
        <v/>
      </c>
      <c r="AK971" s="9" t="n">
        <f aca="false">IFERROR(MATCH($AD971,'Part types'!$E:$E,0),0)</f>
        <v>643</v>
      </c>
    </row>
    <row r="972" customFormat="false" ht="15" hidden="false" customHeight="false" outlineLevel="0" collapsed="false">
      <c r="A972" s="9" t="s">
        <v>3996</v>
      </c>
      <c r="B972" s="9" t="s">
        <v>2601</v>
      </c>
      <c r="C972" s="9" t="s">
        <v>3991</v>
      </c>
      <c r="D972" s="9" t="str">
        <f aca="false">C972&amp;" - "&amp;E972</f>
        <v>Seat Rail - Rear-Left</v>
      </c>
      <c r="E972" s="9" t="s">
        <v>1360</v>
      </c>
      <c r="F972" s="9" t="s">
        <v>2601</v>
      </c>
      <c r="G972" s="10" t="n">
        <f aca="false">IF($AK972=0,"",INDEX('Part types'!$P:$P,$AK972))</f>
        <v>30</v>
      </c>
      <c r="H972" s="10" t="n">
        <f aca="false">IF($AK972=0,"",INDEX('Part types'!$Q:$Q,$AK972))</f>
        <v>20</v>
      </c>
      <c r="I972" s="10" t="n">
        <f aca="false">IF($AK972=0,"",INDEX('Part types'!$R:$R,$AK972))</f>
        <v>15</v>
      </c>
      <c r="J972" s="10" t="n">
        <f aca="false">IF($AK972=0,"",INDEX('Part types'!$S:$S,$AK972))</f>
        <v>1.8</v>
      </c>
      <c r="K972" s="11" t="s">
        <v>2603</v>
      </c>
      <c r="L972" s="11" t="s">
        <v>3992</v>
      </c>
      <c r="M972" s="11" t="str">
        <f aca="false">L972&amp;" - "&amp;N972</f>
        <v>سكة المقعد - خلفي يسار</v>
      </c>
      <c r="N972" s="11" t="s">
        <v>1361</v>
      </c>
      <c r="O972" s="11" t="s">
        <v>2603</v>
      </c>
      <c r="P972" s="10" t="n">
        <f aca="false">G972</f>
        <v>30</v>
      </c>
      <c r="Q972" s="10" t="n">
        <f aca="false">H972</f>
        <v>20</v>
      </c>
      <c r="R972" s="10" t="n">
        <f aca="false">I972</f>
        <v>15</v>
      </c>
      <c r="S972" s="10" t="n">
        <f aca="false">J972</f>
        <v>1.8</v>
      </c>
      <c r="T972" s="12" t="s">
        <v>2605</v>
      </c>
      <c r="U972" s="12" t="s">
        <v>3993</v>
      </c>
      <c r="V972" s="9" t="str">
        <f aca="false">U972&amp;" - "&amp;W972</f>
        <v>座椅滑轨 - 后左</v>
      </c>
      <c r="W972" s="12" t="s">
        <v>1362</v>
      </c>
      <c r="X972" s="12" t="s">
        <v>2605</v>
      </c>
      <c r="Y972" s="10" t="n">
        <f aca="false">G972</f>
        <v>30</v>
      </c>
      <c r="Z972" s="10" t="n">
        <f aca="false">H972</f>
        <v>20</v>
      </c>
      <c r="AA972" s="10" t="n">
        <f aca="false">I972</f>
        <v>15</v>
      </c>
      <c r="AB972" s="10" t="n">
        <f aca="false">J972</f>
        <v>1.8</v>
      </c>
      <c r="AC972" s="9" t="s">
        <v>3964</v>
      </c>
      <c r="AD972" s="9" t="s">
        <v>3994</v>
      </c>
      <c r="AE972" s="9" t="str">
        <f aca="false">IF($AK972=0,"",INDEX('Part types'!$T:$T,$AK972)&amp;"")</f>
        <v>All vehicles</v>
      </c>
      <c r="AF972" s="9" t="str">
        <f aca="false">IF($AK972=0,"",INDEX('Part types'!$U:$U,$AK972)&amp;"")</f>
        <v/>
      </c>
      <c r="AG972" s="9" t="str">
        <f aca="false">IF($AK972=0,"",INDEX('Part types'!$V:$V,$AK972)&amp;"")</f>
        <v>Estimate: size class M2</v>
      </c>
      <c r="AH972" s="9" t="str">
        <f aca="false">IF($AK972=0,"",INDEX('Part types'!$W:$W,$AK972)&amp;"")</f>
        <v>Slide Track</v>
      </c>
      <c r="AI972" s="11" t="str">
        <f aca="false">IF($AK972=0,"",INDEX('Part types'!$X:$X,$AK972)&amp;"")</f>
        <v/>
      </c>
      <c r="AJ972" s="9" t="str">
        <f aca="false">IF($AK972=0,"",INDEX('Part types'!$Y:$Y,$AK972)&amp;"")</f>
        <v/>
      </c>
      <c r="AK972" s="9" t="n">
        <f aca="false">IFERROR(MATCH($AD972,'Part types'!$E:$E,0),0)</f>
        <v>643</v>
      </c>
    </row>
    <row r="973" customFormat="false" ht="15" hidden="false" customHeight="false" outlineLevel="0" collapsed="false">
      <c r="A973" s="9" t="s">
        <v>3997</v>
      </c>
      <c r="B973" s="9" t="s">
        <v>2601</v>
      </c>
      <c r="C973" s="9" t="s">
        <v>3991</v>
      </c>
      <c r="D973" s="9" t="str">
        <f aca="false">C973&amp;" - "&amp;E973</f>
        <v>Seat Rail - Rear-Right</v>
      </c>
      <c r="E973" s="9" t="s">
        <v>1364</v>
      </c>
      <c r="F973" s="9" t="s">
        <v>2601</v>
      </c>
      <c r="G973" s="10" t="n">
        <f aca="false">IF($AK973=0,"",INDEX('Part types'!$P:$P,$AK973))</f>
        <v>30</v>
      </c>
      <c r="H973" s="10" t="n">
        <f aca="false">IF($AK973=0,"",INDEX('Part types'!$Q:$Q,$AK973))</f>
        <v>20</v>
      </c>
      <c r="I973" s="10" t="n">
        <f aca="false">IF($AK973=0,"",INDEX('Part types'!$R:$R,$AK973))</f>
        <v>15</v>
      </c>
      <c r="J973" s="10" t="n">
        <f aca="false">IF($AK973=0,"",INDEX('Part types'!$S:$S,$AK973))</f>
        <v>1.8</v>
      </c>
      <c r="K973" s="11" t="s">
        <v>2603</v>
      </c>
      <c r="L973" s="11" t="s">
        <v>3992</v>
      </c>
      <c r="M973" s="11" t="str">
        <f aca="false">L973&amp;" - "&amp;N973</f>
        <v>سكة المقعد - خلفي يمين</v>
      </c>
      <c r="N973" s="11" t="s">
        <v>1365</v>
      </c>
      <c r="O973" s="11" t="s">
        <v>2603</v>
      </c>
      <c r="P973" s="10" t="n">
        <f aca="false">G973</f>
        <v>30</v>
      </c>
      <c r="Q973" s="10" t="n">
        <f aca="false">H973</f>
        <v>20</v>
      </c>
      <c r="R973" s="10" t="n">
        <f aca="false">I973</f>
        <v>15</v>
      </c>
      <c r="S973" s="10" t="n">
        <f aca="false">J973</f>
        <v>1.8</v>
      </c>
      <c r="T973" s="12" t="s">
        <v>2605</v>
      </c>
      <c r="U973" s="12" t="s">
        <v>3993</v>
      </c>
      <c r="V973" s="9" t="str">
        <f aca="false">U973&amp;" - "&amp;W973</f>
        <v>座椅滑轨 - 后右</v>
      </c>
      <c r="W973" s="12" t="s">
        <v>1366</v>
      </c>
      <c r="X973" s="12" t="s">
        <v>2605</v>
      </c>
      <c r="Y973" s="10" t="n">
        <f aca="false">G973</f>
        <v>30</v>
      </c>
      <c r="Z973" s="10" t="n">
        <f aca="false">H973</f>
        <v>20</v>
      </c>
      <c r="AA973" s="10" t="n">
        <f aca="false">I973</f>
        <v>15</v>
      </c>
      <c r="AB973" s="10" t="n">
        <f aca="false">J973</f>
        <v>1.8</v>
      </c>
      <c r="AC973" s="9" t="s">
        <v>3964</v>
      </c>
      <c r="AD973" s="9" t="s">
        <v>3994</v>
      </c>
      <c r="AE973" s="9" t="str">
        <f aca="false">IF($AK973=0,"",INDEX('Part types'!$T:$T,$AK973)&amp;"")</f>
        <v>All vehicles</v>
      </c>
      <c r="AF973" s="9" t="str">
        <f aca="false">IF($AK973=0,"",INDEX('Part types'!$U:$U,$AK973)&amp;"")</f>
        <v/>
      </c>
      <c r="AG973" s="9" t="str">
        <f aca="false">IF($AK973=0,"",INDEX('Part types'!$V:$V,$AK973)&amp;"")</f>
        <v>Estimate: size class M2</v>
      </c>
      <c r="AH973" s="9" t="str">
        <f aca="false">IF($AK973=0,"",INDEX('Part types'!$W:$W,$AK973)&amp;"")</f>
        <v>Slide Track</v>
      </c>
      <c r="AI973" s="11" t="str">
        <f aca="false">IF($AK973=0,"",INDEX('Part types'!$X:$X,$AK973)&amp;"")</f>
        <v/>
      </c>
      <c r="AJ973" s="9" t="str">
        <f aca="false">IF($AK973=0,"",INDEX('Part types'!$Y:$Y,$AK973)&amp;"")</f>
        <v/>
      </c>
      <c r="AK973" s="9" t="n">
        <f aca="false">IFERROR(MATCH($AD973,'Part types'!$E:$E,0),0)</f>
        <v>643</v>
      </c>
    </row>
    <row r="974" customFormat="false" ht="15" hidden="false" customHeight="false" outlineLevel="0" collapsed="false">
      <c r="A974" s="9" t="s">
        <v>3998</v>
      </c>
      <c r="B974" s="9" t="s">
        <v>2601</v>
      </c>
      <c r="C974" s="9" t="s">
        <v>3999</v>
      </c>
      <c r="D974" s="9" t="str">
        <f aca="false">C974&amp;" - "&amp;E974</f>
        <v>Seat Adjuster Motor - Front-Left</v>
      </c>
      <c r="E974" s="9" t="s">
        <v>1346</v>
      </c>
      <c r="F974" s="9" t="s">
        <v>2601</v>
      </c>
      <c r="G974" s="10" t="n">
        <f aca="false">IF($AK974=0,"",INDEX('Part types'!$P:$P,$AK974))</f>
        <v>15</v>
      </c>
      <c r="H974" s="10" t="n">
        <f aca="false">IF($AK974=0,"",INDEX('Part types'!$Q:$Q,$AK974))</f>
        <v>10</v>
      </c>
      <c r="I974" s="10" t="n">
        <f aca="false">IF($AK974=0,"",INDEX('Part types'!$R:$R,$AK974))</f>
        <v>8</v>
      </c>
      <c r="J974" s="10" t="n">
        <f aca="false">IF($AK974=0,"",INDEX('Part types'!$S:$S,$AK974))</f>
        <v>0.3</v>
      </c>
      <c r="K974" s="11" t="s">
        <v>2603</v>
      </c>
      <c r="L974" s="11" t="s">
        <v>4000</v>
      </c>
      <c r="M974" s="11" t="str">
        <f aca="false">L974&amp;" - "&amp;N974</f>
        <v>موتور ضبط المقعد - أمامي يسار</v>
      </c>
      <c r="N974" s="11" t="s">
        <v>1349</v>
      </c>
      <c r="O974" s="11" t="s">
        <v>2603</v>
      </c>
      <c r="P974" s="10" t="n">
        <f aca="false">G974</f>
        <v>15</v>
      </c>
      <c r="Q974" s="10" t="n">
        <f aca="false">H974</f>
        <v>10</v>
      </c>
      <c r="R974" s="10" t="n">
        <f aca="false">I974</f>
        <v>8</v>
      </c>
      <c r="S974" s="10" t="n">
        <f aca="false">J974</f>
        <v>0.3</v>
      </c>
      <c r="T974" s="12" t="s">
        <v>2605</v>
      </c>
      <c r="U974" s="12" t="s">
        <v>4001</v>
      </c>
      <c r="V974" s="9" t="str">
        <f aca="false">U974&amp;" - "&amp;W974</f>
        <v>座椅调节电机 - 前左</v>
      </c>
      <c r="W974" s="12" t="s">
        <v>1352</v>
      </c>
      <c r="X974" s="12" t="s">
        <v>2605</v>
      </c>
      <c r="Y974" s="10" t="n">
        <f aca="false">G974</f>
        <v>15</v>
      </c>
      <c r="Z974" s="10" t="n">
        <f aca="false">H974</f>
        <v>10</v>
      </c>
      <c r="AA974" s="10" t="n">
        <f aca="false">I974</f>
        <v>8</v>
      </c>
      <c r="AB974" s="10" t="n">
        <f aca="false">J974</f>
        <v>0.3</v>
      </c>
      <c r="AC974" s="9" t="s">
        <v>3964</v>
      </c>
      <c r="AD974" s="9" t="s">
        <v>4002</v>
      </c>
      <c r="AE974" s="9" t="str">
        <f aca="false">IF($AK974=0,"",INDEX('Part types'!$T:$T,$AK974)&amp;"")</f>
        <v>All vehicles</v>
      </c>
      <c r="AF974" s="9" t="str">
        <f aca="false">IF($AK974=0,"",INDEX('Part types'!$U:$U,$AK974)&amp;"")</f>
        <v/>
      </c>
      <c r="AG974" s="9" t="str">
        <f aca="false">IF($AK974=0,"",INDEX('Part types'!$V:$V,$AK974)&amp;"")</f>
        <v>Estimate: size class S</v>
      </c>
      <c r="AH974" s="9" t="str">
        <f aca="false">IF($AK974=0,"",INDEX('Part types'!$W:$W,$AK974)&amp;"")</f>
        <v/>
      </c>
      <c r="AI974" s="11" t="str">
        <f aca="false">IF($AK974=0,"",INDEX('Part types'!$X:$X,$AK974)&amp;"")</f>
        <v/>
      </c>
      <c r="AJ974" s="9" t="str">
        <f aca="false">IF($AK974=0,"",INDEX('Part types'!$Y:$Y,$AK974)&amp;"")</f>
        <v/>
      </c>
      <c r="AK974" s="9" t="n">
        <f aca="false">IFERROR(MATCH($AD974,'Part types'!$E:$E,0),0)</f>
        <v>644</v>
      </c>
    </row>
    <row r="975" customFormat="false" ht="15" hidden="false" customHeight="false" outlineLevel="0" collapsed="false">
      <c r="A975" s="9" t="s">
        <v>4003</v>
      </c>
      <c r="B975" s="9" t="s">
        <v>2601</v>
      </c>
      <c r="C975" s="9" t="s">
        <v>3999</v>
      </c>
      <c r="D975" s="9" t="str">
        <f aca="false">C975&amp;" - "&amp;E975</f>
        <v>Seat Adjuster Motor - Front-Right</v>
      </c>
      <c r="E975" s="9" t="s">
        <v>1356</v>
      </c>
      <c r="F975" s="9" t="s">
        <v>2601</v>
      </c>
      <c r="G975" s="10" t="n">
        <f aca="false">IF($AK975=0,"",INDEX('Part types'!$P:$P,$AK975))</f>
        <v>15</v>
      </c>
      <c r="H975" s="10" t="n">
        <f aca="false">IF($AK975=0,"",INDEX('Part types'!$Q:$Q,$AK975))</f>
        <v>10</v>
      </c>
      <c r="I975" s="10" t="n">
        <f aca="false">IF($AK975=0,"",INDEX('Part types'!$R:$R,$AK975))</f>
        <v>8</v>
      </c>
      <c r="J975" s="10" t="n">
        <f aca="false">IF($AK975=0,"",INDEX('Part types'!$S:$S,$AK975))</f>
        <v>0.3</v>
      </c>
      <c r="K975" s="11" t="s">
        <v>2603</v>
      </c>
      <c r="L975" s="11" t="s">
        <v>4000</v>
      </c>
      <c r="M975" s="11" t="str">
        <f aca="false">L975&amp;" - "&amp;N975</f>
        <v>موتور ضبط المقعد - أمامي يمين</v>
      </c>
      <c r="N975" s="11" t="s">
        <v>1357</v>
      </c>
      <c r="O975" s="11" t="s">
        <v>2603</v>
      </c>
      <c r="P975" s="10" t="n">
        <f aca="false">G975</f>
        <v>15</v>
      </c>
      <c r="Q975" s="10" t="n">
        <f aca="false">H975</f>
        <v>10</v>
      </c>
      <c r="R975" s="10" t="n">
        <f aca="false">I975</f>
        <v>8</v>
      </c>
      <c r="S975" s="10" t="n">
        <f aca="false">J975</f>
        <v>0.3</v>
      </c>
      <c r="T975" s="12" t="s">
        <v>2605</v>
      </c>
      <c r="U975" s="12" t="s">
        <v>4001</v>
      </c>
      <c r="V975" s="9" t="str">
        <f aca="false">U975&amp;" - "&amp;W975</f>
        <v>座椅调节电机 - 前右</v>
      </c>
      <c r="W975" s="12" t="s">
        <v>1358</v>
      </c>
      <c r="X975" s="12" t="s">
        <v>2605</v>
      </c>
      <c r="Y975" s="10" t="n">
        <f aca="false">G975</f>
        <v>15</v>
      </c>
      <c r="Z975" s="10" t="n">
        <f aca="false">H975</f>
        <v>10</v>
      </c>
      <c r="AA975" s="10" t="n">
        <f aca="false">I975</f>
        <v>8</v>
      </c>
      <c r="AB975" s="10" t="n">
        <f aca="false">J975</f>
        <v>0.3</v>
      </c>
      <c r="AC975" s="9" t="s">
        <v>3964</v>
      </c>
      <c r="AD975" s="9" t="s">
        <v>4002</v>
      </c>
      <c r="AE975" s="9" t="str">
        <f aca="false">IF($AK975=0,"",INDEX('Part types'!$T:$T,$AK975)&amp;"")</f>
        <v>All vehicles</v>
      </c>
      <c r="AF975" s="9" t="str">
        <f aca="false">IF($AK975=0,"",INDEX('Part types'!$U:$U,$AK975)&amp;"")</f>
        <v/>
      </c>
      <c r="AG975" s="9" t="str">
        <f aca="false">IF($AK975=0,"",INDEX('Part types'!$V:$V,$AK975)&amp;"")</f>
        <v>Estimate: size class S</v>
      </c>
      <c r="AH975" s="9" t="str">
        <f aca="false">IF($AK975=0,"",INDEX('Part types'!$W:$W,$AK975)&amp;"")</f>
        <v/>
      </c>
      <c r="AI975" s="11" t="str">
        <f aca="false">IF($AK975=0,"",INDEX('Part types'!$X:$X,$AK975)&amp;"")</f>
        <v/>
      </c>
      <c r="AJ975" s="9" t="str">
        <f aca="false">IF($AK975=0,"",INDEX('Part types'!$Y:$Y,$AK975)&amp;"")</f>
        <v/>
      </c>
      <c r="AK975" s="9" t="n">
        <f aca="false">IFERROR(MATCH($AD975,'Part types'!$E:$E,0),0)</f>
        <v>644</v>
      </c>
    </row>
    <row r="976" customFormat="false" ht="15" hidden="false" customHeight="false" outlineLevel="0" collapsed="false">
      <c r="A976" s="9" t="s">
        <v>4004</v>
      </c>
      <c r="B976" s="9" t="s">
        <v>2601</v>
      </c>
      <c r="C976" s="9" t="s">
        <v>3999</v>
      </c>
      <c r="D976" s="9" t="str">
        <f aca="false">C976&amp;" - "&amp;E976</f>
        <v>Seat Adjuster Motor - Rear-Left</v>
      </c>
      <c r="E976" s="9" t="s">
        <v>1360</v>
      </c>
      <c r="F976" s="9" t="s">
        <v>2601</v>
      </c>
      <c r="G976" s="10" t="n">
        <f aca="false">IF($AK976=0,"",INDEX('Part types'!$P:$P,$AK976))</f>
        <v>15</v>
      </c>
      <c r="H976" s="10" t="n">
        <f aca="false">IF($AK976=0,"",INDEX('Part types'!$Q:$Q,$AK976))</f>
        <v>10</v>
      </c>
      <c r="I976" s="10" t="n">
        <f aca="false">IF($AK976=0,"",INDEX('Part types'!$R:$R,$AK976))</f>
        <v>8</v>
      </c>
      <c r="J976" s="10" t="n">
        <f aca="false">IF($AK976=0,"",INDEX('Part types'!$S:$S,$AK976))</f>
        <v>0.3</v>
      </c>
      <c r="K976" s="11" t="s">
        <v>2603</v>
      </c>
      <c r="L976" s="11" t="s">
        <v>4000</v>
      </c>
      <c r="M976" s="11" t="str">
        <f aca="false">L976&amp;" - "&amp;N976</f>
        <v>موتور ضبط المقعد - خلفي يسار</v>
      </c>
      <c r="N976" s="11" t="s">
        <v>1361</v>
      </c>
      <c r="O976" s="11" t="s">
        <v>2603</v>
      </c>
      <c r="P976" s="10" t="n">
        <f aca="false">G976</f>
        <v>15</v>
      </c>
      <c r="Q976" s="10" t="n">
        <f aca="false">H976</f>
        <v>10</v>
      </c>
      <c r="R976" s="10" t="n">
        <f aca="false">I976</f>
        <v>8</v>
      </c>
      <c r="S976" s="10" t="n">
        <f aca="false">J976</f>
        <v>0.3</v>
      </c>
      <c r="T976" s="12" t="s">
        <v>2605</v>
      </c>
      <c r="U976" s="12" t="s">
        <v>4001</v>
      </c>
      <c r="V976" s="9" t="str">
        <f aca="false">U976&amp;" - "&amp;W976</f>
        <v>座椅调节电机 - 后左</v>
      </c>
      <c r="W976" s="12" t="s">
        <v>1362</v>
      </c>
      <c r="X976" s="12" t="s">
        <v>2605</v>
      </c>
      <c r="Y976" s="10" t="n">
        <f aca="false">G976</f>
        <v>15</v>
      </c>
      <c r="Z976" s="10" t="n">
        <f aca="false">H976</f>
        <v>10</v>
      </c>
      <c r="AA976" s="10" t="n">
        <f aca="false">I976</f>
        <v>8</v>
      </c>
      <c r="AB976" s="10" t="n">
        <f aca="false">J976</f>
        <v>0.3</v>
      </c>
      <c r="AC976" s="9" t="s">
        <v>3964</v>
      </c>
      <c r="AD976" s="9" t="s">
        <v>4002</v>
      </c>
      <c r="AE976" s="9" t="str">
        <f aca="false">IF($AK976=0,"",INDEX('Part types'!$T:$T,$AK976)&amp;"")</f>
        <v>All vehicles</v>
      </c>
      <c r="AF976" s="9" t="str">
        <f aca="false">IF($AK976=0,"",INDEX('Part types'!$U:$U,$AK976)&amp;"")</f>
        <v/>
      </c>
      <c r="AG976" s="9" t="str">
        <f aca="false">IF($AK976=0,"",INDEX('Part types'!$V:$V,$AK976)&amp;"")</f>
        <v>Estimate: size class S</v>
      </c>
      <c r="AH976" s="9" t="str">
        <f aca="false">IF($AK976=0,"",INDEX('Part types'!$W:$W,$AK976)&amp;"")</f>
        <v/>
      </c>
      <c r="AI976" s="11" t="str">
        <f aca="false">IF($AK976=0,"",INDEX('Part types'!$X:$X,$AK976)&amp;"")</f>
        <v/>
      </c>
      <c r="AJ976" s="9" t="str">
        <f aca="false">IF($AK976=0,"",INDEX('Part types'!$Y:$Y,$AK976)&amp;"")</f>
        <v/>
      </c>
      <c r="AK976" s="9" t="n">
        <f aca="false">IFERROR(MATCH($AD976,'Part types'!$E:$E,0),0)</f>
        <v>644</v>
      </c>
    </row>
    <row r="977" customFormat="false" ht="15" hidden="false" customHeight="false" outlineLevel="0" collapsed="false">
      <c r="A977" s="9" t="s">
        <v>4005</v>
      </c>
      <c r="B977" s="9" t="s">
        <v>2601</v>
      </c>
      <c r="C977" s="9" t="s">
        <v>3999</v>
      </c>
      <c r="D977" s="9" t="str">
        <f aca="false">C977&amp;" - "&amp;E977</f>
        <v>Seat Adjuster Motor - Rear-Right</v>
      </c>
      <c r="E977" s="9" t="s">
        <v>1364</v>
      </c>
      <c r="F977" s="9" t="s">
        <v>2601</v>
      </c>
      <c r="G977" s="10" t="n">
        <f aca="false">IF($AK977=0,"",INDEX('Part types'!$P:$P,$AK977))</f>
        <v>15</v>
      </c>
      <c r="H977" s="10" t="n">
        <f aca="false">IF($AK977=0,"",INDEX('Part types'!$Q:$Q,$AK977))</f>
        <v>10</v>
      </c>
      <c r="I977" s="10" t="n">
        <f aca="false">IF($AK977=0,"",INDEX('Part types'!$R:$R,$AK977))</f>
        <v>8</v>
      </c>
      <c r="J977" s="10" t="n">
        <f aca="false">IF($AK977=0,"",INDEX('Part types'!$S:$S,$AK977))</f>
        <v>0.3</v>
      </c>
      <c r="K977" s="11" t="s">
        <v>2603</v>
      </c>
      <c r="L977" s="11" t="s">
        <v>4000</v>
      </c>
      <c r="M977" s="11" t="str">
        <f aca="false">L977&amp;" - "&amp;N977</f>
        <v>موتور ضبط المقعد - خلفي يمين</v>
      </c>
      <c r="N977" s="11" t="s">
        <v>1365</v>
      </c>
      <c r="O977" s="11" t="s">
        <v>2603</v>
      </c>
      <c r="P977" s="10" t="n">
        <f aca="false">G977</f>
        <v>15</v>
      </c>
      <c r="Q977" s="10" t="n">
        <f aca="false">H977</f>
        <v>10</v>
      </c>
      <c r="R977" s="10" t="n">
        <f aca="false">I977</f>
        <v>8</v>
      </c>
      <c r="S977" s="10" t="n">
        <f aca="false">J977</f>
        <v>0.3</v>
      </c>
      <c r="T977" s="12" t="s">
        <v>2605</v>
      </c>
      <c r="U977" s="12" t="s">
        <v>4001</v>
      </c>
      <c r="V977" s="9" t="str">
        <f aca="false">U977&amp;" - "&amp;W977</f>
        <v>座椅调节电机 - 后右</v>
      </c>
      <c r="W977" s="12" t="s">
        <v>1366</v>
      </c>
      <c r="X977" s="12" t="s">
        <v>2605</v>
      </c>
      <c r="Y977" s="10" t="n">
        <f aca="false">G977</f>
        <v>15</v>
      </c>
      <c r="Z977" s="10" t="n">
        <f aca="false">H977</f>
        <v>10</v>
      </c>
      <c r="AA977" s="10" t="n">
        <f aca="false">I977</f>
        <v>8</v>
      </c>
      <c r="AB977" s="10" t="n">
        <f aca="false">J977</f>
        <v>0.3</v>
      </c>
      <c r="AC977" s="9" t="s">
        <v>3964</v>
      </c>
      <c r="AD977" s="9" t="s">
        <v>4002</v>
      </c>
      <c r="AE977" s="9" t="str">
        <f aca="false">IF($AK977=0,"",INDEX('Part types'!$T:$T,$AK977)&amp;"")</f>
        <v>All vehicles</v>
      </c>
      <c r="AF977" s="9" t="str">
        <f aca="false">IF($AK977=0,"",INDEX('Part types'!$U:$U,$AK977)&amp;"")</f>
        <v/>
      </c>
      <c r="AG977" s="9" t="str">
        <f aca="false">IF($AK977=0,"",INDEX('Part types'!$V:$V,$AK977)&amp;"")</f>
        <v>Estimate: size class S</v>
      </c>
      <c r="AH977" s="9" t="str">
        <f aca="false">IF($AK977=0,"",INDEX('Part types'!$W:$W,$AK977)&amp;"")</f>
        <v/>
      </c>
      <c r="AI977" s="11" t="str">
        <f aca="false">IF($AK977=0,"",INDEX('Part types'!$X:$X,$AK977)&amp;"")</f>
        <v/>
      </c>
      <c r="AJ977" s="9" t="str">
        <f aca="false">IF($AK977=0,"",INDEX('Part types'!$Y:$Y,$AK977)&amp;"")</f>
        <v/>
      </c>
      <c r="AK977" s="9" t="n">
        <f aca="false">IFERROR(MATCH($AD977,'Part types'!$E:$E,0),0)</f>
        <v>644</v>
      </c>
    </row>
    <row r="978" customFormat="false" ht="15" hidden="false" customHeight="false" outlineLevel="0" collapsed="false">
      <c r="A978" s="9" t="s">
        <v>4006</v>
      </c>
      <c r="B978" s="9" t="s">
        <v>2601</v>
      </c>
      <c r="C978" s="9" t="s">
        <v>4007</v>
      </c>
      <c r="D978" s="9" t="str">
        <f aca="false">C978&amp;" - "&amp;E978</f>
        <v>Seat Heater Pad - Front-Left</v>
      </c>
      <c r="E978" s="9" t="s">
        <v>1346</v>
      </c>
      <c r="F978" s="9" t="s">
        <v>2601</v>
      </c>
      <c r="G978" s="10" t="n">
        <f aca="false">IF($AK978=0,"",INDEX('Part types'!$P:$P,$AK978))</f>
        <v>15</v>
      </c>
      <c r="H978" s="10" t="n">
        <f aca="false">IF($AK978=0,"",INDEX('Part types'!$Q:$Q,$AK978))</f>
        <v>10</v>
      </c>
      <c r="I978" s="10" t="n">
        <f aca="false">IF($AK978=0,"",INDEX('Part types'!$R:$R,$AK978))</f>
        <v>8</v>
      </c>
      <c r="J978" s="10" t="n">
        <f aca="false">IF($AK978=0,"",INDEX('Part types'!$S:$S,$AK978))</f>
        <v>0.3</v>
      </c>
      <c r="K978" s="11" t="s">
        <v>2603</v>
      </c>
      <c r="L978" s="11" t="s">
        <v>4008</v>
      </c>
      <c r="M978" s="11" t="str">
        <f aca="false">L978&amp;" - "&amp;N978</f>
        <v>سخان المقعد - أمامي يسار</v>
      </c>
      <c r="N978" s="11" t="s">
        <v>1349</v>
      </c>
      <c r="O978" s="11" t="s">
        <v>2603</v>
      </c>
      <c r="P978" s="10" t="n">
        <f aca="false">G978</f>
        <v>15</v>
      </c>
      <c r="Q978" s="10" t="n">
        <f aca="false">H978</f>
        <v>10</v>
      </c>
      <c r="R978" s="10" t="n">
        <f aca="false">I978</f>
        <v>8</v>
      </c>
      <c r="S978" s="10" t="n">
        <f aca="false">J978</f>
        <v>0.3</v>
      </c>
      <c r="T978" s="12" t="s">
        <v>2605</v>
      </c>
      <c r="U978" s="12" t="s">
        <v>4009</v>
      </c>
      <c r="V978" s="9" t="str">
        <f aca="false">U978&amp;" - "&amp;W978</f>
        <v>座椅加热垫 - 前左</v>
      </c>
      <c r="W978" s="12" t="s">
        <v>1352</v>
      </c>
      <c r="X978" s="12" t="s">
        <v>2605</v>
      </c>
      <c r="Y978" s="10" t="n">
        <f aca="false">G978</f>
        <v>15</v>
      </c>
      <c r="Z978" s="10" t="n">
        <f aca="false">H978</f>
        <v>10</v>
      </c>
      <c r="AA978" s="10" t="n">
        <f aca="false">I978</f>
        <v>8</v>
      </c>
      <c r="AB978" s="10" t="n">
        <f aca="false">J978</f>
        <v>0.3</v>
      </c>
      <c r="AC978" s="9" t="s">
        <v>3964</v>
      </c>
      <c r="AD978" s="9" t="s">
        <v>4010</v>
      </c>
      <c r="AE978" s="9" t="str">
        <f aca="false">IF($AK978=0,"",INDEX('Part types'!$T:$T,$AK978)&amp;"")</f>
        <v>All vehicles</v>
      </c>
      <c r="AF978" s="9" t="str">
        <f aca="false">IF($AK978=0,"",INDEX('Part types'!$U:$U,$AK978)&amp;"")</f>
        <v/>
      </c>
      <c r="AG978" s="9" t="str">
        <f aca="false">IF($AK978=0,"",INDEX('Part types'!$V:$V,$AK978)&amp;"")</f>
        <v>Estimate: size class S</v>
      </c>
      <c r="AH978" s="9" t="str">
        <f aca="false">IF($AK978=0,"",INDEX('Part types'!$W:$W,$AK978)&amp;"")</f>
        <v/>
      </c>
      <c r="AI978" s="11" t="str">
        <f aca="false">IF($AK978=0,"",INDEX('Part types'!$X:$X,$AK978)&amp;"")</f>
        <v/>
      </c>
      <c r="AJ978" s="9" t="str">
        <f aca="false">IF($AK978=0,"",INDEX('Part types'!$Y:$Y,$AK978)&amp;"")</f>
        <v/>
      </c>
      <c r="AK978" s="9" t="n">
        <f aca="false">IFERROR(MATCH($AD978,'Part types'!$E:$E,0),0)</f>
        <v>645</v>
      </c>
    </row>
    <row r="979" customFormat="false" ht="15" hidden="false" customHeight="false" outlineLevel="0" collapsed="false">
      <c r="A979" s="9" t="s">
        <v>4011</v>
      </c>
      <c r="B979" s="9" t="s">
        <v>2601</v>
      </c>
      <c r="C979" s="9" t="s">
        <v>4007</v>
      </c>
      <c r="D979" s="9" t="str">
        <f aca="false">C979&amp;" - "&amp;E979</f>
        <v>Seat Heater Pad - Front-Right</v>
      </c>
      <c r="E979" s="9" t="s">
        <v>1356</v>
      </c>
      <c r="F979" s="9" t="s">
        <v>2601</v>
      </c>
      <c r="G979" s="10" t="n">
        <f aca="false">IF($AK979=0,"",INDEX('Part types'!$P:$P,$AK979))</f>
        <v>15</v>
      </c>
      <c r="H979" s="10" t="n">
        <f aca="false">IF($AK979=0,"",INDEX('Part types'!$Q:$Q,$AK979))</f>
        <v>10</v>
      </c>
      <c r="I979" s="10" t="n">
        <f aca="false">IF($AK979=0,"",INDEX('Part types'!$R:$R,$AK979))</f>
        <v>8</v>
      </c>
      <c r="J979" s="10" t="n">
        <f aca="false">IF($AK979=0,"",INDEX('Part types'!$S:$S,$AK979))</f>
        <v>0.3</v>
      </c>
      <c r="K979" s="11" t="s">
        <v>2603</v>
      </c>
      <c r="L979" s="11" t="s">
        <v>4008</v>
      </c>
      <c r="M979" s="11" t="str">
        <f aca="false">L979&amp;" - "&amp;N979</f>
        <v>سخان المقعد - أمامي يمين</v>
      </c>
      <c r="N979" s="11" t="s">
        <v>1357</v>
      </c>
      <c r="O979" s="11" t="s">
        <v>2603</v>
      </c>
      <c r="P979" s="10" t="n">
        <f aca="false">G979</f>
        <v>15</v>
      </c>
      <c r="Q979" s="10" t="n">
        <f aca="false">H979</f>
        <v>10</v>
      </c>
      <c r="R979" s="10" t="n">
        <f aca="false">I979</f>
        <v>8</v>
      </c>
      <c r="S979" s="10" t="n">
        <f aca="false">J979</f>
        <v>0.3</v>
      </c>
      <c r="T979" s="12" t="s">
        <v>2605</v>
      </c>
      <c r="U979" s="12" t="s">
        <v>4009</v>
      </c>
      <c r="V979" s="9" t="str">
        <f aca="false">U979&amp;" - "&amp;W979</f>
        <v>座椅加热垫 - 前右</v>
      </c>
      <c r="W979" s="12" t="s">
        <v>1358</v>
      </c>
      <c r="X979" s="12" t="s">
        <v>2605</v>
      </c>
      <c r="Y979" s="10" t="n">
        <f aca="false">G979</f>
        <v>15</v>
      </c>
      <c r="Z979" s="10" t="n">
        <f aca="false">H979</f>
        <v>10</v>
      </c>
      <c r="AA979" s="10" t="n">
        <f aca="false">I979</f>
        <v>8</v>
      </c>
      <c r="AB979" s="10" t="n">
        <f aca="false">J979</f>
        <v>0.3</v>
      </c>
      <c r="AC979" s="9" t="s">
        <v>3964</v>
      </c>
      <c r="AD979" s="9" t="s">
        <v>4010</v>
      </c>
      <c r="AE979" s="9" t="str">
        <f aca="false">IF($AK979=0,"",INDEX('Part types'!$T:$T,$AK979)&amp;"")</f>
        <v>All vehicles</v>
      </c>
      <c r="AF979" s="9" t="str">
        <f aca="false">IF($AK979=0,"",INDEX('Part types'!$U:$U,$AK979)&amp;"")</f>
        <v/>
      </c>
      <c r="AG979" s="9" t="str">
        <f aca="false">IF($AK979=0,"",INDEX('Part types'!$V:$V,$AK979)&amp;"")</f>
        <v>Estimate: size class S</v>
      </c>
      <c r="AH979" s="9" t="str">
        <f aca="false">IF($AK979=0,"",INDEX('Part types'!$W:$W,$AK979)&amp;"")</f>
        <v/>
      </c>
      <c r="AI979" s="11" t="str">
        <f aca="false">IF($AK979=0,"",INDEX('Part types'!$X:$X,$AK979)&amp;"")</f>
        <v/>
      </c>
      <c r="AJ979" s="9" t="str">
        <f aca="false">IF($AK979=0,"",INDEX('Part types'!$Y:$Y,$AK979)&amp;"")</f>
        <v/>
      </c>
      <c r="AK979" s="9" t="n">
        <f aca="false">IFERROR(MATCH($AD979,'Part types'!$E:$E,0),0)</f>
        <v>645</v>
      </c>
    </row>
    <row r="980" customFormat="false" ht="15" hidden="false" customHeight="false" outlineLevel="0" collapsed="false">
      <c r="A980" s="9" t="s">
        <v>4012</v>
      </c>
      <c r="B980" s="9" t="s">
        <v>2601</v>
      </c>
      <c r="C980" s="9" t="s">
        <v>4007</v>
      </c>
      <c r="D980" s="9" t="str">
        <f aca="false">C980&amp;" - "&amp;E980</f>
        <v>Seat Heater Pad - Rear-Left</v>
      </c>
      <c r="E980" s="9" t="s">
        <v>1360</v>
      </c>
      <c r="F980" s="9" t="s">
        <v>2601</v>
      </c>
      <c r="G980" s="10" t="n">
        <f aca="false">IF($AK980=0,"",INDEX('Part types'!$P:$P,$AK980))</f>
        <v>15</v>
      </c>
      <c r="H980" s="10" t="n">
        <f aca="false">IF($AK980=0,"",INDEX('Part types'!$Q:$Q,$AK980))</f>
        <v>10</v>
      </c>
      <c r="I980" s="10" t="n">
        <f aca="false">IF($AK980=0,"",INDEX('Part types'!$R:$R,$AK980))</f>
        <v>8</v>
      </c>
      <c r="J980" s="10" t="n">
        <f aca="false">IF($AK980=0,"",INDEX('Part types'!$S:$S,$AK980))</f>
        <v>0.3</v>
      </c>
      <c r="K980" s="11" t="s">
        <v>2603</v>
      </c>
      <c r="L980" s="11" t="s">
        <v>4008</v>
      </c>
      <c r="M980" s="11" t="str">
        <f aca="false">L980&amp;" - "&amp;N980</f>
        <v>سخان المقعد - خلفي يسار</v>
      </c>
      <c r="N980" s="11" t="s">
        <v>1361</v>
      </c>
      <c r="O980" s="11" t="s">
        <v>2603</v>
      </c>
      <c r="P980" s="10" t="n">
        <f aca="false">G980</f>
        <v>15</v>
      </c>
      <c r="Q980" s="10" t="n">
        <f aca="false">H980</f>
        <v>10</v>
      </c>
      <c r="R980" s="10" t="n">
        <f aca="false">I980</f>
        <v>8</v>
      </c>
      <c r="S980" s="10" t="n">
        <f aca="false">J980</f>
        <v>0.3</v>
      </c>
      <c r="T980" s="12" t="s">
        <v>2605</v>
      </c>
      <c r="U980" s="12" t="s">
        <v>4009</v>
      </c>
      <c r="V980" s="9" t="str">
        <f aca="false">U980&amp;" - "&amp;W980</f>
        <v>座椅加热垫 - 后左</v>
      </c>
      <c r="W980" s="12" t="s">
        <v>1362</v>
      </c>
      <c r="X980" s="12" t="s">
        <v>2605</v>
      </c>
      <c r="Y980" s="10" t="n">
        <f aca="false">G980</f>
        <v>15</v>
      </c>
      <c r="Z980" s="10" t="n">
        <f aca="false">H980</f>
        <v>10</v>
      </c>
      <c r="AA980" s="10" t="n">
        <f aca="false">I980</f>
        <v>8</v>
      </c>
      <c r="AB980" s="10" t="n">
        <f aca="false">J980</f>
        <v>0.3</v>
      </c>
      <c r="AC980" s="9" t="s">
        <v>3964</v>
      </c>
      <c r="AD980" s="9" t="s">
        <v>4010</v>
      </c>
      <c r="AE980" s="9" t="str">
        <f aca="false">IF($AK980=0,"",INDEX('Part types'!$T:$T,$AK980)&amp;"")</f>
        <v>All vehicles</v>
      </c>
      <c r="AF980" s="9" t="str">
        <f aca="false">IF($AK980=0,"",INDEX('Part types'!$U:$U,$AK980)&amp;"")</f>
        <v/>
      </c>
      <c r="AG980" s="9" t="str">
        <f aca="false">IF($AK980=0,"",INDEX('Part types'!$V:$V,$AK980)&amp;"")</f>
        <v>Estimate: size class S</v>
      </c>
      <c r="AH980" s="9" t="str">
        <f aca="false">IF($AK980=0,"",INDEX('Part types'!$W:$W,$AK980)&amp;"")</f>
        <v/>
      </c>
      <c r="AI980" s="11" t="str">
        <f aca="false">IF($AK980=0,"",INDEX('Part types'!$X:$X,$AK980)&amp;"")</f>
        <v/>
      </c>
      <c r="AJ980" s="9" t="str">
        <f aca="false">IF($AK980=0,"",INDEX('Part types'!$Y:$Y,$AK980)&amp;"")</f>
        <v/>
      </c>
      <c r="AK980" s="9" t="n">
        <f aca="false">IFERROR(MATCH($AD980,'Part types'!$E:$E,0),0)</f>
        <v>645</v>
      </c>
    </row>
    <row r="981" customFormat="false" ht="15" hidden="false" customHeight="false" outlineLevel="0" collapsed="false">
      <c r="A981" s="9" t="s">
        <v>4013</v>
      </c>
      <c r="B981" s="9" t="s">
        <v>2601</v>
      </c>
      <c r="C981" s="9" t="s">
        <v>4007</v>
      </c>
      <c r="D981" s="9" t="str">
        <f aca="false">C981&amp;" - "&amp;E981</f>
        <v>Seat Heater Pad - Rear-Right</v>
      </c>
      <c r="E981" s="9" t="s">
        <v>1364</v>
      </c>
      <c r="F981" s="9" t="s">
        <v>2601</v>
      </c>
      <c r="G981" s="10" t="n">
        <f aca="false">IF($AK981=0,"",INDEX('Part types'!$P:$P,$AK981))</f>
        <v>15</v>
      </c>
      <c r="H981" s="10" t="n">
        <f aca="false">IF($AK981=0,"",INDEX('Part types'!$Q:$Q,$AK981))</f>
        <v>10</v>
      </c>
      <c r="I981" s="10" t="n">
        <f aca="false">IF($AK981=0,"",INDEX('Part types'!$R:$R,$AK981))</f>
        <v>8</v>
      </c>
      <c r="J981" s="10" t="n">
        <f aca="false">IF($AK981=0,"",INDEX('Part types'!$S:$S,$AK981))</f>
        <v>0.3</v>
      </c>
      <c r="K981" s="11" t="s">
        <v>2603</v>
      </c>
      <c r="L981" s="11" t="s">
        <v>4008</v>
      </c>
      <c r="M981" s="11" t="str">
        <f aca="false">L981&amp;" - "&amp;N981</f>
        <v>سخان المقعد - خلفي يمين</v>
      </c>
      <c r="N981" s="11" t="s">
        <v>1365</v>
      </c>
      <c r="O981" s="11" t="s">
        <v>2603</v>
      </c>
      <c r="P981" s="10" t="n">
        <f aca="false">G981</f>
        <v>15</v>
      </c>
      <c r="Q981" s="10" t="n">
        <f aca="false">H981</f>
        <v>10</v>
      </c>
      <c r="R981" s="10" t="n">
        <f aca="false">I981</f>
        <v>8</v>
      </c>
      <c r="S981" s="10" t="n">
        <f aca="false">J981</f>
        <v>0.3</v>
      </c>
      <c r="T981" s="12" t="s">
        <v>2605</v>
      </c>
      <c r="U981" s="12" t="s">
        <v>4009</v>
      </c>
      <c r="V981" s="9" t="str">
        <f aca="false">U981&amp;" - "&amp;W981</f>
        <v>座椅加热垫 - 后右</v>
      </c>
      <c r="W981" s="12" t="s">
        <v>1366</v>
      </c>
      <c r="X981" s="12" t="s">
        <v>2605</v>
      </c>
      <c r="Y981" s="10" t="n">
        <f aca="false">G981</f>
        <v>15</v>
      </c>
      <c r="Z981" s="10" t="n">
        <f aca="false">H981</f>
        <v>10</v>
      </c>
      <c r="AA981" s="10" t="n">
        <f aca="false">I981</f>
        <v>8</v>
      </c>
      <c r="AB981" s="10" t="n">
        <f aca="false">J981</f>
        <v>0.3</v>
      </c>
      <c r="AC981" s="9" t="s">
        <v>3964</v>
      </c>
      <c r="AD981" s="9" t="s">
        <v>4010</v>
      </c>
      <c r="AE981" s="9" t="str">
        <f aca="false">IF($AK981=0,"",INDEX('Part types'!$T:$T,$AK981)&amp;"")</f>
        <v>All vehicles</v>
      </c>
      <c r="AF981" s="9" t="str">
        <f aca="false">IF($AK981=0,"",INDEX('Part types'!$U:$U,$AK981)&amp;"")</f>
        <v/>
      </c>
      <c r="AG981" s="9" t="str">
        <f aca="false">IF($AK981=0,"",INDEX('Part types'!$V:$V,$AK981)&amp;"")</f>
        <v>Estimate: size class S</v>
      </c>
      <c r="AH981" s="9" t="str">
        <f aca="false">IF($AK981=0,"",INDEX('Part types'!$W:$W,$AK981)&amp;"")</f>
        <v/>
      </c>
      <c r="AI981" s="11" t="str">
        <f aca="false">IF($AK981=0,"",INDEX('Part types'!$X:$X,$AK981)&amp;"")</f>
        <v/>
      </c>
      <c r="AJ981" s="9" t="str">
        <f aca="false">IF($AK981=0,"",INDEX('Part types'!$Y:$Y,$AK981)&amp;"")</f>
        <v/>
      </c>
      <c r="AK981" s="9" t="n">
        <f aca="false">IFERROR(MATCH($AD981,'Part types'!$E:$E,0),0)</f>
        <v>645</v>
      </c>
    </row>
    <row r="982" customFormat="false" ht="15" hidden="false" customHeight="false" outlineLevel="0" collapsed="false">
      <c r="A982" s="9" t="s">
        <v>4014</v>
      </c>
      <c r="B982" s="9" t="s">
        <v>2601</v>
      </c>
      <c r="C982" s="9" t="s">
        <v>4015</v>
      </c>
      <c r="D982" s="9" t="str">
        <f aca="false">C982&amp;" - "&amp;E982</f>
        <v>Headrest - Front-Left</v>
      </c>
      <c r="E982" s="9" t="s">
        <v>1346</v>
      </c>
      <c r="F982" s="9" t="s">
        <v>2601</v>
      </c>
      <c r="G982" s="10" t="n">
        <f aca="false">IF($AK982=0,"",INDEX('Part types'!$P:$P,$AK982))</f>
        <v>30</v>
      </c>
      <c r="H982" s="10" t="n">
        <f aca="false">IF($AK982=0,"",INDEX('Part types'!$Q:$Q,$AK982))</f>
        <v>20</v>
      </c>
      <c r="I982" s="10" t="n">
        <f aca="false">IF($AK982=0,"",INDEX('Part types'!$R:$R,$AK982))</f>
        <v>15</v>
      </c>
      <c r="J982" s="10" t="n">
        <f aca="false">IF($AK982=0,"",INDEX('Part types'!$S:$S,$AK982))</f>
        <v>1.8</v>
      </c>
      <c r="K982" s="11" t="s">
        <v>2603</v>
      </c>
      <c r="L982" s="11" t="s">
        <v>4016</v>
      </c>
      <c r="M982" s="11" t="str">
        <f aca="false">L982&amp;" - "&amp;N982</f>
        <v>مسند الرأس - أمامي يسار</v>
      </c>
      <c r="N982" s="11" t="s">
        <v>1349</v>
      </c>
      <c r="O982" s="11" t="s">
        <v>2603</v>
      </c>
      <c r="P982" s="10" t="n">
        <f aca="false">G982</f>
        <v>30</v>
      </c>
      <c r="Q982" s="10" t="n">
        <f aca="false">H982</f>
        <v>20</v>
      </c>
      <c r="R982" s="10" t="n">
        <f aca="false">I982</f>
        <v>15</v>
      </c>
      <c r="S982" s="10" t="n">
        <f aca="false">J982</f>
        <v>1.8</v>
      </c>
      <c r="T982" s="12" t="s">
        <v>2605</v>
      </c>
      <c r="U982" s="12" t="s">
        <v>4017</v>
      </c>
      <c r="V982" s="9" t="str">
        <f aca="false">U982&amp;" - "&amp;W982</f>
        <v>头枕 - 前左</v>
      </c>
      <c r="W982" s="12" t="s">
        <v>1352</v>
      </c>
      <c r="X982" s="12" t="s">
        <v>2605</v>
      </c>
      <c r="Y982" s="10" t="n">
        <f aca="false">G982</f>
        <v>30</v>
      </c>
      <c r="Z982" s="10" t="n">
        <f aca="false">H982</f>
        <v>20</v>
      </c>
      <c r="AA982" s="10" t="n">
        <f aca="false">I982</f>
        <v>15</v>
      </c>
      <c r="AB982" s="10" t="n">
        <f aca="false">J982</f>
        <v>1.8</v>
      </c>
      <c r="AC982" s="9" t="s">
        <v>3964</v>
      </c>
      <c r="AD982" s="9" t="s">
        <v>4018</v>
      </c>
      <c r="AE982" s="9" t="str">
        <f aca="false">IF($AK982=0,"",INDEX('Part types'!$T:$T,$AK982)&amp;"")</f>
        <v>All vehicles</v>
      </c>
      <c r="AF982" s="9" t="str">
        <f aca="false">IF($AK982=0,"",INDEX('Part types'!$U:$U,$AK982)&amp;"")</f>
        <v/>
      </c>
      <c r="AG982" s="9" t="str">
        <f aca="false">IF($AK982=0,"",INDEX('Part types'!$V:$V,$AK982)&amp;"")</f>
        <v>Estimate: size class M2</v>
      </c>
      <c r="AH982" s="9" t="str">
        <f aca="false">IF($AK982=0,"",INDEX('Part types'!$W:$W,$AK982)&amp;"")</f>
        <v/>
      </c>
      <c r="AI982" s="11" t="str">
        <f aca="false">IF($AK982=0,"",INDEX('Part types'!$X:$X,$AK982)&amp;"")</f>
        <v/>
      </c>
      <c r="AJ982" s="9" t="str">
        <f aca="false">IF($AK982=0,"",INDEX('Part types'!$Y:$Y,$AK982)&amp;"")</f>
        <v/>
      </c>
      <c r="AK982" s="9" t="n">
        <f aca="false">IFERROR(MATCH($AD982,'Part types'!$E:$E,0),0)</f>
        <v>646</v>
      </c>
    </row>
    <row r="983" customFormat="false" ht="15" hidden="false" customHeight="false" outlineLevel="0" collapsed="false">
      <c r="A983" s="9" t="s">
        <v>4019</v>
      </c>
      <c r="B983" s="9" t="s">
        <v>2601</v>
      </c>
      <c r="C983" s="9" t="s">
        <v>4015</v>
      </c>
      <c r="D983" s="9" t="str">
        <f aca="false">C983&amp;" - "&amp;E983</f>
        <v>Headrest - Front-Right</v>
      </c>
      <c r="E983" s="9" t="s">
        <v>1356</v>
      </c>
      <c r="F983" s="9" t="s">
        <v>2601</v>
      </c>
      <c r="G983" s="10" t="n">
        <f aca="false">IF($AK983=0,"",INDEX('Part types'!$P:$P,$AK983))</f>
        <v>30</v>
      </c>
      <c r="H983" s="10" t="n">
        <f aca="false">IF($AK983=0,"",INDEX('Part types'!$Q:$Q,$AK983))</f>
        <v>20</v>
      </c>
      <c r="I983" s="10" t="n">
        <f aca="false">IF($AK983=0,"",INDEX('Part types'!$R:$R,$AK983))</f>
        <v>15</v>
      </c>
      <c r="J983" s="10" t="n">
        <f aca="false">IF($AK983=0,"",INDEX('Part types'!$S:$S,$AK983))</f>
        <v>1.8</v>
      </c>
      <c r="K983" s="11" t="s">
        <v>2603</v>
      </c>
      <c r="L983" s="11" t="s">
        <v>4016</v>
      </c>
      <c r="M983" s="11" t="str">
        <f aca="false">L983&amp;" - "&amp;N983</f>
        <v>مسند الرأس - أمامي يمين</v>
      </c>
      <c r="N983" s="11" t="s">
        <v>1357</v>
      </c>
      <c r="O983" s="11" t="s">
        <v>2603</v>
      </c>
      <c r="P983" s="10" t="n">
        <f aca="false">G983</f>
        <v>30</v>
      </c>
      <c r="Q983" s="10" t="n">
        <f aca="false">H983</f>
        <v>20</v>
      </c>
      <c r="R983" s="10" t="n">
        <f aca="false">I983</f>
        <v>15</v>
      </c>
      <c r="S983" s="10" t="n">
        <f aca="false">J983</f>
        <v>1.8</v>
      </c>
      <c r="T983" s="12" t="s">
        <v>2605</v>
      </c>
      <c r="U983" s="12" t="s">
        <v>4017</v>
      </c>
      <c r="V983" s="9" t="str">
        <f aca="false">U983&amp;" - "&amp;W983</f>
        <v>头枕 - 前右</v>
      </c>
      <c r="W983" s="12" t="s">
        <v>1358</v>
      </c>
      <c r="X983" s="12" t="s">
        <v>2605</v>
      </c>
      <c r="Y983" s="10" t="n">
        <f aca="false">G983</f>
        <v>30</v>
      </c>
      <c r="Z983" s="10" t="n">
        <f aca="false">H983</f>
        <v>20</v>
      </c>
      <c r="AA983" s="10" t="n">
        <f aca="false">I983</f>
        <v>15</v>
      </c>
      <c r="AB983" s="10" t="n">
        <f aca="false">J983</f>
        <v>1.8</v>
      </c>
      <c r="AC983" s="9" t="s">
        <v>3964</v>
      </c>
      <c r="AD983" s="9" t="s">
        <v>4018</v>
      </c>
      <c r="AE983" s="9" t="str">
        <f aca="false">IF($AK983=0,"",INDEX('Part types'!$T:$T,$AK983)&amp;"")</f>
        <v>All vehicles</v>
      </c>
      <c r="AF983" s="9" t="str">
        <f aca="false">IF($AK983=0,"",INDEX('Part types'!$U:$U,$AK983)&amp;"")</f>
        <v/>
      </c>
      <c r="AG983" s="9" t="str">
        <f aca="false">IF($AK983=0,"",INDEX('Part types'!$V:$V,$AK983)&amp;"")</f>
        <v>Estimate: size class M2</v>
      </c>
      <c r="AH983" s="9" t="str">
        <f aca="false">IF($AK983=0,"",INDEX('Part types'!$W:$W,$AK983)&amp;"")</f>
        <v/>
      </c>
      <c r="AI983" s="11" t="str">
        <f aca="false">IF($AK983=0,"",INDEX('Part types'!$X:$X,$AK983)&amp;"")</f>
        <v/>
      </c>
      <c r="AJ983" s="9" t="str">
        <f aca="false">IF($AK983=0,"",INDEX('Part types'!$Y:$Y,$AK983)&amp;"")</f>
        <v/>
      </c>
      <c r="AK983" s="9" t="n">
        <f aca="false">IFERROR(MATCH($AD983,'Part types'!$E:$E,0),0)</f>
        <v>646</v>
      </c>
    </row>
    <row r="984" customFormat="false" ht="15" hidden="false" customHeight="false" outlineLevel="0" collapsed="false">
      <c r="A984" s="9" t="s">
        <v>4020</v>
      </c>
      <c r="B984" s="9" t="s">
        <v>2601</v>
      </c>
      <c r="C984" s="9" t="s">
        <v>4015</v>
      </c>
      <c r="D984" s="9" t="str">
        <f aca="false">C984&amp;" - "&amp;E984</f>
        <v>Headrest - Rear-Left</v>
      </c>
      <c r="E984" s="9" t="s">
        <v>1360</v>
      </c>
      <c r="F984" s="9" t="s">
        <v>2601</v>
      </c>
      <c r="G984" s="10" t="n">
        <f aca="false">IF($AK984=0,"",INDEX('Part types'!$P:$P,$AK984))</f>
        <v>30</v>
      </c>
      <c r="H984" s="10" t="n">
        <f aca="false">IF($AK984=0,"",INDEX('Part types'!$Q:$Q,$AK984))</f>
        <v>20</v>
      </c>
      <c r="I984" s="10" t="n">
        <f aca="false">IF($AK984=0,"",INDEX('Part types'!$R:$R,$AK984))</f>
        <v>15</v>
      </c>
      <c r="J984" s="10" t="n">
        <f aca="false">IF($AK984=0,"",INDEX('Part types'!$S:$S,$AK984))</f>
        <v>1.8</v>
      </c>
      <c r="K984" s="11" t="s">
        <v>2603</v>
      </c>
      <c r="L984" s="11" t="s">
        <v>4016</v>
      </c>
      <c r="M984" s="11" t="str">
        <f aca="false">L984&amp;" - "&amp;N984</f>
        <v>مسند الرأس - خلفي يسار</v>
      </c>
      <c r="N984" s="11" t="s">
        <v>1361</v>
      </c>
      <c r="O984" s="11" t="s">
        <v>2603</v>
      </c>
      <c r="P984" s="10" t="n">
        <f aca="false">G984</f>
        <v>30</v>
      </c>
      <c r="Q984" s="10" t="n">
        <f aca="false">H984</f>
        <v>20</v>
      </c>
      <c r="R984" s="10" t="n">
        <f aca="false">I984</f>
        <v>15</v>
      </c>
      <c r="S984" s="10" t="n">
        <f aca="false">J984</f>
        <v>1.8</v>
      </c>
      <c r="T984" s="12" t="s">
        <v>2605</v>
      </c>
      <c r="U984" s="12" t="s">
        <v>4017</v>
      </c>
      <c r="V984" s="9" t="str">
        <f aca="false">U984&amp;" - "&amp;W984</f>
        <v>头枕 - 后左</v>
      </c>
      <c r="W984" s="12" t="s">
        <v>1362</v>
      </c>
      <c r="X984" s="12" t="s">
        <v>2605</v>
      </c>
      <c r="Y984" s="10" t="n">
        <f aca="false">G984</f>
        <v>30</v>
      </c>
      <c r="Z984" s="10" t="n">
        <f aca="false">H984</f>
        <v>20</v>
      </c>
      <c r="AA984" s="10" t="n">
        <f aca="false">I984</f>
        <v>15</v>
      </c>
      <c r="AB984" s="10" t="n">
        <f aca="false">J984</f>
        <v>1.8</v>
      </c>
      <c r="AC984" s="9" t="s">
        <v>3964</v>
      </c>
      <c r="AD984" s="9" t="s">
        <v>4018</v>
      </c>
      <c r="AE984" s="9" t="str">
        <f aca="false">IF($AK984=0,"",INDEX('Part types'!$T:$T,$AK984)&amp;"")</f>
        <v>All vehicles</v>
      </c>
      <c r="AF984" s="9" t="str">
        <f aca="false">IF($AK984=0,"",INDEX('Part types'!$U:$U,$AK984)&amp;"")</f>
        <v/>
      </c>
      <c r="AG984" s="9" t="str">
        <f aca="false">IF($AK984=0,"",INDEX('Part types'!$V:$V,$AK984)&amp;"")</f>
        <v>Estimate: size class M2</v>
      </c>
      <c r="AH984" s="9" t="str">
        <f aca="false">IF($AK984=0,"",INDEX('Part types'!$W:$W,$AK984)&amp;"")</f>
        <v/>
      </c>
      <c r="AI984" s="11" t="str">
        <f aca="false">IF($AK984=0,"",INDEX('Part types'!$X:$X,$AK984)&amp;"")</f>
        <v/>
      </c>
      <c r="AJ984" s="9" t="str">
        <f aca="false">IF($AK984=0,"",INDEX('Part types'!$Y:$Y,$AK984)&amp;"")</f>
        <v/>
      </c>
      <c r="AK984" s="9" t="n">
        <f aca="false">IFERROR(MATCH($AD984,'Part types'!$E:$E,0),0)</f>
        <v>646</v>
      </c>
    </row>
    <row r="985" customFormat="false" ht="15" hidden="false" customHeight="false" outlineLevel="0" collapsed="false">
      <c r="A985" s="9" t="s">
        <v>4021</v>
      </c>
      <c r="B985" s="9" t="s">
        <v>2601</v>
      </c>
      <c r="C985" s="9" t="s">
        <v>4015</v>
      </c>
      <c r="D985" s="9" t="str">
        <f aca="false">C985&amp;" - "&amp;E985</f>
        <v>Headrest - Rear-Right</v>
      </c>
      <c r="E985" s="9" t="s">
        <v>1364</v>
      </c>
      <c r="F985" s="9" t="s">
        <v>2601</v>
      </c>
      <c r="G985" s="10" t="n">
        <f aca="false">IF($AK985=0,"",INDEX('Part types'!$P:$P,$AK985))</f>
        <v>30</v>
      </c>
      <c r="H985" s="10" t="n">
        <f aca="false">IF($AK985=0,"",INDEX('Part types'!$Q:$Q,$AK985))</f>
        <v>20</v>
      </c>
      <c r="I985" s="10" t="n">
        <f aca="false">IF($AK985=0,"",INDEX('Part types'!$R:$R,$AK985))</f>
        <v>15</v>
      </c>
      <c r="J985" s="10" t="n">
        <f aca="false">IF($AK985=0,"",INDEX('Part types'!$S:$S,$AK985))</f>
        <v>1.8</v>
      </c>
      <c r="K985" s="11" t="s">
        <v>2603</v>
      </c>
      <c r="L985" s="11" t="s">
        <v>4016</v>
      </c>
      <c r="M985" s="11" t="str">
        <f aca="false">L985&amp;" - "&amp;N985</f>
        <v>مسند الرأس - خلفي يمين</v>
      </c>
      <c r="N985" s="11" t="s">
        <v>1365</v>
      </c>
      <c r="O985" s="11" t="s">
        <v>2603</v>
      </c>
      <c r="P985" s="10" t="n">
        <f aca="false">G985</f>
        <v>30</v>
      </c>
      <c r="Q985" s="10" t="n">
        <f aca="false">H985</f>
        <v>20</v>
      </c>
      <c r="R985" s="10" t="n">
        <f aca="false">I985</f>
        <v>15</v>
      </c>
      <c r="S985" s="10" t="n">
        <f aca="false">J985</f>
        <v>1.8</v>
      </c>
      <c r="T985" s="12" t="s">
        <v>2605</v>
      </c>
      <c r="U985" s="12" t="s">
        <v>4017</v>
      </c>
      <c r="V985" s="9" t="str">
        <f aca="false">U985&amp;" - "&amp;W985</f>
        <v>头枕 - 后右</v>
      </c>
      <c r="W985" s="12" t="s">
        <v>1366</v>
      </c>
      <c r="X985" s="12" t="s">
        <v>2605</v>
      </c>
      <c r="Y985" s="10" t="n">
        <f aca="false">G985</f>
        <v>30</v>
      </c>
      <c r="Z985" s="10" t="n">
        <f aca="false">H985</f>
        <v>20</v>
      </c>
      <c r="AA985" s="10" t="n">
        <f aca="false">I985</f>
        <v>15</v>
      </c>
      <c r="AB985" s="10" t="n">
        <f aca="false">J985</f>
        <v>1.8</v>
      </c>
      <c r="AC985" s="9" t="s">
        <v>3964</v>
      </c>
      <c r="AD985" s="9" t="s">
        <v>4018</v>
      </c>
      <c r="AE985" s="9" t="str">
        <f aca="false">IF($AK985=0,"",INDEX('Part types'!$T:$T,$AK985)&amp;"")</f>
        <v>All vehicles</v>
      </c>
      <c r="AF985" s="9" t="str">
        <f aca="false">IF($AK985=0,"",INDEX('Part types'!$U:$U,$AK985)&amp;"")</f>
        <v/>
      </c>
      <c r="AG985" s="9" t="str">
        <f aca="false">IF($AK985=0,"",INDEX('Part types'!$V:$V,$AK985)&amp;"")</f>
        <v>Estimate: size class M2</v>
      </c>
      <c r="AH985" s="9" t="str">
        <f aca="false">IF($AK985=0,"",INDEX('Part types'!$W:$W,$AK985)&amp;"")</f>
        <v/>
      </c>
      <c r="AI985" s="11" t="str">
        <f aca="false">IF($AK985=0,"",INDEX('Part types'!$X:$X,$AK985)&amp;"")</f>
        <v/>
      </c>
      <c r="AJ985" s="9" t="str">
        <f aca="false">IF($AK985=0,"",INDEX('Part types'!$Y:$Y,$AK985)&amp;"")</f>
        <v/>
      </c>
      <c r="AK985" s="9" t="n">
        <f aca="false">IFERROR(MATCH($AD985,'Part types'!$E:$E,0),0)</f>
        <v>646</v>
      </c>
    </row>
    <row r="986" customFormat="false" ht="15" hidden="false" customHeight="false" outlineLevel="0" collapsed="false">
      <c r="A986" s="9" t="s">
        <v>4022</v>
      </c>
      <c r="B986" s="9" t="s">
        <v>2601</v>
      </c>
      <c r="C986" s="9" t="s">
        <v>4023</v>
      </c>
      <c r="D986" s="9" t="str">
        <f aca="false">C986&amp;" - "&amp;E986</f>
        <v>Seat Armrest - Front-Left</v>
      </c>
      <c r="E986" s="9" t="s">
        <v>1346</v>
      </c>
      <c r="F986" s="9" t="s">
        <v>2601</v>
      </c>
      <c r="G986" s="10" t="n">
        <f aca="false">IF($AK986=0,"",INDEX('Part types'!$P:$P,$AK986))</f>
        <v>30</v>
      </c>
      <c r="H986" s="10" t="n">
        <f aca="false">IF($AK986=0,"",INDEX('Part types'!$Q:$Q,$AK986))</f>
        <v>20</v>
      </c>
      <c r="I986" s="10" t="n">
        <f aca="false">IF($AK986=0,"",INDEX('Part types'!$R:$R,$AK986))</f>
        <v>15</v>
      </c>
      <c r="J986" s="10" t="n">
        <f aca="false">IF($AK986=0,"",INDEX('Part types'!$S:$S,$AK986))</f>
        <v>1.8</v>
      </c>
      <c r="K986" s="11" t="s">
        <v>2603</v>
      </c>
      <c r="L986" s="11" t="s">
        <v>4024</v>
      </c>
      <c r="M986" s="11" t="str">
        <f aca="false">L986&amp;" - "&amp;N986</f>
        <v>مسند ذراع المقعد - أمامي يسار</v>
      </c>
      <c r="N986" s="11" t="s">
        <v>1349</v>
      </c>
      <c r="O986" s="11" t="s">
        <v>2603</v>
      </c>
      <c r="P986" s="10" t="n">
        <f aca="false">G986</f>
        <v>30</v>
      </c>
      <c r="Q986" s="10" t="n">
        <f aca="false">H986</f>
        <v>20</v>
      </c>
      <c r="R986" s="10" t="n">
        <f aca="false">I986</f>
        <v>15</v>
      </c>
      <c r="S986" s="10" t="n">
        <f aca="false">J986</f>
        <v>1.8</v>
      </c>
      <c r="T986" s="12" t="s">
        <v>2605</v>
      </c>
      <c r="U986" s="12" t="s">
        <v>4025</v>
      </c>
      <c r="V986" s="9" t="str">
        <f aca="false">U986&amp;" - "&amp;W986</f>
        <v>座椅扶手 - 前左</v>
      </c>
      <c r="W986" s="12" t="s">
        <v>1352</v>
      </c>
      <c r="X986" s="12" t="s">
        <v>2605</v>
      </c>
      <c r="Y986" s="10" t="n">
        <f aca="false">G986</f>
        <v>30</v>
      </c>
      <c r="Z986" s="10" t="n">
        <f aca="false">H986</f>
        <v>20</v>
      </c>
      <c r="AA986" s="10" t="n">
        <f aca="false">I986</f>
        <v>15</v>
      </c>
      <c r="AB986" s="10" t="n">
        <f aca="false">J986</f>
        <v>1.8</v>
      </c>
      <c r="AC986" s="9" t="s">
        <v>3964</v>
      </c>
      <c r="AD986" s="9" t="s">
        <v>4026</v>
      </c>
      <c r="AE986" s="9" t="str">
        <f aca="false">IF($AK986=0,"",INDEX('Part types'!$T:$T,$AK986)&amp;"")</f>
        <v>All vehicles</v>
      </c>
      <c r="AF986" s="9" t="str">
        <f aca="false">IF($AK986=0,"",INDEX('Part types'!$U:$U,$AK986)&amp;"")</f>
        <v/>
      </c>
      <c r="AG986" s="9" t="str">
        <f aca="false">IF($AK986=0,"",INDEX('Part types'!$V:$V,$AK986)&amp;"")</f>
        <v>Estimate: size class M2</v>
      </c>
      <c r="AH986" s="9" t="str">
        <f aca="false">IF($AK986=0,"",INDEX('Part types'!$W:$W,$AK986)&amp;"")</f>
        <v/>
      </c>
      <c r="AI986" s="11" t="str">
        <f aca="false">IF($AK986=0,"",INDEX('Part types'!$X:$X,$AK986)&amp;"")</f>
        <v/>
      </c>
      <c r="AJ986" s="9" t="str">
        <f aca="false">IF($AK986=0,"",INDEX('Part types'!$Y:$Y,$AK986)&amp;"")</f>
        <v/>
      </c>
      <c r="AK986" s="9" t="n">
        <f aca="false">IFERROR(MATCH($AD986,'Part types'!$E:$E,0),0)</f>
        <v>647</v>
      </c>
    </row>
    <row r="987" customFormat="false" ht="15" hidden="false" customHeight="false" outlineLevel="0" collapsed="false">
      <c r="A987" s="9" t="s">
        <v>4027</v>
      </c>
      <c r="B987" s="9" t="s">
        <v>2601</v>
      </c>
      <c r="C987" s="9" t="s">
        <v>4023</v>
      </c>
      <c r="D987" s="9" t="str">
        <f aca="false">C987&amp;" - "&amp;E987</f>
        <v>Seat Armrest - Front-Right</v>
      </c>
      <c r="E987" s="9" t="s">
        <v>1356</v>
      </c>
      <c r="F987" s="9" t="s">
        <v>2601</v>
      </c>
      <c r="G987" s="10" t="n">
        <f aca="false">IF($AK987=0,"",INDEX('Part types'!$P:$P,$AK987))</f>
        <v>30</v>
      </c>
      <c r="H987" s="10" t="n">
        <f aca="false">IF($AK987=0,"",INDEX('Part types'!$Q:$Q,$AK987))</f>
        <v>20</v>
      </c>
      <c r="I987" s="10" t="n">
        <f aca="false">IF($AK987=0,"",INDEX('Part types'!$R:$R,$AK987))</f>
        <v>15</v>
      </c>
      <c r="J987" s="10" t="n">
        <f aca="false">IF($AK987=0,"",INDEX('Part types'!$S:$S,$AK987))</f>
        <v>1.8</v>
      </c>
      <c r="K987" s="11" t="s">
        <v>2603</v>
      </c>
      <c r="L987" s="11" t="s">
        <v>4024</v>
      </c>
      <c r="M987" s="11" t="str">
        <f aca="false">L987&amp;" - "&amp;N987</f>
        <v>مسند ذراع المقعد - أمامي يمين</v>
      </c>
      <c r="N987" s="11" t="s">
        <v>1357</v>
      </c>
      <c r="O987" s="11" t="s">
        <v>2603</v>
      </c>
      <c r="P987" s="10" t="n">
        <f aca="false">G987</f>
        <v>30</v>
      </c>
      <c r="Q987" s="10" t="n">
        <f aca="false">H987</f>
        <v>20</v>
      </c>
      <c r="R987" s="10" t="n">
        <f aca="false">I987</f>
        <v>15</v>
      </c>
      <c r="S987" s="10" t="n">
        <f aca="false">J987</f>
        <v>1.8</v>
      </c>
      <c r="T987" s="12" t="s">
        <v>2605</v>
      </c>
      <c r="U987" s="12" t="s">
        <v>4025</v>
      </c>
      <c r="V987" s="9" t="str">
        <f aca="false">U987&amp;" - "&amp;W987</f>
        <v>座椅扶手 - 前右</v>
      </c>
      <c r="W987" s="12" t="s">
        <v>1358</v>
      </c>
      <c r="X987" s="12" t="s">
        <v>2605</v>
      </c>
      <c r="Y987" s="10" t="n">
        <f aca="false">G987</f>
        <v>30</v>
      </c>
      <c r="Z987" s="10" t="n">
        <f aca="false">H987</f>
        <v>20</v>
      </c>
      <c r="AA987" s="10" t="n">
        <f aca="false">I987</f>
        <v>15</v>
      </c>
      <c r="AB987" s="10" t="n">
        <f aca="false">J987</f>
        <v>1.8</v>
      </c>
      <c r="AC987" s="9" t="s">
        <v>3964</v>
      </c>
      <c r="AD987" s="9" t="s">
        <v>4026</v>
      </c>
      <c r="AE987" s="9" t="str">
        <f aca="false">IF($AK987=0,"",INDEX('Part types'!$T:$T,$AK987)&amp;"")</f>
        <v>All vehicles</v>
      </c>
      <c r="AF987" s="9" t="str">
        <f aca="false">IF($AK987=0,"",INDEX('Part types'!$U:$U,$AK987)&amp;"")</f>
        <v/>
      </c>
      <c r="AG987" s="9" t="str">
        <f aca="false">IF($AK987=0,"",INDEX('Part types'!$V:$V,$AK987)&amp;"")</f>
        <v>Estimate: size class M2</v>
      </c>
      <c r="AH987" s="9" t="str">
        <f aca="false">IF($AK987=0,"",INDEX('Part types'!$W:$W,$AK987)&amp;"")</f>
        <v/>
      </c>
      <c r="AI987" s="11" t="str">
        <f aca="false">IF($AK987=0,"",INDEX('Part types'!$X:$X,$AK987)&amp;"")</f>
        <v/>
      </c>
      <c r="AJ987" s="9" t="str">
        <f aca="false">IF($AK987=0,"",INDEX('Part types'!$Y:$Y,$AK987)&amp;"")</f>
        <v/>
      </c>
      <c r="AK987" s="9" t="n">
        <f aca="false">IFERROR(MATCH($AD987,'Part types'!$E:$E,0),0)</f>
        <v>647</v>
      </c>
    </row>
    <row r="988" customFormat="false" ht="15" hidden="false" customHeight="false" outlineLevel="0" collapsed="false">
      <c r="A988" s="9" t="s">
        <v>4028</v>
      </c>
      <c r="B988" s="9" t="s">
        <v>2601</v>
      </c>
      <c r="C988" s="9" t="s">
        <v>4023</v>
      </c>
      <c r="D988" s="9" t="str">
        <f aca="false">C988&amp;" - "&amp;E988</f>
        <v>Seat Armrest - Rear-Left</v>
      </c>
      <c r="E988" s="9" t="s">
        <v>1360</v>
      </c>
      <c r="F988" s="9" t="s">
        <v>2601</v>
      </c>
      <c r="G988" s="10" t="n">
        <f aca="false">IF($AK988=0,"",INDEX('Part types'!$P:$P,$AK988))</f>
        <v>30</v>
      </c>
      <c r="H988" s="10" t="n">
        <f aca="false">IF($AK988=0,"",INDEX('Part types'!$Q:$Q,$AK988))</f>
        <v>20</v>
      </c>
      <c r="I988" s="10" t="n">
        <f aca="false">IF($AK988=0,"",INDEX('Part types'!$R:$R,$AK988))</f>
        <v>15</v>
      </c>
      <c r="J988" s="10" t="n">
        <f aca="false">IF($AK988=0,"",INDEX('Part types'!$S:$S,$AK988))</f>
        <v>1.8</v>
      </c>
      <c r="K988" s="11" t="s">
        <v>2603</v>
      </c>
      <c r="L988" s="11" t="s">
        <v>4024</v>
      </c>
      <c r="M988" s="11" t="str">
        <f aca="false">L988&amp;" - "&amp;N988</f>
        <v>مسند ذراع المقعد - خلفي يسار</v>
      </c>
      <c r="N988" s="11" t="s">
        <v>1361</v>
      </c>
      <c r="O988" s="11" t="s">
        <v>2603</v>
      </c>
      <c r="P988" s="10" t="n">
        <f aca="false">G988</f>
        <v>30</v>
      </c>
      <c r="Q988" s="10" t="n">
        <f aca="false">H988</f>
        <v>20</v>
      </c>
      <c r="R988" s="10" t="n">
        <f aca="false">I988</f>
        <v>15</v>
      </c>
      <c r="S988" s="10" t="n">
        <f aca="false">J988</f>
        <v>1.8</v>
      </c>
      <c r="T988" s="12" t="s">
        <v>2605</v>
      </c>
      <c r="U988" s="12" t="s">
        <v>4025</v>
      </c>
      <c r="V988" s="9" t="str">
        <f aca="false">U988&amp;" - "&amp;W988</f>
        <v>座椅扶手 - 后左</v>
      </c>
      <c r="W988" s="12" t="s">
        <v>1362</v>
      </c>
      <c r="X988" s="12" t="s">
        <v>2605</v>
      </c>
      <c r="Y988" s="10" t="n">
        <f aca="false">G988</f>
        <v>30</v>
      </c>
      <c r="Z988" s="10" t="n">
        <f aca="false">H988</f>
        <v>20</v>
      </c>
      <c r="AA988" s="10" t="n">
        <f aca="false">I988</f>
        <v>15</v>
      </c>
      <c r="AB988" s="10" t="n">
        <f aca="false">J988</f>
        <v>1.8</v>
      </c>
      <c r="AC988" s="9" t="s">
        <v>3964</v>
      </c>
      <c r="AD988" s="9" t="s">
        <v>4026</v>
      </c>
      <c r="AE988" s="9" t="str">
        <f aca="false">IF($AK988=0,"",INDEX('Part types'!$T:$T,$AK988)&amp;"")</f>
        <v>All vehicles</v>
      </c>
      <c r="AF988" s="9" t="str">
        <f aca="false">IF($AK988=0,"",INDEX('Part types'!$U:$U,$AK988)&amp;"")</f>
        <v/>
      </c>
      <c r="AG988" s="9" t="str">
        <f aca="false">IF($AK988=0,"",INDEX('Part types'!$V:$V,$AK988)&amp;"")</f>
        <v>Estimate: size class M2</v>
      </c>
      <c r="AH988" s="9" t="str">
        <f aca="false">IF($AK988=0,"",INDEX('Part types'!$W:$W,$AK988)&amp;"")</f>
        <v/>
      </c>
      <c r="AI988" s="11" t="str">
        <f aca="false">IF($AK988=0,"",INDEX('Part types'!$X:$X,$AK988)&amp;"")</f>
        <v/>
      </c>
      <c r="AJ988" s="9" t="str">
        <f aca="false">IF($AK988=0,"",INDEX('Part types'!$Y:$Y,$AK988)&amp;"")</f>
        <v/>
      </c>
      <c r="AK988" s="9" t="n">
        <f aca="false">IFERROR(MATCH($AD988,'Part types'!$E:$E,0),0)</f>
        <v>647</v>
      </c>
    </row>
    <row r="989" customFormat="false" ht="15" hidden="false" customHeight="false" outlineLevel="0" collapsed="false">
      <c r="A989" s="9" t="s">
        <v>4029</v>
      </c>
      <c r="B989" s="9" t="s">
        <v>2601</v>
      </c>
      <c r="C989" s="9" t="s">
        <v>4023</v>
      </c>
      <c r="D989" s="9" t="str">
        <f aca="false">C989&amp;" - "&amp;E989</f>
        <v>Seat Armrest - Rear-Right</v>
      </c>
      <c r="E989" s="9" t="s">
        <v>1364</v>
      </c>
      <c r="F989" s="9" t="s">
        <v>2601</v>
      </c>
      <c r="G989" s="10" t="n">
        <f aca="false">IF($AK989=0,"",INDEX('Part types'!$P:$P,$AK989))</f>
        <v>30</v>
      </c>
      <c r="H989" s="10" t="n">
        <f aca="false">IF($AK989=0,"",INDEX('Part types'!$Q:$Q,$AK989))</f>
        <v>20</v>
      </c>
      <c r="I989" s="10" t="n">
        <f aca="false">IF($AK989=0,"",INDEX('Part types'!$R:$R,$AK989))</f>
        <v>15</v>
      </c>
      <c r="J989" s="10" t="n">
        <f aca="false">IF($AK989=0,"",INDEX('Part types'!$S:$S,$AK989))</f>
        <v>1.8</v>
      </c>
      <c r="K989" s="11" t="s">
        <v>2603</v>
      </c>
      <c r="L989" s="11" t="s">
        <v>4024</v>
      </c>
      <c r="M989" s="11" t="str">
        <f aca="false">L989&amp;" - "&amp;N989</f>
        <v>مسند ذراع المقعد - خلفي يمين</v>
      </c>
      <c r="N989" s="11" t="s">
        <v>1365</v>
      </c>
      <c r="O989" s="11" t="s">
        <v>2603</v>
      </c>
      <c r="P989" s="10" t="n">
        <f aca="false">G989</f>
        <v>30</v>
      </c>
      <c r="Q989" s="10" t="n">
        <f aca="false">H989</f>
        <v>20</v>
      </c>
      <c r="R989" s="10" t="n">
        <f aca="false">I989</f>
        <v>15</v>
      </c>
      <c r="S989" s="10" t="n">
        <f aca="false">J989</f>
        <v>1.8</v>
      </c>
      <c r="T989" s="12" t="s">
        <v>2605</v>
      </c>
      <c r="U989" s="12" t="s">
        <v>4025</v>
      </c>
      <c r="V989" s="9" t="str">
        <f aca="false">U989&amp;" - "&amp;W989</f>
        <v>座椅扶手 - 后右</v>
      </c>
      <c r="W989" s="12" t="s">
        <v>1366</v>
      </c>
      <c r="X989" s="12" t="s">
        <v>2605</v>
      </c>
      <c r="Y989" s="10" t="n">
        <f aca="false">G989</f>
        <v>30</v>
      </c>
      <c r="Z989" s="10" t="n">
        <f aca="false">H989</f>
        <v>20</v>
      </c>
      <c r="AA989" s="10" t="n">
        <f aca="false">I989</f>
        <v>15</v>
      </c>
      <c r="AB989" s="10" t="n">
        <f aca="false">J989</f>
        <v>1.8</v>
      </c>
      <c r="AC989" s="9" t="s">
        <v>3964</v>
      </c>
      <c r="AD989" s="9" t="s">
        <v>4026</v>
      </c>
      <c r="AE989" s="9" t="str">
        <f aca="false">IF($AK989=0,"",INDEX('Part types'!$T:$T,$AK989)&amp;"")</f>
        <v>All vehicles</v>
      </c>
      <c r="AF989" s="9" t="str">
        <f aca="false">IF($AK989=0,"",INDEX('Part types'!$U:$U,$AK989)&amp;"")</f>
        <v/>
      </c>
      <c r="AG989" s="9" t="str">
        <f aca="false">IF($AK989=0,"",INDEX('Part types'!$V:$V,$AK989)&amp;"")</f>
        <v>Estimate: size class M2</v>
      </c>
      <c r="AH989" s="9" t="str">
        <f aca="false">IF($AK989=0,"",INDEX('Part types'!$W:$W,$AK989)&amp;"")</f>
        <v/>
      </c>
      <c r="AI989" s="11" t="str">
        <f aca="false">IF($AK989=0,"",INDEX('Part types'!$X:$X,$AK989)&amp;"")</f>
        <v/>
      </c>
      <c r="AJ989" s="9" t="str">
        <f aca="false">IF($AK989=0,"",INDEX('Part types'!$Y:$Y,$AK989)&amp;"")</f>
        <v/>
      </c>
      <c r="AK989" s="9" t="n">
        <f aca="false">IFERROR(MATCH($AD989,'Part types'!$E:$E,0),0)</f>
        <v>647</v>
      </c>
    </row>
    <row r="990" customFormat="false" ht="15" hidden="false" customHeight="false" outlineLevel="0" collapsed="false">
      <c r="A990" s="9" t="s">
        <v>4030</v>
      </c>
      <c r="B990" s="9" t="s">
        <v>2439</v>
      </c>
      <c r="C990" s="9" t="s">
        <v>4031</v>
      </c>
      <c r="D990" s="9" t="str">
        <f aca="false">C990&amp;" - "&amp;E990</f>
        <v>Dashboard Assembly - Universal</v>
      </c>
      <c r="E990" s="9" t="s">
        <v>68</v>
      </c>
      <c r="F990" s="9" t="s">
        <v>2439</v>
      </c>
      <c r="G990" s="10" t="n">
        <f aca="false">IF($AK990=0,"",INDEX('Part types'!$P:$P,$AK990))</f>
        <v>130</v>
      </c>
      <c r="H990" s="10" t="n">
        <f aca="false">IF($AK990=0,"",INDEX('Part types'!$Q:$Q,$AK990))</f>
        <v>40</v>
      </c>
      <c r="I990" s="10" t="n">
        <f aca="false">IF($AK990=0,"",INDEX('Part types'!$R:$R,$AK990))</f>
        <v>30</v>
      </c>
      <c r="J990" s="10" t="n">
        <f aca="false">IF($AK990=0,"",INDEX('Part types'!$S:$S,$AK990))</f>
        <v>9</v>
      </c>
      <c r="K990" s="11" t="s">
        <v>4032</v>
      </c>
      <c r="L990" s="11" t="s">
        <v>2441</v>
      </c>
      <c r="M990" s="11" t="str">
        <f aca="false">L990&amp;" - "&amp;N990</f>
        <v>لوحة القيادة - عام</v>
      </c>
      <c r="N990" s="11" t="s">
        <v>72</v>
      </c>
      <c r="O990" s="11" t="s">
        <v>2441</v>
      </c>
      <c r="P990" s="10" t="n">
        <f aca="false">G990</f>
        <v>130</v>
      </c>
      <c r="Q990" s="10" t="n">
        <f aca="false">H990</f>
        <v>40</v>
      </c>
      <c r="R990" s="10" t="n">
        <f aca="false">I990</f>
        <v>30</v>
      </c>
      <c r="S990" s="10" t="n">
        <f aca="false">J990</f>
        <v>9</v>
      </c>
      <c r="T990" s="12" t="s">
        <v>2443</v>
      </c>
      <c r="U990" s="12" t="s">
        <v>4033</v>
      </c>
      <c r="V990" s="9" t="str">
        <f aca="false">U990&amp;" - "&amp;W990</f>
        <v>仪表台总成 - 通用</v>
      </c>
      <c r="W990" s="12" t="s">
        <v>76</v>
      </c>
      <c r="X990" s="12" t="s">
        <v>2443</v>
      </c>
      <c r="Y990" s="10" t="n">
        <f aca="false">G990</f>
        <v>130</v>
      </c>
      <c r="Z990" s="10" t="n">
        <f aca="false">H990</f>
        <v>40</v>
      </c>
      <c r="AA990" s="10" t="n">
        <f aca="false">I990</f>
        <v>30</v>
      </c>
      <c r="AB990" s="10" t="n">
        <f aca="false">J990</f>
        <v>9</v>
      </c>
      <c r="AC990" s="9" t="s">
        <v>4034</v>
      </c>
      <c r="AD990" s="9" t="s">
        <v>4035</v>
      </c>
      <c r="AE990" s="9" t="str">
        <f aca="false">IF($AK990=0,"",INDEX('Part types'!$T:$T,$AK990)&amp;"")</f>
        <v>All vehicles</v>
      </c>
      <c r="AF990" s="9" t="str">
        <f aca="false">IF($AK990=0,"",INDEX('Part types'!$U:$U,$AK990)&amp;"")</f>
        <v>Oversized (over 120 cm)</v>
      </c>
      <c r="AG990" s="9" t="str">
        <f aca="false">IF($AK990=0,"",INDEX('Part types'!$V:$V,$AK990)&amp;"")</f>
        <v>Estimate: item-specific</v>
      </c>
      <c r="AH990" s="9" t="str">
        <f aca="false">IF($AK990=0,"",INDEX('Part types'!$W:$W,$AK990)&amp;"")</f>
        <v/>
      </c>
      <c r="AI990" s="11" t="str">
        <f aca="false">IF($AK990=0,"",INDEX('Part types'!$X:$X,$AK990)&amp;"")</f>
        <v>طبلون</v>
      </c>
      <c r="AJ990" s="9" t="str">
        <f aca="false">IF($AK990=0,"",INDEX('Part types'!$Y:$Y,$AK990)&amp;"")</f>
        <v/>
      </c>
      <c r="AK990" s="9" t="n">
        <f aca="false">IFERROR(MATCH($AD990,'Part types'!$E:$E,0),0)</f>
        <v>648</v>
      </c>
    </row>
    <row r="991" customFormat="false" ht="15" hidden="false" customHeight="false" outlineLevel="0" collapsed="false">
      <c r="A991" s="9" t="s">
        <v>4036</v>
      </c>
      <c r="B991" s="9" t="s">
        <v>2439</v>
      </c>
      <c r="C991" s="9" t="s">
        <v>4037</v>
      </c>
      <c r="D991" s="9" t="str">
        <f aca="false">C991&amp;" - "&amp;E991</f>
        <v>Dashboard Trim Panel - Universal</v>
      </c>
      <c r="E991" s="9" t="s">
        <v>68</v>
      </c>
      <c r="F991" s="9" t="s">
        <v>2439</v>
      </c>
      <c r="G991" s="10" t="n">
        <f aca="false">IF($AK991=0,"",INDEX('Part types'!$P:$P,$AK991))</f>
        <v>40</v>
      </c>
      <c r="H991" s="10" t="n">
        <f aca="false">IF($AK991=0,"",INDEX('Part types'!$Q:$Q,$AK991))</f>
        <v>25</v>
      </c>
      <c r="I991" s="10" t="n">
        <f aca="false">IF($AK991=0,"",INDEX('Part types'!$R:$R,$AK991))</f>
        <v>15</v>
      </c>
      <c r="J991" s="10" t="n">
        <f aca="false">IF($AK991=0,"",INDEX('Part types'!$S:$S,$AK991))</f>
        <v>3</v>
      </c>
      <c r="K991" s="11" t="s">
        <v>4032</v>
      </c>
      <c r="L991" s="11" t="s">
        <v>4038</v>
      </c>
      <c r="M991" s="11" t="str">
        <f aca="false">L991&amp;" - "&amp;N991</f>
        <v>غطاء الطبلون - عام</v>
      </c>
      <c r="N991" s="11" t="s">
        <v>72</v>
      </c>
      <c r="O991" s="11" t="s">
        <v>2441</v>
      </c>
      <c r="P991" s="10" t="n">
        <f aca="false">G991</f>
        <v>40</v>
      </c>
      <c r="Q991" s="10" t="n">
        <f aca="false">H991</f>
        <v>25</v>
      </c>
      <c r="R991" s="10" t="n">
        <f aca="false">I991</f>
        <v>15</v>
      </c>
      <c r="S991" s="10" t="n">
        <f aca="false">J991</f>
        <v>3</v>
      </c>
      <c r="T991" s="12" t="s">
        <v>2443</v>
      </c>
      <c r="U991" s="12" t="s">
        <v>4039</v>
      </c>
      <c r="V991" s="9" t="str">
        <f aca="false">U991&amp;" - "&amp;W991</f>
        <v>仪表台饰板 - 通用</v>
      </c>
      <c r="W991" s="12" t="s">
        <v>76</v>
      </c>
      <c r="X991" s="12" t="s">
        <v>2443</v>
      </c>
      <c r="Y991" s="10" t="n">
        <f aca="false">G991</f>
        <v>40</v>
      </c>
      <c r="Z991" s="10" t="n">
        <f aca="false">H991</f>
        <v>25</v>
      </c>
      <c r="AA991" s="10" t="n">
        <f aca="false">I991</f>
        <v>15</v>
      </c>
      <c r="AB991" s="10" t="n">
        <f aca="false">J991</f>
        <v>3</v>
      </c>
      <c r="AC991" s="9" t="s">
        <v>4034</v>
      </c>
      <c r="AD991" s="9" t="s">
        <v>4040</v>
      </c>
      <c r="AE991" s="9" t="str">
        <f aca="false">IF($AK991=0,"",INDEX('Part types'!$T:$T,$AK991)&amp;"")</f>
        <v>All vehicles</v>
      </c>
      <c r="AF991" s="9" t="str">
        <f aca="false">IF($AK991=0,"",INDEX('Part types'!$U:$U,$AK991)&amp;"")</f>
        <v/>
      </c>
      <c r="AG991" s="9" t="str">
        <f aca="false">IF($AK991=0,"",INDEX('Part types'!$V:$V,$AK991)&amp;"")</f>
        <v>Estimate: size class L</v>
      </c>
      <c r="AH991" s="9" t="str">
        <f aca="false">IF($AK991=0,"",INDEX('Part types'!$W:$W,$AK991)&amp;"")</f>
        <v/>
      </c>
      <c r="AI991" s="11" t="str">
        <f aca="false">IF($AK991=0,"",INDEX('Part types'!$X:$X,$AK991)&amp;"")</f>
        <v/>
      </c>
      <c r="AJ991" s="9" t="str">
        <f aca="false">IF($AK991=0,"",INDEX('Part types'!$Y:$Y,$AK991)&amp;"")</f>
        <v/>
      </c>
      <c r="AK991" s="9" t="n">
        <f aca="false">IFERROR(MATCH($AD991,'Part types'!$E:$E,0),0)</f>
        <v>649</v>
      </c>
    </row>
    <row r="992" customFormat="false" ht="15" hidden="false" customHeight="false" outlineLevel="0" collapsed="false">
      <c r="A992" s="9" t="s">
        <v>4041</v>
      </c>
      <c r="B992" s="9" t="s">
        <v>2439</v>
      </c>
      <c r="C992" s="9" t="s">
        <v>4042</v>
      </c>
      <c r="D992" s="9" t="str">
        <f aca="false">C992&amp;" - "&amp;E992</f>
        <v>Glove Box - Universal</v>
      </c>
      <c r="E992" s="9" t="s">
        <v>68</v>
      </c>
      <c r="F992" s="9" t="s">
        <v>2439</v>
      </c>
      <c r="G992" s="10" t="n">
        <f aca="false">IF($AK992=0,"",INDEX('Part types'!$P:$P,$AK992))</f>
        <v>50</v>
      </c>
      <c r="H992" s="10" t="n">
        <f aca="false">IF($AK992=0,"",INDEX('Part types'!$Q:$Q,$AK992))</f>
        <v>30</v>
      </c>
      <c r="I992" s="10" t="n">
        <f aca="false">IF($AK992=0,"",INDEX('Part types'!$R:$R,$AK992))</f>
        <v>20</v>
      </c>
      <c r="J992" s="10" t="n">
        <f aca="false">IF($AK992=0,"",INDEX('Part types'!$S:$S,$AK992))</f>
        <v>5</v>
      </c>
      <c r="K992" s="11" t="s">
        <v>4032</v>
      </c>
      <c r="L992" s="11" t="s">
        <v>4043</v>
      </c>
      <c r="M992" s="11" t="str">
        <f aca="false">L992&amp;" - "&amp;N992</f>
        <v>صندوق التابلوه - عام</v>
      </c>
      <c r="N992" s="11" t="s">
        <v>72</v>
      </c>
      <c r="O992" s="11" t="s">
        <v>2441</v>
      </c>
      <c r="P992" s="10" t="n">
        <f aca="false">G992</f>
        <v>50</v>
      </c>
      <c r="Q992" s="10" t="n">
        <f aca="false">H992</f>
        <v>30</v>
      </c>
      <c r="R992" s="10" t="n">
        <f aca="false">I992</f>
        <v>20</v>
      </c>
      <c r="S992" s="10" t="n">
        <f aca="false">J992</f>
        <v>5</v>
      </c>
      <c r="T992" s="12" t="s">
        <v>2443</v>
      </c>
      <c r="U992" s="12" t="s">
        <v>4044</v>
      </c>
      <c r="V992" s="9" t="str">
        <f aca="false">U992&amp;" - "&amp;W992</f>
        <v>手套箱 - 通用</v>
      </c>
      <c r="W992" s="12" t="s">
        <v>76</v>
      </c>
      <c r="X992" s="12" t="s">
        <v>2443</v>
      </c>
      <c r="Y992" s="10" t="n">
        <f aca="false">G992</f>
        <v>50</v>
      </c>
      <c r="Z992" s="10" t="n">
        <f aca="false">H992</f>
        <v>30</v>
      </c>
      <c r="AA992" s="10" t="n">
        <f aca="false">I992</f>
        <v>20</v>
      </c>
      <c r="AB992" s="10" t="n">
        <f aca="false">J992</f>
        <v>5</v>
      </c>
      <c r="AC992" s="9" t="s">
        <v>4034</v>
      </c>
      <c r="AD992" s="9" t="s">
        <v>4045</v>
      </c>
      <c r="AE992" s="9" t="str">
        <f aca="false">IF($AK992=0,"",INDEX('Part types'!$T:$T,$AK992)&amp;"")</f>
        <v>All vehicles</v>
      </c>
      <c r="AF992" s="9" t="str">
        <f aca="false">IF($AK992=0,"",INDEX('Part types'!$U:$U,$AK992)&amp;"")</f>
        <v/>
      </c>
      <c r="AG992" s="9" t="str">
        <f aca="false">IF($AK992=0,"",INDEX('Part types'!$V:$V,$AK992)&amp;"")</f>
        <v>Estimate: size class L2</v>
      </c>
      <c r="AH992" s="9" t="str">
        <f aca="false">IF($AK992=0,"",INDEX('Part types'!$W:$W,$AK992)&amp;"")</f>
        <v/>
      </c>
      <c r="AI992" s="11" t="str">
        <f aca="false">IF($AK992=0,"",INDEX('Part types'!$X:$X,$AK992)&amp;"")</f>
        <v>الدرج</v>
      </c>
      <c r="AJ992" s="9" t="str">
        <f aca="false">IF($AK992=0,"",INDEX('Part types'!$Y:$Y,$AK992)&amp;"")</f>
        <v/>
      </c>
      <c r="AK992" s="9" t="n">
        <f aca="false">IFERROR(MATCH($AD992,'Part types'!$E:$E,0),0)</f>
        <v>650</v>
      </c>
    </row>
    <row r="993" customFormat="false" ht="15" hidden="false" customHeight="false" outlineLevel="0" collapsed="false">
      <c r="A993" s="9" t="s">
        <v>4046</v>
      </c>
      <c r="B993" s="9" t="s">
        <v>2439</v>
      </c>
      <c r="C993" s="9" t="s">
        <v>4047</v>
      </c>
      <c r="D993" s="9" t="str">
        <f aca="false">C993&amp;" - "&amp;E993</f>
        <v>Glove Box Latch - Universal</v>
      </c>
      <c r="E993" s="9" t="s">
        <v>68</v>
      </c>
      <c r="F993" s="9" t="s">
        <v>2439</v>
      </c>
      <c r="G993" s="10" t="n">
        <f aca="false">IF($AK993=0,"",INDEX('Part types'!$P:$P,$AK993))</f>
        <v>10</v>
      </c>
      <c r="H993" s="10" t="n">
        <f aca="false">IF($AK993=0,"",INDEX('Part types'!$Q:$Q,$AK993))</f>
        <v>8</v>
      </c>
      <c r="I993" s="10" t="n">
        <f aca="false">IF($AK993=0,"",INDEX('Part types'!$R:$R,$AK993))</f>
        <v>6</v>
      </c>
      <c r="J993" s="10" t="n">
        <f aca="false">IF($AK993=0,"",INDEX('Part types'!$S:$S,$AK993))</f>
        <v>0.1</v>
      </c>
      <c r="K993" s="11" t="s">
        <v>4032</v>
      </c>
      <c r="L993" s="11" t="s">
        <v>4048</v>
      </c>
      <c r="M993" s="11" t="str">
        <f aca="false">L993&amp;" - "&amp;N993</f>
        <v>قفل صندوق التابلوه - عام</v>
      </c>
      <c r="N993" s="11" t="s">
        <v>72</v>
      </c>
      <c r="O993" s="11" t="s">
        <v>2441</v>
      </c>
      <c r="P993" s="10" t="n">
        <f aca="false">G993</f>
        <v>10</v>
      </c>
      <c r="Q993" s="10" t="n">
        <f aca="false">H993</f>
        <v>8</v>
      </c>
      <c r="R993" s="10" t="n">
        <f aca="false">I993</f>
        <v>6</v>
      </c>
      <c r="S993" s="10" t="n">
        <f aca="false">J993</f>
        <v>0.1</v>
      </c>
      <c r="T993" s="12" t="s">
        <v>2443</v>
      </c>
      <c r="U993" s="12" t="s">
        <v>4049</v>
      </c>
      <c r="V993" s="9" t="str">
        <f aca="false">U993&amp;" - "&amp;W993</f>
        <v>手套箱锁扣 - 通用</v>
      </c>
      <c r="W993" s="12" t="s">
        <v>76</v>
      </c>
      <c r="X993" s="12" t="s">
        <v>2443</v>
      </c>
      <c r="Y993" s="10" t="n">
        <f aca="false">G993</f>
        <v>10</v>
      </c>
      <c r="Z993" s="10" t="n">
        <f aca="false">H993</f>
        <v>8</v>
      </c>
      <c r="AA993" s="10" t="n">
        <f aca="false">I993</f>
        <v>6</v>
      </c>
      <c r="AB993" s="10" t="n">
        <f aca="false">J993</f>
        <v>0.1</v>
      </c>
      <c r="AC993" s="9" t="s">
        <v>4034</v>
      </c>
      <c r="AD993" s="9" t="s">
        <v>4050</v>
      </c>
      <c r="AE993" s="9" t="str">
        <f aca="false">IF($AK993=0,"",INDEX('Part types'!$T:$T,$AK993)&amp;"")</f>
        <v>All vehicles</v>
      </c>
      <c r="AF993" s="9" t="str">
        <f aca="false">IF($AK993=0,"",INDEX('Part types'!$U:$U,$AK993)&amp;"")</f>
        <v/>
      </c>
      <c r="AG993" s="9" t="str">
        <f aca="false">IF($AK993=0,"",INDEX('Part types'!$V:$V,$AK993)&amp;"")</f>
        <v>Estimate: size class XS</v>
      </c>
      <c r="AH993" s="9" t="str">
        <f aca="false">IF($AK993=0,"",INDEX('Part types'!$W:$W,$AK993)&amp;"")</f>
        <v/>
      </c>
      <c r="AI993" s="11" t="str">
        <f aca="false">IF($AK993=0,"",INDEX('Part types'!$X:$X,$AK993)&amp;"")</f>
        <v/>
      </c>
      <c r="AJ993" s="9" t="str">
        <f aca="false">IF($AK993=0,"",INDEX('Part types'!$Y:$Y,$AK993)&amp;"")</f>
        <v/>
      </c>
      <c r="AK993" s="9" t="n">
        <f aca="false">IFERROR(MATCH($AD993,'Part types'!$E:$E,0),0)</f>
        <v>651</v>
      </c>
    </row>
    <row r="994" customFormat="false" ht="15" hidden="false" customHeight="false" outlineLevel="0" collapsed="false">
      <c r="A994" s="9" t="s">
        <v>4051</v>
      </c>
      <c r="B994" s="9" t="s">
        <v>4052</v>
      </c>
      <c r="C994" s="9" t="s">
        <v>1162</v>
      </c>
      <c r="D994" s="9" t="str">
        <f aca="false">C994&amp;" - "&amp;E994</f>
        <v>Center Console - Universal</v>
      </c>
      <c r="E994" s="9" t="s">
        <v>68</v>
      </c>
      <c r="F994" s="9" t="s">
        <v>1162</v>
      </c>
      <c r="G994" s="10" t="n">
        <f aca="false">IF($AK994=0,"",INDEX('Part types'!$P:$P,$AK994))</f>
        <v>60</v>
      </c>
      <c r="H994" s="10" t="n">
        <f aca="false">IF($AK994=0,"",INDEX('Part types'!$Q:$Q,$AK994))</f>
        <v>30</v>
      </c>
      <c r="I994" s="10" t="n">
        <f aca="false">IF($AK994=0,"",INDEX('Part types'!$R:$R,$AK994))</f>
        <v>25</v>
      </c>
      <c r="J994" s="10" t="n">
        <f aca="false">IF($AK994=0,"",INDEX('Part types'!$S:$S,$AK994))</f>
        <v>4</v>
      </c>
      <c r="K994" s="11" t="s">
        <v>4053</v>
      </c>
      <c r="L994" s="11" t="s">
        <v>1164</v>
      </c>
      <c r="M994" s="11" t="str">
        <f aca="false">L994&amp;" - "&amp;N994</f>
        <v>الكونسول الأوسط - عام</v>
      </c>
      <c r="N994" s="11" t="s">
        <v>72</v>
      </c>
      <c r="O994" s="11" t="s">
        <v>1164</v>
      </c>
      <c r="P994" s="10" t="n">
        <f aca="false">G994</f>
        <v>60</v>
      </c>
      <c r="Q994" s="10" t="n">
        <f aca="false">H994</f>
        <v>30</v>
      </c>
      <c r="R994" s="10" t="n">
        <f aca="false">I994</f>
        <v>25</v>
      </c>
      <c r="S994" s="10" t="n">
        <f aca="false">J994</f>
        <v>4</v>
      </c>
      <c r="T994" s="12" t="s">
        <v>1166</v>
      </c>
      <c r="U994" s="12" t="s">
        <v>4054</v>
      </c>
      <c r="V994" s="9" t="str">
        <f aca="false">U994&amp;" - "&amp;W994</f>
        <v>中央通道/中控台 - 通用</v>
      </c>
      <c r="W994" s="12" t="s">
        <v>76</v>
      </c>
      <c r="X994" s="12" t="s">
        <v>1166</v>
      </c>
      <c r="Y994" s="10" t="n">
        <f aca="false">G994</f>
        <v>60</v>
      </c>
      <c r="Z994" s="10" t="n">
        <f aca="false">H994</f>
        <v>30</v>
      </c>
      <c r="AA994" s="10" t="n">
        <f aca="false">I994</f>
        <v>25</v>
      </c>
      <c r="AB994" s="10" t="n">
        <f aca="false">J994</f>
        <v>4</v>
      </c>
      <c r="AC994" s="9" t="s">
        <v>4055</v>
      </c>
      <c r="AD994" s="9" t="s">
        <v>4056</v>
      </c>
      <c r="AE994" s="9" t="str">
        <f aca="false">IF($AK994=0,"",INDEX('Part types'!$T:$T,$AK994)&amp;"")</f>
        <v>All vehicles</v>
      </c>
      <c r="AF994" s="9" t="str">
        <f aca="false">IF($AK994=0,"",INDEX('Part types'!$U:$U,$AK994)&amp;"")</f>
        <v/>
      </c>
      <c r="AG994" s="9" t="str">
        <f aca="false">IF($AK994=0,"",INDEX('Part types'!$V:$V,$AK994)&amp;"")</f>
        <v>Estimate: item-specific</v>
      </c>
      <c r="AH994" s="9" t="str">
        <f aca="false">IF($AK994=0,"",INDEX('Part types'!$W:$W,$AK994)&amp;"")</f>
        <v/>
      </c>
      <c r="AI994" s="11" t="str">
        <f aca="false">IF($AK994=0,"",INDEX('Part types'!$X:$X,$AK994)&amp;"")</f>
        <v/>
      </c>
      <c r="AJ994" s="9" t="str">
        <f aca="false">IF($AK994=0,"",INDEX('Part types'!$Y:$Y,$AK994)&amp;"")</f>
        <v/>
      </c>
      <c r="AK994" s="9" t="n">
        <f aca="false">IFERROR(MATCH($AD994,'Part types'!$E:$E,0),0)</f>
        <v>652</v>
      </c>
    </row>
    <row r="995" customFormat="false" ht="15" hidden="false" customHeight="false" outlineLevel="0" collapsed="false">
      <c r="A995" s="9" t="s">
        <v>4057</v>
      </c>
      <c r="B995" s="9" t="s">
        <v>4052</v>
      </c>
      <c r="C995" s="9" t="s">
        <v>4058</v>
      </c>
      <c r="D995" s="9" t="str">
        <f aca="false">C995&amp;" - "&amp;E995</f>
        <v>Console Armrest Lid - Universal</v>
      </c>
      <c r="E995" s="9" t="s">
        <v>68</v>
      </c>
      <c r="F995" s="9" t="s">
        <v>1162</v>
      </c>
      <c r="G995" s="10" t="n">
        <f aca="false">IF($AK995=0,"",INDEX('Part types'!$P:$P,$AK995))</f>
        <v>30</v>
      </c>
      <c r="H995" s="10" t="n">
        <f aca="false">IF($AK995=0,"",INDEX('Part types'!$Q:$Q,$AK995))</f>
        <v>20</v>
      </c>
      <c r="I995" s="10" t="n">
        <f aca="false">IF($AK995=0,"",INDEX('Part types'!$R:$R,$AK995))</f>
        <v>15</v>
      </c>
      <c r="J995" s="10" t="n">
        <f aca="false">IF($AK995=0,"",INDEX('Part types'!$S:$S,$AK995))</f>
        <v>1.8</v>
      </c>
      <c r="K995" s="11" t="s">
        <v>4053</v>
      </c>
      <c r="L995" s="11" t="s">
        <v>4059</v>
      </c>
      <c r="M995" s="11" t="str">
        <f aca="false">L995&amp;" - "&amp;N995</f>
        <v>غطاء مسند الكونسول - عام</v>
      </c>
      <c r="N995" s="11" t="s">
        <v>72</v>
      </c>
      <c r="O995" s="11" t="s">
        <v>1164</v>
      </c>
      <c r="P995" s="10" t="n">
        <f aca="false">G995</f>
        <v>30</v>
      </c>
      <c r="Q995" s="10" t="n">
        <f aca="false">H995</f>
        <v>20</v>
      </c>
      <c r="R995" s="10" t="n">
        <f aca="false">I995</f>
        <v>15</v>
      </c>
      <c r="S995" s="10" t="n">
        <f aca="false">J995</f>
        <v>1.8</v>
      </c>
      <c r="T995" s="12" t="s">
        <v>1166</v>
      </c>
      <c r="U995" s="12" t="s">
        <v>4060</v>
      </c>
      <c r="V995" s="9" t="str">
        <f aca="false">U995&amp;" - "&amp;W995</f>
        <v>中央扶手盖 - 通用</v>
      </c>
      <c r="W995" s="12" t="s">
        <v>76</v>
      </c>
      <c r="X995" s="12" t="s">
        <v>1166</v>
      </c>
      <c r="Y995" s="10" t="n">
        <f aca="false">G995</f>
        <v>30</v>
      </c>
      <c r="Z995" s="10" t="n">
        <f aca="false">H995</f>
        <v>20</v>
      </c>
      <c r="AA995" s="10" t="n">
        <f aca="false">I995</f>
        <v>15</v>
      </c>
      <c r="AB995" s="10" t="n">
        <f aca="false">J995</f>
        <v>1.8</v>
      </c>
      <c r="AC995" s="9" t="s">
        <v>4055</v>
      </c>
      <c r="AD995" s="9" t="s">
        <v>4061</v>
      </c>
      <c r="AE995" s="9" t="str">
        <f aca="false">IF($AK995=0,"",INDEX('Part types'!$T:$T,$AK995)&amp;"")</f>
        <v>All vehicles</v>
      </c>
      <c r="AF995" s="9" t="str">
        <f aca="false">IF($AK995=0,"",INDEX('Part types'!$U:$U,$AK995)&amp;"")</f>
        <v/>
      </c>
      <c r="AG995" s="9" t="str">
        <f aca="false">IF($AK995=0,"",INDEX('Part types'!$V:$V,$AK995)&amp;"")</f>
        <v>Estimate: size class M2</v>
      </c>
      <c r="AH995" s="9" t="str">
        <f aca="false">IF($AK995=0,"",INDEX('Part types'!$W:$W,$AK995)&amp;"")</f>
        <v/>
      </c>
      <c r="AI995" s="11" t="str">
        <f aca="false">IF($AK995=0,"",INDEX('Part types'!$X:$X,$AK995)&amp;"")</f>
        <v/>
      </c>
      <c r="AJ995" s="9" t="str">
        <f aca="false">IF($AK995=0,"",INDEX('Part types'!$Y:$Y,$AK995)&amp;"")</f>
        <v/>
      </c>
      <c r="AK995" s="9" t="n">
        <f aca="false">IFERROR(MATCH($AD995,'Part types'!$E:$E,0),0)</f>
        <v>653</v>
      </c>
    </row>
    <row r="996" customFormat="false" ht="15" hidden="false" customHeight="false" outlineLevel="0" collapsed="false">
      <c r="A996" s="9" t="s">
        <v>4062</v>
      </c>
      <c r="B996" s="9" t="s">
        <v>4052</v>
      </c>
      <c r="C996" s="9" t="s">
        <v>4063</v>
      </c>
      <c r="D996" s="9" t="str">
        <f aca="false">C996&amp;" - "&amp;E996</f>
        <v>Cup Holder - Universal</v>
      </c>
      <c r="E996" s="9" t="s">
        <v>68</v>
      </c>
      <c r="F996" s="9" t="s">
        <v>1162</v>
      </c>
      <c r="G996" s="10" t="n">
        <f aca="false">IF($AK996=0,"",INDEX('Part types'!$P:$P,$AK996))</f>
        <v>15</v>
      </c>
      <c r="H996" s="10" t="n">
        <f aca="false">IF($AK996=0,"",INDEX('Part types'!$Q:$Q,$AK996))</f>
        <v>10</v>
      </c>
      <c r="I996" s="10" t="n">
        <f aca="false">IF($AK996=0,"",INDEX('Part types'!$R:$R,$AK996))</f>
        <v>8</v>
      </c>
      <c r="J996" s="10" t="n">
        <f aca="false">IF($AK996=0,"",INDEX('Part types'!$S:$S,$AK996))</f>
        <v>0.3</v>
      </c>
      <c r="K996" s="11" t="s">
        <v>4053</v>
      </c>
      <c r="L996" s="11" t="s">
        <v>4064</v>
      </c>
      <c r="M996" s="11" t="str">
        <f aca="false">L996&amp;" - "&amp;N996</f>
        <v>حامل أكواب - عام</v>
      </c>
      <c r="N996" s="11" t="s">
        <v>72</v>
      </c>
      <c r="O996" s="11" t="s">
        <v>1164</v>
      </c>
      <c r="P996" s="10" t="n">
        <f aca="false">G996</f>
        <v>15</v>
      </c>
      <c r="Q996" s="10" t="n">
        <f aca="false">H996</f>
        <v>10</v>
      </c>
      <c r="R996" s="10" t="n">
        <f aca="false">I996</f>
        <v>8</v>
      </c>
      <c r="S996" s="10" t="n">
        <f aca="false">J996</f>
        <v>0.3</v>
      </c>
      <c r="T996" s="12" t="s">
        <v>1166</v>
      </c>
      <c r="U996" s="12" t="s">
        <v>4065</v>
      </c>
      <c r="V996" s="9" t="str">
        <f aca="false">U996&amp;" - "&amp;W996</f>
        <v>杯架 - 通用</v>
      </c>
      <c r="W996" s="12" t="s">
        <v>76</v>
      </c>
      <c r="X996" s="12" t="s">
        <v>1166</v>
      </c>
      <c r="Y996" s="10" t="n">
        <f aca="false">G996</f>
        <v>15</v>
      </c>
      <c r="Z996" s="10" t="n">
        <f aca="false">H996</f>
        <v>10</v>
      </c>
      <c r="AA996" s="10" t="n">
        <f aca="false">I996</f>
        <v>8</v>
      </c>
      <c r="AB996" s="10" t="n">
        <f aca="false">J996</f>
        <v>0.3</v>
      </c>
      <c r="AC996" s="9" t="s">
        <v>4055</v>
      </c>
      <c r="AD996" s="9" t="s">
        <v>4066</v>
      </c>
      <c r="AE996" s="9" t="str">
        <f aca="false">IF($AK996=0,"",INDEX('Part types'!$T:$T,$AK996)&amp;"")</f>
        <v>All vehicles</v>
      </c>
      <c r="AF996" s="9" t="str">
        <f aca="false">IF($AK996=0,"",INDEX('Part types'!$U:$U,$AK996)&amp;"")</f>
        <v/>
      </c>
      <c r="AG996" s="9" t="str">
        <f aca="false">IF($AK996=0,"",INDEX('Part types'!$V:$V,$AK996)&amp;"")</f>
        <v>Estimate: size class S</v>
      </c>
      <c r="AH996" s="9" t="str">
        <f aca="false">IF($AK996=0,"",INDEX('Part types'!$W:$W,$AK996)&amp;"")</f>
        <v/>
      </c>
      <c r="AI996" s="11" t="str">
        <f aca="false">IF($AK996=0,"",INDEX('Part types'!$X:$X,$AK996)&amp;"")</f>
        <v/>
      </c>
      <c r="AJ996" s="9" t="str">
        <f aca="false">IF($AK996=0,"",INDEX('Part types'!$Y:$Y,$AK996)&amp;"")</f>
        <v/>
      </c>
      <c r="AK996" s="9" t="n">
        <f aca="false">IFERROR(MATCH($AD996,'Part types'!$E:$E,0),0)</f>
        <v>654</v>
      </c>
    </row>
    <row r="997" customFormat="false" ht="15" hidden="false" customHeight="false" outlineLevel="0" collapsed="false">
      <c r="A997" s="9" t="s">
        <v>4067</v>
      </c>
      <c r="B997" s="9" t="s">
        <v>4052</v>
      </c>
      <c r="C997" s="9" t="s">
        <v>4068</v>
      </c>
      <c r="D997" s="9" t="str">
        <f aca="false">C997&amp;" - "&amp;E997</f>
        <v>Ashtray - Universal</v>
      </c>
      <c r="E997" s="9" t="s">
        <v>68</v>
      </c>
      <c r="F997" s="9" t="s">
        <v>1162</v>
      </c>
      <c r="G997" s="10" t="n">
        <f aca="false">IF($AK997=0,"",INDEX('Part types'!$P:$P,$AK997))</f>
        <v>15</v>
      </c>
      <c r="H997" s="10" t="n">
        <f aca="false">IF($AK997=0,"",INDEX('Part types'!$Q:$Q,$AK997))</f>
        <v>10</v>
      </c>
      <c r="I997" s="10" t="n">
        <f aca="false">IF($AK997=0,"",INDEX('Part types'!$R:$R,$AK997))</f>
        <v>8</v>
      </c>
      <c r="J997" s="10" t="n">
        <f aca="false">IF($AK997=0,"",INDEX('Part types'!$S:$S,$AK997))</f>
        <v>0.3</v>
      </c>
      <c r="K997" s="11" t="s">
        <v>4053</v>
      </c>
      <c r="L997" s="11" t="s">
        <v>4069</v>
      </c>
      <c r="M997" s="11" t="str">
        <f aca="false">L997&amp;" - "&amp;N997</f>
        <v>منفضة سجائر - عام</v>
      </c>
      <c r="N997" s="11" t="s">
        <v>72</v>
      </c>
      <c r="O997" s="11" t="s">
        <v>1164</v>
      </c>
      <c r="P997" s="10" t="n">
        <f aca="false">G997</f>
        <v>15</v>
      </c>
      <c r="Q997" s="10" t="n">
        <f aca="false">H997</f>
        <v>10</v>
      </c>
      <c r="R997" s="10" t="n">
        <f aca="false">I997</f>
        <v>8</v>
      </c>
      <c r="S997" s="10" t="n">
        <f aca="false">J997</f>
        <v>0.3</v>
      </c>
      <c r="T997" s="12" t="s">
        <v>1166</v>
      </c>
      <c r="U997" s="12" t="s">
        <v>4070</v>
      </c>
      <c r="V997" s="9" t="str">
        <f aca="false">U997&amp;" - "&amp;W997</f>
        <v>烟灰缸 - 通用</v>
      </c>
      <c r="W997" s="12" t="s">
        <v>76</v>
      </c>
      <c r="X997" s="12" t="s">
        <v>1166</v>
      </c>
      <c r="Y997" s="10" t="n">
        <f aca="false">G997</f>
        <v>15</v>
      </c>
      <c r="Z997" s="10" t="n">
        <f aca="false">H997</f>
        <v>10</v>
      </c>
      <c r="AA997" s="10" t="n">
        <f aca="false">I997</f>
        <v>8</v>
      </c>
      <c r="AB997" s="10" t="n">
        <f aca="false">J997</f>
        <v>0.3</v>
      </c>
      <c r="AC997" s="9" t="s">
        <v>4055</v>
      </c>
      <c r="AD997" s="9" t="s">
        <v>4071</v>
      </c>
      <c r="AE997" s="9" t="str">
        <f aca="false">IF($AK997=0,"",INDEX('Part types'!$T:$T,$AK997)&amp;"")</f>
        <v>All vehicles</v>
      </c>
      <c r="AF997" s="9" t="str">
        <f aca="false">IF($AK997=0,"",INDEX('Part types'!$U:$U,$AK997)&amp;"")</f>
        <v/>
      </c>
      <c r="AG997" s="9" t="str">
        <f aca="false">IF($AK997=0,"",INDEX('Part types'!$V:$V,$AK997)&amp;"")</f>
        <v>Estimate: size class S</v>
      </c>
      <c r="AH997" s="9" t="str">
        <f aca="false">IF($AK997=0,"",INDEX('Part types'!$W:$W,$AK997)&amp;"")</f>
        <v/>
      </c>
      <c r="AI997" s="11" t="str">
        <f aca="false">IF($AK997=0,"",INDEX('Part types'!$X:$X,$AK997)&amp;"")</f>
        <v/>
      </c>
      <c r="AJ997" s="9" t="str">
        <f aca="false">IF($AK997=0,"",INDEX('Part types'!$Y:$Y,$AK997)&amp;"")</f>
        <v/>
      </c>
      <c r="AK997" s="9" t="n">
        <f aca="false">IFERROR(MATCH($AD997,'Part types'!$E:$E,0),0)</f>
        <v>655</v>
      </c>
    </row>
    <row r="998" customFormat="false" ht="15" hidden="false" customHeight="false" outlineLevel="0" collapsed="false">
      <c r="A998" s="9" t="s">
        <v>4072</v>
      </c>
      <c r="B998" s="9" t="s">
        <v>4052</v>
      </c>
      <c r="C998" s="9" t="s">
        <v>4073</v>
      </c>
      <c r="D998" s="9" t="str">
        <f aca="false">C998&amp;" - "&amp;E998</f>
        <v>Gear Shift Boot - Universal</v>
      </c>
      <c r="E998" s="9" t="s">
        <v>68</v>
      </c>
      <c r="F998" s="9" t="s">
        <v>1162</v>
      </c>
      <c r="G998" s="10" t="n">
        <f aca="false">IF($AK998=0,"",INDEX('Part types'!$P:$P,$AK998))</f>
        <v>15</v>
      </c>
      <c r="H998" s="10" t="n">
        <f aca="false">IF($AK998=0,"",INDEX('Part types'!$Q:$Q,$AK998))</f>
        <v>10</v>
      </c>
      <c r="I998" s="10" t="n">
        <f aca="false">IF($AK998=0,"",INDEX('Part types'!$R:$R,$AK998))</f>
        <v>8</v>
      </c>
      <c r="J998" s="10" t="n">
        <f aca="false">IF($AK998=0,"",INDEX('Part types'!$S:$S,$AK998))</f>
        <v>0.3</v>
      </c>
      <c r="K998" s="11" t="s">
        <v>4053</v>
      </c>
      <c r="L998" s="11" t="s">
        <v>4074</v>
      </c>
      <c r="M998" s="11" t="str">
        <f aca="false">L998&amp;" - "&amp;N998</f>
        <v>كاوتش ذراع القير - عام</v>
      </c>
      <c r="N998" s="11" t="s">
        <v>72</v>
      </c>
      <c r="O998" s="11" t="s">
        <v>1164</v>
      </c>
      <c r="P998" s="10" t="n">
        <f aca="false">G998</f>
        <v>15</v>
      </c>
      <c r="Q998" s="10" t="n">
        <f aca="false">H998</f>
        <v>10</v>
      </c>
      <c r="R998" s="10" t="n">
        <f aca="false">I998</f>
        <v>8</v>
      </c>
      <c r="S998" s="10" t="n">
        <f aca="false">J998</f>
        <v>0.3</v>
      </c>
      <c r="T998" s="12" t="s">
        <v>1166</v>
      </c>
      <c r="U998" s="12" t="s">
        <v>4075</v>
      </c>
      <c r="V998" s="9" t="str">
        <f aca="false">U998&amp;" - "&amp;W998</f>
        <v>换挡杆防尘套 - 通用</v>
      </c>
      <c r="W998" s="12" t="s">
        <v>76</v>
      </c>
      <c r="X998" s="12" t="s">
        <v>1166</v>
      </c>
      <c r="Y998" s="10" t="n">
        <f aca="false">G998</f>
        <v>15</v>
      </c>
      <c r="Z998" s="10" t="n">
        <f aca="false">H998</f>
        <v>10</v>
      </c>
      <c r="AA998" s="10" t="n">
        <f aca="false">I998</f>
        <v>8</v>
      </c>
      <c r="AB998" s="10" t="n">
        <f aca="false">J998</f>
        <v>0.3</v>
      </c>
      <c r="AC998" s="9" t="s">
        <v>4055</v>
      </c>
      <c r="AD998" s="9" t="s">
        <v>4076</v>
      </c>
      <c r="AE998" s="9" t="str">
        <f aca="false">IF($AK998=0,"",INDEX('Part types'!$T:$T,$AK998)&amp;"")</f>
        <v>All vehicles</v>
      </c>
      <c r="AF998" s="9" t="str">
        <f aca="false">IF($AK998=0,"",INDEX('Part types'!$U:$U,$AK998)&amp;"")</f>
        <v/>
      </c>
      <c r="AG998" s="9" t="str">
        <f aca="false">IF($AK998=0,"",INDEX('Part types'!$V:$V,$AK998)&amp;"")</f>
        <v>Estimate: size class S</v>
      </c>
      <c r="AH998" s="9" t="str">
        <f aca="false">IF($AK998=0,"",INDEX('Part types'!$W:$W,$AK998)&amp;"")</f>
        <v/>
      </c>
      <c r="AI998" s="11" t="str">
        <f aca="false">IF($AK998=0,"",INDEX('Part types'!$X:$X,$AK998)&amp;"")</f>
        <v/>
      </c>
      <c r="AJ998" s="9" t="str">
        <f aca="false">IF($AK998=0,"",INDEX('Part types'!$Y:$Y,$AK998)&amp;"")</f>
        <v/>
      </c>
      <c r="AK998" s="9" t="n">
        <f aca="false">IFERROR(MATCH($AD998,'Part types'!$E:$E,0),0)</f>
        <v>656</v>
      </c>
    </row>
    <row r="999" customFormat="false" ht="15" hidden="false" customHeight="false" outlineLevel="0" collapsed="false">
      <c r="A999" s="9" t="s">
        <v>4077</v>
      </c>
      <c r="B999" s="9" t="s">
        <v>4052</v>
      </c>
      <c r="C999" s="9" t="s">
        <v>4078</v>
      </c>
      <c r="D999" s="9" t="str">
        <f aca="false">C999&amp;" - "&amp;E999</f>
        <v>Gear Shift Knob - Universal</v>
      </c>
      <c r="E999" s="9" t="s">
        <v>68</v>
      </c>
      <c r="F999" s="9" t="s">
        <v>1162</v>
      </c>
      <c r="G999" s="10" t="n">
        <f aca="false">IF($AK999=0,"",INDEX('Part types'!$P:$P,$AK999))</f>
        <v>15</v>
      </c>
      <c r="H999" s="10" t="n">
        <f aca="false">IF($AK999=0,"",INDEX('Part types'!$Q:$Q,$AK999))</f>
        <v>10</v>
      </c>
      <c r="I999" s="10" t="n">
        <f aca="false">IF($AK999=0,"",INDEX('Part types'!$R:$R,$AK999))</f>
        <v>8</v>
      </c>
      <c r="J999" s="10" t="n">
        <f aca="false">IF($AK999=0,"",INDEX('Part types'!$S:$S,$AK999))</f>
        <v>0.3</v>
      </c>
      <c r="K999" s="11" t="s">
        <v>4053</v>
      </c>
      <c r="L999" s="11" t="s">
        <v>4079</v>
      </c>
      <c r="M999" s="11" t="str">
        <f aca="false">L999&amp;" - "&amp;N999</f>
        <v>رأس ذراع القير - عام</v>
      </c>
      <c r="N999" s="11" t="s">
        <v>72</v>
      </c>
      <c r="O999" s="11" t="s">
        <v>1164</v>
      </c>
      <c r="P999" s="10" t="n">
        <f aca="false">G999</f>
        <v>15</v>
      </c>
      <c r="Q999" s="10" t="n">
        <f aca="false">H999</f>
        <v>10</v>
      </c>
      <c r="R999" s="10" t="n">
        <f aca="false">I999</f>
        <v>8</v>
      </c>
      <c r="S999" s="10" t="n">
        <f aca="false">J999</f>
        <v>0.3</v>
      </c>
      <c r="T999" s="12" t="s">
        <v>1166</v>
      </c>
      <c r="U999" s="12" t="s">
        <v>4080</v>
      </c>
      <c r="V999" s="9" t="str">
        <f aca="false">U999&amp;" - "&amp;W999</f>
        <v>换挡杆头 - 通用</v>
      </c>
      <c r="W999" s="12" t="s">
        <v>76</v>
      </c>
      <c r="X999" s="12" t="s">
        <v>1166</v>
      </c>
      <c r="Y999" s="10" t="n">
        <f aca="false">G999</f>
        <v>15</v>
      </c>
      <c r="Z999" s="10" t="n">
        <f aca="false">H999</f>
        <v>10</v>
      </c>
      <c r="AA999" s="10" t="n">
        <f aca="false">I999</f>
        <v>8</v>
      </c>
      <c r="AB999" s="10" t="n">
        <f aca="false">J999</f>
        <v>0.3</v>
      </c>
      <c r="AC999" s="9" t="s">
        <v>4055</v>
      </c>
      <c r="AD999" s="9" t="s">
        <v>4081</v>
      </c>
      <c r="AE999" s="9" t="str">
        <f aca="false">IF($AK999=0,"",INDEX('Part types'!$T:$T,$AK999)&amp;"")</f>
        <v>All vehicles</v>
      </c>
      <c r="AF999" s="9" t="str">
        <f aca="false">IF($AK999=0,"",INDEX('Part types'!$U:$U,$AK999)&amp;"")</f>
        <v/>
      </c>
      <c r="AG999" s="9" t="str">
        <f aca="false">IF($AK999=0,"",INDEX('Part types'!$V:$V,$AK999)&amp;"")</f>
        <v>Estimate: size class S</v>
      </c>
      <c r="AH999" s="9" t="str">
        <f aca="false">IF($AK999=0,"",INDEX('Part types'!$W:$W,$AK999)&amp;"")</f>
        <v/>
      </c>
      <c r="AI999" s="11" t="str">
        <f aca="false">IF($AK999=0,"",INDEX('Part types'!$X:$X,$AK999)&amp;"")</f>
        <v/>
      </c>
      <c r="AJ999" s="9" t="str">
        <f aca="false">IF($AK999=0,"",INDEX('Part types'!$Y:$Y,$AK999)&amp;"")</f>
        <v/>
      </c>
      <c r="AK999" s="9" t="n">
        <f aca="false">IFERROR(MATCH($AD999,'Part types'!$E:$E,0),0)</f>
        <v>657</v>
      </c>
    </row>
    <row r="1000" customFormat="false" ht="15" hidden="false" customHeight="false" outlineLevel="0" collapsed="false">
      <c r="A1000" s="9" t="s">
        <v>4082</v>
      </c>
      <c r="B1000" s="9" t="s">
        <v>4052</v>
      </c>
      <c r="C1000" s="9" t="s">
        <v>4083</v>
      </c>
      <c r="D1000" s="9" t="str">
        <f aca="false">C1000&amp;" - "&amp;E1000</f>
        <v>Parking Brake Boot - Universal</v>
      </c>
      <c r="E1000" s="9" t="s">
        <v>68</v>
      </c>
      <c r="F1000" s="9" t="s">
        <v>1162</v>
      </c>
      <c r="G1000" s="10" t="n">
        <f aca="false">IF($AK1000=0,"",INDEX('Part types'!$P:$P,$AK1000))</f>
        <v>15</v>
      </c>
      <c r="H1000" s="10" t="n">
        <f aca="false">IF($AK1000=0,"",INDEX('Part types'!$Q:$Q,$AK1000))</f>
        <v>10</v>
      </c>
      <c r="I1000" s="10" t="n">
        <f aca="false">IF($AK1000=0,"",INDEX('Part types'!$R:$R,$AK1000))</f>
        <v>8</v>
      </c>
      <c r="J1000" s="10" t="n">
        <f aca="false">IF($AK1000=0,"",INDEX('Part types'!$S:$S,$AK1000))</f>
        <v>0.3</v>
      </c>
      <c r="K1000" s="11" t="s">
        <v>4053</v>
      </c>
      <c r="L1000" s="11" t="s">
        <v>4084</v>
      </c>
      <c r="M1000" s="11" t="str">
        <f aca="false">L1000&amp;" - "&amp;N1000</f>
        <v>كاوتش الفرامل اليدوية - عام</v>
      </c>
      <c r="N1000" s="11" t="s">
        <v>72</v>
      </c>
      <c r="O1000" s="11" t="s">
        <v>1164</v>
      </c>
      <c r="P1000" s="10" t="n">
        <f aca="false">G1000</f>
        <v>15</v>
      </c>
      <c r="Q1000" s="10" t="n">
        <f aca="false">H1000</f>
        <v>10</v>
      </c>
      <c r="R1000" s="10" t="n">
        <f aca="false">I1000</f>
        <v>8</v>
      </c>
      <c r="S1000" s="10" t="n">
        <f aca="false">J1000</f>
        <v>0.3</v>
      </c>
      <c r="T1000" s="12" t="s">
        <v>1166</v>
      </c>
      <c r="U1000" s="12" t="s">
        <v>4085</v>
      </c>
      <c r="V1000" s="9" t="str">
        <f aca="false">U1000&amp;" - "&amp;W1000</f>
        <v>手刹防尘套 - 通用</v>
      </c>
      <c r="W1000" s="12" t="s">
        <v>76</v>
      </c>
      <c r="X1000" s="12" t="s">
        <v>1166</v>
      </c>
      <c r="Y1000" s="10" t="n">
        <f aca="false">G1000</f>
        <v>15</v>
      </c>
      <c r="Z1000" s="10" t="n">
        <f aca="false">H1000</f>
        <v>10</v>
      </c>
      <c r="AA1000" s="10" t="n">
        <f aca="false">I1000</f>
        <v>8</v>
      </c>
      <c r="AB1000" s="10" t="n">
        <f aca="false">J1000</f>
        <v>0.3</v>
      </c>
      <c r="AC1000" s="9" t="s">
        <v>4055</v>
      </c>
      <c r="AD1000" s="9" t="s">
        <v>4086</v>
      </c>
      <c r="AE1000" s="9" t="str">
        <f aca="false">IF($AK1000=0,"",INDEX('Part types'!$T:$T,$AK1000)&amp;"")</f>
        <v>All vehicles</v>
      </c>
      <c r="AF1000" s="9" t="str">
        <f aca="false">IF($AK1000=0,"",INDEX('Part types'!$U:$U,$AK1000)&amp;"")</f>
        <v/>
      </c>
      <c r="AG1000" s="9" t="str">
        <f aca="false">IF($AK1000=0,"",INDEX('Part types'!$V:$V,$AK1000)&amp;"")</f>
        <v>Estimate: size class S</v>
      </c>
      <c r="AH1000" s="9" t="str">
        <f aca="false">IF($AK1000=0,"",INDEX('Part types'!$W:$W,$AK1000)&amp;"")</f>
        <v/>
      </c>
      <c r="AI1000" s="11" t="str">
        <f aca="false">IF($AK1000=0,"",INDEX('Part types'!$X:$X,$AK1000)&amp;"")</f>
        <v/>
      </c>
      <c r="AJ1000" s="9" t="str">
        <f aca="false">IF($AK1000=0,"",INDEX('Part types'!$Y:$Y,$AK1000)&amp;"")</f>
        <v/>
      </c>
      <c r="AK1000" s="9" t="n">
        <f aca="false">IFERROR(MATCH($AD1000,'Part types'!$E:$E,0),0)</f>
        <v>658</v>
      </c>
    </row>
    <row r="1001" customFormat="false" ht="15" hidden="false" customHeight="false" outlineLevel="0" collapsed="false">
      <c r="A1001" s="9" t="s">
        <v>4087</v>
      </c>
      <c r="B1001" s="9" t="s">
        <v>2496</v>
      </c>
      <c r="C1001" s="9" t="s">
        <v>4088</v>
      </c>
      <c r="D1001" s="9" t="str">
        <f aca="false">C1001&amp;" - "&amp;E1001</f>
        <v>Brake Pedal Assembly - Universal</v>
      </c>
      <c r="E1001" s="9" t="s">
        <v>68</v>
      </c>
      <c r="F1001" s="9" t="s">
        <v>2496</v>
      </c>
      <c r="G1001" s="10" t="n">
        <f aca="false">IF($AK1001=0,"",INDEX('Part types'!$P:$P,$AK1001))</f>
        <v>30</v>
      </c>
      <c r="H1001" s="10" t="n">
        <f aca="false">IF($AK1001=0,"",INDEX('Part types'!$Q:$Q,$AK1001))</f>
        <v>20</v>
      </c>
      <c r="I1001" s="10" t="n">
        <f aca="false">IF($AK1001=0,"",INDEX('Part types'!$R:$R,$AK1001))</f>
        <v>15</v>
      </c>
      <c r="J1001" s="10" t="n">
        <f aca="false">IF($AK1001=0,"",INDEX('Part types'!$S:$S,$AK1001))</f>
        <v>1.8</v>
      </c>
      <c r="K1001" s="11" t="s">
        <v>2498</v>
      </c>
      <c r="L1001" s="11" t="s">
        <v>4089</v>
      </c>
      <c r="M1001" s="11" t="str">
        <f aca="false">L1001&amp;" - "&amp;N1001</f>
        <v>دواسة الفرامل - عام</v>
      </c>
      <c r="N1001" s="11" t="s">
        <v>72</v>
      </c>
      <c r="O1001" s="11" t="s">
        <v>2498</v>
      </c>
      <c r="P1001" s="10" t="n">
        <f aca="false">G1001</f>
        <v>30</v>
      </c>
      <c r="Q1001" s="10" t="n">
        <f aca="false">H1001</f>
        <v>20</v>
      </c>
      <c r="R1001" s="10" t="n">
        <f aca="false">I1001</f>
        <v>15</v>
      </c>
      <c r="S1001" s="10" t="n">
        <f aca="false">J1001</f>
        <v>1.8</v>
      </c>
      <c r="T1001" s="12" t="s">
        <v>4090</v>
      </c>
      <c r="U1001" s="12" t="s">
        <v>4091</v>
      </c>
      <c r="V1001" s="9" t="str">
        <f aca="false">U1001&amp;" - "&amp;W1001</f>
        <v>制动踏板总成 - 通用</v>
      </c>
      <c r="W1001" s="12" t="s">
        <v>76</v>
      </c>
      <c r="X1001" s="12" t="s">
        <v>2500</v>
      </c>
      <c r="Y1001" s="10" t="n">
        <f aca="false">G1001</f>
        <v>30</v>
      </c>
      <c r="Z1001" s="10" t="n">
        <f aca="false">H1001</f>
        <v>20</v>
      </c>
      <c r="AA1001" s="10" t="n">
        <f aca="false">I1001</f>
        <v>15</v>
      </c>
      <c r="AB1001" s="10" t="n">
        <f aca="false">J1001</f>
        <v>1.8</v>
      </c>
      <c r="AC1001" s="9" t="s">
        <v>4092</v>
      </c>
      <c r="AD1001" s="9" t="s">
        <v>4093</v>
      </c>
      <c r="AE1001" s="9" t="str">
        <f aca="false">IF($AK1001=0,"",INDEX('Part types'!$T:$T,$AK1001)&amp;"")</f>
        <v>All vehicles</v>
      </c>
      <c r="AF1001" s="9" t="str">
        <f aca="false">IF($AK1001=0,"",INDEX('Part types'!$U:$U,$AK1001)&amp;"")</f>
        <v/>
      </c>
      <c r="AG1001" s="9" t="str">
        <f aca="false">IF($AK1001=0,"",INDEX('Part types'!$V:$V,$AK1001)&amp;"")</f>
        <v>Estimate: size class M2</v>
      </c>
      <c r="AH1001" s="9" t="str">
        <f aca="false">IF($AK1001=0,"",INDEX('Part types'!$W:$W,$AK1001)&amp;"")</f>
        <v/>
      </c>
      <c r="AI1001" s="11" t="str">
        <f aca="false">IF($AK1001=0,"",INDEX('Part types'!$X:$X,$AK1001)&amp;"")</f>
        <v/>
      </c>
      <c r="AJ1001" s="9" t="str">
        <f aca="false">IF($AK1001=0,"",INDEX('Part types'!$Y:$Y,$AK1001)&amp;"")</f>
        <v/>
      </c>
      <c r="AK1001" s="9" t="n">
        <f aca="false">IFERROR(MATCH($AD1001,'Part types'!$E:$E,0),0)</f>
        <v>659</v>
      </c>
    </row>
    <row r="1002" customFormat="false" ht="15" hidden="false" customHeight="false" outlineLevel="0" collapsed="false">
      <c r="A1002" s="9" t="s">
        <v>4094</v>
      </c>
      <c r="B1002" s="9" t="s">
        <v>2496</v>
      </c>
      <c r="C1002" s="9" t="s">
        <v>4095</v>
      </c>
      <c r="D1002" s="9" t="str">
        <f aca="false">C1002&amp;" - "&amp;E1002</f>
        <v>Brake Pedal Pad - Universal</v>
      </c>
      <c r="E1002" s="9" t="s">
        <v>68</v>
      </c>
      <c r="F1002" s="9" t="s">
        <v>2496</v>
      </c>
      <c r="G1002" s="10" t="n">
        <f aca="false">IF($AK1002=0,"",INDEX('Part types'!$P:$P,$AK1002))</f>
        <v>10</v>
      </c>
      <c r="H1002" s="10" t="n">
        <f aca="false">IF($AK1002=0,"",INDEX('Part types'!$Q:$Q,$AK1002))</f>
        <v>8</v>
      </c>
      <c r="I1002" s="10" t="n">
        <f aca="false">IF($AK1002=0,"",INDEX('Part types'!$R:$R,$AK1002))</f>
        <v>6</v>
      </c>
      <c r="J1002" s="10" t="n">
        <f aca="false">IF($AK1002=0,"",INDEX('Part types'!$S:$S,$AK1002))</f>
        <v>0.1</v>
      </c>
      <c r="K1002" s="11" t="s">
        <v>2498</v>
      </c>
      <c r="L1002" s="11" t="s">
        <v>4096</v>
      </c>
      <c r="M1002" s="11" t="str">
        <f aca="false">L1002&amp;" - "&amp;N1002</f>
        <v>مطاط دواسة الفرامل - عام</v>
      </c>
      <c r="N1002" s="11" t="s">
        <v>72</v>
      </c>
      <c r="O1002" s="11" t="s">
        <v>2498</v>
      </c>
      <c r="P1002" s="10" t="n">
        <f aca="false">G1002</f>
        <v>10</v>
      </c>
      <c r="Q1002" s="10" t="n">
        <f aca="false">H1002</f>
        <v>8</v>
      </c>
      <c r="R1002" s="10" t="n">
        <f aca="false">I1002</f>
        <v>6</v>
      </c>
      <c r="S1002" s="10" t="n">
        <f aca="false">J1002</f>
        <v>0.1</v>
      </c>
      <c r="T1002" s="12" t="s">
        <v>4090</v>
      </c>
      <c r="U1002" s="12" t="s">
        <v>4097</v>
      </c>
      <c r="V1002" s="9" t="str">
        <f aca="false">U1002&amp;" - "&amp;W1002</f>
        <v>制动踏板胶垫 - 通用</v>
      </c>
      <c r="W1002" s="12" t="s">
        <v>76</v>
      </c>
      <c r="X1002" s="12" t="s">
        <v>2500</v>
      </c>
      <c r="Y1002" s="10" t="n">
        <f aca="false">G1002</f>
        <v>10</v>
      </c>
      <c r="Z1002" s="10" t="n">
        <f aca="false">H1002</f>
        <v>8</v>
      </c>
      <c r="AA1002" s="10" t="n">
        <f aca="false">I1002</f>
        <v>6</v>
      </c>
      <c r="AB1002" s="10" t="n">
        <f aca="false">J1002</f>
        <v>0.1</v>
      </c>
      <c r="AC1002" s="9" t="s">
        <v>4092</v>
      </c>
      <c r="AD1002" s="9" t="s">
        <v>4098</v>
      </c>
      <c r="AE1002" s="9" t="str">
        <f aca="false">IF($AK1002=0,"",INDEX('Part types'!$T:$T,$AK1002)&amp;"")</f>
        <v>All vehicles</v>
      </c>
      <c r="AF1002" s="9" t="str">
        <f aca="false">IF($AK1002=0,"",INDEX('Part types'!$U:$U,$AK1002)&amp;"")</f>
        <v/>
      </c>
      <c r="AG1002" s="9" t="str">
        <f aca="false">IF($AK1002=0,"",INDEX('Part types'!$V:$V,$AK1002)&amp;"")</f>
        <v>Estimate: size class XS</v>
      </c>
      <c r="AH1002" s="9" t="str">
        <f aca="false">IF($AK1002=0,"",INDEX('Part types'!$W:$W,$AK1002)&amp;"")</f>
        <v/>
      </c>
      <c r="AI1002" s="11" t="str">
        <f aca="false">IF($AK1002=0,"",INDEX('Part types'!$X:$X,$AK1002)&amp;"")</f>
        <v/>
      </c>
      <c r="AJ1002" s="9" t="str">
        <f aca="false">IF($AK1002=0,"",INDEX('Part types'!$Y:$Y,$AK1002)&amp;"")</f>
        <v/>
      </c>
      <c r="AK1002" s="9" t="n">
        <f aca="false">IFERROR(MATCH($AD1002,'Part types'!$E:$E,0),0)</f>
        <v>660</v>
      </c>
    </row>
    <row r="1003" customFormat="false" ht="15" hidden="false" customHeight="false" outlineLevel="0" collapsed="false">
      <c r="A1003" s="9" t="s">
        <v>4099</v>
      </c>
      <c r="B1003" s="9" t="s">
        <v>2496</v>
      </c>
      <c r="C1003" s="9" t="s">
        <v>4100</v>
      </c>
      <c r="D1003" s="9" t="str">
        <f aca="false">C1003&amp;" - "&amp;E1003</f>
        <v>Brake Light Switch - Universal</v>
      </c>
      <c r="E1003" s="9" t="s">
        <v>68</v>
      </c>
      <c r="F1003" s="9" t="s">
        <v>2496</v>
      </c>
      <c r="G1003" s="10" t="n">
        <f aca="false">IF($AK1003=0,"",INDEX('Part types'!$P:$P,$AK1003))</f>
        <v>10</v>
      </c>
      <c r="H1003" s="10" t="n">
        <f aca="false">IF($AK1003=0,"",INDEX('Part types'!$Q:$Q,$AK1003))</f>
        <v>8</v>
      </c>
      <c r="I1003" s="10" t="n">
        <f aca="false">IF($AK1003=0,"",INDEX('Part types'!$R:$R,$AK1003))</f>
        <v>6</v>
      </c>
      <c r="J1003" s="10" t="n">
        <f aca="false">IF($AK1003=0,"",INDEX('Part types'!$S:$S,$AK1003))</f>
        <v>0.1</v>
      </c>
      <c r="K1003" s="11" t="s">
        <v>2498</v>
      </c>
      <c r="L1003" s="11" t="s">
        <v>4101</v>
      </c>
      <c r="M1003" s="11" t="str">
        <f aca="false">L1003&amp;" - "&amp;N1003</f>
        <v>مفتاح ضوء الفرامل - عام</v>
      </c>
      <c r="N1003" s="11" t="s">
        <v>72</v>
      </c>
      <c r="O1003" s="11" t="s">
        <v>2498</v>
      </c>
      <c r="P1003" s="10" t="n">
        <f aca="false">G1003</f>
        <v>10</v>
      </c>
      <c r="Q1003" s="10" t="n">
        <f aca="false">H1003</f>
        <v>8</v>
      </c>
      <c r="R1003" s="10" t="n">
        <f aca="false">I1003</f>
        <v>6</v>
      </c>
      <c r="S1003" s="10" t="n">
        <f aca="false">J1003</f>
        <v>0.1</v>
      </c>
      <c r="T1003" s="12" t="s">
        <v>4090</v>
      </c>
      <c r="U1003" s="12" t="s">
        <v>4102</v>
      </c>
      <c r="V1003" s="9" t="str">
        <f aca="false">U1003&amp;" - "&amp;W1003</f>
        <v>制动灯开关 - 通用</v>
      </c>
      <c r="W1003" s="12" t="s">
        <v>76</v>
      </c>
      <c r="X1003" s="12" t="s">
        <v>2500</v>
      </c>
      <c r="Y1003" s="10" t="n">
        <f aca="false">G1003</f>
        <v>10</v>
      </c>
      <c r="Z1003" s="10" t="n">
        <f aca="false">H1003</f>
        <v>8</v>
      </c>
      <c r="AA1003" s="10" t="n">
        <f aca="false">I1003</f>
        <v>6</v>
      </c>
      <c r="AB1003" s="10" t="n">
        <f aca="false">J1003</f>
        <v>0.1</v>
      </c>
      <c r="AC1003" s="9" t="s">
        <v>4092</v>
      </c>
      <c r="AD1003" s="9" t="s">
        <v>4103</v>
      </c>
      <c r="AE1003" s="9" t="str">
        <f aca="false">IF($AK1003=0,"",INDEX('Part types'!$T:$T,$AK1003)&amp;"")</f>
        <v>All vehicles</v>
      </c>
      <c r="AF1003" s="9" t="str">
        <f aca="false">IF($AK1003=0,"",INDEX('Part types'!$U:$U,$AK1003)&amp;"")</f>
        <v/>
      </c>
      <c r="AG1003" s="9" t="str">
        <f aca="false">IF($AK1003=0,"",INDEX('Part types'!$V:$V,$AK1003)&amp;"")</f>
        <v>Estimate: size class XS</v>
      </c>
      <c r="AH1003" s="9" t="str">
        <f aca="false">IF($AK1003=0,"",INDEX('Part types'!$W:$W,$AK1003)&amp;"")</f>
        <v/>
      </c>
      <c r="AI1003" s="11" t="str">
        <f aca="false">IF($AK1003=0,"",INDEX('Part types'!$X:$X,$AK1003)&amp;"")</f>
        <v/>
      </c>
      <c r="AJ1003" s="9" t="str">
        <f aca="false">IF($AK1003=0,"",INDEX('Part types'!$Y:$Y,$AK1003)&amp;"")</f>
        <v/>
      </c>
      <c r="AK1003" s="9" t="n">
        <f aca="false">IFERROR(MATCH($AD1003,'Part types'!$E:$E,0),0)</f>
        <v>661</v>
      </c>
    </row>
    <row r="1004" customFormat="false" ht="15" hidden="false" customHeight="false" outlineLevel="0" collapsed="false">
      <c r="A1004" s="9" t="s">
        <v>4104</v>
      </c>
      <c r="B1004" s="9" t="s">
        <v>2496</v>
      </c>
      <c r="C1004" s="9" t="s">
        <v>4105</v>
      </c>
      <c r="D1004" s="9" t="str">
        <f aca="false">C1004&amp;" - "&amp;E1004</f>
        <v>Pedal Pad Set - Universal</v>
      </c>
      <c r="E1004" s="9" t="s">
        <v>68</v>
      </c>
      <c r="F1004" s="9" t="s">
        <v>2496</v>
      </c>
      <c r="G1004" s="10" t="n">
        <f aca="false">IF($AK1004=0,"",INDEX('Part types'!$P:$P,$AK1004))</f>
        <v>15</v>
      </c>
      <c r="H1004" s="10" t="n">
        <f aca="false">IF($AK1004=0,"",INDEX('Part types'!$Q:$Q,$AK1004))</f>
        <v>10</v>
      </c>
      <c r="I1004" s="10" t="n">
        <f aca="false">IF($AK1004=0,"",INDEX('Part types'!$R:$R,$AK1004))</f>
        <v>8</v>
      </c>
      <c r="J1004" s="10" t="n">
        <f aca="false">IF($AK1004=0,"",INDEX('Part types'!$S:$S,$AK1004))</f>
        <v>0.3</v>
      </c>
      <c r="K1004" s="11" t="s">
        <v>2498</v>
      </c>
      <c r="L1004" s="11" t="s">
        <v>4106</v>
      </c>
      <c r="M1004" s="11" t="str">
        <f aca="false">L1004&amp;" - "&amp;N1004</f>
        <v>طقم مطاط الدواسات - عام</v>
      </c>
      <c r="N1004" s="11" t="s">
        <v>72</v>
      </c>
      <c r="O1004" s="11" t="s">
        <v>2498</v>
      </c>
      <c r="P1004" s="10" t="n">
        <f aca="false">G1004</f>
        <v>15</v>
      </c>
      <c r="Q1004" s="10" t="n">
        <f aca="false">H1004</f>
        <v>10</v>
      </c>
      <c r="R1004" s="10" t="n">
        <f aca="false">I1004</f>
        <v>8</v>
      </c>
      <c r="S1004" s="10" t="n">
        <f aca="false">J1004</f>
        <v>0.3</v>
      </c>
      <c r="T1004" s="12" t="s">
        <v>4090</v>
      </c>
      <c r="U1004" s="12" t="s">
        <v>4107</v>
      </c>
      <c r="V1004" s="9" t="str">
        <f aca="false">U1004&amp;" - "&amp;W1004</f>
        <v>踏板套装 - 通用</v>
      </c>
      <c r="W1004" s="12" t="s">
        <v>76</v>
      </c>
      <c r="X1004" s="12" t="s">
        <v>2500</v>
      </c>
      <c r="Y1004" s="10" t="n">
        <f aca="false">G1004</f>
        <v>15</v>
      </c>
      <c r="Z1004" s="10" t="n">
        <f aca="false">H1004</f>
        <v>10</v>
      </c>
      <c r="AA1004" s="10" t="n">
        <f aca="false">I1004</f>
        <v>8</v>
      </c>
      <c r="AB1004" s="10" t="n">
        <f aca="false">J1004</f>
        <v>0.3</v>
      </c>
      <c r="AC1004" s="9" t="s">
        <v>4092</v>
      </c>
      <c r="AD1004" s="9" t="s">
        <v>4108</v>
      </c>
      <c r="AE1004" s="9" t="str">
        <f aca="false">IF($AK1004=0,"",INDEX('Part types'!$T:$T,$AK1004)&amp;"")</f>
        <v>All vehicles</v>
      </c>
      <c r="AF1004" s="9" t="str">
        <f aca="false">IF($AK1004=0,"",INDEX('Part types'!$U:$U,$AK1004)&amp;"")</f>
        <v/>
      </c>
      <c r="AG1004" s="9" t="str">
        <f aca="false">IF($AK1004=0,"",INDEX('Part types'!$V:$V,$AK1004)&amp;"")</f>
        <v>Estimate: size class S</v>
      </c>
      <c r="AH1004" s="9" t="str">
        <f aca="false">IF($AK1004=0,"",INDEX('Part types'!$W:$W,$AK1004)&amp;"")</f>
        <v/>
      </c>
      <c r="AI1004" s="11" t="str">
        <f aca="false">IF($AK1004=0,"",INDEX('Part types'!$X:$X,$AK1004)&amp;"")</f>
        <v/>
      </c>
      <c r="AJ1004" s="9" t="str">
        <f aca="false">IF($AK1004=0,"",INDEX('Part types'!$Y:$Y,$AK1004)&amp;"")</f>
        <v/>
      </c>
      <c r="AK1004" s="9" t="n">
        <f aca="false">IFERROR(MATCH($AD1004,'Part types'!$E:$E,0),0)</f>
        <v>662</v>
      </c>
    </row>
    <row r="1005" customFormat="false" ht="15" hidden="false" customHeight="false" outlineLevel="0" collapsed="false">
      <c r="A1005" s="9" t="s">
        <v>4109</v>
      </c>
      <c r="B1005" s="9" t="s">
        <v>2496</v>
      </c>
      <c r="C1005" s="9" t="s">
        <v>4110</v>
      </c>
      <c r="D1005" s="9" t="str">
        <f aca="false">C1005&amp;" - "&amp;E1005</f>
        <v>Accelerator Pedal - Universal</v>
      </c>
      <c r="E1005" s="9" t="s">
        <v>68</v>
      </c>
      <c r="F1005" s="9" t="s">
        <v>2496</v>
      </c>
      <c r="G1005" s="10" t="n">
        <f aca="false">IF($AK1005=0,"",INDEX('Part types'!$P:$P,$AK1005))</f>
        <v>25</v>
      </c>
      <c r="H1005" s="10" t="n">
        <f aca="false">IF($AK1005=0,"",INDEX('Part types'!$Q:$Q,$AK1005))</f>
        <v>15</v>
      </c>
      <c r="I1005" s="10" t="n">
        <f aca="false">IF($AK1005=0,"",INDEX('Part types'!$R:$R,$AK1005))</f>
        <v>10</v>
      </c>
      <c r="J1005" s="10" t="n">
        <f aca="false">IF($AK1005=0,"",INDEX('Part types'!$S:$S,$AK1005))</f>
        <v>0.9</v>
      </c>
      <c r="K1005" s="11" t="s">
        <v>2498</v>
      </c>
      <c r="L1005" s="11" t="s">
        <v>4111</v>
      </c>
      <c r="M1005" s="11" t="str">
        <f aca="false">L1005&amp;" - "&amp;N1005</f>
        <v>دواسة البنزين - عام</v>
      </c>
      <c r="N1005" s="11" t="s">
        <v>72</v>
      </c>
      <c r="O1005" s="11" t="s">
        <v>2498</v>
      </c>
      <c r="P1005" s="10" t="n">
        <f aca="false">G1005</f>
        <v>25</v>
      </c>
      <c r="Q1005" s="10" t="n">
        <f aca="false">H1005</f>
        <v>15</v>
      </c>
      <c r="R1005" s="10" t="n">
        <f aca="false">I1005</f>
        <v>10</v>
      </c>
      <c r="S1005" s="10" t="n">
        <f aca="false">J1005</f>
        <v>0.9</v>
      </c>
      <c r="T1005" s="12" t="s">
        <v>4090</v>
      </c>
      <c r="U1005" s="12" t="s">
        <v>4112</v>
      </c>
      <c r="V1005" s="9" t="str">
        <f aca="false">U1005&amp;" - "&amp;W1005</f>
        <v>油门踏板 - 通用</v>
      </c>
      <c r="W1005" s="12" t="s">
        <v>76</v>
      </c>
      <c r="X1005" s="12" t="s">
        <v>2500</v>
      </c>
      <c r="Y1005" s="10" t="n">
        <f aca="false">G1005</f>
        <v>25</v>
      </c>
      <c r="Z1005" s="10" t="n">
        <f aca="false">H1005</f>
        <v>15</v>
      </c>
      <c r="AA1005" s="10" t="n">
        <f aca="false">I1005</f>
        <v>10</v>
      </c>
      <c r="AB1005" s="10" t="n">
        <f aca="false">J1005</f>
        <v>0.9</v>
      </c>
      <c r="AC1005" s="9" t="s">
        <v>4092</v>
      </c>
      <c r="AD1005" s="9" t="s">
        <v>4113</v>
      </c>
      <c r="AE1005" s="9" t="str">
        <f aca="false">IF($AK1005=0,"",INDEX('Part types'!$T:$T,$AK1005)&amp;"")</f>
        <v>All vehicles</v>
      </c>
      <c r="AF1005" s="9" t="str">
        <f aca="false">IF($AK1005=0,"",INDEX('Part types'!$U:$U,$AK1005)&amp;"")</f>
        <v/>
      </c>
      <c r="AG1005" s="9" t="str">
        <f aca="false">IF($AK1005=0,"",INDEX('Part types'!$V:$V,$AK1005)&amp;"")</f>
        <v>Estimate: size class M</v>
      </c>
      <c r="AH1005" s="9" t="str">
        <f aca="false">IF($AK1005=0,"",INDEX('Part types'!$W:$W,$AK1005)&amp;"")</f>
        <v/>
      </c>
      <c r="AI1005" s="11" t="str">
        <f aca="false">IF($AK1005=0,"",INDEX('Part types'!$X:$X,$AK1005)&amp;"")</f>
        <v/>
      </c>
      <c r="AJ1005" s="9" t="str">
        <f aca="false">IF($AK1005=0,"",INDEX('Part types'!$Y:$Y,$AK1005)&amp;"")</f>
        <v/>
      </c>
      <c r="AK1005" s="9" t="n">
        <f aca="false">IFERROR(MATCH($AD1005,'Part types'!$E:$E,0),0)</f>
        <v>663</v>
      </c>
    </row>
    <row r="1006" customFormat="false" ht="15" hidden="false" customHeight="false" outlineLevel="0" collapsed="false">
      <c r="A1006" s="9" t="s">
        <v>4114</v>
      </c>
      <c r="B1006" s="9" t="s">
        <v>2496</v>
      </c>
      <c r="C1006" s="9" t="s">
        <v>4115</v>
      </c>
      <c r="D1006" s="9" t="str">
        <f aca="false">C1006&amp;" - "&amp;E1006</f>
        <v>Clutch Pedal Assembly - Universal</v>
      </c>
      <c r="E1006" s="9" t="s">
        <v>68</v>
      </c>
      <c r="F1006" s="9" t="s">
        <v>2496</v>
      </c>
      <c r="G1006" s="10" t="n">
        <f aca="false">IF($AK1006=0,"",INDEX('Part types'!$P:$P,$AK1006))</f>
        <v>30</v>
      </c>
      <c r="H1006" s="10" t="n">
        <f aca="false">IF($AK1006=0,"",INDEX('Part types'!$Q:$Q,$AK1006))</f>
        <v>20</v>
      </c>
      <c r="I1006" s="10" t="n">
        <f aca="false">IF($AK1006=0,"",INDEX('Part types'!$R:$R,$AK1006))</f>
        <v>15</v>
      </c>
      <c r="J1006" s="10" t="n">
        <f aca="false">IF($AK1006=0,"",INDEX('Part types'!$S:$S,$AK1006))</f>
        <v>1.8</v>
      </c>
      <c r="K1006" s="11" t="s">
        <v>2498</v>
      </c>
      <c r="L1006" s="11" t="s">
        <v>4116</v>
      </c>
      <c r="M1006" s="11" t="str">
        <f aca="false">L1006&amp;" - "&amp;N1006</f>
        <v>دواسة الدبرياج - عام</v>
      </c>
      <c r="N1006" s="11" t="s">
        <v>72</v>
      </c>
      <c r="O1006" s="11" t="s">
        <v>2498</v>
      </c>
      <c r="P1006" s="10" t="n">
        <f aca="false">G1006</f>
        <v>30</v>
      </c>
      <c r="Q1006" s="10" t="n">
        <f aca="false">H1006</f>
        <v>20</v>
      </c>
      <c r="R1006" s="10" t="n">
        <f aca="false">I1006</f>
        <v>15</v>
      </c>
      <c r="S1006" s="10" t="n">
        <f aca="false">J1006</f>
        <v>1.8</v>
      </c>
      <c r="T1006" s="12" t="s">
        <v>4090</v>
      </c>
      <c r="U1006" s="12" t="s">
        <v>4117</v>
      </c>
      <c r="V1006" s="9" t="str">
        <f aca="false">U1006&amp;" - "&amp;W1006</f>
        <v>离合器踏板总成 - 通用</v>
      </c>
      <c r="W1006" s="12" t="s">
        <v>76</v>
      </c>
      <c r="X1006" s="12" t="s">
        <v>2500</v>
      </c>
      <c r="Y1006" s="10" t="n">
        <f aca="false">G1006</f>
        <v>30</v>
      </c>
      <c r="Z1006" s="10" t="n">
        <f aca="false">H1006</f>
        <v>20</v>
      </c>
      <c r="AA1006" s="10" t="n">
        <f aca="false">I1006</f>
        <v>15</v>
      </c>
      <c r="AB1006" s="10" t="n">
        <f aca="false">J1006</f>
        <v>1.8</v>
      </c>
      <c r="AC1006" s="9" t="s">
        <v>4092</v>
      </c>
      <c r="AD1006" s="9" t="s">
        <v>4118</v>
      </c>
      <c r="AE1006" s="9" t="str">
        <f aca="false">IF($AK1006=0,"",INDEX('Part types'!$T:$T,$AK1006)&amp;"")</f>
        <v>Combustion engine (petrol, diesel, hybrid, range extender)</v>
      </c>
      <c r="AF1006" s="9" t="str">
        <f aca="false">IF($AK1006=0,"",INDEX('Part types'!$U:$U,$AK1006)&amp;"")</f>
        <v/>
      </c>
      <c r="AG1006" s="9" t="str">
        <f aca="false">IF($AK1006=0,"",INDEX('Part types'!$V:$V,$AK1006)&amp;"")</f>
        <v>Estimate: size class M2</v>
      </c>
      <c r="AH1006" s="9" t="str">
        <f aca="false">IF($AK1006=0,"",INDEX('Part types'!$W:$W,$AK1006)&amp;"")</f>
        <v/>
      </c>
      <c r="AI1006" s="11" t="str">
        <f aca="false">IF($AK1006=0,"",INDEX('Part types'!$X:$X,$AK1006)&amp;"")</f>
        <v/>
      </c>
      <c r="AJ1006" s="9" t="str">
        <f aca="false">IF($AK1006=0,"",INDEX('Part types'!$Y:$Y,$AK1006)&amp;"")</f>
        <v/>
      </c>
      <c r="AK1006" s="9" t="n">
        <f aca="false">IFERROR(MATCH($AD1006,'Part types'!$E:$E,0),0)</f>
        <v>664</v>
      </c>
    </row>
    <row r="1007" customFormat="false" ht="15" hidden="false" customHeight="false" outlineLevel="0" collapsed="false">
      <c r="A1007" s="9" t="s">
        <v>4119</v>
      </c>
      <c r="B1007" s="9" t="s">
        <v>4120</v>
      </c>
      <c r="C1007" s="9" t="s">
        <v>4121</v>
      </c>
      <c r="D1007" s="9" t="str">
        <f aca="false">C1007&amp;" - "&amp;E1007</f>
        <v>Floor Carpet Set - Universal</v>
      </c>
      <c r="E1007" s="9" t="s">
        <v>68</v>
      </c>
      <c r="F1007" s="9" t="s">
        <v>2567</v>
      </c>
      <c r="G1007" s="10" t="n">
        <f aca="false">IF($AK1007=0,"",INDEX('Part types'!$P:$P,$AK1007))</f>
        <v>100</v>
      </c>
      <c r="H1007" s="10" t="n">
        <f aca="false">IF($AK1007=0,"",INDEX('Part types'!$Q:$Q,$AK1007))</f>
        <v>70</v>
      </c>
      <c r="I1007" s="10" t="n">
        <f aca="false">IF($AK1007=0,"",INDEX('Part types'!$R:$R,$AK1007))</f>
        <v>6</v>
      </c>
      <c r="J1007" s="10" t="n">
        <f aca="false">IF($AK1007=0,"",INDEX('Part types'!$S:$S,$AK1007))</f>
        <v>8</v>
      </c>
      <c r="K1007" s="11" t="s">
        <v>4122</v>
      </c>
      <c r="L1007" s="11" t="s">
        <v>4123</v>
      </c>
      <c r="M1007" s="11" t="str">
        <f aca="false">L1007&amp;" - "&amp;N1007</f>
        <v>طقم سجاد الأرضية - عام</v>
      </c>
      <c r="N1007" s="11" t="s">
        <v>72</v>
      </c>
      <c r="O1007" s="11" t="s">
        <v>2569</v>
      </c>
      <c r="P1007" s="10" t="n">
        <f aca="false">G1007</f>
        <v>100</v>
      </c>
      <c r="Q1007" s="10" t="n">
        <f aca="false">H1007</f>
        <v>70</v>
      </c>
      <c r="R1007" s="10" t="n">
        <f aca="false">I1007</f>
        <v>6</v>
      </c>
      <c r="S1007" s="10" t="n">
        <f aca="false">J1007</f>
        <v>8</v>
      </c>
      <c r="T1007" s="12" t="s">
        <v>4124</v>
      </c>
      <c r="U1007" s="12" t="s">
        <v>4125</v>
      </c>
      <c r="V1007" s="9" t="str">
        <f aca="false">U1007&amp;" - "&amp;W1007</f>
        <v>地毯套装 - 通用</v>
      </c>
      <c r="W1007" s="12" t="s">
        <v>76</v>
      </c>
      <c r="X1007" s="12" t="s">
        <v>2571</v>
      </c>
      <c r="Y1007" s="10" t="n">
        <f aca="false">G1007</f>
        <v>100</v>
      </c>
      <c r="Z1007" s="10" t="n">
        <f aca="false">H1007</f>
        <v>70</v>
      </c>
      <c r="AA1007" s="10" t="n">
        <f aca="false">I1007</f>
        <v>6</v>
      </c>
      <c r="AB1007" s="10" t="n">
        <f aca="false">J1007</f>
        <v>8</v>
      </c>
      <c r="AC1007" s="9" t="s">
        <v>4126</v>
      </c>
      <c r="AD1007" s="9" t="s">
        <v>4127</v>
      </c>
      <c r="AE1007" s="9" t="str">
        <f aca="false">IF($AK1007=0,"",INDEX('Part types'!$T:$T,$AK1007)&amp;"")</f>
        <v>All vehicles</v>
      </c>
      <c r="AF1007" s="9" t="str">
        <f aca="false">IF($AK1007=0,"",INDEX('Part types'!$U:$U,$AK1007)&amp;"")</f>
        <v/>
      </c>
      <c r="AG1007" s="9" t="str">
        <f aca="false">IF($AK1007=0,"",INDEX('Part types'!$V:$V,$AK1007)&amp;"")</f>
        <v>Estimate: item-specific</v>
      </c>
      <c r="AH1007" s="9" t="str">
        <f aca="false">IF($AK1007=0,"",INDEX('Part types'!$W:$W,$AK1007)&amp;"")</f>
        <v/>
      </c>
      <c r="AI1007" s="11" t="str">
        <f aca="false">IF($AK1007=0,"",INDEX('Part types'!$X:$X,$AK1007)&amp;"")</f>
        <v/>
      </c>
      <c r="AJ1007" s="9" t="str">
        <f aca="false">IF($AK1007=0,"",INDEX('Part types'!$Y:$Y,$AK1007)&amp;"")</f>
        <v/>
      </c>
      <c r="AK1007" s="9" t="n">
        <f aca="false">IFERROR(MATCH($AD1007,'Part types'!$E:$E,0),0)</f>
        <v>665</v>
      </c>
    </row>
    <row r="1008" customFormat="false" ht="15" hidden="false" customHeight="false" outlineLevel="0" collapsed="false">
      <c r="A1008" s="9" t="s">
        <v>4128</v>
      </c>
      <c r="B1008" s="9" t="s">
        <v>4120</v>
      </c>
      <c r="C1008" s="9" t="s">
        <v>4129</v>
      </c>
      <c r="D1008" s="9" t="str">
        <f aca="false">C1008&amp;" - "&amp;E1008</f>
        <v>Rubber Mat Set - Universal</v>
      </c>
      <c r="E1008" s="9" t="s">
        <v>68</v>
      </c>
      <c r="F1008" s="9" t="s">
        <v>2567</v>
      </c>
      <c r="G1008" s="10" t="n">
        <f aca="false">IF($AK1008=0,"",INDEX('Part types'!$P:$P,$AK1008))</f>
        <v>60</v>
      </c>
      <c r="H1008" s="10" t="n">
        <f aca="false">IF($AK1008=0,"",INDEX('Part types'!$Q:$Q,$AK1008))</f>
        <v>45</v>
      </c>
      <c r="I1008" s="10" t="n">
        <f aca="false">IF($AK1008=0,"",INDEX('Part types'!$R:$R,$AK1008))</f>
        <v>6</v>
      </c>
      <c r="J1008" s="10" t="n">
        <f aca="false">IF($AK1008=0,"",INDEX('Part types'!$S:$S,$AK1008))</f>
        <v>4.5</v>
      </c>
      <c r="K1008" s="11" t="s">
        <v>4122</v>
      </c>
      <c r="L1008" s="11" t="s">
        <v>4130</v>
      </c>
      <c r="M1008" s="11" t="str">
        <f aca="false">L1008&amp;" - "&amp;N1008</f>
        <v>طقم دعاسات مطاط - عام</v>
      </c>
      <c r="N1008" s="11" t="s">
        <v>72</v>
      </c>
      <c r="O1008" s="11" t="s">
        <v>2569</v>
      </c>
      <c r="P1008" s="10" t="n">
        <f aca="false">G1008</f>
        <v>60</v>
      </c>
      <c r="Q1008" s="10" t="n">
        <f aca="false">H1008</f>
        <v>45</v>
      </c>
      <c r="R1008" s="10" t="n">
        <f aca="false">I1008</f>
        <v>6</v>
      </c>
      <c r="S1008" s="10" t="n">
        <f aca="false">J1008</f>
        <v>4.5</v>
      </c>
      <c r="T1008" s="12" t="s">
        <v>4124</v>
      </c>
      <c r="U1008" s="12" t="s">
        <v>4131</v>
      </c>
      <c r="V1008" s="9" t="str">
        <f aca="false">U1008&amp;" - "&amp;W1008</f>
        <v>橡胶脚垫套装 - 通用</v>
      </c>
      <c r="W1008" s="12" t="s">
        <v>76</v>
      </c>
      <c r="X1008" s="12" t="s">
        <v>2571</v>
      </c>
      <c r="Y1008" s="10" t="n">
        <f aca="false">G1008</f>
        <v>60</v>
      </c>
      <c r="Z1008" s="10" t="n">
        <f aca="false">H1008</f>
        <v>45</v>
      </c>
      <c r="AA1008" s="10" t="n">
        <f aca="false">I1008</f>
        <v>6</v>
      </c>
      <c r="AB1008" s="10" t="n">
        <f aca="false">J1008</f>
        <v>4.5</v>
      </c>
      <c r="AC1008" s="9" t="s">
        <v>4126</v>
      </c>
      <c r="AD1008" s="9" t="s">
        <v>4132</v>
      </c>
      <c r="AE1008" s="9" t="str">
        <f aca="false">IF($AK1008=0,"",INDEX('Part types'!$T:$T,$AK1008)&amp;"")</f>
        <v>All vehicles</v>
      </c>
      <c r="AF1008" s="9" t="str">
        <f aca="false">IF($AK1008=0,"",INDEX('Part types'!$U:$U,$AK1008)&amp;"")</f>
        <v/>
      </c>
      <c r="AG1008" s="9" t="str">
        <f aca="false">IF($AK1008=0,"",INDEX('Part types'!$V:$V,$AK1008)&amp;"")</f>
        <v>Estimate: item-specific</v>
      </c>
      <c r="AH1008" s="9" t="str">
        <f aca="false">IF($AK1008=0,"",INDEX('Part types'!$W:$W,$AK1008)&amp;"")</f>
        <v>Rubber Floor Mat Set</v>
      </c>
      <c r="AI1008" s="11" t="str">
        <f aca="false">IF($AK1008=0,"",INDEX('Part types'!$X:$X,$AK1008)&amp;"")</f>
        <v/>
      </c>
      <c r="AJ1008" s="9" t="str">
        <f aca="false">IF($AK1008=0,"",INDEX('Part types'!$Y:$Y,$AK1008)&amp;"")</f>
        <v/>
      </c>
      <c r="AK1008" s="9" t="n">
        <f aca="false">IFERROR(MATCH($AD1008,'Part types'!$E:$E,0),0)</f>
        <v>666</v>
      </c>
    </row>
    <row r="1009" customFormat="false" ht="15" hidden="false" customHeight="false" outlineLevel="0" collapsed="false">
      <c r="A1009" s="9" t="s">
        <v>4133</v>
      </c>
      <c r="B1009" s="9" t="s">
        <v>4120</v>
      </c>
      <c r="C1009" s="9" t="s">
        <v>4134</v>
      </c>
      <c r="D1009" s="9" t="str">
        <f aca="false">C1009&amp;" - "&amp;E1009</f>
        <v>Carpet Mat Set - Universal</v>
      </c>
      <c r="E1009" s="9" t="s">
        <v>68</v>
      </c>
      <c r="F1009" s="9" t="s">
        <v>2567</v>
      </c>
      <c r="G1009" s="10" t="n">
        <f aca="false">IF($AK1009=0,"",INDEX('Part types'!$P:$P,$AK1009))</f>
        <v>60</v>
      </c>
      <c r="H1009" s="10" t="n">
        <f aca="false">IF($AK1009=0,"",INDEX('Part types'!$Q:$Q,$AK1009))</f>
        <v>45</v>
      </c>
      <c r="I1009" s="10" t="n">
        <f aca="false">IF($AK1009=0,"",INDEX('Part types'!$R:$R,$AK1009))</f>
        <v>6</v>
      </c>
      <c r="J1009" s="10" t="n">
        <f aca="false">IF($AK1009=0,"",INDEX('Part types'!$S:$S,$AK1009))</f>
        <v>3</v>
      </c>
      <c r="K1009" s="11" t="s">
        <v>4122</v>
      </c>
      <c r="L1009" s="11" t="s">
        <v>4135</v>
      </c>
      <c r="M1009" s="11" t="str">
        <f aca="false">L1009&amp;" - "&amp;N1009</f>
        <v>طقم دعاسات سجاد - عام</v>
      </c>
      <c r="N1009" s="11" t="s">
        <v>72</v>
      </c>
      <c r="O1009" s="11" t="s">
        <v>2569</v>
      </c>
      <c r="P1009" s="10" t="n">
        <f aca="false">G1009</f>
        <v>60</v>
      </c>
      <c r="Q1009" s="10" t="n">
        <f aca="false">H1009</f>
        <v>45</v>
      </c>
      <c r="R1009" s="10" t="n">
        <f aca="false">I1009</f>
        <v>6</v>
      </c>
      <c r="S1009" s="10" t="n">
        <f aca="false">J1009</f>
        <v>3</v>
      </c>
      <c r="T1009" s="12" t="s">
        <v>4124</v>
      </c>
      <c r="U1009" s="12" t="s">
        <v>4136</v>
      </c>
      <c r="V1009" s="9" t="str">
        <f aca="false">U1009&amp;" - "&amp;W1009</f>
        <v>地毯脚垫套装 - 通用</v>
      </c>
      <c r="W1009" s="12" t="s">
        <v>76</v>
      </c>
      <c r="X1009" s="12" t="s">
        <v>2571</v>
      </c>
      <c r="Y1009" s="10" t="n">
        <f aca="false">G1009</f>
        <v>60</v>
      </c>
      <c r="Z1009" s="10" t="n">
        <f aca="false">H1009</f>
        <v>45</v>
      </c>
      <c r="AA1009" s="10" t="n">
        <f aca="false">I1009</f>
        <v>6</v>
      </c>
      <c r="AB1009" s="10" t="n">
        <f aca="false">J1009</f>
        <v>3</v>
      </c>
      <c r="AC1009" s="9" t="s">
        <v>4126</v>
      </c>
      <c r="AD1009" s="9" t="s">
        <v>4137</v>
      </c>
      <c r="AE1009" s="9" t="str">
        <f aca="false">IF($AK1009=0,"",INDEX('Part types'!$T:$T,$AK1009)&amp;"")</f>
        <v>All vehicles</v>
      </c>
      <c r="AF1009" s="9" t="str">
        <f aca="false">IF($AK1009=0,"",INDEX('Part types'!$U:$U,$AK1009)&amp;"")</f>
        <v/>
      </c>
      <c r="AG1009" s="9" t="str">
        <f aca="false">IF($AK1009=0,"",INDEX('Part types'!$V:$V,$AK1009)&amp;"")</f>
        <v>Estimate: item-specific</v>
      </c>
      <c r="AH1009" s="9" t="str">
        <f aca="false">IF($AK1009=0,"",INDEX('Part types'!$W:$W,$AK1009)&amp;"")</f>
        <v>Carpet Floor Mat Set</v>
      </c>
      <c r="AI1009" s="11" t="str">
        <f aca="false">IF($AK1009=0,"",INDEX('Part types'!$X:$X,$AK1009)&amp;"")</f>
        <v/>
      </c>
      <c r="AJ1009" s="9" t="str">
        <f aca="false">IF($AK1009=0,"",INDEX('Part types'!$Y:$Y,$AK1009)&amp;"")</f>
        <v/>
      </c>
      <c r="AK1009" s="9" t="n">
        <f aca="false">IFERROR(MATCH($AD1009,'Part types'!$E:$E,0),0)</f>
        <v>667</v>
      </c>
    </row>
    <row r="1010" customFormat="false" ht="15" hidden="false" customHeight="false" outlineLevel="0" collapsed="false">
      <c r="A1010" s="9" t="s">
        <v>4138</v>
      </c>
      <c r="B1010" s="9" t="s">
        <v>2848</v>
      </c>
      <c r="C1010" s="9" t="s">
        <v>2848</v>
      </c>
      <c r="D1010" s="9" t="str">
        <f aca="false">C1010&amp;" - "&amp;E1010</f>
        <v>Headliner - Universal</v>
      </c>
      <c r="E1010" s="9" t="s">
        <v>68</v>
      </c>
      <c r="F1010" s="9" t="s">
        <v>2848</v>
      </c>
      <c r="G1010" s="10" t="n">
        <f aca="false">IF($AK1010=0,"",INDEX('Part types'!$P:$P,$AK1010))</f>
        <v>150</v>
      </c>
      <c r="H1010" s="10" t="n">
        <f aca="false">IF($AK1010=0,"",INDEX('Part types'!$Q:$Q,$AK1010))</f>
        <v>110</v>
      </c>
      <c r="I1010" s="10" t="n">
        <f aca="false">IF($AK1010=0,"",INDEX('Part types'!$R:$R,$AK1010))</f>
        <v>6</v>
      </c>
      <c r="J1010" s="10" t="n">
        <f aca="false">IF($AK1010=0,"",INDEX('Part types'!$S:$S,$AK1010))</f>
        <v>5</v>
      </c>
      <c r="K1010" s="11" t="s">
        <v>4139</v>
      </c>
      <c r="L1010" s="11" t="s">
        <v>4140</v>
      </c>
      <c r="M1010" s="11" t="str">
        <f aca="false">L1010&amp;" - "&amp;N1010</f>
        <v>سقف المقصورة - عام</v>
      </c>
      <c r="N1010" s="11" t="s">
        <v>72</v>
      </c>
      <c r="O1010" s="11" t="s">
        <v>2850</v>
      </c>
      <c r="P1010" s="10" t="n">
        <f aca="false">G1010</f>
        <v>150</v>
      </c>
      <c r="Q1010" s="10" t="n">
        <f aca="false">H1010</f>
        <v>110</v>
      </c>
      <c r="R1010" s="10" t="n">
        <f aca="false">I1010</f>
        <v>6</v>
      </c>
      <c r="S1010" s="10" t="n">
        <f aca="false">J1010</f>
        <v>5</v>
      </c>
      <c r="T1010" s="12" t="s">
        <v>4141</v>
      </c>
      <c r="U1010" s="12" t="s">
        <v>4141</v>
      </c>
      <c r="V1010" s="9" t="str">
        <f aca="false">U1010&amp;" - "&amp;W1010</f>
        <v>车顶内衬 - 通用</v>
      </c>
      <c r="W1010" s="12" t="s">
        <v>76</v>
      </c>
      <c r="X1010" s="12" t="s">
        <v>2852</v>
      </c>
      <c r="Y1010" s="10" t="n">
        <f aca="false">G1010</f>
        <v>150</v>
      </c>
      <c r="Z1010" s="10" t="n">
        <f aca="false">H1010</f>
        <v>110</v>
      </c>
      <c r="AA1010" s="10" t="n">
        <f aca="false">I1010</f>
        <v>6</v>
      </c>
      <c r="AB1010" s="10" t="n">
        <f aca="false">J1010</f>
        <v>5</v>
      </c>
      <c r="AC1010" s="9" t="s">
        <v>4142</v>
      </c>
      <c r="AD1010" s="9" t="s">
        <v>4143</v>
      </c>
      <c r="AE1010" s="9" t="str">
        <f aca="false">IF($AK1010=0,"",INDEX('Part types'!$T:$T,$AK1010)&amp;"")</f>
        <v>All vehicles</v>
      </c>
      <c r="AF1010" s="9" t="str">
        <f aca="false">IF($AK1010=0,"",INDEX('Part types'!$U:$U,$AK1010)&amp;"")</f>
        <v>Oversized (over 120 cm)</v>
      </c>
      <c r="AG1010" s="9" t="str">
        <f aca="false">IF($AK1010=0,"",INDEX('Part types'!$V:$V,$AK1010)&amp;"")</f>
        <v>Estimate: item-specific</v>
      </c>
      <c r="AH1010" s="9" t="str">
        <f aca="false">IF($AK1010=0,"",INDEX('Part types'!$W:$W,$AK1010)&amp;"")</f>
        <v/>
      </c>
      <c r="AI1010" s="11" t="str">
        <f aca="false">IF($AK1010=0,"",INDEX('Part types'!$X:$X,$AK1010)&amp;"")</f>
        <v>تنجيد السقف</v>
      </c>
      <c r="AJ1010" s="9" t="str">
        <f aca="false">IF($AK1010=0,"",INDEX('Part types'!$Y:$Y,$AK1010)&amp;"")</f>
        <v/>
      </c>
      <c r="AK1010" s="9" t="n">
        <f aca="false">IFERROR(MATCH($AD1010,'Part types'!$E:$E,0),0)</f>
        <v>668</v>
      </c>
    </row>
    <row r="1011" customFormat="false" ht="15" hidden="false" customHeight="false" outlineLevel="0" collapsed="false">
      <c r="A1011" s="9" t="s">
        <v>4144</v>
      </c>
      <c r="B1011" s="9" t="s">
        <v>2848</v>
      </c>
      <c r="C1011" s="9" t="s">
        <v>4145</v>
      </c>
      <c r="D1011" s="9" t="str">
        <f aca="false">C1011&amp;" - "&amp;E1011</f>
        <v>Sun Visor - Left</v>
      </c>
      <c r="E1011" s="9" t="s">
        <v>218</v>
      </c>
      <c r="F1011" s="9" t="s">
        <v>2848</v>
      </c>
      <c r="G1011" s="10" t="n">
        <f aca="false">IF($AK1011=0,"",INDEX('Part types'!$P:$P,$AK1011))</f>
        <v>30</v>
      </c>
      <c r="H1011" s="10" t="n">
        <f aca="false">IF($AK1011=0,"",INDEX('Part types'!$Q:$Q,$AK1011))</f>
        <v>20</v>
      </c>
      <c r="I1011" s="10" t="n">
        <f aca="false">IF($AK1011=0,"",INDEX('Part types'!$R:$R,$AK1011))</f>
        <v>15</v>
      </c>
      <c r="J1011" s="10" t="n">
        <f aca="false">IF($AK1011=0,"",INDEX('Part types'!$S:$S,$AK1011))</f>
        <v>1.8</v>
      </c>
      <c r="K1011" s="11" t="s">
        <v>4139</v>
      </c>
      <c r="L1011" s="11" t="s">
        <v>4146</v>
      </c>
      <c r="M1011" s="11" t="str">
        <f aca="false">L1011&amp;" - "&amp;N1011</f>
        <v>واقي الشمس - يسار</v>
      </c>
      <c r="N1011" s="11" t="s">
        <v>220</v>
      </c>
      <c r="O1011" s="11" t="s">
        <v>2850</v>
      </c>
      <c r="P1011" s="10" t="n">
        <f aca="false">G1011</f>
        <v>30</v>
      </c>
      <c r="Q1011" s="10" t="n">
        <f aca="false">H1011</f>
        <v>20</v>
      </c>
      <c r="R1011" s="10" t="n">
        <f aca="false">I1011</f>
        <v>15</v>
      </c>
      <c r="S1011" s="10" t="n">
        <f aca="false">J1011</f>
        <v>1.8</v>
      </c>
      <c r="T1011" s="12" t="s">
        <v>4141</v>
      </c>
      <c r="U1011" s="12" t="s">
        <v>4147</v>
      </c>
      <c r="V1011" s="9" t="str">
        <f aca="false">U1011&amp;" - "&amp;W1011</f>
        <v>遮阳板 - 左侧</v>
      </c>
      <c r="W1011" s="12" t="s">
        <v>222</v>
      </c>
      <c r="X1011" s="12" t="s">
        <v>2852</v>
      </c>
      <c r="Y1011" s="10" t="n">
        <f aca="false">G1011</f>
        <v>30</v>
      </c>
      <c r="Z1011" s="10" t="n">
        <f aca="false">H1011</f>
        <v>20</v>
      </c>
      <c r="AA1011" s="10" t="n">
        <f aca="false">I1011</f>
        <v>15</v>
      </c>
      <c r="AB1011" s="10" t="n">
        <f aca="false">J1011</f>
        <v>1.8</v>
      </c>
      <c r="AC1011" s="9" t="s">
        <v>4142</v>
      </c>
      <c r="AD1011" s="9" t="s">
        <v>4148</v>
      </c>
      <c r="AE1011" s="9" t="str">
        <f aca="false">IF($AK1011=0,"",INDEX('Part types'!$T:$T,$AK1011)&amp;"")</f>
        <v>All vehicles</v>
      </c>
      <c r="AF1011" s="9" t="str">
        <f aca="false">IF($AK1011=0,"",INDEX('Part types'!$U:$U,$AK1011)&amp;"")</f>
        <v/>
      </c>
      <c r="AG1011" s="9" t="str">
        <f aca="false">IF($AK1011=0,"",INDEX('Part types'!$V:$V,$AK1011)&amp;"")</f>
        <v>Estimate: size class M2</v>
      </c>
      <c r="AH1011" s="9" t="str">
        <f aca="false">IF($AK1011=0,"",INDEX('Part types'!$W:$W,$AK1011)&amp;"")</f>
        <v/>
      </c>
      <c r="AI1011" s="11" t="str">
        <f aca="false">IF($AK1011=0,"",INDEX('Part types'!$X:$X,$AK1011)&amp;"")</f>
        <v>ظلالة</v>
      </c>
      <c r="AJ1011" s="9" t="str">
        <f aca="false">IF($AK1011=0,"",INDEX('Part types'!$Y:$Y,$AK1011)&amp;"")</f>
        <v/>
      </c>
      <c r="AK1011" s="9" t="n">
        <f aca="false">IFERROR(MATCH($AD1011,'Part types'!$E:$E,0),0)</f>
        <v>669</v>
      </c>
    </row>
    <row r="1012" customFormat="false" ht="15" hidden="false" customHeight="false" outlineLevel="0" collapsed="false">
      <c r="A1012" s="9" t="s">
        <v>4149</v>
      </c>
      <c r="B1012" s="9" t="s">
        <v>2848</v>
      </c>
      <c r="C1012" s="9" t="s">
        <v>4145</v>
      </c>
      <c r="D1012" s="9" t="str">
        <f aca="false">C1012&amp;" - "&amp;E1012</f>
        <v>Sun Visor - Right</v>
      </c>
      <c r="E1012" s="9" t="s">
        <v>225</v>
      </c>
      <c r="F1012" s="9" t="s">
        <v>2848</v>
      </c>
      <c r="G1012" s="10" t="n">
        <f aca="false">IF($AK1012=0,"",INDEX('Part types'!$P:$P,$AK1012))</f>
        <v>30</v>
      </c>
      <c r="H1012" s="10" t="n">
        <f aca="false">IF($AK1012=0,"",INDEX('Part types'!$Q:$Q,$AK1012))</f>
        <v>20</v>
      </c>
      <c r="I1012" s="10" t="n">
        <f aca="false">IF($AK1012=0,"",INDEX('Part types'!$R:$R,$AK1012))</f>
        <v>15</v>
      </c>
      <c r="J1012" s="10" t="n">
        <f aca="false">IF($AK1012=0,"",INDEX('Part types'!$S:$S,$AK1012))</f>
        <v>1.8</v>
      </c>
      <c r="K1012" s="11" t="s">
        <v>4139</v>
      </c>
      <c r="L1012" s="11" t="s">
        <v>4146</v>
      </c>
      <c r="M1012" s="11" t="str">
        <f aca="false">L1012&amp;" - "&amp;N1012</f>
        <v>واقي الشمس - يمين</v>
      </c>
      <c r="N1012" s="11" t="s">
        <v>226</v>
      </c>
      <c r="O1012" s="11" t="s">
        <v>2850</v>
      </c>
      <c r="P1012" s="10" t="n">
        <f aca="false">G1012</f>
        <v>30</v>
      </c>
      <c r="Q1012" s="10" t="n">
        <f aca="false">H1012</f>
        <v>20</v>
      </c>
      <c r="R1012" s="10" t="n">
        <f aca="false">I1012</f>
        <v>15</v>
      </c>
      <c r="S1012" s="10" t="n">
        <f aca="false">J1012</f>
        <v>1.8</v>
      </c>
      <c r="T1012" s="12" t="s">
        <v>4141</v>
      </c>
      <c r="U1012" s="12" t="s">
        <v>4147</v>
      </c>
      <c r="V1012" s="9" t="str">
        <f aca="false">U1012&amp;" - "&amp;W1012</f>
        <v>遮阳板 - 右侧</v>
      </c>
      <c r="W1012" s="12" t="s">
        <v>227</v>
      </c>
      <c r="X1012" s="12" t="s">
        <v>2852</v>
      </c>
      <c r="Y1012" s="10" t="n">
        <f aca="false">G1012</f>
        <v>30</v>
      </c>
      <c r="Z1012" s="10" t="n">
        <f aca="false">H1012</f>
        <v>20</v>
      </c>
      <c r="AA1012" s="10" t="n">
        <f aca="false">I1012</f>
        <v>15</v>
      </c>
      <c r="AB1012" s="10" t="n">
        <f aca="false">J1012</f>
        <v>1.8</v>
      </c>
      <c r="AC1012" s="9" t="s">
        <v>4142</v>
      </c>
      <c r="AD1012" s="9" t="s">
        <v>4148</v>
      </c>
      <c r="AE1012" s="9" t="str">
        <f aca="false">IF($AK1012=0,"",INDEX('Part types'!$T:$T,$AK1012)&amp;"")</f>
        <v>All vehicles</v>
      </c>
      <c r="AF1012" s="9" t="str">
        <f aca="false">IF($AK1012=0,"",INDEX('Part types'!$U:$U,$AK1012)&amp;"")</f>
        <v/>
      </c>
      <c r="AG1012" s="9" t="str">
        <f aca="false">IF($AK1012=0,"",INDEX('Part types'!$V:$V,$AK1012)&amp;"")</f>
        <v>Estimate: size class M2</v>
      </c>
      <c r="AH1012" s="9" t="str">
        <f aca="false">IF($AK1012=0,"",INDEX('Part types'!$W:$W,$AK1012)&amp;"")</f>
        <v/>
      </c>
      <c r="AI1012" s="11" t="str">
        <f aca="false">IF($AK1012=0,"",INDEX('Part types'!$X:$X,$AK1012)&amp;"")</f>
        <v>ظلالة</v>
      </c>
      <c r="AJ1012" s="9" t="str">
        <f aca="false">IF($AK1012=0,"",INDEX('Part types'!$Y:$Y,$AK1012)&amp;"")</f>
        <v/>
      </c>
      <c r="AK1012" s="9" t="n">
        <f aca="false">IFERROR(MATCH($AD1012,'Part types'!$E:$E,0),0)</f>
        <v>669</v>
      </c>
    </row>
    <row r="1013" customFormat="false" ht="15" hidden="false" customHeight="false" outlineLevel="0" collapsed="false">
      <c r="A1013" s="9" t="s">
        <v>4150</v>
      </c>
      <c r="B1013" s="9" t="s">
        <v>2848</v>
      </c>
      <c r="C1013" s="9" t="s">
        <v>4151</v>
      </c>
      <c r="D1013" s="9" t="str">
        <f aca="false">C1013&amp;" - "&amp;E1013</f>
        <v>Vanity Mirror - Left</v>
      </c>
      <c r="E1013" s="9" t="s">
        <v>218</v>
      </c>
      <c r="F1013" s="9" t="s">
        <v>2848</v>
      </c>
      <c r="G1013" s="10" t="n">
        <f aca="false">IF($AK1013=0,"",INDEX('Part types'!$P:$P,$AK1013))</f>
        <v>10</v>
      </c>
      <c r="H1013" s="10" t="n">
        <f aca="false">IF($AK1013=0,"",INDEX('Part types'!$Q:$Q,$AK1013))</f>
        <v>8</v>
      </c>
      <c r="I1013" s="10" t="n">
        <f aca="false">IF($AK1013=0,"",INDEX('Part types'!$R:$R,$AK1013))</f>
        <v>6</v>
      </c>
      <c r="J1013" s="10" t="n">
        <f aca="false">IF($AK1013=0,"",INDEX('Part types'!$S:$S,$AK1013))</f>
        <v>0.1</v>
      </c>
      <c r="K1013" s="11" t="s">
        <v>4139</v>
      </c>
      <c r="L1013" s="11" t="s">
        <v>4152</v>
      </c>
      <c r="M1013" s="11" t="str">
        <f aca="false">L1013&amp;" - "&amp;N1013</f>
        <v>مرآة التجميل - يسار</v>
      </c>
      <c r="N1013" s="11" t="s">
        <v>220</v>
      </c>
      <c r="O1013" s="11" t="s">
        <v>2850</v>
      </c>
      <c r="P1013" s="10" t="n">
        <f aca="false">G1013</f>
        <v>10</v>
      </c>
      <c r="Q1013" s="10" t="n">
        <f aca="false">H1013</f>
        <v>8</v>
      </c>
      <c r="R1013" s="10" t="n">
        <f aca="false">I1013</f>
        <v>6</v>
      </c>
      <c r="S1013" s="10" t="n">
        <f aca="false">J1013</f>
        <v>0.1</v>
      </c>
      <c r="T1013" s="12" t="s">
        <v>4141</v>
      </c>
      <c r="U1013" s="12" t="s">
        <v>4153</v>
      </c>
      <c r="V1013" s="9" t="str">
        <f aca="false">U1013&amp;" - "&amp;W1013</f>
        <v>化妆镜 - 左侧</v>
      </c>
      <c r="W1013" s="12" t="s">
        <v>222</v>
      </c>
      <c r="X1013" s="12" t="s">
        <v>2852</v>
      </c>
      <c r="Y1013" s="10" t="n">
        <f aca="false">G1013</f>
        <v>10</v>
      </c>
      <c r="Z1013" s="10" t="n">
        <f aca="false">H1013</f>
        <v>8</v>
      </c>
      <c r="AA1013" s="10" t="n">
        <f aca="false">I1013</f>
        <v>6</v>
      </c>
      <c r="AB1013" s="10" t="n">
        <f aca="false">J1013</f>
        <v>0.1</v>
      </c>
      <c r="AC1013" s="9" t="s">
        <v>4142</v>
      </c>
      <c r="AD1013" s="9" t="s">
        <v>4154</v>
      </c>
      <c r="AE1013" s="9" t="str">
        <f aca="false">IF($AK1013=0,"",INDEX('Part types'!$T:$T,$AK1013)&amp;"")</f>
        <v>All vehicles</v>
      </c>
      <c r="AF1013" s="9" t="str">
        <f aca="false">IF($AK1013=0,"",INDEX('Part types'!$U:$U,$AK1013)&amp;"")</f>
        <v/>
      </c>
      <c r="AG1013" s="9" t="str">
        <f aca="false">IF($AK1013=0,"",INDEX('Part types'!$V:$V,$AK1013)&amp;"")</f>
        <v>Estimate: size class XS</v>
      </c>
      <c r="AH1013" s="9" t="str">
        <f aca="false">IF($AK1013=0,"",INDEX('Part types'!$W:$W,$AK1013)&amp;"")</f>
        <v/>
      </c>
      <c r="AI1013" s="11" t="str">
        <f aca="false">IF($AK1013=0,"",INDEX('Part types'!$X:$X,$AK1013)&amp;"")</f>
        <v/>
      </c>
      <c r="AJ1013" s="9" t="str">
        <f aca="false">IF($AK1013=0,"",INDEX('Part types'!$Y:$Y,$AK1013)&amp;"")</f>
        <v/>
      </c>
      <c r="AK1013" s="9" t="n">
        <f aca="false">IFERROR(MATCH($AD1013,'Part types'!$E:$E,0),0)</f>
        <v>670</v>
      </c>
    </row>
    <row r="1014" customFormat="false" ht="15" hidden="false" customHeight="false" outlineLevel="0" collapsed="false">
      <c r="A1014" s="9" t="s">
        <v>4155</v>
      </c>
      <c r="B1014" s="9" t="s">
        <v>2848</v>
      </c>
      <c r="C1014" s="9" t="s">
        <v>4151</v>
      </c>
      <c r="D1014" s="9" t="str">
        <f aca="false">C1014&amp;" - "&amp;E1014</f>
        <v>Vanity Mirror - Right</v>
      </c>
      <c r="E1014" s="9" t="s">
        <v>225</v>
      </c>
      <c r="F1014" s="9" t="s">
        <v>2848</v>
      </c>
      <c r="G1014" s="10" t="n">
        <f aca="false">IF($AK1014=0,"",INDEX('Part types'!$P:$P,$AK1014))</f>
        <v>10</v>
      </c>
      <c r="H1014" s="10" t="n">
        <f aca="false">IF($AK1014=0,"",INDEX('Part types'!$Q:$Q,$AK1014))</f>
        <v>8</v>
      </c>
      <c r="I1014" s="10" t="n">
        <f aca="false">IF($AK1014=0,"",INDEX('Part types'!$R:$R,$AK1014))</f>
        <v>6</v>
      </c>
      <c r="J1014" s="10" t="n">
        <f aca="false">IF($AK1014=0,"",INDEX('Part types'!$S:$S,$AK1014))</f>
        <v>0.1</v>
      </c>
      <c r="K1014" s="11" t="s">
        <v>4139</v>
      </c>
      <c r="L1014" s="11" t="s">
        <v>4152</v>
      </c>
      <c r="M1014" s="11" t="str">
        <f aca="false">L1014&amp;" - "&amp;N1014</f>
        <v>مرآة التجميل - يمين</v>
      </c>
      <c r="N1014" s="11" t="s">
        <v>226</v>
      </c>
      <c r="O1014" s="11" t="s">
        <v>2850</v>
      </c>
      <c r="P1014" s="10" t="n">
        <f aca="false">G1014</f>
        <v>10</v>
      </c>
      <c r="Q1014" s="10" t="n">
        <f aca="false">H1014</f>
        <v>8</v>
      </c>
      <c r="R1014" s="10" t="n">
        <f aca="false">I1014</f>
        <v>6</v>
      </c>
      <c r="S1014" s="10" t="n">
        <f aca="false">J1014</f>
        <v>0.1</v>
      </c>
      <c r="T1014" s="12" t="s">
        <v>4141</v>
      </c>
      <c r="U1014" s="12" t="s">
        <v>4153</v>
      </c>
      <c r="V1014" s="9" t="str">
        <f aca="false">U1014&amp;" - "&amp;W1014</f>
        <v>化妆镜 - 右侧</v>
      </c>
      <c r="W1014" s="12" t="s">
        <v>227</v>
      </c>
      <c r="X1014" s="12" t="s">
        <v>2852</v>
      </c>
      <c r="Y1014" s="10" t="n">
        <f aca="false">G1014</f>
        <v>10</v>
      </c>
      <c r="Z1014" s="10" t="n">
        <f aca="false">H1014</f>
        <v>8</v>
      </c>
      <c r="AA1014" s="10" t="n">
        <f aca="false">I1014</f>
        <v>6</v>
      </c>
      <c r="AB1014" s="10" t="n">
        <f aca="false">J1014</f>
        <v>0.1</v>
      </c>
      <c r="AC1014" s="9" t="s">
        <v>4142</v>
      </c>
      <c r="AD1014" s="9" t="s">
        <v>4154</v>
      </c>
      <c r="AE1014" s="9" t="str">
        <f aca="false">IF($AK1014=0,"",INDEX('Part types'!$T:$T,$AK1014)&amp;"")</f>
        <v>All vehicles</v>
      </c>
      <c r="AF1014" s="9" t="str">
        <f aca="false">IF($AK1014=0,"",INDEX('Part types'!$U:$U,$AK1014)&amp;"")</f>
        <v/>
      </c>
      <c r="AG1014" s="9" t="str">
        <f aca="false">IF($AK1014=0,"",INDEX('Part types'!$V:$V,$AK1014)&amp;"")</f>
        <v>Estimate: size class XS</v>
      </c>
      <c r="AH1014" s="9" t="str">
        <f aca="false">IF($AK1014=0,"",INDEX('Part types'!$W:$W,$AK1014)&amp;"")</f>
        <v/>
      </c>
      <c r="AI1014" s="11" t="str">
        <f aca="false">IF($AK1014=0,"",INDEX('Part types'!$X:$X,$AK1014)&amp;"")</f>
        <v/>
      </c>
      <c r="AJ1014" s="9" t="str">
        <f aca="false">IF($AK1014=0,"",INDEX('Part types'!$Y:$Y,$AK1014)&amp;"")</f>
        <v/>
      </c>
      <c r="AK1014" s="9" t="n">
        <f aca="false">IFERROR(MATCH($AD1014,'Part types'!$E:$E,0),0)</f>
        <v>670</v>
      </c>
    </row>
    <row r="1015" customFormat="false" ht="15" hidden="false" customHeight="false" outlineLevel="0" collapsed="false">
      <c r="A1015" s="9" t="s">
        <v>4156</v>
      </c>
      <c r="B1015" s="9" t="s">
        <v>2848</v>
      </c>
      <c r="C1015" s="9" t="s">
        <v>4157</v>
      </c>
      <c r="D1015" s="9" t="str">
        <f aca="false">C1015&amp;" - "&amp;E1015</f>
        <v>Grab Handle - Front-Left</v>
      </c>
      <c r="E1015" s="9" t="s">
        <v>1346</v>
      </c>
      <c r="F1015" s="9" t="s">
        <v>2848</v>
      </c>
      <c r="G1015" s="10" t="n">
        <f aca="false">IF($AK1015=0,"",INDEX('Part types'!$P:$P,$AK1015))</f>
        <v>15</v>
      </c>
      <c r="H1015" s="10" t="n">
        <f aca="false">IF($AK1015=0,"",INDEX('Part types'!$Q:$Q,$AK1015))</f>
        <v>10</v>
      </c>
      <c r="I1015" s="10" t="n">
        <f aca="false">IF($AK1015=0,"",INDEX('Part types'!$R:$R,$AK1015))</f>
        <v>8</v>
      </c>
      <c r="J1015" s="10" t="n">
        <f aca="false">IF($AK1015=0,"",INDEX('Part types'!$S:$S,$AK1015))</f>
        <v>0.3</v>
      </c>
      <c r="K1015" s="11" t="s">
        <v>4139</v>
      </c>
      <c r="L1015" s="11" t="s">
        <v>4158</v>
      </c>
      <c r="M1015" s="11" t="str">
        <f aca="false">L1015&amp;" - "&amp;N1015</f>
        <v>مقبض سقف - أمامي يسار</v>
      </c>
      <c r="N1015" s="11" t="s">
        <v>1349</v>
      </c>
      <c r="O1015" s="11" t="s">
        <v>2850</v>
      </c>
      <c r="P1015" s="10" t="n">
        <f aca="false">G1015</f>
        <v>15</v>
      </c>
      <c r="Q1015" s="10" t="n">
        <f aca="false">H1015</f>
        <v>10</v>
      </c>
      <c r="R1015" s="10" t="n">
        <f aca="false">I1015</f>
        <v>8</v>
      </c>
      <c r="S1015" s="10" t="n">
        <f aca="false">J1015</f>
        <v>0.3</v>
      </c>
      <c r="T1015" s="12" t="s">
        <v>4141</v>
      </c>
      <c r="U1015" s="12" t="s">
        <v>4159</v>
      </c>
      <c r="V1015" s="9" t="str">
        <f aca="false">U1015&amp;" - "&amp;W1015</f>
        <v>车顶扶手 - 前左</v>
      </c>
      <c r="W1015" s="12" t="s">
        <v>1352</v>
      </c>
      <c r="X1015" s="12" t="s">
        <v>2852</v>
      </c>
      <c r="Y1015" s="10" t="n">
        <f aca="false">G1015</f>
        <v>15</v>
      </c>
      <c r="Z1015" s="10" t="n">
        <f aca="false">H1015</f>
        <v>10</v>
      </c>
      <c r="AA1015" s="10" t="n">
        <f aca="false">I1015</f>
        <v>8</v>
      </c>
      <c r="AB1015" s="10" t="n">
        <f aca="false">J1015</f>
        <v>0.3</v>
      </c>
      <c r="AC1015" s="9" t="s">
        <v>4142</v>
      </c>
      <c r="AD1015" s="9" t="s">
        <v>4160</v>
      </c>
      <c r="AE1015" s="9" t="str">
        <f aca="false">IF($AK1015=0,"",INDEX('Part types'!$T:$T,$AK1015)&amp;"")</f>
        <v>All vehicles</v>
      </c>
      <c r="AF1015" s="9" t="str">
        <f aca="false">IF($AK1015=0,"",INDEX('Part types'!$U:$U,$AK1015)&amp;"")</f>
        <v/>
      </c>
      <c r="AG1015" s="9" t="str">
        <f aca="false">IF($AK1015=0,"",INDEX('Part types'!$V:$V,$AK1015)&amp;"")</f>
        <v>Estimate: size class S</v>
      </c>
      <c r="AH1015" s="9" t="str">
        <f aca="false">IF($AK1015=0,"",INDEX('Part types'!$W:$W,$AK1015)&amp;"")</f>
        <v/>
      </c>
      <c r="AI1015" s="11" t="str">
        <f aca="false">IF($AK1015=0,"",INDEX('Part types'!$X:$X,$AK1015)&amp;"")</f>
        <v>يد مساعدة</v>
      </c>
      <c r="AJ1015" s="9" t="str">
        <f aca="false">IF($AK1015=0,"",INDEX('Part types'!$Y:$Y,$AK1015)&amp;"")</f>
        <v/>
      </c>
      <c r="AK1015" s="9" t="n">
        <f aca="false">IFERROR(MATCH($AD1015,'Part types'!$E:$E,0),0)</f>
        <v>671</v>
      </c>
    </row>
    <row r="1016" customFormat="false" ht="15" hidden="false" customHeight="false" outlineLevel="0" collapsed="false">
      <c r="A1016" s="9" t="s">
        <v>4161</v>
      </c>
      <c r="B1016" s="9" t="s">
        <v>2848</v>
      </c>
      <c r="C1016" s="9" t="s">
        <v>4157</v>
      </c>
      <c r="D1016" s="9" t="str">
        <f aca="false">C1016&amp;" - "&amp;E1016</f>
        <v>Grab Handle - Front-Right</v>
      </c>
      <c r="E1016" s="9" t="s">
        <v>1356</v>
      </c>
      <c r="F1016" s="9" t="s">
        <v>2848</v>
      </c>
      <c r="G1016" s="10" t="n">
        <f aca="false">IF($AK1016=0,"",INDEX('Part types'!$P:$P,$AK1016))</f>
        <v>15</v>
      </c>
      <c r="H1016" s="10" t="n">
        <f aca="false">IF($AK1016=0,"",INDEX('Part types'!$Q:$Q,$AK1016))</f>
        <v>10</v>
      </c>
      <c r="I1016" s="10" t="n">
        <f aca="false">IF($AK1016=0,"",INDEX('Part types'!$R:$R,$AK1016))</f>
        <v>8</v>
      </c>
      <c r="J1016" s="10" t="n">
        <f aca="false">IF($AK1016=0,"",INDEX('Part types'!$S:$S,$AK1016))</f>
        <v>0.3</v>
      </c>
      <c r="K1016" s="11" t="s">
        <v>4139</v>
      </c>
      <c r="L1016" s="11" t="s">
        <v>4158</v>
      </c>
      <c r="M1016" s="11" t="str">
        <f aca="false">L1016&amp;" - "&amp;N1016</f>
        <v>مقبض سقف - أمامي يمين</v>
      </c>
      <c r="N1016" s="11" t="s">
        <v>1357</v>
      </c>
      <c r="O1016" s="11" t="s">
        <v>2850</v>
      </c>
      <c r="P1016" s="10" t="n">
        <f aca="false">G1016</f>
        <v>15</v>
      </c>
      <c r="Q1016" s="10" t="n">
        <f aca="false">H1016</f>
        <v>10</v>
      </c>
      <c r="R1016" s="10" t="n">
        <f aca="false">I1016</f>
        <v>8</v>
      </c>
      <c r="S1016" s="10" t="n">
        <f aca="false">J1016</f>
        <v>0.3</v>
      </c>
      <c r="T1016" s="12" t="s">
        <v>4141</v>
      </c>
      <c r="U1016" s="12" t="s">
        <v>4159</v>
      </c>
      <c r="V1016" s="9" t="str">
        <f aca="false">U1016&amp;" - "&amp;W1016</f>
        <v>车顶扶手 - 前右</v>
      </c>
      <c r="W1016" s="12" t="s">
        <v>1358</v>
      </c>
      <c r="X1016" s="12" t="s">
        <v>2852</v>
      </c>
      <c r="Y1016" s="10" t="n">
        <f aca="false">G1016</f>
        <v>15</v>
      </c>
      <c r="Z1016" s="10" t="n">
        <f aca="false">H1016</f>
        <v>10</v>
      </c>
      <c r="AA1016" s="10" t="n">
        <f aca="false">I1016</f>
        <v>8</v>
      </c>
      <c r="AB1016" s="10" t="n">
        <f aca="false">J1016</f>
        <v>0.3</v>
      </c>
      <c r="AC1016" s="9" t="s">
        <v>4142</v>
      </c>
      <c r="AD1016" s="9" t="s">
        <v>4160</v>
      </c>
      <c r="AE1016" s="9" t="str">
        <f aca="false">IF($AK1016=0,"",INDEX('Part types'!$T:$T,$AK1016)&amp;"")</f>
        <v>All vehicles</v>
      </c>
      <c r="AF1016" s="9" t="str">
        <f aca="false">IF($AK1016=0,"",INDEX('Part types'!$U:$U,$AK1016)&amp;"")</f>
        <v/>
      </c>
      <c r="AG1016" s="9" t="str">
        <f aca="false">IF($AK1016=0,"",INDEX('Part types'!$V:$V,$AK1016)&amp;"")</f>
        <v>Estimate: size class S</v>
      </c>
      <c r="AH1016" s="9" t="str">
        <f aca="false">IF($AK1016=0,"",INDEX('Part types'!$W:$W,$AK1016)&amp;"")</f>
        <v/>
      </c>
      <c r="AI1016" s="11" t="str">
        <f aca="false">IF($AK1016=0,"",INDEX('Part types'!$X:$X,$AK1016)&amp;"")</f>
        <v>يد مساعدة</v>
      </c>
      <c r="AJ1016" s="9" t="str">
        <f aca="false">IF($AK1016=0,"",INDEX('Part types'!$Y:$Y,$AK1016)&amp;"")</f>
        <v/>
      </c>
      <c r="AK1016" s="9" t="n">
        <f aca="false">IFERROR(MATCH($AD1016,'Part types'!$E:$E,0),0)</f>
        <v>671</v>
      </c>
    </row>
    <row r="1017" customFormat="false" ht="15" hidden="false" customHeight="false" outlineLevel="0" collapsed="false">
      <c r="A1017" s="9" t="s">
        <v>4162</v>
      </c>
      <c r="B1017" s="9" t="s">
        <v>2848</v>
      </c>
      <c r="C1017" s="9" t="s">
        <v>4157</v>
      </c>
      <c r="D1017" s="9" t="str">
        <f aca="false">C1017&amp;" - "&amp;E1017</f>
        <v>Grab Handle - Rear-Left</v>
      </c>
      <c r="E1017" s="9" t="s">
        <v>1360</v>
      </c>
      <c r="F1017" s="9" t="s">
        <v>2848</v>
      </c>
      <c r="G1017" s="10" t="n">
        <f aca="false">IF($AK1017=0,"",INDEX('Part types'!$P:$P,$AK1017))</f>
        <v>15</v>
      </c>
      <c r="H1017" s="10" t="n">
        <f aca="false">IF($AK1017=0,"",INDEX('Part types'!$Q:$Q,$AK1017))</f>
        <v>10</v>
      </c>
      <c r="I1017" s="10" t="n">
        <f aca="false">IF($AK1017=0,"",INDEX('Part types'!$R:$R,$AK1017))</f>
        <v>8</v>
      </c>
      <c r="J1017" s="10" t="n">
        <f aca="false">IF($AK1017=0,"",INDEX('Part types'!$S:$S,$AK1017))</f>
        <v>0.3</v>
      </c>
      <c r="K1017" s="11" t="s">
        <v>4139</v>
      </c>
      <c r="L1017" s="11" t="s">
        <v>4158</v>
      </c>
      <c r="M1017" s="11" t="str">
        <f aca="false">L1017&amp;" - "&amp;N1017</f>
        <v>مقبض سقف - خلفي يسار</v>
      </c>
      <c r="N1017" s="11" t="s">
        <v>1361</v>
      </c>
      <c r="O1017" s="11" t="s">
        <v>2850</v>
      </c>
      <c r="P1017" s="10" t="n">
        <f aca="false">G1017</f>
        <v>15</v>
      </c>
      <c r="Q1017" s="10" t="n">
        <f aca="false">H1017</f>
        <v>10</v>
      </c>
      <c r="R1017" s="10" t="n">
        <f aca="false">I1017</f>
        <v>8</v>
      </c>
      <c r="S1017" s="10" t="n">
        <f aca="false">J1017</f>
        <v>0.3</v>
      </c>
      <c r="T1017" s="12" t="s">
        <v>4141</v>
      </c>
      <c r="U1017" s="12" t="s">
        <v>4159</v>
      </c>
      <c r="V1017" s="9" t="str">
        <f aca="false">U1017&amp;" - "&amp;W1017</f>
        <v>车顶扶手 - 后左</v>
      </c>
      <c r="W1017" s="12" t="s">
        <v>1362</v>
      </c>
      <c r="X1017" s="12" t="s">
        <v>2852</v>
      </c>
      <c r="Y1017" s="10" t="n">
        <f aca="false">G1017</f>
        <v>15</v>
      </c>
      <c r="Z1017" s="10" t="n">
        <f aca="false">H1017</f>
        <v>10</v>
      </c>
      <c r="AA1017" s="10" t="n">
        <f aca="false">I1017</f>
        <v>8</v>
      </c>
      <c r="AB1017" s="10" t="n">
        <f aca="false">J1017</f>
        <v>0.3</v>
      </c>
      <c r="AC1017" s="9" t="s">
        <v>4142</v>
      </c>
      <c r="AD1017" s="9" t="s">
        <v>4160</v>
      </c>
      <c r="AE1017" s="9" t="str">
        <f aca="false">IF($AK1017=0,"",INDEX('Part types'!$T:$T,$AK1017)&amp;"")</f>
        <v>All vehicles</v>
      </c>
      <c r="AF1017" s="9" t="str">
        <f aca="false">IF($AK1017=0,"",INDEX('Part types'!$U:$U,$AK1017)&amp;"")</f>
        <v/>
      </c>
      <c r="AG1017" s="9" t="str">
        <f aca="false">IF($AK1017=0,"",INDEX('Part types'!$V:$V,$AK1017)&amp;"")</f>
        <v>Estimate: size class S</v>
      </c>
      <c r="AH1017" s="9" t="str">
        <f aca="false">IF($AK1017=0,"",INDEX('Part types'!$W:$W,$AK1017)&amp;"")</f>
        <v/>
      </c>
      <c r="AI1017" s="11" t="str">
        <f aca="false">IF($AK1017=0,"",INDEX('Part types'!$X:$X,$AK1017)&amp;"")</f>
        <v>يد مساعدة</v>
      </c>
      <c r="AJ1017" s="9" t="str">
        <f aca="false">IF($AK1017=0,"",INDEX('Part types'!$Y:$Y,$AK1017)&amp;"")</f>
        <v/>
      </c>
      <c r="AK1017" s="9" t="n">
        <f aca="false">IFERROR(MATCH($AD1017,'Part types'!$E:$E,0),0)</f>
        <v>671</v>
      </c>
    </row>
    <row r="1018" customFormat="false" ht="15" hidden="false" customHeight="false" outlineLevel="0" collapsed="false">
      <c r="A1018" s="9" t="s">
        <v>4163</v>
      </c>
      <c r="B1018" s="9" t="s">
        <v>2848</v>
      </c>
      <c r="C1018" s="9" t="s">
        <v>4157</v>
      </c>
      <c r="D1018" s="9" t="str">
        <f aca="false">C1018&amp;" - "&amp;E1018</f>
        <v>Grab Handle - Rear-Right</v>
      </c>
      <c r="E1018" s="9" t="s">
        <v>1364</v>
      </c>
      <c r="F1018" s="9" t="s">
        <v>2848</v>
      </c>
      <c r="G1018" s="10" t="n">
        <f aca="false">IF($AK1018=0,"",INDEX('Part types'!$P:$P,$AK1018))</f>
        <v>15</v>
      </c>
      <c r="H1018" s="10" t="n">
        <f aca="false">IF($AK1018=0,"",INDEX('Part types'!$Q:$Q,$AK1018))</f>
        <v>10</v>
      </c>
      <c r="I1018" s="10" t="n">
        <f aca="false">IF($AK1018=0,"",INDEX('Part types'!$R:$R,$AK1018))</f>
        <v>8</v>
      </c>
      <c r="J1018" s="10" t="n">
        <f aca="false">IF($AK1018=0,"",INDEX('Part types'!$S:$S,$AK1018))</f>
        <v>0.3</v>
      </c>
      <c r="K1018" s="11" t="s">
        <v>4139</v>
      </c>
      <c r="L1018" s="11" t="s">
        <v>4158</v>
      </c>
      <c r="M1018" s="11" t="str">
        <f aca="false">L1018&amp;" - "&amp;N1018</f>
        <v>مقبض سقف - خلفي يمين</v>
      </c>
      <c r="N1018" s="11" t="s">
        <v>1365</v>
      </c>
      <c r="O1018" s="11" t="s">
        <v>2850</v>
      </c>
      <c r="P1018" s="10" t="n">
        <f aca="false">G1018</f>
        <v>15</v>
      </c>
      <c r="Q1018" s="10" t="n">
        <f aca="false">H1018</f>
        <v>10</v>
      </c>
      <c r="R1018" s="10" t="n">
        <f aca="false">I1018</f>
        <v>8</v>
      </c>
      <c r="S1018" s="10" t="n">
        <f aca="false">J1018</f>
        <v>0.3</v>
      </c>
      <c r="T1018" s="12" t="s">
        <v>4141</v>
      </c>
      <c r="U1018" s="12" t="s">
        <v>4159</v>
      </c>
      <c r="V1018" s="9" t="str">
        <f aca="false">U1018&amp;" - "&amp;W1018</f>
        <v>车顶扶手 - 后右</v>
      </c>
      <c r="W1018" s="12" t="s">
        <v>1366</v>
      </c>
      <c r="X1018" s="12" t="s">
        <v>2852</v>
      </c>
      <c r="Y1018" s="10" t="n">
        <f aca="false">G1018</f>
        <v>15</v>
      </c>
      <c r="Z1018" s="10" t="n">
        <f aca="false">H1018</f>
        <v>10</v>
      </c>
      <c r="AA1018" s="10" t="n">
        <f aca="false">I1018</f>
        <v>8</v>
      </c>
      <c r="AB1018" s="10" t="n">
        <f aca="false">J1018</f>
        <v>0.3</v>
      </c>
      <c r="AC1018" s="9" t="s">
        <v>4142</v>
      </c>
      <c r="AD1018" s="9" t="s">
        <v>4160</v>
      </c>
      <c r="AE1018" s="9" t="str">
        <f aca="false">IF($AK1018=0,"",INDEX('Part types'!$T:$T,$AK1018)&amp;"")</f>
        <v>All vehicles</v>
      </c>
      <c r="AF1018" s="9" t="str">
        <f aca="false">IF($AK1018=0,"",INDEX('Part types'!$U:$U,$AK1018)&amp;"")</f>
        <v/>
      </c>
      <c r="AG1018" s="9" t="str">
        <f aca="false">IF($AK1018=0,"",INDEX('Part types'!$V:$V,$AK1018)&amp;"")</f>
        <v>Estimate: size class S</v>
      </c>
      <c r="AH1018" s="9" t="str">
        <f aca="false">IF($AK1018=0,"",INDEX('Part types'!$W:$W,$AK1018)&amp;"")</f>
        <v/>
      </c>
      <c r="AI1018" s="11" t="str">
        <f aca="false">IF($AK1018=0,"",INDEX('Part types'!$X:$X,$AK1018)&amp;"")</f>
        <v>يد مساعدة</v>
      </c>
      <c r="AJ1018" s="9" t="str">
        <f aca="false">IF($AK1018=0,"",INDEX('Part types'!$Y:$Y,$AK1018)&amp;"")</f>
        <v/>
      </c>
      <c r="AK1018" s="9" t="n">
        <f aca="false">IFERROR(MATCH($AD1018,'Part types'!$E:$E,0),0)</f>
        <v>671</v>
      </c>
    </row>
    <row r="1019" customFormat="false" ht="15" hidden="false" customHeight="false" outlineLevel="0" collapsed="false">
      <c r="A1019" s="9" t="s">
        <v>4164</v>
      </c>
      <c r="B1019" s="9" t="s">
        <v>2848</v>
      </c>
      <c r="C1019" s="9" t="s">
        <v>4165</v>
      </c>
      <c r="D1019" s="9" t="str">
        <f aca="false">C1019&amp;" - "&amp;E1019</f>
        <v>Pillar Trim - Front-Left</v>
      </c>
      <c r="E1019" s="9" t="s">
        <v>1346</v>
      </c>
      <c r="F1019" s="9" t="s">
        <v>2260</v>
      </c>
      <c r="G1019" s="10" t="n">
        <f aca="false">IF($AK1019=0,"",INDEX('Part types'!$P:$P,$AK1019))</f>
        <v>30</v>
      </c>
      <c r="H1019" s="10" t="n">
        <f aca="false">IF($AK1019=0,"",INDEX('Part types'!$Q:$Q,$AK1019))</f>
        <v>20</v>
      </c>
      <c r="I1019" s="10" t="n">
        <f aca="false">IF($AK1019=0,"",INDEX('Part types'!$R:$R,$AK1019))</f>
        <v>15</v>
      </c>
      <c r="J1019" s="10" t="n">
        <f aca="false">IF($AK1019=0,"",INDEX('Part types'!$S:$S,$AK1019))</f>
        <v>1.8</v>
      </c>
      <c r="K1019" s="11" t="s">
        <v>4139</v>
      </c>
      <c r="L1019" s="11" t="s">
        <v>4166</v>
      </c>
      <c r="M1019" s="11" t="str">
        <f aca="false">L1019&amp;" - "&amp;N1019</f>
        <v>غطاء العمود - أمامي يسار</v>
      </c>
      <c r="N1019" s="11" t="s">
        <v>1349</v>
      </c>
      <c r="O1019" s="11" t="s">
        <v>2262</v>
      </c>
      <c r="P1019" s="10" t="n">
        <f aca="false">G1019</f>
        <v>30</v>
      </c>
      <c r="Q1019" s="10" t="n">
        <f aca="false">H1019</f>
        <v>20</v>
      </c>
      <c r="R1019" s="10" t="n">
        <f aca="false">I1019</f>
        <v>15</v>
      </c>
      <c r="S1019" s="10" t="n">
        <f aca="false">J1019</f>
        <v>1.8</v>
      </c>
      <c r="T1019" s="12" t="s">
        <v>4141</v>
      </c>
      <c r="U1019" s="12" t="s">
        <v>4167</v>
      </c>
      <c r="V1019" s="9" t="str">
        <f aca="false">U1019&amp;" - "&amp;W1019</f>
        <v>立柱饰板 - 前左</v>
      </c>
      <c r="W1019" s="12" t="s">
        <v>1352</v>
      </c>
      <c r="X1019" s="12" t="s">
        <v>2264</v>
      </c>
      <c r="Y1019" s="10" t="n">
        <f aca="false">G1019</f>
        <v>30</v>
      </c>
      <c r="Z1019" s="10" t="n">
        <f aca="false">H1019</f>
        <v>20</v>
      </c>
      <c r="AA1019" s="10" t="n">
        <f aca="false">I1019</f>
        <v>15</v>
      </c>
      <c r="AB1019" s="10" t="n">
        <f aca="false">J1019</f>
        <v>1.8</v>
      </c>
      <c r="AC1019" s="9" t="s">
        <v>4142</v>
      </c>
      <c r="AD1019" s="9" t="s">
        <v>4168</v>
      </c>
      <c r="AE1019" s="9" t="str">
        <f aca="false">IF($AK1019=0,"",INDEX('Part types'!$T:$T,$AK1019)&amp;"")</f>
        <v>All vehicles</v>
      </c>
      <c r="AF1019" s="9" t="str">
        <f aca="false">IF($AK1019=0,"",INDEX('Part types'!$U:$U,$AK1019)&amp;"")</f>
        <v/>
      </c>
      <c r="AG1019" s="9" t="str">
        <f aca="false">IF($AK1019=0,"",INDEX('Part types'!$V:$V,$AK1019)&amp;"")</f>
        <v>Estimate: size class M2</v>
      </c>
      <c r="AH1019" s="9" t="str">
        <f aca="false">IF($AK1019=0,"",INDEX('Part types'!$W:$W,$AK1019)&amp;"")</f>
        <v/>
      </c>
      <c r="AI1019" s="11" t="str">
        <f aca="false">IF($AK1019=0,"",INDEX('Part types'!$X:$X,$AK1019)&amp;"")</f>
        <v>A / B / C</v>
      </c>
      <c r="AJ1019" s="9" t="str">
        <f aca="false">IF($AK1019=0,"",INDEX('Part types'!$Y:$Y,$AK1019)&amp;"")</f>
        <v/>
      </c>
      <c r="AK1019" s="9" t="n">
        <f aca="false">IFERROR(MATCH($AD1019,'Part types'!$E:$E,0),0)</f>
        <v>672</v>
      </c>
    </row>
    <row r="1020" customFormat="false" ht="15" hidden="false" customHeight="false" outlineLevel="0" collapsed="false">
      <c r="A1020" s="9" t="s">
        <v>4169</v>
      </c>
      <c r="B1020" s="9" t="s">
        <v>2848</v>
      </c>
      <c r="C1020" s="9" t="s">
        <v>4165</v>
      </c>
      <c r="D1020" s="9" t="str">
        <f aca="false">C1020&amp;" - "&amp;E1020</f>
        <v>Pillar Trim - Front-Right</v>
      </c>
      <c r="E1020" s="9" t="s">
        <v>1356</v>
      </c>
      <c r="F1020" s="9" t="s">
        <v>2260</v>
      </c>
      <c r="G1020" s="10" t="n">
        <f aca="false">IF($AK1020=0,"",INDEX('Part types'!$P:$P,$AK1020))</f>
        <v>30</v>
      </c>
      <c r="H1020" s="10" t="n">
        <f aca="false">IF($AK1020=0,"",INDEX('Part types'!$Q:$Q,$AK1020))</f>
        <v>20</v>
      </c>
      <c r="I1020" s="10" t="n">
        <f aca="false">IF($AK1020=0,"",INDEX('Part types'!$R:$R,$AK1020))</f>
        <v>15</v>
      </c>
      <c r="J1020" s="10" t="n">
        <f aca="false">IF($AK1020=0,"",INDEX('Part types'!$S:$S,$AK1020))</f>
        <v>1.8</v>
      </c>
      <c r="K1020" s="11" t="s">
        <v>4139</v>
      </c>
      <c r="L1020" s="11" t="s">
        <v>4166</v>
      </c>
      <c r="M1020" s="11" t="str">
        <f aca="false">L1020&amp;" - "&amp;N1020</f>
        <v>غطاء العمود - أمامي يمين</v>
      </c>
      <c r="N1020" s="11" t="s">
        <v>1357</v>
      </c>
      <c r="O1020" s="11" t="s">
        <v>2262</v>
      </c>
      <c r="P1020" s="10" t="n">
        <f aca="false">G1020</f>
        <v>30</v>
      </c>
      <c r="Q1020" s="10" t="n">
        <f aca="false">H1020</f>
        <v>20</v>
      </c>
      <c r="R1020" s="10" t="n">
        <f aca="false">I1020</f>
        <v>15</v>
      </c>
      <c r="S1020" s="10" t="n">
        <f aca="false">J1020</f>
        <v>1.8</v>
      </c>
      <c r="T1020" s="12" t="s">
        <v>4141</v>
      </c>
      <c r="U1020" s="12" t="s">
        <v>4167</v>
      </c>
      <c r="V1020" s="9" t="str">
        <f aca="false">U1020&amp;" - "&amp;W1020</f>
        <v>立柱饰板 - 前右</v>
      </c>
      <c r="W1020" s="12" t="s">
        <v>1358</v>
      </c>
      <c r="X1020" s="12" t="s">
        <v>2264</v>
      </c>
      <c r="Y1020" s="10" t="n">
        <f aca="false">G1020</f>
        <v>30</v>
      </c>
      <c r="Z1020" s="10" t="n">
        <f aca="false">H1020</f>
        <v>20</v>
      </c>
      <c r="AA1020" s="10" t="n">
        <f aca="false">I1020</f>
        <v>15</v>
      </c>
      <c r="AB1020" s="10" t="n">
        <f aca="false">J1020</f>
        <v>1.8</v>
      </c>
      <c r="AC1020" s="9" t="s">
        <v>4142</v>
      </c>
      <c r="AD1020" s="9" t="s">
        <v>4168</v>
      </c>
      <c r="AE1020" s="9" t="str">
        <f aca="false">IF($AK1020=0,"",INDEX('Part types'!$T:$T,$AK1020)&amp;"")</f>
        <v>All vehicles</v>
      </c>
      <c r="AF1020" s="9" t="str">
        <f aca="false">IF($AK1020=0,"",INDEX('Part types'!$U:$U,$AK1020)&amp;"")</f>
        <v/>
      </c>
      <c r="AG1020" s="9" t="str">
        <f aca="false">IF($AK1020=0,"",INDEX('Part types'!$V:$V,$AK1020)&amp;"")</f>
        <v>Estimate: size class M2</v>
      </c>
      <c r="AH1020" s="9" t="str">
        <f aca="false">IF($AK1020=0,"",INDEX('Part types'!$W:$W,$AK1020)&amp;"")</f>
        <v/>
      </c>
      <c r="AI1020" s="11" t="str">
        <f aca="false">IF($AK1020=0,"",INDEX('Part types'!$X:$X,$AK1020)&amp;"")</f>
        <v>A / B / C</v>
      </c>
      <c r="AJ1020" s="9" t="str">
        <f aca="false">IF($AK1020=0,"",INDEX('Part types'!$Y:$Y,$AK1020)&amp;"")</f>
        <v/>
      </c>
      <c r="AK1020" s="9" t="n">
        <f aca="false">IFERROR(MATCH($AD1020,'Part types'!$E:$E,0),0)</f>
        <v>672</v>
      </c>
    </row>
    <row r="1021" customFormat="false" ht="15" hidden="false" customHeight="false" outlineLevel="0" collapsed="false">
      <c r="A1021" s="9" t="s">
        <v>4170</v>
      </c>
      <c r="B1021" s="9" t="s">
        <v>2848</v>
      </c>
      <c r="C1021" s="9" t="s">
        <v>4165</v>
      </c>
      <c r="D1021" s="9" t="str">
        <f aca="false">C1021&amp;" - "&amp;E1021</f>
        <v>Pillar Trim - Rear-Left</v>
      </c>
      <c r="E1021" s="9" t="s">
        <v>1360</v>
      </c>
      <c r="F1021" s="9" t="s">
        <v>2260</v>
      </c>
      <c r="G1021" s="10" t="n">
        <f aca="false">IF($AK1021=0,"",INDEX('Part types'!$P:$P,$AK1021))</f>
        <v>30</v>
      </c>
      <c r="H1021" s="10" t="n">
        <f aca="false">IF($AK1021=0,"",INDEX('Part types'!$Q:$Q,$AK1021))</f>
        <v>20</v>
      </c>
      <c r="I1021" s="10" t="n">
        <f aca="false">IF($AK1021=0,"",INDEX('Part types'!$R:$R,$AK1021))</f>
        <v>15</v>
      </c>
      <c r="J1021" s="10" t="n">
        <f aca="false">IF($AK1021=0,"",INDEX('Part types'!$S:$S,$AK1021))</f>
        <v>1.8</v>
      </c>
      <c r="K1021" s="11" t="s">
        <v>4139</v>
      </c>
      <c r="L1021" s="11" t="s">
        <v>4166</v>
      </c>
      <c r="M1021" s="11" t="str">
        <f aca="false">L1021&amp;" - "&amp;N1021</f>
        <v>غطاء العمود - خلفي يسار</v>
      </c>
      <c r="N1021" s="11" t="s">
        <v>1361</v>
      </c>
      <c r="O1021" s="11" t="s">
        <v>2262</v>
      </c>
      <c r="P1021" s="10" t="n">
        <f aca="false">G1021</f>
        <v>30</v>
      </c>
      <c r="Q1021" s="10" t="n">
        <f aca="false">H1021</f>
        <v>20</v>
      </c>
      <c r="R1021" s="10" t="n">
        <f aca="false">I1021</f>
        <v>15</v>
      </c>
      <c r="S1021" s="10" t="n">
        <f aca="false">J1021</f>
        <v>1.8</v>
      </c>
      <c r="T1021" s="12" t="s">
        <v>4141</v>
      </c>
      <c r="U1021" s="12" t="s">
        <v>4167</v>
      </c>
      <c r="V1021" s="9" t="str">
        <f aca="false">U1021&amp;" - "&amp;W1021</f>
        <v>立柱饰板 - 后左</v>
      </c>
      <c r="W1021" s="12" t="s">
        <v>1362</v>
      </c>
      <c r="X1021" s="12" t="s">
        <v>2264</v>
      </c>
      <c r="Y1021" s="10" t="n">
        <f aca="false">G1021</f>
        <v>30</v>
      </c>
      <c r="Z1021" s="10" t="n">
        <f aca="false">H1021</f>
        <v>20</v>
      </c>
      <c r="AA1021" s="10" t="n">
        <f aca="false">I1021</f>
        <v>15</v>
      </c>
      <c r="AB1021" s="10" t="n">
        <f aca="false">J1021</f>
        <v>1.8</v>
      </c>
      <c r="AC1021" s="9" t="s">
        <v>4142</v>
      </c>
      <c r="AD1021" s="9" t="s">
        <v>4168</v>
      </c>
      <c r="AE1021" s="9" t="str">
        <f aca="false">IF($AK1021=0,"",INDEX('Part types'!$T:$T,$AK1021)&amp;"")</f>
        <v>All vehicles</v>
      </c>
      <c r="AF1021" s="9" t="str">
        <f aca="false">IF($AK1021=0,"",INDEX('Part types'!$U:$U,$AK1021)&amp;"")</f>
        <v/>
      </c>
      <c r="AG1021" s="9" t="str">
        <f aca="false">IF($AK1021=0,"",INDEX('Part types'!$V:$V,$AK1021)&amp;"")</f>
        <v>Estimate: size class M2</v>
      </c>
      <c r="AH1021" s="9" t="str">
        <f aca="false">IF($AK1021=0,"",INDEX('Part types'!$W:$W,$AK1021)&amp;"")</f>
        <v/>
      </c>
      <c r="AI1021" s="11" t="str">
        <f aca="false">IF($AK1021=0,"",INDEX('Part types'!$X:$X,$AK1021)&amp;"")</f>
        <v>A / B / C</v>
      </c>
      <c r="AJ1021" s="9" t="str">
        <f aca="false">IF($AK1021=0,"",INDEX('Part types'!$Y:$Y,$AK1021)&amp;"")</f>
        <v/>
      </c>
      <c r="AK1021" s="9" t="n">
        <f aca="false">IFERROR(MATCH($AD1021,'Part types'!$E:$E,0),0)</f>
        <v>672</v>
      </c>
    </row>
    <row r="1022" customFormat="false" ht="15" hidden="false" customHeight="false" outlineLevel="0" collapsed="false">
      <c r="A1022" s="9" t="s">
        <v>4171</v>
      </c>
      <c r="B1022" s="9" t="s">
        <v>2848</v>
      </c>
      <c r="C1022" s="9" t="s">
        <v>4165</v>
      </c>
      <c r="D1022" s="9" t="str">
        <f aca="false">C1022&amp;" - "&amp;E1022</f>
        <v>Pillar Trim - Rear-Right</v>
      </c>
      <c r="E1022" s="9" t="s">
        <v>1364</v>
      </c>
      <c r="F1022" s="9" t="s">
        <v>2260</v>
      </c>
      <c r="G1022" s="10" t="n">
        <f aca="false">IF($AK1022=0,"",INDEX('Part types'!$P:$P,$AK1022))</f>
        <v>30</v>
      </c>
      <c r="H1022" s="10" t="n">
        <f aca="false">IF($AK1022=0,"",INDEX('Part types'!$Q:$Q,$AK1022))</f>
        <v>20</v>
      </c>
      <c r="I1022" s="10" t="n">
        <f aca="false">IF($AK1022=0,"",INDEX('Part types'!$R:$R,$AK1022))</f>
        <v>15</v>
      </c>
      <c r="J1022" s="10" t="n">
        <f aca="false">IF($AK1022=0,"",INDEX('Part types'!$S:$S,$AK1022))</f>
        <v>1.8</v>
      </c>
      <c r="K1022" s="11" t="s">
        <v>4139</v>
      </c>
      <c r="L1022" s="11" t="s">
        <v>4166</v>
      </c>
      <c r="M1022" s="11" t="str">
        <f aca="false">L1022&amp;" - "&amp;N1022</f>
        <v>غطاء العمود - خلفي يمين</v>
      </c>
      <c r="N1022" s="11" t="s">
        <v>1365</v>
      </c>
      <c r="O1022" s="11" t="s">
        <v>2262</v>
      </c>
      <c r="P1022" s="10" t="n">
        <f aca="false">G1022</f>
        <v>30</v>
      </c>
      <c r="Q1022" s="10" t="n">
        <f aca="false">H1022</f>
        <v>20</v>
      </c>
      <c r="R1022" s="10" t="n">
        <f aca="false">I1022</f>
        <v>15</v>
      </c>
      <c r="S1022" s="10" t="n">
        <f aca="false">J1022</f>
        <v>1.8</v>
      </c>
      <c r="T1022" s="12" t="s">
        <v>4141</v>
      </c>
      <c r="U1022" s="12" t="s">
        <v>4167</v>
      </c>
      <c r="V1022" s="9" t="str">
        <f aca="false">U1022&amp;" - "&amp;W1022</f>
        <v>立柱饰板 - 后右</v>
      </c>
      <c r="W1022" s="12" t="s">
        <v>1366</v>
      </c>
      <c r="X1022" s="12" t="s">
        <v>2264</v>
      </c>
      <c r="Y1022" s="10" t="n">
        <f aca="false">G1022</f>
        <v>30</v>
      </c>
      <c r="Z1022" s="10" t="n">
        <f aca="false">H1022</f>
        <v>20</v>
      </c>
      <c r="AA1022" s="10" t="n">
        <f aca="false">I1022</f>
        <v>15</v>
      </c>
      <c r="AB1022" s="10" t="n">
        <f aca="false">J1022</f>
        <v>1.8</v>
      </c>
      <c r="AC1022" s="9" t="s">
        <v>4142</v>
      </c>
      <c r="AD1022" s="9" t="s">
        <v>4168</v>
      </c>
      <c r="AE1022" s="9" t="str">
        <f aca="false">IF($AK1022=0,"",INDEX('Part types'!$T:$T,$AK1022)&amp;"")</f>
        <v>All vehicles</v>
      </c>
      <c r="AF1022" s="9" t="str">
        <f aca="false">IF($AK1022=0,"",INDEX('Part types'!$U:$U,$AK1022)&amp;"")</f>
        <v/>
      </c>
      <c r="AG1022" s="9" t="str">
        <f aca="false">IF($AK1022=0,"",INDEX('Part types'!$V:$V,$AK1022)&amp;"")</f>
        <v>Estimate: size class M2</v>
      </c>
      <c r="AH1022" s="9" t="str">
        <f aca="false">IF($AK1022=0,"",INDEX('Part types'!$W:$W,$AK1022)&amp;"")</f>
        <v/>
      </c>
      <c r="AI1022" s="11" t="str">
        <f aca="false">IF($AK1022=0,"",INDEX('Part types'!$X:$X,$AK1022)&amp;"")</f>
        <v>A / B / C</v>
      </c>
      <c r="AJ1022" s="9" t="str">
        <f aca="false">IF($AK1022=0,"",INDEX('Part types'!$Y:$Y,$AK1022)&amp;"")</f>
        <v/>
      </c>
      <c r="AK1022" s="9" t="n">
        <f aca="false">IFERROR(MATCH($AD1022,'Part types'!$E:$E,0),0)</f>
        <v>672</v>
      </c>
    </row>
    <row r="1023" customFormat="false" ht="15" hidden="false" customHeight="false" outlineLevel="0" collapsed="false">
      <c r="A1023" s="9" t="s">
        <v>4172</v>
      </c>
      <c r="B1023" s="9" t="s">
        <v>4173</v>
      </c>
      <c r="C1023" s="9" t="s">
        <v>4174</v>
      </c>
      <c r="D1023" s="9" t="str">
        <f aca="false">C1023&amp;" - "&amp;E1023</f>
        <v>Driver Airbag - Universal</v>
      </c>
      <c r="E1023" s="9" t="s">
        <v>68</v>
      </c>
      <c r="F1023" s="9" t="s">
        <v>1863</v>
      </c>
      <c r="G1023" s="10" t="n">
        <f aca="false">IF($AK1023=0,"",INDEX('Part types'!$P:$P,$AK1023))</f>
        <v>35</v>
      </c>
      <c r="H1023" s="10" t="n">
        <f aca="false">IF($AK1023=0,"",INDEX('Part types'!$Q:$Q,$AK1023))</f>
        <v>35</v>
      </c>
      <c r="I1023" s="10" t="n">
        <f aca="false">IF($AK1023=0,"",INDEX('Part types'!$R:$R,$AK1023))</f>
        <v>15</v>
      </c>
      <c r="J1023" s="10" t="n">
        <f aca="false">IF($AK1023=0,"",INDEX('Part types'!$S:$S,$AK1023))</f>
        <v>1.2</v>
      </c>
      <c r="K1023" s="11" t="s">
        <v>4175</v>
      </c>
      <c r="L1023" s="11" t="s">
        <v>4176</v>
      </c>
      <c r="M1023" s="11" t="str">
        <f aca="false">L1023&amp;" - "&amp;N1023</f>
        <v>وسادة هوائية للسائق - عام</v>
      </c>
      <c r="N1023" s="11" t="s">
        <v>72</v>
      </c>
      <c r="O1023" s="11" t="s">
        <v>1864</v>
      </c>
      <c r="P1023" s="10" t="n">
        <f aca="false">G1023</f>
        <v>35</v>
      </c>
      <c r="Q1023" s="10" t="n">
        <f aca="false">H1023</f>
        <v>35</v>
      </c>
      <c r="R1023" s="10" t="n">
        <f aca="false">I1023</f>
        <v>15</v>
      </c>
      <c r="S1023" s="10" t="n">
        <f aca="false">J1023</f>
        <v>1.2</v>
      </c>
      <c r="T1023" s="12" t="s">
        <v>4177</v>
      </c>
      <c r="U1023" s="12" t="s">
        <v>4178</v>
      </c>
      <c r="V1023" s="9" t="str">
        <f aca="false">U1023&amp;" - "&amp;W1023</f>
        <v>驾驶员安全气囊 - 通用</v>
      </c>
      <c r="W1023" s="12" t="s">
        <v>76</v>
      </c>
      <c r="X1023" s="12" t="s">
        <v>1865</v>
      </c>
      <c r="Y1023" s="10" t="n">
        <f aca="false">G1023</f>
        <v>35</v>
      </c>
      <c r="Z1023" s="10" t="n">
        <f aca="false">H1023</f>
        <v>35</v>
      </c>
      <c r="AA1023" s="10" t="n">
        <f aca="false">I1023</f>
        <v>15</v>
      </c>
      <c r="AB1023" s="10" t="n">
        <f aca="false">J1023</f>
        <v>1.2</v>
      </c>
      <c r="AC1023" s="9" t="s">
        <v>4179</v>
      </c>
      <c r="AD1023" s="9" t="s">
        <v>4180</v>
      </c>
      <c r="AE1023" s="9" t="str">
        <f aca="false">IF($AK1023=0,"",INDEX('Part types'!$T:$T,$AK1023)&amp;"")</f>
        <v>All vehicles</v>
      </c>
      <c r="AF1023" s="9" t="str">
        <f aca="false">IF($AK1023=0,"",INDEX('Part types'!$U:$U,$AK1023)&amp;"")</f>
        <v>Explosive device (restricted)</v>
      </c>
      <c r="AG1023" s="9" t="str">
        <f aca="false">IF($AK1023=0,"",INDEX('Part types'!$V:$V,$AK1023)&amp;"")</f>
        <v>Estimate: item-specific</v>
      </c>
      <c r="AH1023" s="9" t="str">
        <f aca="false">IF($AK1023=0,"",INDEX('Part types'!$W:$W,$AK1023)&amp;"")</f>
        <v/>
      </c>
      <c r="AI1023" s="11" t="str">
        <f aca="false">IF($AK1023=0,"",INDEX('Part types'!$X:$X,$AK1023)&amp;"")</f>
        <v/>
      </c>
      <c r="AJ1023" s="9" t="str">
        <f aca="false">IF($AK1023=0,"",INDEX('Part types'!$Y:$Y,$AK1023)&amp;"")</f>
        <v/>
      </c>
      <c r="AK1023" s="9" t="n">
        <f aca="false">IFERROR(MATCH($AD1023,'Part types'!$E:$E,0),0)</f>
        <v>673</v>
      </c>
    </row>
    <row r="1024" customFormat="false" ht="15" hidden="false" customHeight="false" outlineLevel="0" collapsed="false">
      <c r="A1024" s="9" t="s">
        <v>4181</v>
      </c>
      <c r="B1024" s="9" t="s">
        <v>4173</v>
      </c>
      <c r="C1024" s="9" t="s">
        <v>4182</v>
      </c>
      <c r="D1024" s="9" t="str">
        <f aca="false">C1024&amp;" - "&amp;E1024</f>
        <v>Passenger Airbag - Universal</v>
      </c>
      <c r="E1024" s="9" t="s">
        <v>68</v>
      </c>
      <c r="F1024" s="9" t="s">
        <v>2439</v>
      </c>
      <c r="G1024" s="10" t="n">
        <f aca="false">IF($AK1024=0,"",INDEX('Part types'!$P:$P,$AK1024))</f>
        <v>60</v>
      </c>
      <c r="H1024" s="10" t="n">
        <f aca="false">IF($AK1024=0,"",INDEX('Part types'!$Q:$Q,$AK1024))</f>
        <v>35</v>
      </c>
      <c r="I1024" s="10" t="n">
        <f aca="false">IF($AK1024=0,"",INDEX('Part types'!$R:$R,$AK1024))</f>
        <v>20</v>
      </c>
      <c r="J1024" s="10" t="n">
        <f aca="false">IF($AK1024=0,"",INDEX('Part types'!$S:$S,$AK1024))</f>
        <v>3</v>
      </c>
      <c r="K1024" s="11" t="s">
        <v>4175</v>
      </c>
      <c r="L1024" s="11" t="s">
        <v>4183</v>
      </c>
      <c r="M1024" s="11" t="str">
        <f aca="false">L1024&amp;" - "&amp;N1024</f>
        <v>وسادة هوائية للراكب - عام</v>
      </c>
      <c r="N1024" s="11" t="s">
        <v>72</v>
      </c>
      <c r="O1024" s="11" t="s">
        <v>2441</v>
      </c>
      <c r="P1024" s="10" t="n">
        <f aca="false">G1024</f>
        <v>60</v>
      </c>
      <c r="Q1024" s="10" t="n">
        <f aca="false">H1024</f>
        <v>35</v>
      </c>
      <c r="R1024" s="10" t="n">
        <f aca="false">I1024</f>
        <v>20</v>
      </c>
      <c r="S1024" s="10" t="n">
        <f aca="false">J1024</f>
        <v>3</v>
      </c>
      <c r="T1024" s="12" t="s">
        <v>4177</v>
      </c>
      <c r="U1024" s="12" t="s">
        <v>4184</v>
      </c>
      <c r="V1024" s="9" t="str">
        <f aca="false">U1024&amp;" - "&amp;W1024</f>
        <v>副驾驶安全气囊 - 通用</v>
      </c>
      <c r="W1024" s="12" t="s">
        <v>76</v>
      </c>
      <c r="X1024" s="12" t="s">
        <v>2443</v>
      </c>
      <c r="Y1024" s="10" t="n">
        <f aca="false">G1024</f>
        <v>60</v>
      </c>
      <c r="Z1024" s="10" t="n">
        <f aca="false">H1024</f>
        <v>35</v>
      </c>
      <c r="AA1024" s="10" t="n">
        <f aca="false">I1024</f>
        <v>20</v>
      </c>
      <c r="AB1024" s="10" t="n">
        <f aca="false">J1024</f>
        <v>3</v>
      </c>
      <c r="AC1024" s="9" t="s">
        <v>4179</v>
      </c>
      <c r="AD1024" s="9" t="s">
        <v>4185</v>
      </c>
      <c r="AE1024" s="9" t="str">
        <f aca="false">IF($AK1024=0,"",INDEX('Part types'!$T:$T,$AK1024)&amp;"")</f>
        <v>All vehicles</v>
      </c>
      <c r="AF1024" s="9" t="str">
        <f aca="false">IF($AK1024=0,"",INDEX('Part types'!$U:$U,$AK1024)&amp;"")</f>
        <v>Explosive device (restricted)</v>
      </c>
      <c r="AG1024" s="9" t="str">
        <f aca="false">IF($AK1024=0,"",INDEX('Part types'!$V:$V,$AK1024)&amp;"")</f>
        <v>Estimate: item-specific</v>
      </c>
      <c r="AH1024" s="9" t="str">
        <f aca="false">IF($AK1024=0,"",INDEX('Part types'!$W:$W,$AK1024)&amp;"")</f>
        <v/>
      </c>
      <c r="AI1024" s="11" t="str">
        <f aca="false">IF($AK1024=0,"",INDEX('Part types'!$X:$X,$AK1024)&amp;"")</f>
        <v/>
      </c>
      <c r="AJ1024" s="9" t="str">
        <f aca="false">IF($AK1024=0,"",INDEX('Part types'!$Y:$Y,$AK1024)&amp;"")</f>
        <v/>
      </c>
      <c r="AK1024" s="9" t="n">
        <f aca="false">IFERROR(MATCH($AD1024,'Part types'!$E:$E,0),0)</f>
        <v>674</v>
      </c>
    </row>
    <row r="1025" customFormat="false" ht="15" hidden="false" customHeight="false" outlineLevel="0" collapsed="false">
      <c r="A1025" s="9" t="s">
        <v>4186</v>
      </c>
      <c r="B1025" s="9" t="s">
        <v>4173</v>
      </c>
      <c r="C1025" s="9" t="s">
        <v>4187</v>
      </c>
      <c r="D1025" s="9" t="str">
        <f aca="false">C1025&amp;" - "&amp;E1025</f>
        <v>Side Airbag - Left</v>
      </c>
      <c r="E1025" s="9" t="s">
        <v>218</v>
      </c>
      <c r="F1025" s="9" t="s">
        <v>2601</v>
      </c>
      <c r="G1025" s="10" t="n">
        <f aca="false">IF($AK1025=0,"",INDEX('Part types'!$P:$P,$AK1025))</f>
        <v>25</v>
      </c>
      <c r="H1025" s="10" t="n">
        <f aca="false">IF($AK1025=0,"",INDEX('Part types'!$Q:$Q,$AK1025))</f>
        <v>15</v>
      </c>
      <c r="I1025" s="10" t="n">
        <f aca="false">IF($AK1025=0,"",INDEX('Part types'!$R:$R,$AK1025))</f>
        <v>10</v>
      </c>
      <c r="J1025" s="10" t="n">
        <f aca="false">IF($AK1025=0,"",INDEX('Part types'!$S:$S,$AK1025))</f>
        <v>0.9</v>
      </c>
      <c r="K1025" s="11" t="s">
        <v>4175</v>
      </c>
      <c r="L1025" s="11" t="s">
        <v>4188</v>
      </c>
      <c r="M1025" s="11" t="str">
        <f aca="false">L1025&amp;" - "&amp;N1025</f>
        <v>وسادة هوائية جانبية - يسار</v>
      </c>
      <c r="N1025" s="11" t="s">
        <v>220</v>
      </c>
      <c r="O1025" s="11" t="s">
        <v>2603</v>
      </c>
      <c r="P1025" s="10" t="n">
        <f aca="false">G1025</f>
        <v>25</v>
      </c>
      <c r="Q1025" s="10" t="n">
        <f aca="false">H1025</f>
        <v>15</v>
      </c>
      <c r="R1025" s="10" t="n">
        <f aca="false">I1025</f>
        <v>10</v>
      </c>
      <c r="S1025" s="10" t="n">
        <f aca="false">J1025</f>
        <v>0.9</v>
      </c>
      <c r="T1025" s="12" t="s">
        <v>4177</v>
      </c>
      <c r="U1025" s="12" t="s">
        <v>4189</v>
      </c>
      <c r="V1025" s="9" t="str">
        <f aca="false">U1025&amp;" - "&amp;W1025</f>
        <v>侧安全气囊 - 左侧</v>
      </c>
      <c r="W1025" s="12" t="s">
        <v>222</v>
      </c>
      <c r="X1025" s="12" t="s">
        <v>2605</v>
      </c>
      <c r="Y1025" s="10" t="n">
        <f aca="false">G1025</f>
        <v>25</v>
      </c>
      <c r="Z1025" s="10" t="n">
        <f aca="false">H1025</f>
        <v>15</v>
      </c>
      <c r="AA1025" s="10" t="n">
        <f aca="false">I1025</f>
        <v>10</v>
      </c>
      <c r="AB1025" s="10" t="n">
        <f aca="false">J1025</f>
        <v>0.9</v>
      </c>
      <c r="AC1025" s="9" t="s">
        <v>4179</v>
      </c>
      <c r="AD1025" s="9" t="s">
        <v>4190</v>
      </c>
      <c r="AE1025" s="9" t="str">
        <f aca="false">IF($AK1025=0,"",INDEX('Part types'!$T:$T,$AK1025)&amp;"")</f>
        <v>All vehicles</v>
      </c>
      <c r="AF1025" s="9" t="str">
        <f aca="false">IF($AK1025=0,"",INDEX('Part types'!$U:$U,$AK1025)&amp;"")</f>
        <v>Explosive device (restricted)</v>
      </c>
      <c r="AG1025" s="9" t="str">
        <f aca="false">IF($AK1025=0,"",INDEX('Part types'!$V:$V,$AK1025)&amp;"")</f>
        <v>Estimate: size class M</v>
      </c>
      <c r="AH1025" s="9" t="str">
        <f aca="false">IF($AK1025=0,"",INDEX('Part types'!$W:$W,$AK1025)&amp;"")</f>
        <v/>
      </c>
      <c r="AI1025" s="11" t="str">
        <f aca="false">IF($AK1025=0,"",INDEX('Part types'!$X:$X,$AK1025)&amp;"")</f>
        <v/>
      </c>
      <c r="AJ1025" s="9" t="str">
        <f aca="false">IF($AK1025=0,"",INDEX('Part types'!$Y:$Y,$AK1025)&amp;"")</f>
        <v/>
      </c>
      <c r="AK1025" s="9" t="n">
        <f aca="false">IFERROR(MATCH($AD1025,'Part types'!$E:$E,0),0)</f>
        <v>675</v>
      </c>
    </row>
    <row r="1026" customFormat="false" ht="15" hidden="false" customHeight="false" outlineLevel="0" collapsed="false">
      <c r="A1026" s="9" t="s">
        <v>4191</v>
      </c>
      <c r="B1026" s="9" t="s">
        <v>4173</v>
      </c>
      <c r="C1026" s="9" t="s">
        <v>4187</v>
      </c>
      <c r="D1026" s="9" t="str">
        <f aca="false">C1026&amp;" - "&amp;E1026</f>
        <v>Side Airbag - Right</v>
      </c>
      <c r="E1026" s="9" t="s">
        <v>225</v>
      </c>
      <c r="F1026" s="9" t="s">
        <v>2601</v>
      </c>
      <c r="G1026" s="10" t="n">
        <f aca="false">IF($AK1026=0,"",INDEX('Part types'!$P:$P,$AK1026))</f>
        <v>25</v>
      </c>
      <c r="H1026" s="10" t="n">
        <f aca="false">IF($AK1026=0,"",INDEX('Part types'!$Q:$Q,$AK1026))</f>
        <v>15</v>
      </c>
      <c r="I1026" s="10" t="n">
        <f aca="false">IF($AK1026=0,"",INDEX('Part types'!$R:$R,$AK1026))</f>
        <v>10</v>
      </c>
      <c r="J1026" s="10" t="n">
        <f aca="false">IF($AK1026=0,"",INDEX('Part types'!$S:$S,$AK1026))</f>
        <v>0.9</v>
      </c>
      <c r="K1026" s="11" t="s">
        <v>4175</v>
      </c>
      <c r="L1026" s="11" t="s">
        <v>4188</v>
      </c>
      <c r="M1026" s="11" t="str">
        <f aca="false">L1026&amp;" - "&amp;N1026</f>
        <v>وسادة هوائية جانبية - يمين</v>
      </c>
      <c r="N1026" s="11" t="s">
        <v>226</v>
      </c>
      <c r="O1026" s="11" t="s">
        <v>2603</v>
      </c>
      <c r="P1026" s="10" t="n">
        <f aca="false">G1026</f>
        <v>25</v>
      </c>
      <c r="Q1026" s="10" t="n">
        <f aca="false">H1026</f>
        <v>15</v>
      </c>
      <c r="R1026" s="10" t="n">
        <f aca="false">I1026</f>
        <v>10</v>
      </c>
      <c r="S1026" s="10" t="n">
        <f aca="false">J1026</f>
        <v>0.9</v>
      </c>
      <c r="T1026" s="12" t="s">
        <v>4177</v>
      </c>
      <c r="U1026" s="12" t="s">
        <v>4189</v>
      </c>
      <c r="V1026" s="9" t="str">
        <f aca="false">U1026&amp;" - "&amp;W1026</f>
        <v>侧安全气囊 - 右侧</v>
      </c>
      <c r="W1026" s="12" t="s">
        <v>227</v>
      </c>
      <c r="X1026" s="12" t="s">
        <v>2605</v>
      </c>
      <c r="Y1026" s="10" t="n">
        <f aca="false">G1026</f>
        <v>25</v>
      </c>
      <c r="Z1026" s="10" t="n">
        <f aca="false">H1026</f>
        <v>15</v>
      </c>
      <c r="AA1026" s="10" t="n">
        <f aca="false">I1026</f>
        <v>10</v>
      </c>
      <c r="AB1026" s="10" t="n">
        <f aca="false">J1026</f>
        <v>0.9</v>
      </c>
      <c r="AC1026" s="9" t="s">
        <v>4179</v>
      </c>
      <c r="AD1026" s="9" t="s">
        <v>4190</v>
      </c>
      <c r="AE1026" s="9" t="str">
        <f aca="false">IF($AK1026=0,"",INDEX('Part types'!$T:$T,$AK1026)&amp;"")</f>
        <v>All vehicles</v>
      </c>
      <c r="AF1026" s="9" t="str">
        <f aca="false">IF($AK1026=0,"",INDEX('Part types'!$U:$U,$AK1026)&amp;"")</f>
        <v>Explosive device (restricted)</v>
      </c>
      <c r="AG1026" s="9" t="str">
        <f aca="false">IF($AK1026=0,"",INDEX('Part types'!$V:$V,$AK1026)&amp;"")</f>
        <v>Estimate: size class M</v>
      </c>
      <c r="AH1026" s="9" t="str">
        <f aca="false">IF($AK1026=0,"",INDEX('Part types'!$W:$W,$AK1026)&amp;"")</f>
        <v/>
      </c>
      <c r="AI1026" s="11" t="str">
        <f aca="false">IF($AK1026=0,"",INDEX('Part types'!$X:$X,$AK1026)&amp;"")</f>
        <v/>
      </c>
      <c r="AJ1026" s="9" t="str">
        <f aca="false">IF($AK1026=0,"",INDEX('Part types'!$Y:$Y,$AK1026)&amp;"")</f>
        <v/>
      </c>
      <c r="AK1026" s="9" t="n">
        <f aca="false">IFERROR(MATCH($AD1026,'Part types'!$E:$E,0),0)</f>
        <v>675</v>
      </c>
    </row>
    <row r="1027" customFormat="false" ht="15" hidden="false" customHeight="false" outlineLevel="0" collapsed="false">
      <c r="A1027" s="9" t="s">
        <v>4192</v>
      </c>
      <c r="B1027" s="9" t="s">
        <v>4173</v>
      </c>
      <c r="C1027" s="9" t="s">
        <v>4193</v>
      </c>
      <c r="D1027" s="9" t="str">
        <f aca="false">C1027&amp;" - "&amp;E1027</f>
        <v>Curtain Airbag - Left</v>
      </c>
      <c r="E1027" s="9" t="s">
        <v>218</v>
      </c>
      <c r="F1027" s="9" t="s">
        <v>2848</v>
      </c>
      <c r="G1027" s="10" t="n">
        <f aca="false">IF($AK1027=0,"",INDEX('Part types'!$P:$P,$AK1027))</f>
        <v>150</v>
      </c>
      <c r="H1027" s="10" t="n">
        <f aca="false">IF($AK1027=0,"",INDEX('Part types'!$Q:$Q,$AK1027))</f>
        <v>15</v>
      </c>
      <c r="I1027" s="10" t="n">
        <f aca="false">IF($AK1027=0,"",INDEX('Part types'!$R:$R,$AK1027))</f>
        <v>10</v>
      </c>
      <c r="J1027" s="10" t="n">
        <f aca="false">IF($AK1027=0,"",INDEX('Part types'!$S:$S,$AK1027))</f>
        <v>2</v>
      </c>
      <c r="K1027" s="11" t="s">
        <v>4175</v>
      </c>
      <c r="L1027" s="11" t="s">
        <v>4194</v>
      </c>
      <c r="M1027" s="11" t="str">
        <f aca="false">L1027&amp;" - "&amp;N1027</f>
        <v>وسادة هوائية ستارية - يسار</v>
      </c>
      <c r="N1027" s="11" t="s">
        <v>220</v>
      </c>
      <c r="O1027" s="11" t="s">
        <v>2850</v>
      </c>
      <c r="P1027" s="10" t="n">
        <f aca="false">G1027</f>
        <v>150</v>
      </c>
      <c r="Q1027" s="10" t="n">
        <f aca="false">H1027</f>
        <v>15</v>
      </c>
      <c r="R1027" s="10" t="n">
        <f aca="false">I1027</f>
        <v>10</v>
      </c>
      <c r="S1027" s="10" t="n">
        <f aca="false">J1027</f>
        <v>2</v>
      </c>
      <c r="T1027" s="12" t="s">
        <v>4177</v>
      </c>
      <c r="U1027" s="12" t="s">
        <v>4195</v>
      </c>
      <c r="V1027" s="9" t="str">
        <f aca="false">U1027&amp;" - "&amp;W1027</f>
        <v>侧气帘 - 左侧</v>
      </c>
      <c r="W1027" s="12" t="s">
        <v>222</v>
      </c>
      <c r="X1027" s="12" t="s">
        <v>2852</v>
      </c>
      <c r="Y1027" s="10" t="n">
        <f aca="false">G1027</f>
        <v>150</v>
      </c>
      <c r="Z1027" s="10" t="n">
        <f aca="false">H1027</f>
        <v>15</v>
      </c>
      <c r="AA1027" s="10" t="n">
        <f aca="false">I1027</f>
        <v>10</v>
      </c>
      <c r="AB1027" s="10" t="n">
        <f aca="false">J1027</f>
        <v>2</v>
      </c>
      <c r="AC1027" s="9" t="s">
        <v>4179</v>
      </c>
      <c r="AD1027" s="9" t="s">
        <v>4196</v>
      </c>
      <c r="AE1027" s="9" t="str">
        <f aca="false">IF($AK1027=0,"",INDEX('Part types'!$T:$T,$AK1027)&amp;"")</f>
        <v>All vehicles</v>
      </c>
      <c r="AF1027" s="9" t="str">
        <f aca="false">IF($AK1027=0,"",INDEX('Part types'!$U:$U,$AK1027)&amp;"")</f>
        <v>Explosive device (restricted); Oversized (over 120 cm)</v>
      </c>
      <c r="AG1027" s="9" t="str">
        <f aca="false">IF($AK1027=0,"",INDEX('Part types'!$V:$V,$AK1027)&amp;"")</f>
        <v>Estimate: item-specific</v>
      </c>
      <c r="AH1027" s="9" t="str">
        <f aca="false">IF($AK1027=0,"",INDEX('Part types'!$W:$W,$AK1027)&amp;"")</f>
        <v/>
      </c>
      <c r="AI1027" s="11" t="str">
        <f aca="false">IF($AK1027=0,"",INDEX('Part types'!$X:$X,$AK1027)&amp;"")</f>
        <v/>
      </c>
      <c r="AJ1027" s="9" t="str">
        <f aca="false">IF($AK1027=0,"",INDEX('Part types'!$Y:$Y,$AK1027)&amp;"")</f>
        <v/>
      </c>
      <c r="AK1027" s="9" t="n">
        <f aca="false">IFERROR(MATCH($AD1027,'Part types'!$E:$E,0),0)</f>
        <v>676</v>
      </c>
    </row>
    <row r="1028" customFormat="false" ht="15" hidden="false" customHeight="false" outlineLevel="0" collapsed="false">
      <c r="A1028" s="9" t="s">
        <v>4197</v>
      </c>
      <c r="B1028" s="9" t="s">
        <v>4173</v>
      </c>
      <c r="C1028" s="9" t="s">
        <v>4193</v>
      </c>
      <c r="D1028" s="9" t="str">
        <f aca="false">C1028&amp;" - "&amp;E1028</f>
        <v>Curtain Airbag - Right</v>
      </c>
      <c r="E1028" s="9" t="s">
        <v>225</v>
      </c>
      <c r="F1028" s="9" t="s">
        <v>2848</v>
      </c>
      <c r="G1028" s="10" t="n">
        <f aca="false">IF($AK1028=0,"",INDEX('Part types'!$P:$P,$AK1028))</f>
        <v>150</v>
      </c>
      <c r="H1028" s="10" t="n">
        <f aca="false">IF($AK1028=0,"",INDEX('Part types'!$Q:$Q,$AK1028))</f>
        <v>15</v>
      </c>
      <c r="I1028" s="10" t="n">
        <f aca="false">IF($AK1028=0,"",INDEX('Part types'!$R:$R,$AK1028))</f>
        <v>10</v>
      </c>
      <c r="J1028" s="10" t="n">
        <f aca="false">IF($AK1028=0,"",INDEX('Part types'!$S:$S,$AK1028))</f>
        <v>2</v>
      </c>
      <c r="K1028" s="11" t="s">
        <v>4175</v>
      </c>
      <c r="L1028" s="11" t="s">
        <v>4194</v>
      </c>
      <c r="M1028" s="11" t="str">
        <f aca="false">L1028&amp;" - "&amp;N1028</f>
        <v>وسادة هوائية ستارية - يمين</v>
      </c>
      <c r="N1028" s="11" t="s">
        <v>226</v>
      </c>
      <c r="O1028" s="11" t="s">
        <v>2850</v>
      </c>
      <c r="P1028" s="10" t="n">
        <f aca="false">G1028</f>
        <v>150</v>
      </c>
      <c r="Q1028" s="10" t="n">
        <f aca="false">H1028</f>
        <v>15</v>
      </c>
      <c r="R1028" s="10" t="n">
        <f aca="false">I1028</f>
        <v>10</v>
      </c>
      <c r="S1028" s="10" t="n">
        <f aca="false">J1028</f>
        <v>2</v>
      </c>
      <c r="T1028" s="12" t="s">
        <v>4177</v>
      </c>
      <c r="U1028" s="12" t="s">
        <v>4195</v>
      </c>
      <c r="V1028" s="9" t="str">
        <f aca="false">U1028&amp;" - "&amp;W1028</f>
        <v>侧气帘 - 右侧</v>
      </c>
      <c r="W1028" s="12" t="s">
        <v>227</v>
      </c>
      <c r="X1028" s="12" t="s">
        <v>2852</v>
      </c>
      <c r="Y1028" s="10" t="n">
        <f aca="false">G1028</f>
        <v>150</v>
      </c>
      <c r="Z1028" s="10" t="n">
        <f aca="false">H1028</f>
        <v>15</v>
      </c>
      <c r="AA1028" s="10" t="n">
        <f aca="false">I1028</f>
        <v>10</v>
      </c>
      <c r="AB1028" s="10" t="n">
        <f aca="false">J1028</f>
        <v>2</v>
      </c>
      <c r="AC1028" s="9" t="s">
        <v>4179</v>
      </c>
      <c r="AD1028" s="9" t="s">
        <v>4196</v>
      </c>
      <c r="AE1028" s="9" t="str">
        <f aca="false">IF($AK1028=0,"",INDEX('Part types'!$T:$T,$AK1028)&amp;"")</f>
        <v>All vehicles</v>
      </c>
      <c r="AF1028" s="9" t="str">
        <f aca="false">IF($AK1028=0,"",INDEX('Part types'!$U:$U,$AK1028)&amp;"")</f>
        <v>Explosive device (restricted); Oversized (over 120 cm)</v>
      </c>
      <c r="AG1028" s="9" t="str">
        <f aca="false">IF($AK1028=0,"",INDEX('Part types'!$V:$V,$AK1028)&amp;"")</f>
        <v>Estimate: item-specific</v>
      </c>
      <c r="AH1028" s="9" t="str">
        <f aca="false">IF($AK1028=0,"",INDEX('Part types'!$W:$W,$AK1028)&amp;"")</f>
        <v/>
      </c>
      <c r="AI1028" s="11" t="str">
        <f aca="false">IF($AK1028=0,"",INDEX('Part types'!$X:$X,$AK1028)&amp;"")</f>
        <v/>
      </c>
      <c r="AJ1028" s="9" t="str">
        <f aca="false">IF($AK1028=0,"",INDEX('Part types'!$Y:$Y,$AK1028)&amp;"")</f>
        <v/>
      </c>
      <c r="AK1028" s="9" t="n">
        <f aca="false">IFERROR(MATCH($AD1028,'Part types'!$E:$E,0),0)</f>
        <v>676</v>
      </c>
    </row>
    <row r="1029" customFormat="false" ht="15" hidden="false" customHeight="false" outlineLevel="0" collapsed="false">
      <c r="A1029" s="9" t="s">
        <v>4198</v>
      </c>
      <c r="B1029" s="9" t="s">
        <v>4173</v>
      </c>
      <c r="C1029" s="9" t="s">
        <v>4199</v>
      </c>
      <c r="D1029" s="9" t="str">
        <f aca="false">C1029&amp;" - "&amp;E1029</f>
        <v>Knee Airbag - Universal</v>
      </c>
      <c r="E1029" s="9" t="s">
        <v>68</v>
      </c>
      <c r="F1029" s="9" t="s">
        <v>2439</v>
      </c>
      <c r="G1029" s="10" t="n">
        <f aca="false">IF($AK1029=0,"",INDEX('Part types'!$P:$P,$AK1029))</f>
        <v>25</v>
      </c>
      <c r="H1029" s="10" t="n">
        <f aca="false">IF($AK1029=0,"",INDEX('Part types'!$Q:$Q,$AK1029))</f>
        <v>15</v>
      </c>
      <c r="I1029" s="10" t="n">
        <f aca="false">IF($AK1029=0,"",INDEX('Part types'!$R:$R,$AK1029))</f>
        <v>10</v>
      </c>
      <c r="J1029" s="10" t="n">
        <f aca="false">IF($AK1029=0,"",INDEX('Part types'!$S:$S,$AK1029))</f>
        <v>0.9</v>
      </c>
      <c r="K1029" s="11" t="s">
        <v>4175</v>
      </c>
      <c r="L1029" s="11" t="s">
        <v>4200</v>
      </c>
      <c r="M1029" s="11" t="str">
        <f aca="false">L1029&amp;" - "&amp;N1029</f>
        <v>وسادة هوائية للركبة - عام</v>
      </c>
      <c r="N1029" s="11" t="s">
        <v>72</v>
      </c>
      <c r="O1029" s="11" t="s">
        <v>2441</v>
      </c>
      <c r="P1029" s="10" t="n">
        <f aca="false">G1029</f>
        <v>25</v>
      </c>
      <c r="Q1029" s="10" t="n">
        <f aca="false">H1029</f>
        <v>15</v>
      </c>
      <c r="R1029" s="10" t="n">
        <f aca="false">I1029</f>
        <v>10</v>
      </c>
      <c r="S1029" s="10" t="n">
        <f aca="false">J1029</f>
        <v>0.9</v>
      </c>
      <c r="T1029" s="12" t="s">
        <v>4177</v>
      </c>
      <c r="U1029" s="12" t="s">
        <v>4201</v>
      </c>
      <c r="V1029" s="9" t="str">
        <f aca="false">U1029&amp;" - "&amp;W1029</f>
        <v>膝部安全气囊 - 通用</v>
      </c>
      <c r="W1029" s="12" t="s">
        <v>76</v>
      </c>
      <c r="X1029" s="12" t="s">
        <v>2443</v>
      </c>
      <c r="Y1029" s="10" t="n">
        <f aca="false">G1029</f>
        <v>25</v>
      </c>
      <c r="Z1029" s="10" t="n">
        <f aca="false">H1029</f>
        <v>15</v>
      </c>
      <c r="AA1029" s="10" t="n">
        <f aca="false">I1029</f>
        <v>10</v>
      </c>
      <c r="AB1029" s="10" t="n">
        <f aca="false">J1029</f>
        <v>0.9</v>
      </c>
      <c r="AC1029" s="9" t="s">
        <v>4179</v>
      </c>
      <c r="AD1029" s="9" t="s">
        <v>4202</v>
      </c>
      <c r="AE1029" s="9" t="str">
        <f aca="false">IF($AK1029=0,"",INDEX('Part types'!$T:$T,$AK1029)&amp;"")</f>
        <v>All vehicles</v>
      </c>
      <c r="AF1029" s="9" t="str">
        <f aca="false">IF($AK1029=0,"",INDEX('Part types'!$U:$U,$AK1029)&amp;"")</f>
        <v>Explosive device (restricted)</v>
      </c>
      <c r="AG1029" s="9" t="str">
        <f aca="false">IF($AK1029=0,"",INDEX('Part types'!$V:$V,$AK1029)&amp;"")</f>
        <v>Estimate: size class M</v>
      </c>
      <c r="AH1029" s="9" t="str">
        <f aca="false">IF($AK1029=0,"",INDEX('Part types'!$W:$W,$AK1029)&amp;"")</f>
        <v/>
      </c>
      <c r="AI1029" s="11" t="str">
        <f aca="false">IF($AK1029=0,"",INDEX('Part types'!$X:$X,$AK1029)&amp;"")</f>
        <v/>
      </c>
      <c r="AJ1029" s="9" t="str">
        <f aca="false">IF($AK1029=0,"",INDEX('Part types'!$Y:$Y,$AK1029)&amp;"")</f>
        <v/>
      </c>
      <c r="AK1029" s="9" t="n">
        <f aca="false">IFERROR(MATCH($AD1029,'Part types'!$E:$E,0),0)</f>
        <v>677</v>
      </c>
    </row>
    <row r="1030" customFormat="false" ht="15" hidden="false" customHeight="false" outlineLevel="0" collapsed="false">
      <c r="A1030" s="9" t="s">
        <v>4203</v>
      </c>
      <c r="B1030" s="9" t="s">
        <v>4204</v>
      </c>
      <c r="C1030" s="9" t="s">
        <v>4205</v>
      </c>
      <c r="D1030" s="9" t="str">
        <f aca="false">C1030&amp;" - "&amp;E1030</f>
        <v>Seat Belt - Front-Left</v>
      </c>
      <c r="E1030" s="9" t="s">
        <v>1346</v>
      </c>
      <c r="F1030" s="9" t="s">
        <v>2601</v>
      </c>
      <c r="G1030" s="10" t="n">
        <f aca="false">IF($AK1030=0,"",INDEX('Part types'!$P:$P,$AK1030))</f>
        <v>30</v>
      </c>
      <c r="H1030" s="10" t="n">
        <f aca="false">IF($AK1030=0,"",INDEX('Part types'!$Q:$Q,$AK1030))</f>
        <v>20</v>
      </c>
      <c r="I1030" s="10" t="n">
        <f aca="false">IF($AK1030=0,"",INDEX('Part types'!$R:$R,$AK1030))</f>
        <v>15</v>
      </c>
      <c r="J1030" s="10" t="n">
        <f aca="false">IF($AK1030=0,"",INDEX('Part types'!$S:$S,$AK1030))</f>
        <v>1.8</v>
      </c>
      <c r="K1030" s="11" t="s">
        <v>4206</v>
      </c>
      <c r="L1030" s="11" t="s">
        <v>4207</v>
      </c>
      <c r="M1030" s="11" t="str">
        <f aca="false">L1030&amp;" - "&amp;N1030</f>
        <v>حزام أمان - أمامي يسار</v>
      </c>
      <c r="N1030" s="11" t="s">
        <v>1349</v>
      </c>
      <c r="O1030" s="11" t="s">
        <v>2603</v>
      </c>
      <c r="P1030" s="10" t="n">
        <f aca="false">G1030</f>
        <v>30</v>
      </c>
      <c r="Q1030" s="10" t="n">
        <f aca="false">H1030</f>
        <v>20</v>
      </c>
      <c r="R1030" s="10" t="n">
        <f aca="false">I1030</f>
        <v>15</v>
      </c>
      <c r="S1030" s="10" t="n">
        <f aca="false">J1030</f>
        <v>1.8</v>
      </c>
      <c r="T1030" s="12" t="s">
        <v>4208</v>
      </c>
      <c r="U1030" s="12" t="s">
        <v>4208</v>
      </c>
      <c r="V1030" s="9" t="str">
        <f aca="false">U1030&amp;" - "&amp;W1030</f>
        <v>安全带 - 前左</v>
      </c>
      <c r="W1030" s="12" t="s">
        <v>1352</v>
      </c>
      <c r="X1030" s="12" t="s">
        <v>2605</v>
      </c>
      <c r="Y1030" s="10" t="n">
        <f aca="false">G1030</f>
        <v>30</v>
      </c>
      <c r="Z1030" s="10" t="n">
        <f aca="false">H1030</f>
        <v>20</v>
      </c>
      <c r="AA1030" s="10" t="n">
        <f aca="false">I1030</f>
        <v>15</v>
      </c>
      <c r="AB1030" s="10" t="n">
        <f aca="false">J1030</f>
        <v>1.8</v>
      </c>
      <c r="AC1030" s="9" t="s">
        <v>4209</v>
      </c>
      <c r="AD1030" s="9" t="s">
        <v>4210</v>
      </c>
      <c r="AE1030" s="9" t="str">
        <f aca="false">IF($AK1030=0,"",INDEX('Part types'!$T:$T,$AK1030)&amp;"")</f>
        <v>All vehicles</v>
      </c>
      <c r="AF1030" s="9" t="str">
        <f aca="false">IF($AK1030=0,"",INDEX('Part types'!$U:$U,$AK1030)&amp;"")</f>
        <v/>
      </c>
      <c r="AG1030" s="9" t="str">
        <f aca="false">IF($AK1030=0,"",INDEX('Part types'!$V:$V,$AK1030)&amp;"")</f>
        <v>Estimate: size class M2</v>
      </c>
      <c r="AH1030" s="9" t="str">
        <f aca="false">IF($AK1030=0,"",INDEX('Part types'!$W:$W,$AK1030)&amp;"")</f>
        <v/>
      </c>
      <c r="AI1030" s="11" t="str">
        <f aca="false">IF($AK1030=0,"",INDEX('Part types'!$X:$X,$AK1030)&amp;"")</f>
        <v/>
      </c>
      <c r="AJ1030" s="9" t="str">
        <f aca="false">IF($AK1030=0,"",INDEX('Part types'!$Y:$Y,$AK1030)&amp;"")</f>
        <v/>
      </c>
      <c r="AK1030" s="9" t="n">
        <f aca="false">IFERROR(MATCH($AD1030,'Part types'!$E:$E,0),0)</f>
        <v>678</v>
      </c>
    </row>
    <row r="1031" customFormat="false" ht="15" hidden="false" customHeight="false" outlineLevel="0" collapsed="false">
      <c r="A1031" s="9" t="s">
        <v>4211</v>
      </c>
      <c r="B1031" s="9" t="s">
        <v>4204</v>
      </c>
      <c r="C1031" s="9" t="s">
        <v>4205</v>
      </c>
      <c r="D1031" s="9" t="str">
        <f aca="false">C1031&amp;" - "&amp;E1031</f>
        <v>Seat Belt - Front-Right</v>
      </c>
      <c r="E1031" s="9" t="s">
        <v>1356</v>
      </c>
      <c r="F1031" s="9" t="s">
        <v>2601</v>
      </c>
      <c r="G1031" s="10" t="n">
        <f aca="false">IF($AK1031=0,"",INDEX('Part types'!$P:$P,$AK1031))</f>
        <v>30</v>
      </c>
      <c r="H1031" s="10" t="n">
        <f aca="false">IF($AK1031=0,"",INDEX('Part types'!$Q:$Q,$AK1031))</f>
        <v>20</v>
      </c>
      <c r="I1031" s="10" t="n">
        <f aca="false">IF($AK1031=0,"",INDEX('Part types'!$R:$R,$AK1031))</f>
        <v>15</v>
      </c>
      <c r="J1031" s="10" t="n">
        <f aca="false">IF($AK1031=0,"",INDEX('Part types'!$S:$S,$AK1031))</f>
        <v>1.8</v>
      </c>
      <c r="K1031" s="11" t="s">
        <v>4206</v>
      </c>
      <c r="L1031" s="11" t="s">
        <v>4207</v>
      </c>
      <c r="M1031" s="11" t="str">
        <f aca="false">L1031&amp;" - "&amp;N1031</f>
        <v>حزام أمان - أمامي يمين</v>
      </c>
      <c r="N1031" s="11" t="s">
        <v>1357</v>
      </c>
      <c r="O1031" s="11" t="s">
        <v>2603</v>
      </c>
      <c r="P1031" s="10" t="n">
        <f aca="false">G1031</f>
        <v>30</v>
      </c>
      <c r="Q1031" s="10" t="n">
        <f aca="false">H1031</f>
        <v>20</v>
      </c>
      <c r="R1031" s="10" t="n">
        <f aca="false">I1031</f>
        <v>15</v>
      </c>
      <c r="S1031" s="10" t="n">
        <f aca="false">J1031</f>
        <v>1.8</v>
      </c>
      <c r="T1031" s="12" t="s">
        <v>4208</v>
      </c>
      <c r="U1031" s="12" t="s">
        <v>4208</v>
      </c>
      <c r="V1031" s="9" t="str">
        <f aca="false">U1031&amp;" - "&amp;W1031</f>
        <v>安全带 - 前右</v>
      </c>
      <c r="W1031" s="12" t="s">
        <v>1358</v>
      </c>
      <c r="X1031" s="12" t="s">
        <v>2605</v>
      </c>
      <c r="Y1031" s="10" t="n">
        <f aca="false">G1031</f>
        <v>30</v>
      </c>
      <c r="Z1031" s="10" t="n">
        <f aca="false">H1031</f>
        <v>20</v>
      </c>
      <c r="AA1031" s="10" t="n">
        <f aca="false">I1031</f>
        <v>15</v>
      </c>
      <c r="AB1031" s="10" t="n">
        <f aca="false">J1031</f>
        <v>1.8</v>
      </c>
      <c r="AC1031" s="9" t="s">
        <v>4209</v>
      </c>
      <c r="AD1031" s="9" t="s">
        <v>4210</v>
      </c>
      <c r="AE1031" s="9" t="str">
        <f aca="false">IF($AK1031=0,"",INDEX('Part types'!$T:$T,$AK1031)&amp;"")</f>
        <v>All vehicles</v>
      </c>
      <c r="AF1031" s="9" t="str">
        <f aca="false">IF($AK1031=0,"",INDEX('Part types'!$U:$U,$AK1031)&amp;"")</f>
        <v/>
      </c>
      <c r="AG1031" s="9" t="str">
        <f aca="false">IF($AK1031=0,"",INDEX('Part types'!$V:$V,$AK1031)&amp;"")</f>
        <v>Estimate: size class M2</v>
      </c>
      <c r="AH1031" s="9" t="str">
        <f aca="false">IF($AK1031=0,"",INDEX('Part types'!$W:$W,$AK1031)&amp;"")</f>
        <v/>
      </c>
      <c r="AI1031" s="11" t="str">
        <f aca="false">IF($AK1031=0,"",INDEX('Part types'!$X:$X,$AK1031)&amp;"")</f>
        <v/>
      </c>
      <c r="AJ1031" s="9" t="str">
        <f aca="false">IF($AK1031=0,"",INDEX('Part types'!$Y:$Y,$AK1031)&amp;"")</f>
        <v/>
      </c>
      <c r="AK1031" s="9" t="n">
        <f aca="false">IFERROR(MATCH($AD1031,'Part types'!$E:$E,0),0)</f>
        <v>678</v>
      </c>
    </row>
    <row r="1032" customFormat="false" ht="15" hidden="false" customHeight="false" outlineLevel="0" collapsed="false">
      <c r="A1032" s="9" t="s">
        <v>4212</v>
      </c>
      <c r="B1032" s="9" t="s">
        <v>4204</v>
      </c>
      <c r="C1032" s="9" t="s">
        <v>4205</v>
      </c>
      <c r="D1032" s="9" t="str">
        <f aca="false">C1032&amp;" - "&amp;E1032</f>
        <v>Seat Belt - Rear-Left</v>
      </c>
      <c r="E1032" s="9" t="s">
        <v>1360</v>
      </c>
      <c r="F1032" s="9" t="s">
        <v>2601</v>
      </c>
      <c r="G1032" s="10" t="n">
        <f aca="false">IF($AK1032=0,"",INDEX('Part types'!$P:$P,$AK1032))</f>
        <v>30</v>
      </c>
      <c r="H1032" s="10" t="n">
        <f aca="false">IF($AK1032=0,"",INDEX('Part types'!$Q:$Q,$AK1032))</f>
        <v>20</v>
      </c>
      <c r="I1032" s="10" t="n">
        <f aca="false">IF($AK1032=0,"",INDEX('Part types'!$R:$R,$AK1032))</f>
        <v>15</v>
      </c>
      <c r="J1032" s="10" t="n">
        <f aca="false">IF($AK1032=0,"",INDEX('Part types'!$S:$S,$AK1032))</f>
        <v>1.8</v>
      </c>
      <c r="K1032" s="11" t="s">
        <v>4206</v>
      </c>
      <c r="L1032" s="11" t="s">
        <v>4207</v>
      </c>
      <c r="M1032" s="11" t="str">
        <f aca="false">L1032&amp;" - "&amp;N1032</f>
        <v>حزام أمان - خلفي يسار</v>
      </c>
      <c r="N1032" s="11" t="s">
        <v>1361</v>
      </c>
      <c r="O1032" s="11" t="s">
        <v>2603</v>
      </c>
      <c r="P1032" s="10" t="n">
        <f aca="false">G1032</f>
        <v>30</v>
      </c>
      <c r="Q1032" s="10" t="n">
        <f aca="false">H1032</f>
        <v>20</v>
      </c>
      <c r="R1032" s="10" t="n">
        <f aca="false">I1032</f>
        <v>15</v>
      </c>
      <c r="S1032" s="10" t="n">
        <f aca="false">J1032</f>
        <v>1.8</v>
      </c>
      <c r="T1032" s="12" t="s">
        <v>4208</v>
      </c>
      <c r="U1032" s="12" t="s">
        <v>4208</v>
      </c>
      <c r="V1032" s="9" t="str">
        <f aca="false">U1032&amp;" - "&amp;W1032</f>
        <v>安全带 - 后左</v>
      </c>
      <c r="W1032" s="12" t="s">
        <v>1362</v>
      </c>
      <c r="X1032" s="12" t="s">
        <v>2605</v>
      </c>
      <c r="Y1032" s="10" t="n">
        <f aca="false">G1032</f>
        <v>30</v>
      </c>
      <c r="Z1032" s="10" t="n">
        <f aca="false">H1032</f>
        <v>20</v>
      </c>
      <c r="AA1032" s="10" t="n">
        <f aca="false">I1032</f>
        <v>15</v>
      </c>
      <c r="AB1032" s="10" t="n">
        <f aca="false">J1032</f>
        <v>1.8</v>
      </c>
      <c r="AC1032" s="9" t="s">
        <v>4209</v>
      </c>
      <c r="AD1032" s="9" t="s">
        <v>4210</v>
      </c>
      <c r="AE1032" s="9" t="str">
        <f aca="false">IF($AK1032=0,"",INDEX('Part types'!$T:$T,$AK1032)&amp;"")</f>
        <v>All vehicles</v>
      </c>
      <c r="AF1032" s="9" t="str">
        <f aca="false">IF($AK1032=0,"",INDEX('Part types'!$U:$U,$AK1032)&amp;"")</f>
        <v/>
      </c>
      <c r="AG1032" s="9" t="str">
        <f aca="false">IF($AK1032=0,"",INDEX('Part types'!$V:$V,$AK1032)&amp;"")</f>
        <v>Estimate: size class M2</v>
      </c>
      <c r="AH1032" s="9" t="str">
        <f aca="false">IF($AK1032=0,"",INDEX('Part types'!$W:$W,$AK1032)&amp;"")</f>
        <v/>
      </c>
      <c r="AI1032" s="11" t="str">
        <f aca="false">IF($AK1032=0,"",INDEX('Part types'!$X:$X,$AK1032)&amp;"")</f>
        <v/>
      </c>
      <c r="AJ1032" s="9" t="str">
        <f aca="false">IF($AK1032=0,"",INDEX('Part types'!$Y:$Y,$AK1032)&amp;"")</f>
        <v/>
      </c>
      <c r="AK1032" s="9" t="n">
        <f aca="false">IFERROR(MATCH($AD1032,'Part types'!$E:$E,0),0)</f>
        <v>678</v>
      </c>
    </row>
    <row r="1033" customFormat="false" ht="15" hidden="false" customHeight="false" outlineLevel="0" collapsed="false">
      <c r="A1033" s="9" t="s">
        <v>4213</v>
      </c>
      <c r="B1033" s="9" t="s">
        <v>4204</v>
      </c>
      <c r="C1033" s="9" t="s">
        <v>4205</v>
      </c>
      <c r="D1033" s="9" t="str">
        <f aca="false">C1033&amp;" - "&amp;E1033</f>
        <v>Seat Belt - Rear-Right</v>
      </c>
      <c r="E1033" s="9" t="s">
        <v>1364</v>
      </c>
      <c r="F1033" s="9" t="s">
        <v>2601</v>
      </c>
      <c r="G1033" s="10" t="n">
        <f aca="false">IF($AK1033=0,"",INDEX('Part types'!$P:$P,$AK1033))</f>
        <v>30</v>
      </c>
      <c r="H1033" s="10" t="n">
        <f aca="false">IF($AK1033=0,"",INDEX('Part types'!$Q:$Q,$AK1033))</f>
        <v>20</v>
      </c>
      <c r="I1033" s="10" t="n">
        <f aca="false">IF($AK1033=0,"",INDEX('Part types'!$R:$R,$AK1033))</f>
        <v>15</v>
      </c>
      <c r="J1033" s="10" t="n">
        <f aca="false">IF($AK1033=0,"",INDEX('Part types'!$S:$S,$AK1033))</f>
        <v>1.8</v>
      </c>
      <c r="K1033" s="11" t="s">
        <v>4206</v>
      </c>
      <c r="L1033" s="11" t="s">
        <v>4207</v>
      </c>
      <c r="M1033" s="11" t="str">
        <f aca="false">L1033&amp;" - "&amp;N1033</f>
        <v>حزام أمان - خلفي يمين</v>
      </c>
      <c r="N1033" s="11" t="s">
        <v>1365</v>
      </c>
      <c r="O1033" s="11" t="s">
        <v>2603</v>
      </c>
      <c r="P1033" s="10" t="n">
        <f aca="false">G1033</f>
        <v>30</v>
      </c>
      <c r="Q1033" s="10" t="n">
        <f aca="false">H1033</f>
        <v>20</v>
      </c>
      <c r="R1033" s="10" t="n">
        <f aca="false">I1033</f>
        <v>15</v>
      </c>
      <c r="S1033" s="10" t="n">
        <f aca="false">J1033</f>
        <v>1.8</v>
      </c>
      <c r="T1033" s="12" t="s">
        <v>4208</v>
      </c>
      <c r="U1033" s="12" t="s">
        <v>4208</v>
      </c>
      <c r="V1033" s="9" t="str">
        <f aca="false">U1033&amp;" - "&amp;W1033</f>
        <v>安全带 - 后右</v>
      </c>
      <c r="W1033" s="12" t="s">
        <v>1366</v>
      </c>
      <c r="X1033" s="12" t="s">
        <v>2605</v>
      </c>
      <c r="Y1033" s="10" t="n">
        <f aca="false">G1033</f>
        <v>30</v>
      </c>
      <c r="Z1033" s="10" t="n">
        <f aca="false">H1033</f>
        <v>20</v>
      </c>
      <c r="AA1033" s="10" t="n">
        <f aca="false">I1033</f>
        <v>15</v>
      </c>
      <c r="AB1033" s="10" t="n">
        <f aca="false">J1033</f>
        <v>1.8</v>
      </c>
      <c r="AC1033" s="9" t="s">
        <v>4209</v>
      </c>
      <c r="AD1033" s="9" t="s">
        <v>4210</v>
      </c>
      <c r="AE1033" s="9" t="str">
        <f aca="false">IF($AK1033=0,"",INDEX('Part types'!$T:$T,$AK1033)&amp;"")</f>
        <v>All vehicles</v>
      </c>
      <c r="AF1033" s="9" t="str">
        <f aca="false">IF($AK1033=0,"",INDEX('Part types'!$U:$U,$AK1033)&amp;"")</f>
        <v/>
      </c>
      <c r="AG1033" s="9" t="str">
        <f aca="false">IF($AK1033=0,"",INDEX('Part types'!$V:$V,$AK1033)&amp;"")</f>
        <v>Estimate: size class M2</v>
      </c>
      <c r="AH1033" s="9" t="str">
        <f aca="false">IF($AK1033=0,"",INDEX('Part types'!$W:$W,$AK1033)&amp;"")</f>
        <v/>
      </c>
      <c r="AI1033" s="11" t="str">
        <f aca="false">IF($AK1033=0,"",INDEX('Part types'!$X:$X,$AK1033)&amp;"")</f>
        <v/>
      </c>
      <c r="AJ1033" s="9" t="str">
        <f aca="false">IF($AK1033=0,"",INDEX('Part types'!$Y:$Y,$AK1033)&amp;"")</f>
        <v/>
      </c>
      <c r="AK1033" s="9" t="n">
        <f aca="false">IFERROR(MATCH($AD1033,'Part types'!$E:$E,0),0)</f>
        <v>678</v>
      </c>
    </row>
    <row r="1034" customFormat="false" ht="15" hidden="false" customHeight="false" outlineLevel="0" collapsed="false">
      <c r="A1034" s="9" t="s">
        <v>4214</v>
      </c>
      <c r="B1034" s="9" t="s">
        <v>4204</v>
      </c>
      <c r="C1034" s="9" t="s">
        <v>4215</v>
      </c>
      <c r="D1034" s="9" t="str">
        <f aca="false">C1034&amp;" - "&amp;E1034</f>
        <v>Seat Belt Pretensioner - Front-Left</v>
      </c>
      <c r="E1034" s="9" t="s">
        <v>1346</v>
      </c>
      <c r="F1034" s="9" t="s">
        <v>2601</v>
      </c>
      <c r="G1034" s="10" t="n">
        <f aca="false">IF($AK1034=0,"",INDEX('Part types'!$P:$P,$AK1034))</f>
        <v>15</v>
      </c>
      <c r="H1034" s="10" t="n">
        <f aca="false">IF($AK1034=0,"",INDEX('Part types'!$Q:$Q,$AK1034))</f>
        <v>10</v>
      </c>
      <c r="I1034" s="10" t="n">
        <f aca="false">IF($AK1034=0,"",INDEX('Part types'!$R:$R,$AK1034))</f>
        <v>8</v>
      </c>
      <c r="J1034" s="10" t="n">
        <f aca="false">IF($AK1034=0,"",INDEX('Part types'!$S:$S,$AK1034))</f>
        <v>0.3</v>
      </c>
      <c r="K1034" s="11" t="s">
        <v>4206</v>
      </c>
      <c r="L1034" s="11" t="s">
        <v>4216</v>
      </c>
      <c r="M1034" s="11" t="str">
        <f aca="false">L1034&amp;" - "&amp;N1034</f>
        <v>مشد حزام الأمان - أمامي يسار</v>
      </c>
      <c r="N1034" s="11" t="s">
        <v>1349</v>
      </c>
      <c r="O1034" s="11" t="s">
        <v>2603</v>
      </c>
      <c r="P1034" s="10" t="n">
        <f aca="false">G1034</f>
        <v>15</v>
      </c>
      <c r="Q1034" s="10" t="n">
        <f aca="false">H1034</f>
        <v>10</v>
      </c>
      <c r="R1034" s="10" t="n">
        <f aca="false">I1034</f>
        <v>8</v>
      </c>
      <c r="S1034" s="10" t="n">
        <f aca="false">J1034</f>
        <v>0.3</v>
      </c>
      <c r="T1034" s="12" t="s">
        <v>4208</v>
      </c>
      <c r="U1034" s="12" t="s">
        <v>4217</v>
      </c>
      <c r="V1034" s="9" t="str">
        <f aca="false">U1034&amp;" - "&amp;W1034</f>
        <v>安全带预紧器 - 前左</v>
      </c>
      <c r="W1034" s="12" t="s">
        <v>1352</v>
      </c>
      <c r="X1034" s="12" t="s">
        <v>2605</v>
      </c>
      <c r="Y1034" s="10" t="n">
        <f aca="false">G1034</f>
        <v>15</v>
      </c>
      <c r="Z1034" s="10" t="n">
        <f aca="false">H1034</f>
        <v>10</v>
      </c>
      <c r="AA1034" s="10" t="n">
        <f aca="false">I1034</f>
        <v>8</v>
      </c>
      <c r="AB1034" s="10" t="n">
        <f aca="false">J1034</f>
        <v>0.3</v>
      </c>
      <c r="AC1034" s="9" t="s">
        <v>4209</v>
      </c>
      <c r="AD1034" s="9" t="s">
        <v>4218</v>
      </c>
      <c r="AE1034" s="9" t="str">
        <f aca="false">IF($AK1034=0,"",INDEX('Part types'!$T:$T,$AK1034)&amp;"")</f>
        <v>All vehicles</v>
      </c>
      <c r="AF1034" s="9" t="str">
        <f aca="false">IF($AK1034=0,"",INDEX('Part types'!$U:$U,$AK1034)&amp;"")</f>
        <v>Explosive device (restricted)</v>
      </c>
      <c r="AG1034" s="9" t="str">
        <f aca="false">IF($AK1034=0,"",INDEX('Part types'!$V:$V,$AK1034)&amp;"")</f>
        <v>Estimate: size class S</v>
      </c>
      <c r="AH1034" s="9" t="str">
        <f aca="false">IF($AK1034=0,"",INDEX('Part types'!$W:$W,$AK1034)&amp;"")</f>
        <v/>
      </c>
      <c r="AI1034" s="11" t="str">
        <f aca="false">IF($AK1034=0,"",INDEX('Part types'!$X:$X,$AK1034)&amp;"")</f>
        <v/>
      </c>
      <c r="AJ1034" s="9" t="str">
        <f aca="false">IF($AK1034=0,"",INDEX('Part types'!$Y:$Y,$AK1034)&amp;"")</f>
        <v/>
      </c>
      <c r="AK1034" s="9" t="n">
        <f aca="false">IFERROR(MATCH($AD1034,'Part types'!$E:$E,0),0)</f>
        <v>679</v>
      </c>
    </row>
    <row r="1035" customFormat="false" ht="15" hidden="false" customHeight="false" outlineLevel="0" collapsed="false">
      <c r="A1035" s="9" t="s">
        <v>4219</v>
      </c>
      <c r="B1035" s="9" t="s">
        <v>4204</v>
      </c>
      <c r="C1035" s="9" t="s">
        <v>4215</v>
      </c>
      <c r="D1035" s="9" t="str">
        <f aca="false">C1035&amp;" - "&amp;E1035</f>
        <v>Seat Belt Pretensioner - Front-Right</v>
      </c>
      <c r="E1035" s="9" t="s">
        <v>1356</v>
      </c>
      <c r="F1035" s="9" t="s">
        <v>2601</v>
      </c>
      <c r="G1035" s="10" t="n">
        <f aca="false">IF($AK1035=0,"",INDEX('Part types'!$P:$P,$AK1035))</f>
        <v>15</v>
      </c>
      <c r="H1035" s="10" t="n">
        <f aca="false">IF($AK1035=0,"",INDEX('Part types'!$Q:$Q,$AK1035))</f>
        <v>10</v>
      </c>
      <c r="I1035" s="10" t="n">
        <f aca="false">IF($AK1035=0,"",INDEX('Part types'!$R:$R,$AK1035))</f>
        <v>8</v>
      </c>
      <c r="J1035" s="10" t="n">
        <f aca="false">IF($AK1035=0,"",INDEX('Part types'!$S:$S,$AK1035))</f>
        <v>0.3</v>
      </c>
      <c r="K1035" s="11" t="s">
        <v>4206</v>
      </c>
      <c r="L1035" s="11" t="s">
        <v>4216</v>
      </c>
      <c r="M1035" s="11" t="str">
        <f aca="false">L1035&amp;" - "&amp;N1035</f>
        <v>مشد حزام الأمان - أمامي يمين</v>
      </c>
      <c r="N1035" s="11" t="s">
        <v>1357</v>
      </c>
      <c r="O1035" s="11" t="s">
        <v>2603</v>
      </c>
      <c r="P1035" s="10" t="n">
        <f aca="false">G1035</f>
        <v>15</v>
      </c>
      <c r="Q1035" s="10" t="n">
        <f aca="false">H1035</f>
        <v>10</v>
      </c>
      <c r="R1035" s="10" t="n">
        <f aca="false">I1035</f>
        <v>8</v>
      </c>
      <c r="S1035" s="10" t="n">
        <f aca="false">J1035</f>
        <v>0.3</v>
      </c>
      <c r="T1035" s="12" t="s">
        <v>4208</v>
      </c>
      <c r="U1035" s="12" t="s">
        <v>4217</v>
      </c>
      <c r="V1035" s="9" t="str">
        <f aca="false">U1035&amp;" - "&amp;W1035</f>
        <v>安全带预紧器 - 前右</v>
      </c>
      <c r="W1035" s="12" t="s">
        <v>1358</v>
      </c>
      <c r="X1035" s="12" t="s">
        <v>2605</v>
      </c>
      <c r="Y1035" s="10" t="n">
        <f aca="false">G1035</f>
        <v>15</v>
      </c>
      <c r="Z1035" s="10" t="n">
        <f aca="false">H1035</f>
        <v>10</v>
      </c>
      <c r="AA1035" s="10" t="n">
        <f aca="false">I1035</f>
        <v>8</v>
      </c>
      <c r="AB1035" s="10" t="n">
        <f aca="false">J1035</f>
        <v>0.3</v>
      </c>
      <c r="AC1035" s="9" t="s">
        <v>4209</v>
      </c>
      <c r="AD1035" s="9" t="s">
        <v>4218</v>
      </c>
      <c r="AE1035" s="9" t="str">
        <f aca="false">IF($AK1035=0,"",INDEX('Part types'!$T:$T,$AK1035)&amp;"")</f>
        <v>All vehicles</v>
      </c>
      <c r="AF1035" s="9" t="str">
        <f aca="false">IF($AK1035=0,"",INDEX('Part types'!$U:$U,$AK1035)&amp;"")</f>
        <v>Explosive device (restricted)</v>
      </c>
      <c r="AG1035" s="9" t="str">
        <f aca="false">IF($AK1035=0,"",INDEX('Part types'!$V:$V,$AK1035)&amp;"")</f>
        <v>Estimate: size class S</v>
      </c>
      <c r="AH1035" s="9" t="str">
        <f aca="false">IF($AK1035=0,"",INDEX('Part types'!$W:$W,$AK1035)&amp;"")</f>
        <v/>
      </c>
      <c r="AI1035" s="11" t="str">
        <f aca="false">IF($AK1035=0,"",INDEX('Part types'!$X:$X,$AK1035)&amp;"")</f>
        <v/>
      </c>
      <c r="AJ1035" s="9" t="str">
        <f aca="false">IF($AK1035=0,"",INDEX('Part types'!$Y:$Y,$AK1035)&amp;"")</f>
        <v/>
      </c>
      <c r="AK1035" s="9" t="n">
        <f aca="false">IFERROR(MATCH($AD1035,'Part types'!$E:$E,0),0)</f>
        <v>679</v>
      </c>
    </row>
    <row r="1036" customFormat="false" ht="15" hidden="false" customHeight="false" outlineLevel="0" collapsed="false">
      <c r="A1036" s="9" t="s">
        <v>4220</v>
      </c>
      <c r="B1036" s="9" t="s">
        <v>4204</v>
      </c>
      <c r="C1036" s="9" t="s">
        <v>4221</v>
      </c>
      <c r="D1036" s="9" t="str">
        <f aca="false">C1036&amp;" - "&amp;E1036</f>
        <v>Seat Belt Buckle - Front-Left</v>
      </c>
      <c r="E1036" s="9" t="s">
        <v>1346</v>
      </c>
      <c r="F1036" s="9" t="s">
        <v>2601</v>
      </c>
      <c r="G1036" s="10" t="n">
        <f aca="false">IF($AK1036=0,"",INDEX('Part types'!$P:$P,$AK1036))</f>
        <v>10</v>
      </c>
      <c r="H1036" s="10" t="n">
        <f aca="false">IF($AK1036=0,"",INDEX('Part types'!$Q:$Q,$AK1036))</f>
        <v>8</v>
      </c>
      <c r="I1036" s="10" t="n">
        <f aca="false">IF($AK1036=0,"",INDEX('Part types'!$R:$R,$AK1036))</f>
        <v>6</v>
      </c>
      <c r="J1036" s="10" t="n">
        <f aca="false">IF($AK1036=0,"",INDEX('Part types'!$S:$S,$AK1036))</f>
        <v>0.1</v>
      </c>
      <c r="K1036" s="11" t="s">
        <v>4206</v>
      </c>
      <c r="L1036" s="11" t="s">
        <v>4222</v>
      </c>
      <c r="M1036" s="11" t="str">
        <f aca="false">L1036&amp;" - "&amp;N1036</f>
        <v>قفل حزام الأمان - أمامي يسار</v>
      </c>
      <c r="N1036" s="11" t="s">
        <v>1349</v>
      </c>
      <c r="O1036" s="11" t="s">
        <v>2603</v>
      </c>
      <c r="P1036" s="10" t="n">
        <f aca="false">G1036</f>
        <v>10</v>
      </c>
      <c r="Q1036" s="10" t="n">
        <f aca="false">H1036</f>
        <v>8</v>
      </c>
      <c r="R1036" s="10" t="n">
        <f aca="false">I1036</f>
        <v>6</v>
      </c>
      <c r="S1036" s="10" t="n">
        <f aca="false">J1036</f>
        <v>0.1</v>
      </c>
      <c r="T1036" s="12" t="s">
        <v>4208</v>
      </c>
      <c r="U1036" s="12" t="s">
        <v>4223</v>
      </c>
      <c r="V1036" s="9" t="str">
        <f aca="false">U1036&amp;" - "&amp;W1036</f>
        <v>安全带锁扣 - 前左</v>
      </c>
      <c r="W1036" s="12" t="s">
        <v>1352</v>
      </c>
      <c r="X1036" s="12" t="s">
        <v>2605</v>
      </c>
      <c r="Y1036" s="10" t="n">
        <f aca="false">G1036</f>
        <v>10</v>
      </c>
      <c r="Z1036" s="10" t="n">
        <f aca="false">H1036</f>
        <v>8</v>
      </c>
      <c r="AA1036" s="10" t="n">
        <f aca="false">I1036</f>
        <v>6</v>
      </c>
      <c r="AB1036" s="10" t="n">
        <f aca="false">J1036</f>
        <v>0.1</v>
      </c>
      <c r="AC1036" s="9" t="s">
        <v>4209</v>
      </c>
      <c r="AD1036" s="9" t="s">
        <v>4224</v>
      </c>
      <c r="AE1036" s="9" t="str">
        <f aca="false">IF($AK1036=0,"",INDEX('Part types'!$T:$T,$AK1036)&amp;"")</f>
        <v>All vehicles</v>
      </c>
      <c r="AF1036" s="9" t="str">
        <f aca="false">IF($AK1036=0,"",INDEX('Part types'!$U:$U,$AK1036)&amp;"")</f>
        <v/>
      </c>
      <c r="AG1036" s="9" t="str">
        <f aca="false">IF($AK1036=0,"",INDEX('Part types'!$V:$V,$AK1036)&amp;"")</f>
        <v>Estimate: size class XS</v>
      </c>
      <c r="AH1036" s="9" t="str">
        <f aca="false">IF($AK1036=0,"",INDEX('Part types'!$W:$W,$AK1036)&amp;"")</f>
        <v/>
      </c>
      <c r="AI1036" s="11" t="str">
        <f aca="false">IF($AK1036=0,"",INDEX('Part types'!$X:$X,$AK1036)&amp;"")</f>
        <v/>
      </c>
      <c r="AJ1036" s="9" t="str">
        <f aca="false">IF($AK1036=0,"",INDEX('Part types'!$Y:$Y,$AK1036)&amp;"")</f>
        <v/>
      </c>
      <c r="AK1036" s="9" t="n">
        <f aca="false">IFERROR(MATCH($AD1036,'Part types'!$E:$E,0),0)</f>
        <v>680</v>
      </c>
    </row>
    <row r="1037" customFormat="false" ht="15" hidden="false" customHeight="false" outlineLevel="0" collapsed="false">
      <c r="A1037" s="9" t="s">
        <v>4225</v>
      </c>
      <c r="B1037" s="9" t="s">
        <v>4204</v>
      </c>
      <c r="C1037" s="9" t="s">
        <v>4221</v>
      </c>
      <c r="D1037" s="9" t="str">
        <f aca="false">C1037&amp;" - "&amp;E1037</f>
        <v>Seat Belt Buckle - Front-Right</v>
      </c>
      <c r="E1037" s="9" t="s">
        <v>1356</v>
      </c>
      <c r="F1037" s="9" t="s">
        <v>2601</v>
      </c>
      <c r="G1037" s="10" t="n">
        <f aca="false">IF($AK1037=0,"",INDEX('Part types'!$P:$P,$AK1037))</f>
        <v>10</v>
      </c>
      <c r="H1037" s="10" t="n">
        <f aca="false">IF($AK1037=0,"",INDEX('Part types'!$Q:$Q,$AK1037))</f>
        <v>8</v>
      </c>
      <c r="I1037" s="10" t="n">
        <f aca="false">IF($AK1037=0,"",INDEX('Part types'!$R:$R,$AK1037))</f>
        <v>6</v>
      </c>
      <c r="J1037" s="10" t="n">
        <f aca="false">IF($AK1037=0,"",INDEX('Part types'!$S:$S,$AK1037))</f>
        <v>0.1</v>
      </c>
      <c r="K1037" s="11" t="s">
        <v>4206</v>
      </c>
      <c r="L1037" s="11" t="s">
        <v>4222</v>
      </c>
      <c r="M1037" s="11" t="str">
        <f aca="false">L1037&amp;" - "&amp;N1037</f>
        <v>قفل حزام الأمان - أمامي يمين</v>
      </c>
      <c r="N1037" s="11" t="s">
        <v>1357</v>
      </c>
      <c r="O1037" s="11" t="s">
        <v>2603</v>
      </c>
      <c r="P1037" s="10" t="n">
        <f aca="false">G1037</f>
        <v>10</v>
      </c>
      <c r="Q1037" s="10" t="n">
        <f aca="false">H1037</f>
        <v>8</v>
      </c>
      <c r="R1037" s="10" t="n">
        <f aca="false">I1037</f>
        <v>6</v>
      </c>
      <c r="S1037" s="10" t="n">
        <f aca="false">J1037</f>
        <v>0.1</v>
      </c>
      <c r="T1037" s="12" t="s">
        <v>4208</v>
      </c>
      <c r="U1037" s="12" t="s">
        <v>4223</v>
      </c>
      <c r="V1037" s="9" t="str">
        <f aca="false">U1037&amp;" - "&amp;W1037</f>
        <v>安全带锁扣 - 前右</v>
      </c>
      <c r="W1037" s="12" t="s">
        <v>1358</v>
      </c>
      <c r="X1037" s="12" t="s">
        <v>2605</v>
      </c>
      <c r="Y1037" s="10" t="n">
        <f aca="false">G1037</f>
        <v>10</v>
      </c>
      <c r="Z1037" s="10" t="n">
        <f aca="false">H1037</f>
        <v>8</v>
      </c>
      <c r="AA1037" s="10" t="n">
        <f aca="false">I1037</f>
        <v>6</v>
      </c>
      <c r="AB1037" s="10" t="n">
        <f aca="false">J1037</f>
        <v>0.1</v>
      </c>
      <c r="AC1037" s="9" t="s">
        <v>4209</v>
      </c>
      <c r="AD1037" s="9" t="s">
        <v>4224</v>
      </c>
      <c r="AE1037" s="9" t="str">
        <f aca="false">IF($AK1037=0,"",INDEX('Part types'!$T:$T,$AK1037)&amp;"")</f>
        <v>All vehicles</v>
      </c>
      <c r="AF1037" s="9" t="str">
        <f aca="false">IF($AK1037=0,"",INDEX('Part types'!$U:$U,$AK1037)&amp;"")</f>
        <v/>
      </c>
      <c r="AG1037" s="9" t="str">
        <f aca="false">IF($AK1037=0,"",INDEX('Part types'!$V:$V,$AK1037)&amp;"")</f>
        <v>Estimate: size class XS</v>
      </c>
      <c r="AH1037" s="9" t="str">
        <f aca="false">IF($AK1037=0,"",INDEX('Part types'!$W:$W,$AK1037)&amp;"")</f>
        <v/>
      </c>
      <c r="AI1037" s="11" t="str">
        <f aca="false">IF($AK1037=0,"",INDEX('Part types'!$X:$X,$AK1037)&amp;"")</f>
        <v/>
      </c>
      <c r="AJ1037" s="9" t="str">
        <f aca="false">IF($AK1037=0,"",INDEX('Part types'!$Y:$Y,$AK1037)&amp;"")</f>
        <v/>
      </c>
      <c r="AK1037" s="9" t="n">
        <f aca="false">IFERROR(MATCH($AD1037,'Part types'!$E:$E,0),0)</f>
        <v>680</v>
      </c>
    </row>
    <row r="1038" customFormat="false" ht="15" hidden="false" customHeight="false" outlineLevel="0" collapsed="false">
      <c r="A1038" s="9" t="s">
        <v>4226</v>
      </c>
      <c r="B1038" s="9" t="s">
        <v>4204</v>
      </c>
      <c r="C1038" s="9" t="s">
        <v>4221</v>
      </c>
      <c r="D1038" s="9" t="str">
        <f aca="false">C1038&amp;" - "&amp;E1038</f>
        <v>Seat Belt Buckle - Rear-Left</v>
      </c>
      <c r="E1038" s="9" t="s">
        <v>1360</v>
      </c>
      <c r="F1038" s="9" t="s">
        <v>2601</v>
      </c>
      <c r="G1038" s="10" t="n">
        <f aca="false">IF($AK1038=0,"",INDEX('Part types'!$P:$P,$AK1038))</f>
        <v>10</v>
      </c>
      <c r="H1038" s="10" t="n">
        <f aca="false">IF($AK1038=0,"",INDEX('Part types'!$Q:$Q,$AK1038))</f>
        <v>8</v>
      </c>
      <c r="I1038" s="10" t="n">
        <f aca="false">IF($AK1038=0,"",INDEX('Part types'!$R:$R,$AK1038))</f>
        <v>6</v>
      </c>
      <c r="J1038" s="10" t="n">
        <f aca="false">IF($AK1038=0,"",INDEX('Part types'!$S:$S,$AK1038))</f>
        <v>0.1</v>
      </c>
      <c r="K1038" s="11" t="s">
        <v>4206</v>
      </c>
      <c r="L1038" s="11" t="s">
        <v>4222</v>
      </c>
      <c r="M1038" s="11" t="str">
        <f aca="false">L1038&amp;" - "&amp;N1038</f>
        <v>قفل حزام الأمان - خلفي يسار</v>
      </c>
      <c r="N1038" s="11" t="s">
        <v>1361</v>
      </c>
      <c r="O1038" s="11" t="s">
        <v>2603</v>
      </c>
      <c r="P1038" s="10" t="n">
        <f aca="false">G1038</f>
        <v>10</v>
      </c>
      <c r="Q1038" s="10" t="n">
        <f aca="false">H1038</f>
        <v>8</v>
      </c>
      <c r="R1038" s="10" t="n">
        <f aca="false">I1038</f>
        <v>6</v>
      </c>
      <c r="S1038" s="10" t="n">
        <f aca="false">J1038</f>
        <v>0.1</v>
      </c>
      <c r="T1038" s="12" t="s">
        <v>4208</v>
      </c>
      <c r="U1038" s="12" t="s">
        <v>4223</v>
      </c>
      <c r="V1038" s="9" t="str">
        <f aca="false">U1038&amp;" - "&amp;W1038</f>
        <v>安全带锁扣 - 后左</v>
      </c>
      <c r="W1038" s="12" t="s">
        <v>1362</v>
      </c>
      <c r="X1038" s="12" t="s">
        <v>2605</v>
      </c>
      <c r="Y1038" s="10" t="n">
        <f aca="false">G1038</f>
        <v>10</v>
      </c>
      <c r="Z1038" s="10" t="n">
        <f aca="false">H1038</f>
        <v>8</v>
      </c>
      <c r="AA1038" s="10" t="n">
        <f aca="false">I1038</f>
        <v>6</v>
      </c>
      <c r="AB1038" s="10" t="n">
        <f aca="false">J1038</f>
        <v>0.1</v>
      </c>
      <c r="AC1038" s="9" t="s">
        <v>4209</v>
      </c>
      <c r="AD1038" s="9" t="s">
        <v>4224</v>
      </c>
      <c r="AE1038" s="9" t="str">
        <f aca="false">IF($AK1038=0,"",INDEX('Part types'!$T:$T,$AK1038)&amp;"")</f>
        <v>All vehicles</v>
      </c>
      <c r="AF1038" s="9" t="str">
        <f aca="false">IF($AK1038=0,"",INDEX('Part types'!$U:$U,$AK1038)&amp;"")</f>
        <v/>
      </c>
      <c r="AG1038" s="9" t="str">
        <f aca="false">IF($AK1038=0,"",INDEX('Part types'!$V:$V,$AK1038)&amp;"")</f>
        <v>Estimate: size class XS</v>
      </c>
      <c r="AH1038" s="9" t="str">
        <f aca="false">IF($AK1038=0,"",INDEX('Part types'!$W:$W,$AK1038)&amp;"")</f>
        <v/>
      </c>
      <c r="AI1038" s="11" t="str">
        <f aca="false">IF($AK1038=0,"",INDEX('Part types'!$X:$X,$AK1038)&amp;"")</f>
        <v/>
      </c>
      <c r="AJ1038" s="9" t="str">
        <f aca="false">IF($AK1038=0,"",INDEX('Part types'!$Y:$Y,$AK1038)&amp;"")</f>
        <v/>
      </c>
      <c r="AK1038" s="9" t="n">
        <f aca="false">IFERROR(MATCH($AD1038,'Part types'!$E:$E,0),0)</f>
        <v>680</v>
      </c>
    </row>
    <row r="1039" customFormat="false" ht="15" hidden="false" customHeight="false" outlineLevel="0" collapsed="false">
      <c r="A1039" s="9" t="s">
        <v>4227</v>
      </c>
      <c r="B1039" s="9" t="s">
        <v>4204</v>
      </c>
      <c r="C1039" s="9" t="s">
        <v>4221</v>
      </c>
      <c r="D1039" s="9" t="str">
        <f aca="false">C1039&amp;" - "&amp;E1039</f>
        <v>Seat Belt Buckle - Rear-Right</v>
      </c>
      <c r="E1039" s="9" t="s">
        <v>1364</v>
      </c>
      <c r="F1039" s="9" t="s">
        <v>2601</v>
      </c>
      <c r="G1039" s="10" t="n">
        <f aca="false">IF($AK1039=0,"",INDEX('Part types'!$P:$P,$AK1039))</f>
        <v>10</v>
      </c>
      <c r="H1039" s="10" t="n">
        <f aca="false">IF($AK1039=0,"",INDEX('Part types'!$Q:$Q,$AK1039))</f>
        <v>8</v>
      </c>
      <c r="I1039" s="10" t="n">
        <f aca="false">IF($AK1039=0,"",INDEX('Part types'!$R:$R,$AK1039))</f>
        <v>6</v>
      </c>
      <c r="J1039" s="10" t="n">
        <f aca="false">IF($AK1039=0,"",INDEX('Part types'!$S:$S,$AK1039))</f>
        <v>0.1</v>
      </c>
      <c r="K1039" s="11" t="s">
        <v>4206</v>
      </c>
      <c r="L1039" s="11" t="s">
        <v>4222</v>
      </c>
      <c r="M1039" s="11" t="str">
        <f aca="false">L1039&amp;" - "&amp;N1039</f>
        <v>قفل حزام الأمان - خلفي يمين</v>
      </c>
      <c r="N1039" s="11" t="s">
        <v>1365</v>
      </c>
      <c r="O1039" s="11" t="s">
        <v>2603</v>
      </c>
      <c r="P1039" s="10" t="n">
        <f aca="false">G1039</f>
        <v>10</v>
      </c>
      <c r="Q1039" s="10" t="n">
        <f aca="false">H1039</f>
        <v>8</v>
      </c>
      <c r="R1039" s="10" t="n">
        <f aca="false">I1039</f>
        <v>6</v>
      </c>
      <c r="S1039" s="10" t="n">
        <f aca="false">J1039</f>
        <v>0.1</v>
      </c>
      <c r="T1039" s="12" t="s">
        <v>4208</v>
      </c>
      <c r="U1039" s="12" t="s">
        <v>4223</v>
      </c>
      <c r="V1039" s="9" t="str">
        <f aca="false">U1039&amp;" - "&amp;W1039</f>
        <v>安全带锁扣 - 后右</v>
      </c>
      <c r="W1039" s="12" t="s">
        <v>1366</v>
      </c>
      <c r="X1039" s="12" t="s">
        <v>2605</v>
      </c>
      <c r="Y1039" s="10" t="n">
        <f aca="false">G1039</f>
        <v>10</v>
      </c>
      <c r="Z1039" s="10" t="n">
        <f aca="false">H1039</f>
        <v>8</v>
      </c>
      <c r="AA1039" s="10" t="n">
        <f aca="false">I1039</f>
        <v>6</v>
      </c>
      <c r="AB1039" s="10" t="n">
        <f aca="false">J1039</f>
        <v>0.1</v>
      </c>
      <c r="AC1039" s="9" t="s">
        <v>4209</v>
      </c>
      <c r="AD1039" s="9" t="s">
        <v>4224</v>
      </c>
      <c r="AE1039" s="9" t="str">
        <f aca="false">IF($AK1039=0,"",INDEX('Part types'!$T:$T,$AK1039)&amp;"")</f>
        <v>All vehicles</v>
      </c>
      <c r="AF1039" s="9" t="str">
        <f aca="false">IF($AK1039=0,"",INDEX('Part types'!$U:$U,$AK1039)&amp;"")</f>
        <v/>
      </c>
      <c r="AG1039" s="9" t="str">
        <f aca="false">IF($AK1039=0,"",INDEX('Part types'!$V:$V,$AK1039)&amp;"")</f>
        <v>Estimate: size class XS</v>
      </c>
      <c r="AH1039" s="9" t="str">
        <f aca="false">IF($AK1039=0,"",INDEX('Part types'!$W:$W,$AK1039)&amp;"")</f>
        <v/>
      </c>
      <c r="AI1039" s="11" t="str">
        <f aca="false">IF($AK1039=0,"",INDEX('Part types'!$X:$X,$AK1039)&amp;"")</f>
        <v/>
      </c>
      <c r="AJ1039" s="9" t="str">
        <f aca="false">IF($AK1039=0,"",INDEX('Part types'!$Y:$Y,$AK1039)&amp;"")</f>
        <v/>
      </c>
      <c r="AK1039" s="9" t="n">
        <f aca="false">IFERROR(MATCH($AD1039,'Part types'!$E:$E,0),0)</f>
        <v>680</v>
      </c>
    </row>
    <row r="1040" customFormat="false" ht="15" hidden="false" customHeight="false" outlineLevel="0" collapsed="false">
      <c r="A1040" s="9" t="s">
        <v>4228</v>
      </c>
      <c r="B1040" s="9" t="s">
        <v>4204</v>
      </c>
      <c r="C1040" s="9" t="s">
        <v>4229</v>
      </c>
      <c r="D1040" s="9" t="str">
        <f aca="false">C1040&amp;" - "&amp;E1040</f>
        <v>Child Seat Anchor - Rear-Left</v>
      </c>
      <c r="E1040" s="9" t="s">
        <v>1360</v>
      </c>
      <c r="F1040" s="9" t="s">
        <v>2601</v>
      </c>
      <c r="G1040" s="10" t="n">
        <f aca="false">IF($AK1040=0,"",INDEX('Part types'!$P:$P,$AK1040))</f>
        <v>10</v>
      </c>
      <c r="H1040" s="10" t="n">
        <f aca="false">IF($AK1040=0,"",INDEX('Part types'!$Q:$Q,$AK1040))</f>
        <v>8</v>
      </c>
      <c r="I1040" s="10" t="n">
        <f aca="false">IF($AK1040=0,"",INDEX('Part types'!$R:$R,$AK1040))</f>
        <v>6</v>
      </c>
      <c r="J1040" s="10" t="n">
        <f aca="false">IF($AK1040=0,"",INDEX('Part types'!$S:$S,$AK1040))</f>
        <v>0.1</v>
      </c>
      <c r="K1040" s="11" t="s">
        <v>4206</v>
      </c>
      <c r="L1040" s="11" t="s">
        <v>4230</v>
      </c>
      <c r="M1040" s="11" t="str">
        <f aca="false">L1040&amp;" - "&amp;N1040</f>
        <v>مرساة كرسي الأطفال - خلفي يسار</v>
      </c>
      <c r="N1040" s="11" t="s">
        <v>1361</v>
      </c>
      <c r="O1040" s="11" t="s">
        <v>2603</v>
      </c>
      <c r="P1040" s="10" t="n">
        <f aca="false">G1040</f>
        <v>10</v>
      </c>
      <c r="Q1040" s="10" t="n">
        <f aca="false">H1040</f>
        <v>8</v>
      </c>
      <c r="R1040" s="10" t="n">
        <f aca="false">I1040</f>
        <v>6</v>
      </c>
      <c r="S1040" s="10" t="n">
        <f aca="false">J1040</f>
        <v>0.1</v>
      </c>
      <c r="T1040" s="12" t="s">
        <v>4208</v>
      </c>
      <c r="U1040" s="12" t="s">
        <v>4231</v>
      </c>
      <c r="V1040" s="9" t="str">
        <f aca="false">U1040&amp;" - "&amp;W1040</f>
        <v>儿童座椅ISOFIX接口 - 后左</v>
      </c>
      <c r="W1040" s="12" t="s">
        <v>1362</v>
      </c>
      <c r="X1040" s="12" t="s">
        <v>2605</v>
      </c>
      <c r="Y1040" s="10" t="n">
        <f aca="false">G1040</f>
        <v>10</v>
      </c>
      <c r="Z1040" s="10" t="n">
        <f aca="false">H1040</f>
        <v>8</v>
      </c>
      <c r="AA1040" s="10" t="n">
        <f aca="false">I1040</f>
        <v>6</v>
      </c>
      <c r="AB1040" s="10" t="n">
        <f aca="false">J1040</f>
        <v>0.1</v>
      </c>
      <c r="AC1040" s="9" t="s">
        <v>4209</v>
      </c>
      <c r="AD1040" s="9" t="s">
        <v>4232</v>
      </c>
      <c r="AE1040" s="9" t="str">
        <f aca="false">IF($AK1040=0,"",INDEX('Part types'!$T:$T,$AK1040)&amp;"")</f>
        <v>All vehicles</v>
      </c>
      <c r="AF1040" s="9" t="str">
        <f aca="false">IF($AK1040=0,"",INDEX('Part types'!$U:$U,$AK1040)&amp;"")</f>
        <v/>
      </c>
      <c r="AG1040" s="9" t="str">
        <f aca="false">IF($AK1040=0,"",INDEX('Part types'!$V:$V,$AK1040)&amp;"")</f>
        <v>Estimate: size class XS</v>
      </c>
      <c r="AH1040" s="9" t="str">
        <f aca="false">IF($AK1040=0,"",INDEX('Part types'!$W:$W,$AK1040)&amp;"")</f>
        <v>ISOFIX</v>
      </c>
      <c r="AI1040" s="11" t="str">
        <f aca="false">IF($AK1040=0,"",INDEX('Part types'!$X:$X,$AK1040)&amp;"")</f>
        <v>ISOFIX</v>
      </c>
      <c r="AJ1040" s="9" t="str">
        <f aca="false">IF($AK1040=0,"",INDEX('Part types'!$Y:$Y,$AK1040)&amp;"")</f>
        <v/>
      </c>
      <c r="AK1040" s="9" t="n">
        <f aca="false">IFERROR(MATCH($AD1040,'Part types'!$E:$E,0),0)</f>
        <v>681</v>
      </c>
    </row>
    <row r="1041" customFormat="false" ht="15" hidden="false" customHeight="false" outlineLevel="0" collapsed="false">
      <c r="A1041" s="9" t="s">
        <v>4233</v>
      </c>
      <c r="B1041" s="9" t="s">
        <v>4204</v>
      </c>
      <c r="C1041" s="9" t="s">
        <v>4229</v>
      </c>
      <c r="D1041" s="9" t="str">
        <f aca="false">C1041&amp;" - "&amp;E1041</f>
        <v>Child Seat Anchor - Rear-Right</v>
      </c>
      <c r="E1041" s="9" t="s">
        <v>1364</v>
      </c>
      <c r="F1041" s="9" t="s">
        <v>2601</v>
      </c>
      <c r="G1041" s="10" t="n">
        <f aca="false">IF($AK1041=0,"",INDEX('Part types'!$P:$P,$AK1041))</f>
        <v>10</v>
      </c>
      <c r="H1041" s="10" t="n">
        <f aca="false">IF($AK1041=0,"",INDEX('Part types'!$Q:$Q,$AK1041))</f>
        <v>8</v>
      </c>
      <c r="I1041" s="10" t="n">
        <f aca="false">IF($AK1041=0,"",INDEX('Part types'!$R:$R,$AK1041))</f>
        <v>6</v>
      </c>
      <c r="J1041" s="10" t="n">
        <f aca="false">IF($AK1041=0,"",INDEX('Part types'!$S:$S,$AK1041))</f>
        <v>0.1</v>
      </c>
      <c r="K1041" s="11" t="s">
        <v>4206</v>
      </c>
      <c r="L1041" s="11" t="s">
        <v>4230</v>
      </c>
      <c r="M1041" s="11" t="str">
        <f aca="false">L1041&amp;" - "&amp;N1041</f>
        <v>مرساة كرسي الأطفال - خلفي يمين</v>
      </c>
      <c r="N1041" s="11" t="s">
        <v>1365</v>
      </c>
      <c r="O1041" s="11" t="s">
        <v>2603</v>
      </c>
      <c r="P1041" s="10" t="n">
        <f aca="false">G1041</f>
        <v>10</v>
      </c>
      <c r="Q1041" s="10" t="n">
        <f aca="false">H1041</f>
        <v>8</v>
      </c>
      <c r="R1041" s="10" t="n">
        <f aca="false">I1041</f>
        <v>6</v>
      </c>
      <c r="S1041" s="10" t="n">
        <f aca="false">J1041</f>
        <v>0.1</v>
      </c>
      <c r="T1041" s="12" t="s">
        <v>4208</v>
      </c>
      <c r="U1041" s="12" t="s">
        <v>4231</v>
      </c>
      <c r="V1041" s="9" t="str">
        <f aca="false">U1041&amp;" - "&amp;W1041</f>
        <v>儿童座椅ISOFIX接口 - 后右</v>
      </c>
      <c r="W1041" s="12" t="s">
        <v>1366</v>
      </c>
      <c r="X1041" s="12" t="s">
        <v>2605</v>
      </c>
      <c r="Y1041" s="10" t="n">
        <f aca="false">G1041</f>
        <v>10</v>
      </c>
      <c r="Z1041" s="10" t="n">
        <f aca="false">H1041</f>
        <v>8</v>
      </c>
      <c r="AA1041" s="10" t="n">
        <f aca="false">I1041</f>
        <v>6</v>
      </c>
      <c r="AB1041" s="10" t="n">
        <f aca="false">J1041</f>
        <v>0.1</v>
      </c>
      <c r="AC1041" s="9" t="s">
        <v>4209</v>
      </c>
      <c r="AD1041" s="9" t="s">
        <v>4232</v>
      </c>
      <c r="AE1041" s="9" t="str">
        <f aca="false">IF($AK1041=0,"",INDEX('Part types'!$T:$T,$AK1041)&amp;"")</f>
        <v>All vehicles</v>
      </c>
      <c r="AF1041" s="9" t="str">
        <f aca="false">IF($AK1041=0,"",INDEX('Part types'!$U:$U,$AK1041)&amp;"")</f>
        <v/>
      </c>
      <c r="AG1041" s="9" t="str">
        <f aca="false">IF($AK1041=0,"",INDEX('Part types'!$V:$V,$AK1041)&amp;"")</f>
        <v>Estimate: size class XS</v>
      </c>
      <c r="AH1041" s="9" t="str">
        <f aca="false">IF($AK1041=0,"",INDEX('Part types'!$W:$W,$AK1041)&amp;"")</f>
        <v>ISOFIX</v>
      </c>
      <c r="AI1041" s="11" t="str">
        <f aca="false">IF($AK1041=0,"",INDEX('Part types'!$X:$X,$AK1041)&amp;"")</f>
        <v>ISOFIX</v>
      </c>
      <c r="AJ1041" s="9" t="str">
        <f aca="false">IF($AK1041=0,"",INDEX('Part types'!$Y:$Y,$AK1041)&amp;"")</f>
        <v/>
      </c>
      <c r="AK1041" s="9" t="n">
        <f aca="false">IFERROR(MATCH($AD1041,'Part types'!$E:$E,0),0)</f>
        <v>681</v>
      </c>
    </row>
    <row r="1042" customFormat="false" ht="15" hidden="false" customHeight="false" outlineLevel="0" collapsed="false">
      <c r="A1042" s="9" t="s">
        <v>4234</v>
      </c>
      <c r="B1042" s="9" t="s">
        <v>4235</v>
      </c>
      <c r="C1042" s="9" t="s">
        <v>4236</v>
      </c>
      <c r="D1042" s="9" t="str">
        <f aca="false">C1042&amp;" - "&amp;E1042</f>
        <v>Crash Sensor - Front-Left</v>
      </c>
      <c r="E1042" s="9" t="s">
        <v>1346</v>
      </c>
      <c r="F1042" s="9" t="s">
        <v>2685</v>
      </c>
      <c r="G1042" s="10" t="n">
        <f aca="false">IF($AK1042=0,"",INDEX('Part types'!$P:$P,$AK1042))</f>
        <v>10</v>
      </c>
      <c r="H1042" s="10" t="n">
        <f aca="false">IF($AK1042=0,"",INDEX('Part types'!$Q:$Q,$AK1042))</f>
        <v>8</v>
      </c>
      <c r="I1042" s="10" t="n">
        <f aca="false">IF($AK1042=0,"",INDEX('Part types'!$R:$R,$AK1042))</f>
        <v>6</v>
      </c>
      <c r="J1042" s="10" t="n">
        <f aca="false">IF($AK1042=0,"",INDEX('Part types'!$S:$S,$AK1042))</f>
        <v>0.1</v>
      </c>
      <c r="K1042" s="11" t="s">
        <v>4237</v>
      </c>
      <c r="L1042" s="11" t="s">
        <v>4238</v>
      </c>
      <c r="M1042" s="11" t="str">
        <f aca="false">L1042&amp;" - "&amp;N1042</f>
        <v>حساس الصدمات - أمامي يسار</v>
      </c>
      <c r="N1042" s="11" t="s">
        <v>1349</v>
      </c>
      <c r="O1042" s="11" t="s">
        <v>2687</v>
      </c>
      <c r="P1042" s="10" t="n">
        <f aca="false">G1042</f>
        <v>10</v>
      </c>
      <c r="Q1042" s="10" t="n">
        <f aca="false">H1042</f>
        <v>8</v>
      </c>
      <c r="R1042" s="10" t="n">
        <f aca="false">I1042</f>
        <v>6</v>
      </c>
      <c r="S1042" s="10" t="n">
        <f aca="false">J1042</f>
        <v>0.1</v>
      </c>
      <c r="T1042" s="12" t="s">
        <v>4239</v>
      </c>
      <c r="U1042" s="12" t="s">
        <v>4240</v>
      </c>
      <c r="V1042" s="9" t="str">
        <f aca="false">U1042&amp;" - "&amp;W1042</f>
        <v>碰撞传感器 - 前左</v>
      </c>
      <c r="W1042" s="12" t="s">
        <v>1352</v>
      </c>
      <c r="X1042" s="12" t="s">
        <v>2689</v>
      </c>
      <c r="Y1042" s="10" t="n">
        <f aca="false">G1042</f>
        <v>10</v>
      </c>
      <c r="Z1042" s="10" t="n">
        <f aca="false">H1042</f>
        <v>8</v>
      </c>
      <c r="AA1042" s="10" t="n">
        <f aca="false">I1042</f>
        <v>6</v>
      </c>
      <c r="AB1042" s="10" t="n">
        <f aca="false">J1042</f>
        <v>0.1</v>
      </c>
      <c r="AC1042" s="9" t="s">
        <v>4241</v>
      </c>
      <c r="AD1042" s="9" t="s">
        <v>4242</v>
      </c>
      <c r="AE1042" s="9" t="str">
        <f aca="false">IF($AK1042=0,"",INDEX('Part types'!$T:$T,$AK1042)&amp;"")</f>
        <v>All vehicles</v>
      </c>
      <c r="AF1042" s="9" t="str">
        <f aca="false">IF($AK1042=0,"",INDEX('Part types'!$U:$U,$AK1042)&amp;"")</f>
        <v/>
      </c>
      <c r="AG1042" s="9" t="str">
        <f aca="false">IF($AK1042=0,"",INDEX('Part types'!$V:$V,$AK1042)&amp;"")</f>
        <v>Estimate: size class XS</v>
      </c>
      <c r="AH1042" s="9" t="str">
        <f aca="false">IF($AK1042=0,"",INDEX('Part types'!$W:$W,$AK1042)&amp;"")</f>
        <v>Impact</v>
      </c>
      <c r="AI1042" s="11" t="str">
        <f aca="false">IF($AK1042=0,"",INDEX('Part types'!$X:$X,$AK1042)&amp;"")</f>
        <v/>
      </c>
      <c r="AJ1042" s="9" t="str">
        <f aca="false">IF($AK1042=0,"",INDEX('Part types'!$Y:$Y,$AK1042)&amp;"")</f>
        <v/>
      </c>
      <c r="AK1042" s="9" t="n">
        <f aca="false">IFERROR(MATCH($AD1042,'Part types'!$E:$E,0),0)</f>
        <v>682</v>
      </c>
    </row>
    <row r="1043" customFormat="false" ht="15" hidden="false" customHeight="false" outlineLevel="0" collapsed="false">
      <c r="A1043" s="9" t="s">
        <v>4243</v>
      </c>
      <c r="B1043" s="9" t="s">
        <v>4235</v>
      </c>
      <c r="C1043" s="9" t="s">
        <v>4236</v>
      </c>
      <c r="D1043" s="9" t="str">
        <f aca="false">C1043&amp;" - "&amp;E1043</f>
        <v>Crash Sensor - Front-Right</v>
      </c>
      <c r="E1043" s="9" t="s">
        <v>1356</v>
      </c>
      <c r="F1043" s="9" t="s">
        <v>2685</v>
      </c>
      <c r="G1043" s="10" t="n">
        <f aca="false">IF($AK1043=0,"",INDEX('Part types'!$P:$P,$AK1043))</f>
        <v>10</v>
      </c>
      <c r="H1043" s="10" t="n">
        <f aca="false">IF($AK1043=0,"",INDEX('Part types'!$Q:$Q,$AK1043))</f>
        <v>8</v>
      </c>
      <c r="I1043" s="10" t="n">
        <f aca="false">IF($AK1043=0,"",INDEX('Part types'!$R:$R,$AK1043))</f>
        <v>6</v>
      </c>
      <c r="J1043" s="10" t="n">
        <f aca="false">IF($AK1043=0,"",INDEX('Part types'!$S:$S,$AK1043))</f>
        <v>0.1</v>
      </c>
      <c r="K1043" s="11" t="s">
        <v>4237</v>
      </c>
      <c r="L1043" s="11" t="s">
        <v>4238</v>
      </c>
      <c r="M1043" s="11" t="str">
        <f aca="false">L1043&amp;" - "&amp;N1043</f>
        <v>حساس الصدمات - أمامي يمين</v>
      </c>
      <c r="N1043" s="11" t="s">
        <v>1357</v>
      </c>
      <c r="O1043" s="11" t="s">
        <v>2687</v>
      </c>
      <c r="P1043" s="10" t="n">
        <f aca="false">G1043</f>
        <v>10</v>
      </c>
      <c r="Q1043" s="10" t="n">
        <f aca="false">H1043</f>
        <v>8</v>
      </c>
      <c r="R1043" s="10" t="n">
        <f aca="false">I1043</f>
        <v>6</v>
      </c>
      <c r="S1043" s="10" t="n">
        <f aca="false">J1043</f>
        <v>0.1</v>
      </c>
      <c r="T1043" s="12" t="s">
        <v>4239</v>
      </c>
      <c r="U1043" s="12" t="s">
        <v>4240</v>
      </c>
      <c r="V1043" s="9" t="str">
        <f aca="false">U1043&amp;" - "&amp;W1043</f>
        <v>碰撞传感器 - 前右</v>
      </c>
      <c r="W1043" s="12" t="s">
        <v>1358</v>
      </c>
      <c r="X1043" s="12" t="s">
        <v>2689</v>
      </c>
      <c r="Y1043" s="10" t="n">
        <f aca="false">G1043</f>
        <v>10</v>
      </c>
      <c r="Z1043" s="10" t="n">
        <f aca="false">H1043</f>
        <v>8</v>
      </c>
      <c r="AA1043" s="10" t="n">
        <f aca="false">I1043</f>
        <v>6</v>
      </c>
      <c r="AB1043" s="10" t="n">
        <f aca="false">J1043</f>
        <v>0.1</v>
      </c>
      <c r="AC1043" s="9" t="s">
        <v>4241</v>
      </c>
      <c r="AD1043" s="9" t="s">
        <v>4242</v>
      </c>
      <c r="AE1043" s="9" t="str">
        <f aca="false">IF($AK1043=0,"",INDEX('Part types'!$T:$T,$AK1043)&amp;"")</f>
        <v>All vehicles</v>
      </c>
      <c r="AF1043" s="9" t="str">
        <f aca="false">IF($AK1043=0,"",INDEX('Part types'!$U:$U,$AK1043)&amp;"")</f>
        <v/>
      </c>
      <c r="AG1043" s="9" t="str">
        <f aca="false">IF($AK1043=0,"",INDEX('Part types'!$V:$V,$AK1043)&amp;"")</f>
        <v>Estimate: size class XS</v>
      </c>
      <c r="AH1043" s="9" t="str">
        <f aca="false">IF($AK1043=0,"",INDEX('Part types'!$W:$W,$AK1043)&amp;"")</f>
        <v>Impact</v>
      </c>
      <c r="AI1043" s="11" t="str">
        <f aca="false">IF($AK1043=0,"",INDEX('Part types'!$X:$X,$AK1043)&amp;"")</f>
        <v/>
      </c>
      <c r="AJ1043" s="9" t="str">
        <f aca="false">IF($AK1043=0,"",INDEX('Part types'!$Y:$Y,$AK1043)&amp;"")</f>
        <v/>
      </c>
      <c r="AK1043" s="9" t="n">
        <f aca="false">IFERROR(MATCH($AD1043,'Part types'!$E:$E,0),0)</f>
        <v>682</v>
      </c>
    </row>
    <row r="1044" customFormat="false" ht="15" hidden="false" customHeight="false" outlineLevel="0" collapsed="false">
      <c r="A1044" s="9" t="s">
        <v>4244</v>
      </c>
      <c r="B1044" s="9" t="s">
        <v>4235</v>
      </c>
      <c r="C1044" s="9" t="s">
        <v>4245</v>
      </c>
      <c r="D1044" s="9" t="str">
        <f aca="false">C1044&amp;" - "&amp;E1044</f>
        <v>Warning Triangle - Universal</v>
      </c>
      <c r="E1044" s="9" t="s">
        <v>68</v>
      </c>
      <c r="F1044" s="9" t="s">
        <v>3760</v>
      </c>
      <c r="G1044" s="10" t="n">
        <f aca="false">IF($AK1044=0,"",INDEX('Part types'!$P:$P,$AK1044))</f>
        <v>45</v>
      </c>
      <c r="H1044" s="10" t="n">
        <f aca="false">IF($AK1044=0,"",INDEX('Part types'!$Q:$Q,$AK1044))</f>
        <v>6</v>
      </c>
      <c r="I1044" s="10" t="n">
        <f aca="false">IF($AK1044=0,"",INDEX('Part types'!$R:$R,$AK1044))</f>
        <v>45</v>
      </c>
      <c r="J1044" s="10" t="n">
        <f aca="false">IF($AK1044=0,"",INDEX('Part types'!$S:$S,$AK1044))</f>
        <v>0.8</v>
      </c>
      <c r="K1044" s="11" t="s">
        <v>4237</v>
      </c>
      <c r="L1044" s="11" t="s">
        <v>4246</v>
      </c>
      <c r="M1044" s="11" t="str">
        <f aca="false">L1044&amp;" - "&amp;N1044</f>
        <v>مثلث تحذير - عام</v>
      </c>
      <c r="N1044" s="11" t="s">
        <v>72</v>
      </c>
      <c r="O1044" s="11" t="s">
        <v>3762</v>
      </c>
      <c r="P1044" s="10" t="n">
        <f aca="false">G1044</f>
        <v>45</v>
      </c>
      <c r="Q1044" s="10" t="n">
        <f aca="false">H1044</f>
        <v>6</v>
      </c>
      <c r="R1044" s="10" t="n">
        <f aca="false">I1044</f>
        <v>45</v>
      </c>
      <c r="S1044" s="10" t="n">
        <f aca="false">J1044</f>
        <v>0.8</v>
      </c>
      <c r="T1044" s="12" t="s">
        <v>4239</v>
      </c>
      <c r="U1044" s="12" t="s">
        <v>4247</v>
      </c>
      <c r="V1044" s="9" t="str">
        <f aca="false">U1044&amp;" - "&amp;W1044</f>
        <v>警示三角牌 - 通用</v>
      </c>
      <c r="W1044" s="12" t="s">
        <v>76</v>
      </c>
      <c r="X1044" s="12" t="s">
        <v>3764</v>
      </c>
      <c r="Y1044" s="10" t="n">
        <f aca="false">G1044</f>
        <v>45</v>
      </c>
      <c r="Z1044" s="10" t="n">
        <f aca="false">H1044</f>
        <v>6</v>
      </c>
      <c r="AA1044" s="10" t="n">
        <f aca="false">I1044</f>
        <v>45</v>
      </c>
      <c r="AB1044" s="10" t="n">
        <f aca="false">J1044</f>
        <v>0.8</v>
      </c>
      <c r="AC1044" s="9" t="s">
        <v>4241</v>
      </c>
      <c r="AD1044" s="9" t="s">
        <v>4248</v>
      </c>
      <c r="AE1044" s="9" t="str">
        <f aca="false">IF($AK1044=0,"",INDEX('Part types'!$T:$T,$AK1044)&amp;"")</f>
        <v>All vehicles</v>
      </c>
      <c r="AF1044" s="9" t="str">
        <f aca="false">IF($AK1044=0,"",INDEX('Part types'!$U:$U,$AK1044)&amp;"")</f>
        <v/>
      </c>
      <c r="AG1044" s="9" t="str">
        <f aca="false">IF($AK1044=0,"",INDEX('Part types'!$V:$V,$AK1044)&amp;"")</f>
        <v>Estimate: item-specific</v>
      </c>
      <c r="AH1044" s="9" t="str">
        <f aca="false">IF($AK1044=0,"",INDEX('Part types'!$W:$W,$AK1044)&amp;"")</f>
        <v/>
      </c>
      <c r="AI1044" s="11" t="str">
        <f aca="false">IF($AK1044=0,"",INDEX('Part types'!$X:$X,$AK1044)&amp;"")</f>
        <v/>
      </c>
      <c r="AJ1044" s="9" t="str">
        <f aca="false">IF($AK1044=0,"",INDEX('Part types'!$Y:$Y,$AK1044)&amp;"")</f>
        <v/>
      </c>
      <c r="AK1044" s="9" t="n">
        <f aca="false">IFERROR(MATCH($AD1044,'Part types'!$E:$E,0),0)</f>
        <v>683</v>
      </c>
    </row>
    <row r="1045" customFormat="false" ht="15" hidden="false" customHeight="false" outlineLevel="0" collapsed="false">
      <c r="A1045" s="9" t="s">
        <v>4249</v>
      </c>
      <c r="B1045" s="9" t="s">
        <v>4235</v>
      </c>
      <c r="C1045" s="9" t="s">
        <v>4250</v>
      </c>
      <c r="D1045" s="9" t="str">
        <f aca="false">C1045&amp;" - "&amp;E1045</f>
        <v>Fire Extinguisher - Universal</v>
      </c>
      <c r="E1045" s="9" t="s">
        <v>68</v>
      </c>
      <c r="F1045" s="9" t="s">
        <v>3760</v>
      </c>
      <c r="G1045" s="10" t="n">
        <f aca="false">IF($AK1045=0,"",INDEX('Part types'!$P:$P,$AK1045))</f>
        <v>12</v>
      </c>
      <c r="H1045" s="10" t="n">
        <f aca="false">IF($AK1045=0,"",INDEX('Part types'!$Q:$Q,$AK1045))</f>
        <v>12</v>
      </c>
      <c r="I1045" s="10" t="n">
        <f aca="false">IF($AK1045=0,"",INDEX('Part types'!$R:$R,$AK1045))</f>
        <v>35</v>
      </c>
      <c r="J1045" s="10" t="n">
        <f aca="false">IF($AK1045=0,"",INDEX('Part types'!$S:$S,$AK1045))</f>
        <v>1.6</v>
      </c>
      <c r="K1045" s="11" t="s">
        <v>4237</v>
      </c>
      <c r="L1045" s="11" t="s">
        <v>4251</v>
      </c>
      <c r="M1045" s="11" t="str">
        <f aca="false">L1045&amp;" - "&amp;N1045</f>
        <v>طفاية حريق - عام</v>
      </c>
      <c r="N1045" s="11" t="s">
        <v>72</v>
      </c>
      <c r="O1045" s="11" t="s">
        <v>3762</v>
      </c>
      <c r="P1045" s="10" t="n">
        <f aca="false">G1045</f>
        <v>12</v>
      </c>
      <c r="Q1045" s="10" t="n">
        <f aca="false">H1045</f>
        <v>12</v>
      </c>
      <c r="R1045" s="10" t="n">
        <f aca="false">I1045</f>
        <v>35</v>
      </c>
      <c r="S1045" s="10" t="n">
        <f aca="false">J1045</f>
        <v>1.6</v>
      </c>
      <c r="T1045" s="12" t="s">
        <v>4239</v>
      </c>
      <c r="U1045" s="12" t="s">
        <v>4252</v>
      </c>
      <c r="V1045" s="9" t="str">
        <f aca="false">U1045&amp;" - "&amp;W1045</f>
        <v>灭火器 - 通用</v>
      </c>
      <c r="W1045" s="12" t="s">
        <v>76</v>
      </c>
      <c r="X1045" s="12" t="s">
        <v>3764</v>
      </c>
      <c r="Y1045" s="10" t="n">
        <f aca="false">G1045</f>
        <v>12</v>
      </c>
      <c r="Z1045" s="10" t="n">
        <f aca="false">H1045</f>
        <v>12</v>
      </c>
      <c r="AA1045" s="10" t="n">
        <f aca="false">I1045</f>
        <v>35</v>
      </c>
      <c r="AB1045" s="10" t="n">
        <f aca="false">J1045</f>
        <v>1.6</v>
      </c>
      <c r="AC1045" s="9" t="s">
        <v>4241</v>
      </c>
      <c r="AD1045" s="9" t="s">
        <v>4253</v>
      </c>
      <c r="AE1045" s="9" t="str">
        <f aca="false">IF($AK1045=0,"",INDEX('Part types'!$T:$T,$AK1045)&amp;"")</f>
        <v>All vehicles</v>
      </c>
      <c r="AF1045" s="9" t="str">
        <f aca="false">IF($AK1045=0,"",INDEX('Part types'!$U:$U,$AK1045)&amp;"")</f>
        <v>Pressurised gas</v>
      </c>
      <c r="AG1045" s="9" t="str">
        <f aca="false">IF($AK1045=0,"",INDEX('Part types'!$V:$V,$AK1045)&amp;"")</f>
        <v>Estimate: item-specific</v>
      </c>
      <c r="AH1045" s="9" t="str">
        <f aca="false">IF($AK1045=0,"",INDEX('Part types'!$W:$W,$AK1045)&amp;"")</f>
        <v/>
      </c>
      <c r="AI1045" s="11" t="str">
        <f aca="false">IF($AK1045=0,"",INDEX('Part types'!$X:$X,$AK1045)&amp;"")</f>
        <v/>
      </c>
      <c r="AJ1045" s="9" t="str">
        <f aca="false">IF($AK1045=0,"",INDEX('Part types'!$Y:$Y,$AK1045)&amp;"")</f>
        <v/>
      </c>
      <c r="AK1045" s="9" t="n">
        <f aca="false">IFERROR(MATCH($AD1045,'Part types'!$E:$E,0),0)</f>
        <v>684</v>
      </c>
    </row>
    <row r="1046" customFormat="false" ht="15" hidden="false" customHeight="false" outlineLevel="0" collapsed="false">
      <c r="A1046" s="9" t="s">
        <v>4254</v>
      </c>
      <c r="B1046" s="9" t="s">
        <v>4235</v>
      </c>
      <c r="C1046" s="9" t="s">
        <v>4255</v>
      </c>
      <c r="D1046" s="9" t="str">
        <f aca="false">C1046&amp;" - "&amp;E1046</f>
        <v>First Aid Kit - Universal</v>
      </c>
      <c r="E1046" s="9" t="s">
        <v>68</v>
      </c>
      <c r="F1046" s="9" t="s">
        <v>3760</v>
      </c>
      <c r="G1046" s="10" t="n">
        <f aca="false">IF($AK1046=0,"",INDEX('Part types'!$P:$P,$AK1046))</f>
        <v>25</v>
      </c>
      <c r="H1046" s="10" t="n">
        <f aca="false">IF($AK1046=0,"",INDEX('Part types'!$Q:$Q,$AK1046))</f>
        <v>15</v>
      </c>
      <c r="I1046" s="10" t="n">
        <f aca="false">IF($AK1046=0,"",INDEX('Part types'!$R:$R,$AK1046))</f>
        <v>10</v>
      </c>
      <c r="J1046" s="10" t="n">
        <f aca="false">IF($AK1046=0,"",INDEX('Part types'!$S:$S,$AK1046))</f>
        <v>0.9</v>
      </c>
      <c r="K1046" s="11" t="s">
        <v>4237</v>
      </c>
      <c r="L1046" s="11" t="s">
        <v>4256</v>
      </c>
      <c r="M1046" s="11" t="str">
        <f aca="false">L1046&amp;" - "&amp;N1046</f>
        <v>حقيبة إسعافات أولية - عام</v>
      </c>
      <c r="N1046" s="11" t="s">
        <v>72</v>
      </c>
      <c r="O1046" s="11" t="s">
        <v>3762</v>
      </c>
      <c r="P1046" s="10" t="n">
        <f aca="false">G1046</f>
        <v>25</v>
      </c>
      <c r="Q1046" s="10" t="n">
        <f aca="false">H1046</f>
        <v>15</v>
      </c>
      <c r="R1046" s="10" t="n">
        <f aca="false">I1046</f>
        <v>10</v>
      </c>
      <c r="S1046" s="10" t="n">
        <f aca="false">J1046</f>
        <v>0.9</v>
      </c>
      <c r="T1046" s="12" t="s">
        <v>4239</v>
      </c>
      <c r="U1046" s="12" t="s">
        <v>4257</v>
      </c>
      <c r="V1046" s="9" t="str">
        <f aca="false">U1046&amp;" - "&amp;W1046</f>
        <v>急救包 - 通用</v>
      </c>
      <c r="W1046" s="12" t="s">
        <v>76</v>
      </c>
      <c r="X1046" s="12" t="s">
        <v>3764</v>
      </c>
      <c r="Y1046" s="10" t="n">
        <f aca="false">G1046</f>
        <v>25</v>
      </c>
      <c r="Z1046" s="10" t="n">
        <f aca="false">H1046</f>
        <v>15</v>
      </c>
      <c r="AA1046" s="10" t="n">
        <f aca="false">I1046</f>
        <v>10</v>
      </c>
      <c r="AB1046" s="10" t="n">
        <f aca="false">J1046</f>
        <v>0.9</v>
      </c>
      <c r="AC1046" s="9" t="s">
        <v>4241</v>
      </c>
      <c r="AD1046" s="9" t="s">
        <v>4258</v>
      </c>
      <c r="AE1046" s="9" t="str">
        <f aca="false">IF($AK1046=0,"",INDEX('Part types'!$T:$T,$AK1046)&amp;"")</f>
        <v>All vehicles</v>
      </c>
      <c r="AF1046" s="9" t="str">
        <f aca="false">IF($AK1046=0,"",INDEX('Part types'!$U:$U,$AK1046)&amp;"")</f>
        <v/>
      </c>
      <c r="AG1046" s="9" t="str">
        <f aca="false">IF($AK1046=0,"",INDEX('Part types'!$V:$V,$AK1046)&amp;"")</f>
        <v>Estimate: size class M</v>
      </c>
      <c r="AH1046" s="9" t="str">
        <f aca="false">IF($AK1046=0,"",INDEX('Part types'!$W:$W,$AK1046)&amp;"")</f>
        <v/>
      </c>
      <c r="AI1046" s="11" t="str">
        <f aca="false">IF($AK1046=0,"",INDEX('Part types'!$X:$X,$AK1046)&amp;"")</f>
        <v/>
      </c>
      <c r="AJ1046" s="9" t="str">
        <f aca="false">IF($AK1046=0,"",INDEX('Part types'!$Y:$Y,$AK1046)&amp;"")</f>
        <v/>
      </c>
      <c r="AK1046" s="9" t="n">
        <f aca="false">IFERROR(MATCH($AD1046,'Part types'!$E:$E,0),0)</f>
        <v>685</v>
      </c>
    </row>
    <row r="1047" customFormat="false" ht="15" hidden="false" customHeight="false" outlineLevel="0" collapsed="false">
      <c r="A1047" s="9" t="s">
        <v>4259</v>
      </c>
      <c r="B1047" s="9" t="s">
        <v>4235</v>
      </c>
      <c r="C1047" s="9" t="s">
        <v>4260</v>
      </c>
      <c r="D1047" s="9" t="str">
        <f aca="false">C1047&amp;" - "&amp;E1047</f>
        <v>Safety Vest - Universal</v>
      </c>
      <c r="E1047" s="9" t="s">
        <v>68</v>
      </c>
      <c r="F1047" s="9" t="s">
        <v>3760</v>
      </c>
      <c r="G1047" s="10" t="n">
        <f aca="false">IF($AK1047=0,"",INDEX('Part types'!$P:$P,$AK1047))</f>
        <v>15</v>
      </c>
      <c r="H1047" s="10" t="n">
        <f aca="false">IF($AK1047=0,"",INDEX('Part types'!$Q:$Q,$AK1047))</f>
        <v>10</v>
      </c>
      <c r="I1047" s="10" t="n">
        <f aca="false">IF($AK1047=0,"",INDEX('Part types'!$R:$R,$AK1047))</f>
        <v>8</v>
      </c>
      <c r="J1047" s="10" t="n">
        <f aca="false">IF($AK1047=0,"",INDEX('Part types'!$S:$S,$AK1047))</f>
        <v>0.3</v>
      </c>
      <c r="K1047" s="11" t="s">
        <v>4237</v>
      </c>
      <c r="L1047" s="11" t="s">
        <v>4261</v>
      </c>
      <c r="M1047" s="11" t="str">
        <f aca="false">L1047&amp;" - "&amp;N1047</f>
        <v>سترة عاكسة - عام</v>
      </c>
      <c r="N1047" s="11" t="s">
        <v>72</v>
      </c>
      <c r="O1047" s="11" t="s">
        <v>3762</v>
      </c>
      <c r="P1047" s="10" t="n">
        <f aca="false">G1047</f>
        <v>15</v>
      </c>
      <c r="Q1047" s="10" t="n">
        <f aca="false">H1047</f>
        <v>10</v>
      </c>
      <c r="R1047" s="10" t="n">
        <f aca="false">I1047</f>
        <v>8</v>
      </c>
      <c r="S1047" s="10" t="n">
        <f aca="false">J1047</f>
        <v>0.3</v>
      </c>
      <c r="T1047" s="12" t="s">
        <v>4239</v>
      </c>
      <c r="U1047" s="12" t="s">
        <v>4262</v>
      </c>
      <c r="V1047" s="9" t="str">
        <f aca="false">U1047&amp;" - "&amp;W1047</f>
        <v>反光背心 - 通用</v>
      </c>
      <c r="W1047" s="12" t="s">
        <v>76</v>
      </c>
      <c r="X1047" s="12" t="s">
        <v>3764</v>
      </c>
      <c r="Y1047" s="10" t="n">
        <f aca="false">G1047</f>
        <v>15</v>
      </c>
      <c r="Z1047" s="10" t="n">
        <f aca="false">H1047</f>
        <v>10</v>
      </c>
      <c r="AA1047" s="10" t="n">
        <f aca="false">I1047</f>
        <v>8</v>
      </c>
      <c r="AB1047" s="10" t="n">
        <f aca="false">J1047</f>
        <v>0.3</v>
      </c>
      <c r="AC1047" s="9" t="s">
        <v>4241</v>
      </c>
      <c r="AD1047" s="9" t="s">
        <v>4263</v>
      </c>
      <c r="AE1047" s="9" t="str">
        <f aca="false">IF($AK1047=0,"",INDEX('Part types'!$T:$T,$AK1047)&amp;"")</f>
        <v>All vehicles</v>
      </c>
      <c r="AF1047" s="9" t="str">
        <f aca="false">IF($AK1047=0,"",INDEX('Part types'!$U:$U,$AK1047)&amp;"")</f>
        <v/>
      </c>
      <c r="AG1047" s="9" t="str">
        <f aca="false">IF($AK1047=0,"",INDEX('Part types'!$V:$V,$AK1047)&amp;"")</f>
        <v>Estimate: size class S</v>
      </c>
      <c r="AH1047" s="9" t="str">
        <f aca="false">IF($AK1047=0,"",INDEX('Part types'!$W:$W,$AK1047)&amp;"")</f>
        <v/>
      </c>
      <c r="AI1047" s="11" t="str">
        <f aca="false">IF($AK1047=0,"",INDEX('Part types'!$X:$X,$AK1047)&amp;"")</f>
        <v/>
      </c>
      <c r="AJ1047" s="9" t="str">
        <f aca="false">IF($AK1047=0,"",INDEX('Part types'!$Y:$Y,$AK1047)&amp;"")</f>
        <v/>
      </c>
      <c r="AK1047" s="9" t="n">
        <f aca="false">IFERROR(MATCH($AD1047,'Part types'!$E:$E,0),0)</f>
        <v>686</v>
      </c>
    </row>
    <row r="1048" customFormat="false" ht="15" hidden="false" customHeight="false" outlineLevel="0" collapsed="false">
      <c r="A1048" s="9" t="s">
        <v>4264</v>
      </c>
      <c r="B1048" s="9" t="s">
        <v>4235</v>
      </c>
      <c r="C1048" s="9" t="s">
        <v>4265</v>
      </c>
      <c r="D1048" s="9" t="str">
        <f aca="false">C1048&amp;" - "&amp;E1048</f>
        <v>Emergency Escape Hammer - Universal</v>
      </c>
      <c r="E1048" s="9" t="s">
        <v>68</v>
      </c>
      <c r="F1048" s="9" t="s">
        <v>2260</v>
      </c>
      <c r="G1048" s="10" t="n">
        <f aca="false">IF($AK1048=0,"",INDEX('Part types'!$P:$P,$AK1048))</f>
        <v>15</v>
      </c>
      <c r="H1048" s="10" t="n">
        <f aca="false">IF($AK1048=0,"",INDEX('Part types'!$Q:$Q,$AK1048))</f>
        <v>10</v>
      </c>
      <c r="I1048" s="10" t="n">
        <f aca="false">IF($AK1048=0,"",INDEX('Part types'!$R:$R,$AK1048))</f>
        <v>8</v>
      </c>
      <c r="J1048" s="10" t="n">
        <f aca="false">IF($AK1048=0,"",INDEX('Part types'!$S:$S,$AK1048))</f>
        <v>0.3</v>
      </c>
      <c r="K1048" s="11" t="s">
        <v>4237</v>
      </c>
      <c r="L1048" s="11" t="s">
        <v>4266</v>
      </c>
      <c r="M1048" s="11" t="str">
        <f aca="false">L1048&amp;" - "&amp;N1048</f>
        <v>مطرقة الطوارئ - عام</v>
      </c>
      <c r="N1048" s="11" t="s">
        <v>72</v>
      </c>
      <c r="O1048" s="11" t="s">
        <v>2262</v>
      </c>
      <c r="P1048" s="10" t="n">
        <f aca="false">G1048</f>
        <v>15</v>
      </c>
      <c r="Q1048" s="10" t="n">
        <f aca="false">H1048</f>
        <v>10</v>
      </c>
      <c r="R1048" s="10" t="n">
        <f aca="false">I1048</f>
        <v>8</v>
      </c>
      <c r="S1048" s="10" t="n">
        <f aca="false">J1048</f>
        <v>0.3</v>
      </c>
      <c r="T1048" s="12" t="s">
        <v>4239</v>
      </c>
      <c r="U1048" s="12" t="s">
        <v>4267</v>
      </c>
      <c r="V1048" s="9" t="str">
        <f aca="false">U1048&amp;" - "&amp;W1048</f>
        <v>安全锤 - 通用</v>
      </c>
      <c r="W1048" s="12" t="s">
        <v>76</v>
      </c>
      <c r="X1048" s="12" t="s">
        <v>2264</v>
      </c>
      <c r="Y1048" s="10" t="n">
        <f aca="false">G1048</f>
        <v>15</v>
      </c>
      <c r="Z1048" s="10" t="n">
        <f aca="false">H1048</f>
        <v>10</v>
      </c>
      <c r="AA1048" s="10" t="n">
        <f aca="false">I1048</f>
        <v>8</v>
      </c>
      <c r="AB1048" s="10" t="n">
        <f aca="false">J1048</f>
        <v>0.3</v>
      </c>
      <c r="AC1048" s="9" t="s">
        <v>4241</v>
      </c>
      <c r="AD1048" s="9" t="s">
        <v>4268</v>
      </c>
      <c r="AE1048" s="9" t="str">
        <f aca="false">IF($AK1048=0,"",INDEX('Part types'!$T:$T,$AK1048)&amp;"")</f>
        <v>All vehicles</v>
      </c>
      <c r="AF1048" s="9" t="str">
        <f aca="false">IF($AK1048=0,"",INDEX('Part types'!$U:$U,$AK1048)&amp;"")</f>
        <v/>
      </c>
      <c r="AG1048" s="9" t="str">
        <f aca="false">IF($AK1048=0,"",INDEX('Part types'!$V:$V,$AK1048)&amp;"")</f>
        <v>Estimate: size class S</v>
      </c>
      <c r="AH1048" s="9" t="str">
        <f aca="false">IF($AK1048=0,"",INDEX('Part types'!$W:$W,$AK1048)&amp;"")</f>
        <v/>
      </c>
      <c r="AI1048" s="11" t="str">
        <f aca="false">IF($AK1048=0,"",INDEX('Part types'!$X:$X,$AK1048)&amp;"")</f>
        <v/>
      </c>
      <c r="AJ1048" s="9" t="str">
        <f aca="false">IF($AK1048=0,"",INDEX('Part types'!$Y:$Y,$AK1048)&amp;"")</f>
        <v/>
      </c>
      <c r="AK1048" s="9" t="n">
        <f aca="false">IFERROR(MATCH($AD1048,'Part types'!$E:$E,0),0)</f>
        <v>687</v>
      </c>
    </row>
    <row r="1049" customFormat="false" ht="15" hidden="false" customHeight="false" outlineLevel="0" collapsed="false">
      <c r="A1049" s="9" t="s">
        <v>4269</v>
      </c>
      <c r="B1049" s="9" t="s">
        <v>4270</v>
      </c>
      <c r="C1049" s="9" t="s">
        <v>4271</v>
      </c>
      <c r="D1049" s="9" t="str">
        <f aca="false">C1049&amp;" - "&amp;E1049</f>
        <v>Oil Drain Plug - Universal</v>
      </c>
      <c r="E1049" s="9" t="s">
        <v>68</v>
      </c>
      <c r="F1049" s="9" t="s">
        <v>343</v>
      </c>
      <c r="G1049" s="10" t="n">
        <f aca="false">IF($AK1049=0,"",INDEX('Part types'!$P:$P,$AK1049))</f>
        <v>10</v>
      </c>
      <c r="H1049" s="10" t="n">
        <f aca="false">IF($AK1049=0,"",INDEX('Part types'!$Q:$Q,$AK1049))</f>
        <v>8</v>
      </c>
      <c r="I1049" s="10" t="n">
        <f aca="false">IF($AK1049=0,"",INDEX('Part types'!$R:$R,$AK1049))</f>
        <v>6</v>
      </c>
      <c r="J1049" s="10" t="n">
        <f aca="false">IF($AK1049=0,"",INDEX('Part types'!$S:$S,$AK1049))</f>
        <v>0.1</v>
      </c>
      <c r="K1049" s="11" t="s">
        <v>4272</v>
      </c>
      <c r="L1049" s="11" t="s">
        <v>4273</v>
      </c>
      <c r="M1049" s="11" t="str">
        <f aca="false">L1049&amp;" - "&amp;N1049</f>
        <v>سدادة تصريف الزيت - عام</v>
      </c>
      <c r="N1049" s="11" t="s">
        <v>72</v>
      </c>
      <c r="O1049" s="11" t="s">
        <v>346</v>
      </c>
      <c r="P1049" s="10" t="n">
        <f aca="false">G1049</f>
        <v>10</v>
      </c>
      <c r="Q1049" s="10" t="n">
        <f aca="false">H1049</f>
        <v>8</v>
      </c>
      <c r="R1049" s="10" t="n">
        <f aca="false">I1049</f>
        <v>6</v>
      </c>
      <c r="S1049" s="10" t="n">
        <f aca="false">J1049</f>
        <v>0.1</v>
      </c>
      <c r="T1049" s="12" t="s">
        <v>4274</v>
      </c>
      <c r="U1049" s="12" t="s">
        <v>4275</v>
      </c>
      <c r="V1049" s="9" t="str">
        <f aca="false">U1049&amp;" - "&amp;W1049</f>
        <v>放油螺塞 - 通用</v>
      </c>
      <c r="W1049" s="12" t="s">
        <v>76</v>
      </c>
      <c r="X1049" s="12" t="s">
        <v>349</v>
      </c>
      <c r="Y1049" s="10" t="n">
        <f aca="false">G1049</f>
        <v>10</v>
      </c>
      <c r="Z1049" s="10" t="n">
        <f aca="false">H1049</f>
        <v>8</v>
      </c>
      <c r="AA1049" s="10" t="n">
        <f aca="false">I1049</f>
        <v>6</v>
      </c>
      <c r="AB1049" s="10" t="n">
        <f aca="false">J1049</f>
        <v>0.1</v>
      </c>
      <c r="AC1049" s="9" t="s">
        <v>4276</v>
      </c>
      <c r="AD1049" s="9" t="s">
        <v>4277</v>
      </c>
      <c r="AE1049" s="9" t="str">
        <f aca="false">IF($AK1049=0,"",INDEX('Part types'!$T:$T,$AK1049)&amp;"")</f>
        <v>Combustion engine (petrol, diesel, hybrid, range extender)</v>
      </c>
      <c r="AF1049" s="9" t="str">
        <f aca="false">IF($AK1049=0,"",INDEX('Part types'!$U:$U,$AK1049)&amp;"")</f>
        <v/>
      </c>
      <c r="AG1049" s="9" t="str">
        <f aca="false">IF($AK1049=0,"",INDEX('Part types'!$V:$V,$AK1049)&amp;"")</f>
        <v>Estimate: size class XS</v>
      </c>
      <c r="AH1049" s="9" t="str">
        <f aca="false">IF($AK1049=0,"",INDEX('Part types'!$W:$W,$AK1049)&amp;"")</f>
        <v/>
      </c>
      <c r="AI1049" s="11" t="str">
        <f aca="false">IF($AK1049=0,"",INDEX('Part types'!$X:$X,$AK1049)&amp;"")</f>
        <v/>
      </c>
      <c r="AJ1049" s="9" t="str">
        <f aca="false">IF($AK1049=0,"",INDEX('Part types'!$Y:$Y,$AK1049)&amp;"")</f>
        <v/>
      </c>
      <c r="AK1049" s="9" t="n">
        <f aca="false">IFERROR(MATCH($AD1049,'Part types'!$E:$E,0),0)</f>
        <v>688</v>
      </c>
    </row>
    <row r="1050" customFormat="false" ht="15" hidden="false" customHeight="false" outlineLevel="0" collapsed="false">
      <c r="A1050" s="9" t="s">
        <v>4278</v>
      </c>
      <c r="B1050" s="9" t="s">
        <v>4270</v>
      </c>
      <c r="C1050" s="9" t="s">
        <v>4279</v>
      </c>
      <c r="D1050" s="9" t="str">
        <f aca="false">C1050&amp;" - "&amp;E1050</f>
        <v>Hose Clamp Kit - Universal</v>
      </c>
      <c r="E1050" s="9" t="s">
        <v>68</v>
      </c>
      <c r="F1050" s="9" t="s">
        <v>956</v>
      </c>
      <c r="G1050" s="10" t="n">
        <f aca="false">IF($AK1050=0,"",INDEX('Part types'!$P:$P,$AK1050))</f>
        <v>15</v>
      </c>
      <c r="H1050" s="10" t="n">
        <f aca="false">IF($AK1050=0,"",INDEX('Part types'!$Q:$Q,$AK1050))</f>
        <v>10</v>
      </c>
      <c r="I1050" s="10" t="n">
        <f aca="false">IF($AK1050=0,"",INDEX('Part types'!$R:$R,$AK1050))</f>
        <v>8</v>
      </c>
      <c r="J1050" s="10" t="n">
        <f aca="false">IF($AK1050=0,"",INDEX('Part types'!$S:$S,$AK1050))</f>
        <v>0.3</v>
      </c>
      <c r="K1050" s="11" t="s">
        <v>4272</v>
      </c>
      <c r="L1050" s="11" t="s">
        <v>4280</v>
      </c>
      <c r="M1050" s="11" t="str">
        <f aca="false">L1050&amp;" - "&amp;N1050</f>
        <v>طقم مشابك خراطيم متنوع - عام</v>
      </c>
      <c r="N1050" s="11" t="s">
        <v>72</v>
      </c>
      <c r="O1050" s="11" t="s">
        <v>959</v>
      </c>
      <c r="P1050" s="10" t="n">
        <f aca="false">G1050</f>
        <v>15</v>
      </c>
      <c r="Q1050" s="10" t="n">
        <f aca="false">H1050</f>
        <v>10</v>
      </c>
      <c r="R1050" s="10" t="n">
        <f aca="false">I1050</f>
        <v>8</v>
      </c>
      <c r="S1050" s="10" t="n">
        <f aca="false">J1050</f>
        <v>0.3</v>
      </c>
      <c r="T1050" s="12" t="s">
        <v>4274</v>
      </c>
      <c r="U1050" s="12" t="s">
        <v>4281</v>
      </c>
      <c r="V1050" s="9" t="str">
        <f aca="false">U1050&amp;" - "&amp;W1050</f>
        <v>软管卡箍套装 - 通用</v>
      </c>
      <c r="W1050" s="12" t="s">
        <v>76</v>
      </c>
      <c r="X1050" s="12" t="s">
        <v>962</v>
      </c>
      <c r="Y1050" s="10" t="n">
        <f aca="false">G1050</f>
        <v>15</v>
      </c>
      <c r="Z1050" s="10" t="n">
        <f aca="false">H1050</f>
        <v>10</v>
      </c>
      <c r="AA1050" s="10" t="n">
        <f aca="false">I1050</f>
        <v>8</v>
      </c>
      <c r="AB1050" s="10" t="n">
        <f aca="false">J1050</f>
        <v>0.3</v>
      </c>
      <c r="AC1050" s="9" t="s">
        <v>4276</v>
      </c>
      <c r="AD1050" s="9" t="s">
        <v>4282</v>
      </c>
      <c r="AE1050" s="9" t="str">
        <f aca="false">IF($AK1050=0,"",INDEX('Part types'!$T:$T,$AK1050)&amp;"")</f>
        <v>All vehicles</v>
      </c>
      <c r="AF1050" s="9" t="str">
        <f aca="false">IF($AK1050=0,"",INDEX('Part types'!$U:$U,$AK1050)&amp;"")</f>
        <v/>
      </c>
      <c r="AG1050" s="9" t="str">
        <f aca="false">IF($AK1050=0,"",INDEX('Part types'!$V:$V,$AK1050)&amp;"")</f>
        <v>Estimate: size class S</v>
      </c>
      <c r="AH1050" s="9" t="str">
        <f aca="false">IF($AK1050=0,"",INDEX('Part types'!$W:$W,$AK1050)&amp;"")</f>
        <v>Hose Clamp Assortment Kit</v>
      </c>
      <c r="AI1050" s="11" t="str">
        <f aca="false">IF($AK1050=0,"",INDEX('Part types'!$X:$X,$AK1050)&amp;"")</f>
        <v/>
      </c>
      <c r="AJ1050" s="9" t="str">
        <f aca="false">IF($AK1050=0,"",INDEX('Part types'!$Y:$Y,$AK1050)&amp;"")</f>
        <v/>
      </c>
      <c r="AK1050" s="9" t="n">
        <f aca="false">IFERROR(MATCH($AD1050,'Part types'!$E:$E,0),0)</f>
        <v>689</v>
      </c>
    </row>
    <row r="1051" customFormat="false" ht="15" hidden="false" customHeight="false" outlineLevel="0" collapsed="false">
      <c r="A1051" s="9" t="s">
        <v>4283</v>
      </c>
      <c r="B1051" s="9" t="s">
        <v>4270</v>
      </c>
      <c r="C1051" s="9" t="s">
        <v>4284</v>
      </c>
      <c r="D1051" s="9" t="str">
        <f aca="false">C1051&amp;" - "&amp;E1051</f>
        <v>Cable Tie Assortment - Universal</v>
      </c>
      <c r="E1051" s="9" t="s">
        <v>68</v>
      </c>
      <c r="F1051" s="9" t="s">
        <v>956</v>
      </c>
      <c r="G1051" s="10" t="n">
        <f aca="false">IF($AK1051=0,"",INDEX('Part types'!$P:$P,$AK1051))</f>
        <v>10</v>
      </c>
      <c r="H1051" s="10" t="n">
        <f aca="false">IF($AK1051=0,"",INDEX('Part types'!$Q:$Q,$AK1051))</f>
        <v>8</v>
      </c>
      <c r="I1051" s="10" t="n">
        <f aca="false">IF($AK1051=0,"",INDEX('Part types'!$R:$R,$AK1051))</f>
        <v>6</v>
      </c>
      <c r="J1051" s="10" t="n">
        <f aca="false">IF($AK1051=0,"",INDEX('Part types'!$S:$S,$AK1051))</f>
        <v>0.1</v>
      </c>
      <c r="K1051" s="11" t="s">
        <v>4272</v>
      </c>
      <c r="L1051" s="11" t="s">
        <v>4285</v>
      </c>
      <c r="M1051" s="11" t="str">
        <f aca="false">L1051&amp;" - "&amp;N1051</f>
        <v>طقم أربطة بلاستيك - عام</v>
      </c>
      <c r="N1051" s="11" t="s">
        <v>72</v>
      </c>
      <c r="O1051" s="11" t="s">
        <v>959</v>
      </c>
      <c r="P1051" s="10" t="n">
        <f aca="false">G1051</f>
        <v>10</v>
      </c>
      <c r="Q1051" s="10" t="n">
        <f aca="false">H1051</f>
        <v>8</v>
      </c>
      <c r="R1051" s="10" t="n">
        <f aca="false">I1051</f>
        <v>6</v>
      </c>
      <c r="S1051" s="10" t="n">
        <f aca="false">J1051</f>
        <v>0.1</v>
      </c>
      <c r="T1051" s="12" t="s">
        <v>4274</v>
      </c>
      <c r="U1051" s="12" t="s">
        <v>4286</v>
      </c>
      <c r="V1051" s="9" t="str">
        <f aca="false">U1051&amp;" - "&amp;W1051</f>
        <v>扎带套装 - 通用</v>
      </c>
      <c r="W1051" s="12" t="s">
        <v>76</v>
      </c>
      <c r="X1051" s="12" t="s">
        <v>962</v>
      </c>
      <c r="Y1051" s="10" t="n">
        <f aca="false">G1051</f>
        <v>10</v>
      </c>
      <c r="Z1051" s="10" t="n">
        <f aca="false">H1051</f>
        <v>8</v>
      </c>
      <c r="AA1051" s="10" t="n">
        <f aca="false">I1051</f>
        <v>6</v>
      </c>
      <c r="AB1051" s="10" t="n">
        <f aca="false">J1051</f>
        <v>0.1</v>
      </c>
      <c r="AC1051" s="9" t="s">
        <v>4276</v>
      </c>
      <c r="AD1051" s="9" t="s">
        <v>4287</v>
      </c>
      <c r="AE1051" s="9" t="str">
        <f aca="false">IF($AK1051=0,"",INDEX('Part types'!$T:$T,$AK1051)&amp;"")</f>
        <v>All vehicles</v>
      </c>
      <c r="AF1051" s="9" t="str">
        <f aca="false">IF($AK1051=0,"",INDEX('Part types'!$U:$U,$AK1051)&amp;"")</f>
        <v/>
      </c>
      <c r="AG1051" s="9" t="str">
        <f aca="false">IF($AK1051=0,"",INDEX('Part types'!$V:$V,$AK1051)&amp;"")</f>
        <v>Estimate: size class XS</v>
      </c>
      <c r="AH1051" s="9" t="str">
        <f aca="false">IF($AK1051=0,"",INDEX('Part types'!$W:$W,$AK1051)&amp;"")</f>
        <v/>
      </c>
      <c r="AI1051" s="11" t="str">
        <f aca="false">IF($AK1051=0,"",INDEX('Part types'!$X:$X,$AK1051)&amp;"")</f>
        <v/>
      </c>
      <c r="AJ1051" s="9" t="str">
        <f aca="false">IF($AK1051=0,"",INDEX('Part types'!$Y:$Y,$AK1051)&amp;"")</f>
        <v/>
      </c>
      <c r="AK1051" s="9" t="n">
        <f aca="false">IFERROR(MATCH($AD1051,'Part types'!$E:$E,0),0)</f>
        <v>690</v>
      </c>
    </row>
    <row r="1052" customFormat="false" ht="15" hidden="false" customHeight="false" outlineLevel="0" collapsed="false">
      <c r="A1052" s="9" t="s">
        <v>4288</v>
      </c>
      <c r="B1052" s="9" t="s">
        <v>4270</v>
      </c>
      <c r="C1052" s="9" t="s">
        <v>4289</v>
      </c>
      <c r="D1052" s="9" t="str">
        <f aca="false">C1052&amp;" - "&amp;E1052</f>
        <v>Body Clip Kit - Universal</v>
      </c>
      <c r="E1052" s="9" t="s">
        <v>68</v>
      </c>
      <c r="F1052" s="9" t="s">
        <v>956</v>
      </c>
      <c r="G1052" s="10" t="n">
        <f aca="false">IF($AK1052=0,"",INDEX('Part types'!$P:$P,$AK1052))</f>
        <v>15</v>
      </c>
      <c r="H1052" s="10" t="n">
        <f aca="false">IF($AK1052=0,"",INDEX('Part types'!$Q:$Q,$AK1052))</f>
        <v>10</v>
      </c>
      <c r="I1052" s="10" t="n">
        <f aca="false">IF($AK1052=0,"",INDEX('Part types'!$R:$R,$AK1052))</f>
        <v>8</v>
      </c>
      <c r="J1052" s="10" t="n">
        <f aca="false">IF($AK1052=0,"",INDEX('Part types'!$S:$S,$AK1052))</f>
        <v>0.3</v>
      </c>
      <c r="K1052" s="11" t="s">
        <v>4272</v>
      </c>
      <c r="L1052" s="11" t="s">
        <v>4290</v>
      </c>
      <c r="M1052" s="11" t="str">
        <f aca="false">L1052&amp;" - "&amp;N1052</f>
        <v>طقم مشابك الهيكل - عام</v>
      </c>
      <c r="N1052" s="11" t="s">
        <v>72</v>
      </c>
      <c r="O1052" s="11" t="s">
        <v>959</v>
      </c>
      <c r="P1052" s="10" t="n">
        <f aca="false">G1052</f>
        <v>15</v>
      </c>
      <c r="Q1052" s="10" t="n">
        <f aca="false">H1052</f>
        <v>10</v>
      </c>
      <c r="R1052" s="10" t="n">
        <f aca="false">I1052</f>
        <v>8</v>
      </c>
      <c r="S1052" s="10" t="n">
        <f aca="false">J1052</f>
        <v>0.3</v>
      </c>
      <c r="T1052" s="12" t="s">
        <v>4274</v>
      </c>
      <c r="U1052" s="12" t="s">
        <v>4291</v>
      </c>
      <c r="V1052" s="9" t="str">
        <f aca="false">U1052&amp;" - "&amp;W1052</f>
        <v>车身卡扣套装 - 通用</v>
      </c>
      <c r="W1052" s="12" t="s">
        <v>76</v>
      </c>
      <c r="X1052" s="12" t="s">
        <v>962</v>
      </c>
      <c r="Y1052" s="10" t="n">
        <f aca="false">G1052</f>
        <v>15</v>
      </c>
      <c r="Z1052" s="10" t="n">
        <f aca="false">H1052</f>
        <v>10</v>
      </c>
      <c r="AA1052" s="10" t="n">
        <f aca="false">I1052</f>
        <v>8</v>
      </c>
      <c r="AB1052" s="10" t="n">
        <f aca="false">J1052</f>
        <v>0.3</v>
      </c>
      <c r="AC1052" s="9" t="s">
        <v>4276</v>
      </c>
      <c r="AD1052" s="9" t="s">
        <v>4292</v>
      </c>
      <c r="AE1052" s="9" t="str">
        <f aca="false">IF($AK1052=0,"",INDEX('Part types'!$T:$T,$AK1052)&amp;"")</f>
        <v>All vehicles</v>
      </c>
      <c r="AF1052" s="9" t="str">
        <f aca="false">IF($AK1052=0,"",INDEX('Part types'!$U:$U,$AK1052)&amp;"")</f>
        <v/>
      </c>
      <c r="AG1052" s="9" t="str">
        <f aca="false">IF($AK1052=0,"",INDEX('Part types'!$V:$V,$AK1052)&amp;"")</f>
        <v>Estimate: size class S</v>
      </c>
      <c r="AH1052" s="9" t="str">
        <f aca="false">IF($AK1052=0,"",INDEX('Part types'!$W:$W,$AK1052)&amp;"")</f>
        <v>Body Clip Assortment Kit</v>
      </c>
      <c r="AI1052" s="11" t="str">
        <f aca="false">IF($AK1052=0,"",INDEX('Part types'!$X:$X,$AK1052)&amp;"")</f>
        <v>كليبس</v>
      </c>
      <c r="AJ1052" s="9" t="str">
        <f aca="false">IF($AK1052=0,"",INDEX('Part types'!$Y:$Y,$AK1052)&amp;"")</f>
        <v/>
      </c>
      <c r="AK1052" s="9" t="n">
        <f aca="false">IFERROR(MATCH($AD1052,'Part types'!$E:$E,0),0)</f>
        <v>691</v>
      </c>
    </row>
    <row r="1053" customFormat="false" ht="15" hidden="false" customHeight="false" outlineLevel="0" collapsed="false">
      <c r="A1053" s="9" t="s">
        <v>4293</v>
      </c>
      <c r="B1053" s="9" t="s">
        <v>4270</v>
      </c>
      <c r="C1053" s="9" t="s">
        <v>4294</v>
      </c>
      <c r="D1053" s="9" t="str">
        <f aca="false">C1053&amp;" - "&amp;E1053</f>
        <v>Trim Clip Set - Universal</v>
      </c>
      <c r="E1053" s="9" t="s">
        <v>68</v>
      </c>
      <c r="F1053" s="9" t="s">
        <v>956</v>
      </c>
      <c r="G1053" s="10" t="n">
        <f aca="false">IF($AK1053=0,"",INDEX('Part types'!$P:$P,$AK1053))</f>
        <v>15</v>
      </c>
      <c r="H1053" s="10" t="n">
        <f aca="false">IF($AK1053=0,"",INDEX('Part types'!$Q:$Q,$AK1053))</f>
        <v>10</v>
      </c>
      <c r="I1053" s="10" t="n">
        <f aca="false">IF($AK1053=0,"",INDEX('Part types'!$R:$R,$AK1053))</f>
        <v>8</v>
      </c>
      <c r="J1053" s="10" t="n">
        <f aca="false">IF($AK1053=0,"",INDEX('Part types'!$S:$S,$AK1053))</f>
        <v>0.3</v>
      </c>
      <c r="K1053" s="11" t="s">
        <v>4272</v>
      </c>
      <c r="L1053" s="11" t="s">
        <v>4295</v>
      </c>
      <c r="M1053" s="11" t="str">
        <f aca="false">L1053&amp;" - "&amp;N1053</f>
        <v>طقم مشابك زينة بلاستيك - عام</v>
      </c>
      <c r="N1053" s="11" t="s">
        <v>72</v>
      </c>
      <c r="O1053" s="11" t="s">
        <v>959</v>
      </c>
      <c r="P1053" s="10" t="n">
        <f aca="false">G1053</f>
        <v>15</v>
      </c>
      <c r="Q1053" s="10" t="n">
        <f aca="false">H1053</f>
        <v>10</v>
      </c>
      <c r="R1053" s="10" t="n">
        <f aca="false">I1053</f>
        <v>8</v>
      </c>
      <c r="S1053" s="10" t="n">
        <f aca="false">J1053</f>
        <v>0.3</v>
      </c>
      <c r="T1053" s="12" t="s">
        <v>4274</v>
      </c>
      <c r="U1053" s="12" t="s">
        <v>4296</v>
      </c>
      <c r="V1053" s="9" t="str">
        <f aca="false">U1053&amp;" - "&amp;W1053</f>
        <v>内饰卡扣套装 - 通用</v>
      </c>
      <c r="W1053" s="12" t="s">
        <v>76</v>
      </c>
      <c r="X1053" s="12" t="s">
        <v>962</v>
      </c>
      <c r="Y1053" s="10" t="n">
        <f aca="false">G1053</f>
        <v>15</v>
      </c>
      <c r="Z1053" s="10" t="n">
        <f aca="false">H1053</f>
        <v>10</v>
      </c>
      <c r="AA1053" s="10" t="n">
        <f aca="false">I1053</f>
        <v>8</v>
      </c>
      <c r="AB1053" s="10" t="n">
        <f aca="false">J1053</f>
        <v>0.3</v>
      </c>
      <c r="AC1053" s="9" t="s">
        <v>4276</v>
      </c>
      <c r="AD1053" s="9" t="s">
        <v>4297</v>
      </c>
      <c r="AE1053" s="9" t="str">
        <f aca="false">IF($AK1053=0,"",INDEX('Part types'!$T:$T,$AK1053)&amp;"")</f>
        <v>All vehicles</v>
      </c>
      <c r="AF1053" s="9" t="str">
        <f aca="false">IF($AK1053=0,"",INDEX('Part types'!$U:$U,$AK1053)&amp;"")</f>
        <v/>
      </c>
      <c r="AG1053" s="9" t="str">
        <f aca="false">IF($AK1053=0,"",INDEX('Part types'!$V:$V,$AK1053)&amp;"")</f>
        <v>Estimate: size class S</v>
      </c>
      <c r="AH1053" s="9" t="str">
        <f aca="false">IF($AK1053=0,"",INDEX('Part types'!$W:$W,$AK1053)&amp;"")</f>
        <v>Plastic Rivets</v>
      </c>
      <c r="AI1053" s="11" t="str">
        <f aca="false">IF($AK1053=0,"",INDEX('Part types'!$X:$X,$AK1053)&amp;"")</f>
        <v/>
      </c>
      <c r="AJ1053" s="9" t="str">
        <f aca="false">IF($AK1053=0,"",INDEX('Part types'!$Y:$Y,$AK1053)&amp;"")</f>
        <v/>
      </c>
      <c r="AK1053" s="9" t="n">
        <f aca="false">IFERROR(MATCH($AD1053,'Part types'!$E:$E,0),0)</f>
        <v>692</v>
      </c>
    </row>
    <row r="1054" customFormat="false" ht="15" hidden="false" customHeight="false" outlineLevel="0" collapsed="false">
      <c r="A1054" s="9" t="s">
        <v>4298</v>
      </c>
      <c r="B1054" s="9" t="s">
        <v>4270</v>
      </c>
      <c r="C1054" s="9" t="s">
        <v>4299</v>
      </c>
      <c r="D1054" s="9" t="str">
        <f aca="false">C1054&amp;" - "&amp;E1054</f>
        <v>Push-Pin Retainer Set - Universal</v>
      </c>
      <c r="E1054" s="9" t="s">
        <v>68</v>
      </c>
      <c r="F1054" s="9" t="s">
        <v>956</v>
      </c>
      <c r="G1054" s="10" t="n">
        <f aca="false">IF($AK1054=0,"",INDEX('Part types'!$P:$P,$AK1054))</f>
        <v>15</v>
      </c>
      <c r="H1054" s="10" t="n">
        <f aca="false">IF($AK1054=0,"",INDEX('Part types'!$Q:$Q,$AK1054))</f>
        <v>10</v>
      </c>
      <c r="I1054" s="10" t="n">
        <f aca="false">IF($AK1054=0,"",INDEX('Part types'!$R:$R,$AK1054))</f>
        <v>8</v>
      </c>
      <c r="J1054" s="10" t="n">
        <f aca="false">IF($AK1054=0,"",INDEX('Part types'!$S:$S,$AK1054))</f>
        <v>0.3</v>
      </c>
      <c r="K1054" s="11" t="s">
        <v>4272</v>
      </c>
      <c r="L1054" s="11" t="s">
        <v>4300</v>
      </c>
      <c r="M1054" s="11" t="str">
        <f aca="false">L1054&amp;" - "&amp;N1054</f>
        <v>طقم دبابيس تثبيت - عام</v>
      </c>
      <c r="N1054" s="11" t="s">
        <v>72</v>
      </c>
      <c r="O1054" s="11" t="s">
        <v>959</v>
      </c>
      <c r="P1054" s="10" t="n">
        <f aca="false">G1054</f>
        <v>15</v>
      </c>
      <c r="Q1054" s="10" t="n">
        <f aca="false">H1054</f>
        <v>10</v>
      </c>
      <c r="R1054" s="10" t="n">
        <f aca="false">I1054</f>
        <v>8</v>
      </c>
      <c r="S1054" s="10" t="n">
        <f aca="false">J1054</f>
        <v>0.3</v>
      </c>
      <c r="T1054" s="12" t="s">
        <v>4274</v>
      </c>
      <c r="U1054" s="12" t="s">
        <v>4301</v>
      </c>
      <c r="V1054" s="9" t="str">
        <f aca="false">U1054&amp;" - "&amp;W1054</f>
        <v>膨胀卡扣套装 - 通用</v>
      </c>
      <c r="W1054" s="12" t="s">
        <v>76</v>
      </c>
      <c r="X1054" s="12" t="s">
        <v>962</v>
      </c>
      <c r="Y1054" s="10" t="n">
        <f aca="false">G1054</f>
        <v>15</v>
      </c>
      <c r="Z1054" s="10" t="n">
        <f aca="false">H1054</f>
        <v>10</v>
      </c>
      <c r="AA1054" s="10" t="n">
        <f aca="false">I1054</f>
        <v>8</v>
      </c>
      <c r="AB1054" s="10" t="n">
        <f aca="false">J1054</f>
        <v>0.3</v>
      </c>
      <c r="AC1054" s="9" t="s">
        <v>4276</v>
      </c>
      <c r="AD1054" s="9" t="s">
        <v>4302</v>
      </c>
      <c r="AE1054" s="9" t="str">
        <f aca="false">IF($AK1054=0,"",INDEX('Part types'!$T:$T,$AK1054)&amp;"")</f>
        <v>All vehicles</v>
      </c>
      <c r="AF1054" s="9" t="str">
        <f aca="false">IF($AK1054=0,"",INDEX('Part types'!$U:$U,$AK1054)&amp;"")</f>
        <v/>
      </c>
      <c r="AG1054" s="9" t="str">
        <f aca="false">IF($AK1054=0,"",INDEX('Part types'!$V:$V,$AK1054)&amp;"")</f>
        <v>Estimate: size class S</v>
      </c>
      <c r="AH1054" s="9" t="str">
        <f aca="false">IF($AK1054=0,"",INDEX('Part types'!$W:$W,$AK1054)&amp;"")</f>
        <v/>
      </c>
      <c r="AI1054" s="11" t="str">
        <f aca="false">IF($AK1054=0,"",INDEX('Part types'!$X:$X,$AK1054)&amp;"")</f>
        <v/>
      </c>
      <c r="AJ1054" s="9" t="str">
        <f aca="false">IF($AK1054=0,"",INDEX('Part types'!$Y:$Y,$AK1054)&amp;"")</f>
        <v/>
      </c>
      <c r="AK1054" s="9" t="n">
        <f aca="false">IFERROR(MATCH($AD1054,'Part types'!$E:$E,0),0)</f>
        <v>693</v>
      </c>
    </row>
    <row r="1055" customFormat="false" ht="15" hidden="false" customHeight="false" outlineLevel="0" collapsed="false">
      <c r="A1055" s="9" t="s">
        <v>4303</v>
      </c>
      <c r="B1055" s="9" t="s">
        <v>4270</v>
      </c>
      <c r="C1055" s="9" t="s">
        <v>4304</v>
      </c>
      <c r="D1055" s="9" t="str">
        <f aca="false">C1055&amp;" - "&amp;E1055</f>
        <v>Liner Screw Set - Universal</v>
      </c>
      <c r="E1055" s="9" t="s">
        <v>68</v>
      </c>
      <c r="F1055" s="9" t="s">
        <v>3524</v>
      </c>
      <c r="G1055" s="10" t="n">
        <f aca="false">IF($AK1055=0,"",INDEX('Part types'!$P:$P,$AK1055))</f>
        <v>15</v>
      </c>
      <c r="H1055" s="10" t="n">
        <f aca="false">IF($AK1055=0,"",INDEX('Part types'!$Q:$Q,$AK1055))</f>
        <v>10</v>
      </c>
      <c r="I1055" s="10" t="n">
        <f aca="false">IF($AK1055=0,"",INDEX('Part types'!$R:$R,$AK1055))</f>
        <v>8</v>
      </c>
      <c r="J1055" s="10" t="n">
        <f aca="false">IF($AK1055=0,"",INDEX('Part types'!$S:$S,$AK1055))</f>
        <v>0.3</v>
      </c>
      <c r="K1055" s="11" t="s">
        <v>4272</v>
      </c>
      <c r="L1055" s="11" t="s">
        <v>4305</v>
      </c>
      <c r="M1055" s="11" t="str">
        <f aca="false">L1055&amp;" - "&amp;N1055</f>
        <v>طقم براغي بطانة الرفرف - عام</v>
      </c>
      <c r="N1055" s="11" t="s">
        <v>72</v>
      </c>
      <c r="O1055" s="11" t="s">
        <v>3526</v>
      </c>
      <c r="P1055" s="10" t="n">
        <f aca="false">G1055</f>
        <v>15</v>
      </c>
      <c r="Q1055" s="10" t="n">
        <f aca="false">H1055</f>
        <v>10</v>
      </c>
      <c r="R1055" s="10" t="n">
        <f aca="false">I1055</f>
        <v>8</v>
      </c>
      <c r="S1055" s="10" t="n">
        <f aca="false">J1055</f>
        <v>0.3</v>
      </c>
      <c r="T1055" s="12" t="s">
        <v>4274</v>
      </c>
      <c r="U1055" s="12" t="s">
        <v>4306</v>
      </c>
      <c r="V1055" s="9" t="str">
        <f aca="false">U1055&amp;" - "&amp;W1055</f>
        <v>轮罩螺丝套装 - 通用</v>
      </c>
      <c r="W1055" s="12" t="s">
        <v>76</v>
      </c>
      <c r="X1055" s="12" t="s">
        <v>3528</v>
      </c>
      <c r="Y1055" s="10" t="n">
        <f aca="false">G1055</f>
        <v>15</v>
      </c>
      <c r="Z1055" s="10" t="n">
        <f aca="false">H1055</f>
        <v>10</v>
      </c>
      <c r="AA1055" s="10" t="n">
        <f aca="false">I1055</f>
        <v>8</v>
      </c>
      <c r="AB1055" s="10" t="n">
        <f aca="false">J1055</f>
        <v>0.3</v>
      </c>
      <c r="AC1055" s="9" t="s">
        <v>4276</v>
      </c>
      <c r="AD1055" s="9" t="s">
        <v>4307</v>
      </c>
      <c r="AE1055" s="9" t="str">
        <f aca="false">IF($AK1055=0,"",INDEX('Part types'!$T:$T,$AK1055)&amp;"")</f>
        <v>All vehicles</v>
      </c>
      <c r="AF1055" s="9" t="str">
        <f aca="false">IF($AK1055=0,"",INDEX('Part types'!$U:$U,$AK1055)&amp;"")</f>
        <v/>
      </c>
      <c r="AG1055" s="9" t="str">
        <f aca="false">IF($AK1055=0,"",INDEX('Part types'!$V:$V,$AK1055)&amp;"")</f>
        <v>Estimate: size class S</v>
      </c>
      <c r="AH1055" s="9" t="str">
        <f aca="false">IF($AK1055=0,"",INDEX('Part types'!$W:$W,$AK1055)&amp;"")</f>
        <v>Fender Liner Screw Set</v>
      </c>
      <c r="AI1055" s="11" t="str">
        <f aca="false">IF($AK1055=0,"",INDEX('Part types'!$X:$X,$AK1055)&amp;"")</f>
        <v/>
      </c>
      <c r="AJ1055" s="9" t="str">
        <f aca="false">IF($AK1055=0,"",INDEX('Part types'!$Y:$Y,$AK1055)&amp;"")</f>
        <v/>
      </c>
      <c r="AK1055" s="9" t="n">
        <f aca="false">IFERROR(MATCH($AD1055,'Part types'!$E:$E,0),0)</f>
        <v>694</v>
      </c>
    </row>
    <row r="1056" customFormat="false" ht="15" hidden="false" customHeight="false" outlineLevel="0" collapsed="false">
      <c r="A1056" s="9" t="s">
        <v>4308</v>
      </c>
      <c r="B1056" s="9" t="s">
        <v>4270</v>
      </c>
      <c r="C1056" s="9" t="s">
        <v>4309</v>
      </c>
      <c r="D1056" s="9" t="str">
        <f aca="false">C1056&amp;" - "&amp;E1056</f>
        <v>Bolt Nut Kit - Universal</v>
      </c>
      <c r="E1056" s="9" t="s">
        <v>68</v>
      </c>
      <c r="F1056" s="9" t="s">
        <v>956</v>
      </c>
      <c r="G1056" s="10" t="n">
        <f aca="false">IF($AK1056=0,"",INDEX('Part types'!$P:$P,$AK1056))</f>
        <v>25</v>
      </c>
      <c r="H1056" s="10" t="n">
        <f aca="false">IF($AK1056=0,"",INDEX('Part types'!$Q:$Q,$AK1056))</f>
        <v>15</v>
      </c>
      <c r="I1056" s="10" t="n">
        <f aca="false">IF($AK1056=0,"",INDEX('Part types'!$R:$R,$AK1056))</f>
        <v>10</v>
      </c>
      <c r="J1056" s="10" t="n">
        <f aca="false">IF($AK1056=0,"",INDEX('Part types'!$S:$S,$AK1056))</f>
        <v>0.9</v>
      </c>
      <c r="K1056" s="11" t="s">
        <v>4272</v>
      </c>
      <c r="L1056" s="11" t="s">
        <v>4310</v>
      </c>
      <c r="M1056" s="11" t="str">
        <f aca="false">L1056&amp;" - "&amp;N1056</f>
        <v>طقم براغي وصواميل متنوع - عام</v>
      </c>
      <c r="N1056" s="11" t="s">
        <v>72</v>
      </c>
      <c r="O1056" s="11" t="s">
        <v>959</v>
      </c>
      <c r="P1056" s="10" t="n">
        <f aca="false">G1056</f>
        <v>25</v>
      </c>
      <c r="Q1056" s="10" t="n">
        <f aca="false">H1056</f>
        <v>15</v>
      </c>
      <c r="R1056" s="10" t="n">
        <f aca="false">I1056</f>
        <v>10</v>
      </c>
      <c r="S1056" s="10" t="n">
        <f aca="false">J1056</f>
        <v>0.9</v>
      </c>
      <c r="T1056" s="12" t="s">
        <v>4274</v>
      </c>
      <c r="U1056" s="12" t="s">
        <v>4311</v>
      </c>
      <c r="V1056" s="9" t="str">
        <f aca="false">U1056&amp;" - "&amp;W1056</f>
        <v>螺栓螺母套装 - 通用</v>
      </c>
      <c r="W1056" s="12" t="s">
        <v>76</v>
      </c>
      <c r="X1056" s="12" t="s">
        <v>962</v>
      </c>
      <c r="Y1056" s="10" t="n">
        <f aca="false">G1056</f>
        <v>25</v>
      </c>
      <c r="Z1056" s="10" t="n">
        <f aca="false">H1056</f>
        <v>15</v>
      </c>
      <c r="AA1056" s="10" t="n">
        <f aca="false">I1056</f>
        <v>10</v>
      </c>
      <c r="AB1056" s="10" t="n">
        <f aca="false">J1056</f>
        <v>0.9</v>
      </c>
      <c r="AC1056" s="9" t="s">
        <v>4276</v>
      </c>
      <c r="AD1056" s="9" t="s">
        <v>4312</v>
      </c>
      <c r="AE1056" s="9" t="str">
        <f aca="false">IF($AK1056=0,"",INDEX('Part types'!$T:$T,$AK1056)&amp;"")</f>
        <v>All vehicles</v>
      </c>
      <c r="AF1056" s="9" t="str">
        <f aca="false">IF($AK1056=0,"",INDEX('Part types'!$U:$U,$AK1056)&amp;"")</f>
        <v/>
      </c>
      <c r="AG1056" s="9" t="str">
        <f aca="false">IF($AK1056=0,"",INDEX('Part types'!$V:$V,$AK1056)&amp;"")</f>
        <v>Estimate: size class M</v>
      </c>
      <c r="AH1056" s="9" t="str">
        <f aca="false">IF($AK1056=0,"",INDEX('Part types'!$W:$W,$AK1056)&amp;"")</f>
        <v>Bolt and Nut Assortment Kit</v>
      </c>
      <c r="AI1056" s="11" t="str">
        <f aca="false">IF($AK1056=0,"",INDEX('Part types'!$X:$X,$AK1056)&amp;"")</f>
        <v/>
      </c>
      <c r="AJ1056" s="9" t="str">
        <f aca="false">IF($AK1056=0,"",INDEX('Part types'!$Y:$Y,$AK1056)&amp;"")</f>
        <v/>
      </c>
      <c r="AK1056" s="9" t="n">
        <f aca="false">IFERROR(MATCH($AD1056,'Part types'!$E:$E,0),0)</f>
        <v>695</v>
      </c>
    </row>
    <row r="1057" customFormat="false" ht="15" hidden="false" customHeight="false" outlineLevel="0" collapsed="false">
      <c r="A1057" s="9" t="s">
        <v>4313</v>
      </c>
      <c r="B1057" s="9" t="s">
        <v>4270</v>
      </c>
      <c r="C1057" s="9" t="s">
        <v>4314</v>
      </c>
      <c r="D1057" s="9" t="str">
        <f aca="false">C1057&amp;" - "&amp;E1057</f>
        <v>Hose Connector Set - Universal</v>
      </c>
      <c r="E1057" s="9" t="s">
        <v>68</v>
      </c>
      <c r="F1057" s="9" t="s">
        <v>956</v>
      </c>
      <c r="G1057" s="10" t="n">
        <f aca="false">IF($AK1057=0,"",INDEX('Part types'!$P:$P,$AK1057))</f>
        <v>15</v>
      </c>
      <c r="H1057" s="10" t="n">
        <f aca="false">IF($AK1057=0,"",INDEX('Part types'!$Q:$Q,$AK1057))</f>
        <v>10</v>
      </c>
      <c r="I1057" s="10" t="n">
        <f aca="false">IF($AK1057=0,"",INDEX('Part types'!$R:$R,$AK1057))</f>
        <v>8</v>
      </c>
      <c r="J1057" s="10" t="n">
        <f aca="false">IF($AK1057=0,"",INDEX('Part types'!$S:$S,$AK1057))</f>
        <v>0.3</v>
      </c>
      <c r="K1057" s="11" t="s">
        <v>4272</v>
      </c>
      <c r="L1057" s="11" t="s">
        <v>4315</v>
      </c>
      <c r="M1057" s="11" t="str">
        <f aca="false">L1057&amp;" - "&amp;N1057</f>
        <v>طقم وصلات خراطيم - عام</v>
      </c>
      <c r="N1057" s="11" t="s">
        <v>72</v>
      </c>
      <c r="O1057" s="11" t="s">
        <v>959</v>
      </c>
      <c r="P1057" s="10" t="n">
        <f aca="false">G1057</f>
        <v>15</v>
      </c>
      <c r="Q1057" s="10" t="n">
        <f aca="false">H1057</f>
        <v>10</v>
      </c>
      <c r="R1057" s="10" t="n">
        <f aca="false">I1057</f>
        <v>8</v>
      </c>
      <c r="S1057" s="10" t="n">
        <f aca="false">J1057</f>
        <v>0.3</v>
      </c>
      <c r="T1057" s="12" t="s">
        <v>4274</v>
      </c>
      <c r="U1057" s="12" t="s">
        <v>4316</v>
      </c>
      <c r="V1057" s="9" t="str">
        <f aca="false">U1057&amp;" - "&amp;W1057</f>
        <v>软管接头套装 - 通用</v>
      </c>
      <c r="W1057" s="12" t="s">
        <v>76</v>
      </c>
      <c r="X1057" s="12" t="s">
        <v>962</v>
      </c>
      <c r="Y1057" s="10" t="n">
        <f aca="false">G1057</f>
        <v>15</v>
      </c>
      <c r="Z1057" s="10" t="n">
        <f aca="false">H1057</f>
        <v>10</v>
      </c>
      <c r="AA1057" s="10" t="n">
        <f aca="false">I1057</f>
        <v>8</v>
      </c>
      <c r="AB1057" s="10" t="n">
        <f aca="false">J1057</f>
        <v>0.3</v>
      </c>
      <c r="AC1057" s="9" t="s">
        <v>4276</v>
      </c>
      <c r="AD1057" s="9" t="s">
        <v>4317</v>
      </c>
      <c r="AE1057" s="9" t="str">
        <f aca="false">IF($AK1057=0,"",INDEX('Part types'!$T:$T,$AK1057)&amp;"")</f>
        <v>All vehicles</v>
      </c>
      <c r="AF1057" s="9" t="str">
        <f aca="false">IF($AK1057=0,"",INDEX('Part types'!$U:$U,$AK1057)&amp;"")</f>
        <v/>
      </c>
      <c r="AG1057" s="9" t="str">
        <f aca="false">IF($AK1057=0,"",INDEX('Part types'!$V:$V,$AK1057)&amp;"")</f>
        <v>Estimate: size class S</v>
      </c>
      <c r="AH1057" s="9" t="str">
        <f aca="false">IF($AK1057=0,"",INDEX('Part types'!$W:$W,$AK1057)&amp;"")</f>
        <v/>
      </c>
      <c r="AI1057" s="11" t="str">
        <f aca="false">IF($AK1057=0,"",INDEX('Part types'!$X:$X,$AK1057)&amp;"")</f>
        <v/>
      </c>
      <c r="AJ1057" s="9" t="str">
        <f aca="false">IF($AK1057=0,"",INDEX('Part types'!$Y:$Y,$AK1057)&amp;"")</f>
        <v/>
      </c>
      <c r="AK1057" s="9" t="n">
        <f aca="false">IFERROR(MATCH($AD1057,'Part types'!$E:$E,0),0)</f>
        <v>696</v>
      </c>
    </row>
    <row r="1058" customFormat="false" ht="15" hidden="false" customHeight="false" outlineLevel="0" collapsed="false">
      <c r="A1058" s="9" t="s">
        <v>4318</v>
      </c>
      <c r="B1058" s="9" t="s">
        <v>4270</v>
      </c>
      <c r="C1058" s="9" t="s">
        <v>4319</v>
      </c>
      <c r="D1058" s="9" t="str">
        <f aca="false">C1058&amp;" - "&amp;E1058</f>
        <v>Pipe Line Clamp - Universal</v>
      </c>
      <c r="E1058" s="9" t="s">
        <v>68</v>
      </c>
      <c r="F1058" s="9" t="s">
        <v>956</v>
      </c>
      <c r="G1058" s="10" t="n">
        <f aca="false">IF($AK1058=0,"",INDEX('Part types'!$P:$P,$AK1058))</f>
        <v>10</v>
      </c>
      <c r="H1058" s="10" t="n">
        <f aca="false">IF($AK1058=0,"",INDEX('Part types'!$Q:$Q,$AK1058))</f>
        <v>8</v>
      </c>
      <c r="I1058" s="10" t="n">
        <f aca="false">IF($AK1058=0,"",INDEX('Part types'!$R:$R,$AK1058))</f>
        <v>6</v>
      </c>
      <c r="J1058" s="10" t="n">
        <f aca="false">IF($AK1058=0,"",INDEX('Part types'!$S:$S,$AK1058))</f>
        <v>0.1</v>
      </c>
      <c r="K1058" s="11" t="s">
        <v>4272</v>
      </c>
      <c r="L1058" s="11" t="s">
        <v>4320</v>
      </c>
      <c r="M1058" s="11" t="str">
        <f aca="false">L1058&amp;" - "&amp;N1058</f>
        <v>مشبك مواسير - عام</v>
      </c>
      <c r="N1058" s="11" t="s">
        <v>72</v>
      </c>
      <c r="O1058" s="11" t="s">
        <v>959</v>
      </c>
      <c r="P1058" s="10" t="n">
        <f aca="false">G1058</f>
        <v>10</v>
      </c>
      <c r="Q1058" s="10" t="n">
        <f aca="false">H1058</f>
        <v>8</v>
      </c>
      <c r="R1058" s="10" t="n">
        <f aca="false">I1058</f>
        <v>6</v>
      </c>
      <c r="S1058" s="10" t="n">
        <f aca="false">J1058</f>
        <v>0.1</v>
      </c>
      <c r="T1058" s="12" t="s">
        <v>4274</v>
      </c>
      <c r="U1058" s="12" t="s">
        <v>4321</v>
      </c>
      <c r="V1058" s="9" t="str">
        <f aca="false">U1058&amp;" - "&amp;W1058</f>
        <v>管路卡夹 - 通用</v>
      </c>
      <c r="W1058" s="12" t="s">
        <v>76</v>
      </c>
      <c r="X1058" s="12" t="s">
        <v>962</v>
      </c>
      <c r="Y1058" s="10" t="n">
        <f aca="false">G1058</f>
        <v>10</v>
      </c>
      <c r="Z1058" s="10" t="n">
        <f aca="false">H1058</f>
        <v>8</v>
      </c>
      <c r="AA1058" s="10" t="n">
        <f aca="false">I1058</f>
        <v>6</v>
      </c>
      <c r="AB1058" s="10" t="n">
        <f aca="false">J1058</f>
        <v>0.1</v>
      </c>
      <c r="AC1058" s="9" t="s">
        <v>4276</v>
      </c>
      <c r="AD1058" s="9" t="s">
        <v>4322</v>
      </c>
      <c r="AE1058" s="9" t="str">
        <f aca="false">IF($AK1058=0,"",INDEX('Part types'!$T:$T,$AK1058)&amp;"")</f>
        <v>All vehicles</v>
      </c>
      <c r="AF1058" s="9" t="str">
        <f aca="false">IF($AK1058=0,"",INDEX('Part types'!$U:$U,$AK1058)&amp;"")</f>
        <v/>
      </c>
      <c r="AG1058" s="9" t="str">
        <f aca="false">IF($AK1058=0,"",INDEX('Part types'!$V:$V,$AK1058)&amp;"")</f>
        <v>Estimate: size class XS</v>
      </c>
      <c r="AH1058" s="9" t="str">
        <f aca="false">IF($AK1058=0,"",INDEX('Part types'!$W:$W,$AK1058)&amp;"")</f>
        <v/>
      </c>
      <c r="AI1058" s="11" t="str">
        <f aca="false">IF($AK1058=0,"",INDEX('Part types'!$X:$X,$AK1058)&amp;"")</f>
        <v/>
      </c>
      <c r="AJ1058" s="9" t="str">
        <f aca="false">IF($AK1058=0,"",INDEX('Part types'!$Y:$Y,$AK1058)&amp;"")</f>
        <v/>
      </c>
      <c r="AK1058" s="9" t="n">
        <f aca="false">IFERROR(MATCH($AD1058,'Part types'!$E:$E,0),0)</f>
        <v>697</v>
      </c>
    </row>
    <row r="1059" customFormat="false" ht="15" hidden="false" customHeight="false" outlineLevel="0" collapsed="false">
      <c r="A1059" s="9" t="s">
        <v>4323</v>
      </c>
      <c r="B1059" s="9" t="s">
        <v>4270</v>
      </c>
      <c r="C1059" s="9" t="s">
        <v>4324</v>
      </c>
      <c r="D1059" s="9" t="str">
        <f aca="false">C1059&amp;" - "&amp;E1059</f>
        <v>Heat Shield Bolt - Universal</v>
      </c>
      <c r="E1059" s="9" t="s">
        <v>68</v>
      </c>
      <c r="F1059" s="9" t="s">
        <v>237</v>
      </c>
      <c r="G1059" s="10" t="n">
        <f aca="false">IF($AK1059=0,"",INDEX('Part types'!$P:$P,$AK1059))</f>
        <v>10</v>
      </c>
      <c r="H1059" s="10" t="n">
        <f aca="false">IF($AK1059=0,"",INDEX('Part types'!$Q:$Q,$AK1059))</f>
        <v>8</v>
      </c>
      <c r="I1059" s="10" t="n">
        <f aca="false">IF($AK1059=0,"",INDEX('Part types'!$R:$R,$AK1059))</f>
        <v>6</v>
      </c>
      <c r="J1059" s="10" t="n">
        <f aca="false">IF($AK1059=0,"",INDEX('Part types'!$S:$S,$AK1059))</f>
        <v>0.1</v>
      </c>
      <c r="K1059" s="11" t="s">
        <v>4272</v>
      </c>
      <c r="L1059" s="11" t="s">
        <v>4325</v>
      </c>
      <c r="M1059" s="11" t="str">
        <f aca="false">L1059&amp;" - "&amp;N1059</f>
        <v>براغي درع الحرارة - عام</v>
      </c>
      <c r="N1059" s="11" t="s">
        <v>72</v>
      </c>
      <c r="O1059" s="11" t="s">
        <v>239</v>
      </c>
      <c r="P1059" s="10" t="n">
        <f aca="false">G1059</f>
        <v>10</v>
      </c>
      <c r="Q1059" s="10" t="n">
        <f aca="false">H1059</f>
        <v>8</v>
      </c>
      <c r="R1059" s="10" t="n">
        <f aca="false">I1059</f>
        <v>6</v>
      </c>
      <c r="S1059" s="10" t="n">
        <f aca="false">J1059</f>
        <v>0.1</v>
      </c>
      <c r="T1059" s="12" t="s">
        <v>4274</v>
      </c>
      <c r="U1059" s="12" t="s">
        <v>4326</v>
      </c>
      <c r="V1059" s="9" t="str">
        <f aca="false">U1059&amp;" - "&amp;W1059</f>
        <v>隔热罩螺栓 - 通用</v>
      </c>
      <c r="W1059" s="12" t="s">
        <v>76</v>
      </c>
      <c r="X1059" s="12" t="s">
        <v>241</v>
      </c>
      <c r="Y1059" s="10" t="n">
        <f aca="false">G1059</f>
        <v>10</v>
      </c>
      <c r="Z1059" s="10" t="n">
        <f aca="false">H1059</f>
        <v>8</v>
      </c>
      <c r="AA1059" s="10" t="n">
        <f aca="false">I1059</f>
        <v>6</v>
      </c>
      <c r="AB1059" s="10" t="n">
        <f aca="false">J1059</f>
        <v>0.1</v>
      </c>
      <c r="AC1059" s="9" t="s">
        <v>4276</v>
      </c>
      <c r="AD1059" s="9" t="s">
        <v>4327</v>
      </c>
      <c r="AE1059" s="9" t="str">
        <f aca="false">IF($AK1059=0,"",INDEX('Part types'!$T:$T,$AK1059)&amp;"")</f>
        <v>All vehicles</v>
      </c>
      <c r="AF1059" s="9" t="str">
        <f aca="false">IF($AK1059=0,"",INDEX('Part types'!$U:$U,$AK1059)&amp;"")</f>
        <v/>
      </c>
      <c r="AG1059" s="9" t="str">
        <f aca="false">IF($AK1059=0,"",INDEX('Part types'!$V:$V,$AK1059)&amp;"")</f>
        <v>Estimate: size class XS</v>
      </c>
      <c r="AH1059" s="9" t="str">
        <f aca="false">IF($AK1059=0,"",INDEX('Part types'!$W:$W,$AK1059)&amp;"")</f>
        <v/>
      </c>
      <c r="AI1059" s="11" t="str">
        <f aca="false">IF($AK1059=0,"",INDEX('Part types'!$X:$X,$AK1059)&amp;"")</f>
        <v/>
      </c>
      <c r="AJ1059" s="9" t="str">
        <f aca="false">IF($AK1059=0,"",INDEX('Part types'!$Y:$Y,$AK1059)&amp;"")</f>
        <v/>
      </c>
      <c r="AK1059" s="9" t="n">
        <f aca="false">IFERROR(MATCH($AD1059,'Part types'!$E:$E,0),0)</f>
        <v>698</v>
      </c>
    </row>
    <row r="1060" customFormat="false" ht="15" hidden="false" customHeight="false" outlineLevel="0" collapsed="false">
      <c r="A1060" s="9" t="s">
        <v>4328</v>
      </c>
      <c r="B1060" s="9" t="s">
        <v>4329</v>
      </c>
      <c r="C1060" s="9" t="s">
        <v>4330</v>
      </c>
      <c r="D1060" s="9" t="str">
        <f aca="false">C1060&amp;" - "&amp;E1060</f>
        <v>O-Ring Kit - Universal</v>
      </c>
      <c r="E1060" s="9" t="s">
        <v>68</v>
      </c>
      <c r="F1060" s="9" t="s">
        <v>956</v>
      </c>
      <c r="G1060" s="10" t="n">
        <f aca="false">IF($AK1060=0,"",INDEX('Part types'!$P:$P,$AK1060))</f>
        <v>10</v>
      </c>
      <c r="H1060" s="10" t="n">
        <f aca="false">IF($AK1060=0,"",INDEX('Part types'!$Q:$Q,$AK1060))</f>
        <v>8</v>
      </c>
      <c r="I1060" s="10" t="n">
        <f aca="false">IF($AK1060=0,"",INDEX('Part types'!$R:$R,$AK1060))</f>
        <v>6</v>
      </c>
      <c r="J1060" s="10" t="n">
        <f aca="false">IF($AK1060=0,"",INDEX('Part types'!$S:$S,$AK1060))</f>
        <v>0.1</v>
      </c>
      <c r="K1060" s="11" t="s">
        <v>4331</v>
      </c>
      <c r="L1060" s="11" t="s">
        <v>4332</v>
      </c>
      <c r="M1060" s="11" t="str">
        <f aca="false">L1060&amp;" - "&amp;N1060</f>
        <v>طقم أورنج متنوع - عام</v>
      </c>
      <c r="N1060" s="11" t="s">
        <v>72</v>
      </c>
      <c r="O1060" s="11" t="s">
        <v>959</v>
      </c>
      <c r="P1060" s="10" t="n">
        <f aca="false">G1060</f>
        <v>10</v>
      </c>
      <c r="Q1060" s="10" t="n">
        <f aca="false">H1060</f>
        <v>8</v>
      </c>
      <c r="R1060" s="10" t="n">
        <f aca="false">I1060</f>
        <v>6</v>
      </c>
      <c r="S1060" s="10" t="n">
        <f aca="false">J1060</f>
        <v>0.1</v>
      </c>
      <c r="T1060" s="12" t="s">
        <v>4333</v>
      </c>
      <c r="U1060" s="9" t="s">
        <v>4334</v>
      </c>
      <c r="V1060" s="9" t="str">
        <f aca="false">U1060&amp;" - "&amp;W1060</f>
        <v>O型圈套装 - 通用</v>
      </c>
      <c r="W1060" s="12" t="s">
        <v>76</v>
      </c>
      <c r="X1060" s="12" t="s">
        <v>962</v>
      </c>
      <c r="Y1060" s="10" t="n">
        <f aca="false">G1060</f>
        <v>10</v>
      </c>
      <c r="Z1060" s="10" t="n">
        <f aca="false">H1060</f>
        <v>8</v>
      </c>
      <c r="AA1060" s="10" t="n">
        <f aca="false">I1060</f>
        <v>6</v>
      </c>
      <c r="AB1060" s="10" t="n">
        <f aca="false">J1060</f>
        <v>0.1</v>
      </c>
      <c r="AC1060" s="9" t="s">
        <v>4335</v>
      </c>
      <c r="AD1060" s="9" t="s">
        <v>4336</v>
      </c>
      <c r="AE1060" s="9" t="str">
        <f aca="false">IF($AK1060=0,"",INDEX('Part types'!$T:$T,$AK1060)&amp;"")</f>
        <v>All vehicles</v>
      </c>
      <c r="AF1060" s="9" t="str">
        <f aca="false">IF($AK1060=0,"",INDEX('Part types'!$U:$U,$AK1060)&amp;"")</f>
        <v/>
      </c>
      <c r="AG1060" s="9" t="str">
        <f aca="false">IF($AK1060=0,"",INDEX('Part types'!$V:$V,$AK1060)&amp;"")</f>
        <v>Estimate: size class XS</v>
      </c>
      <c r="AH1060" s="9" t="str">
        <f aca="false">IF($AK1060=0,"",INDEX('Part types'!$W:$W,$AK1060)&amp;"")</f>
        <v>O-Ring Assortment Kit</v>
      </c>
      <c r="AI1060" s="11" t="str">
        <f aca="false">IF($AK1060=0,"",INDEX('Part types'!$X:$X,$AK1060)&amp;"")</f>
        <v/>
      </c>
      <c r="AJ1060" s="9" t="str">
        <f aca="false">IF($AK1060=0,"",INDEX('Part types'!$Y:$Y,$AK1060)&amp;"")</f>
        <v/>
      </c>
      <c r="AK1060" s="9" t="n">
        <f aca="false">IFERROR(MATCH($AD1060,'Part types'!$E:$E,0),0)</f>
        <v>699</v>
      </c>
    </row>
    <row r="1061" customFormat="false" ht="15" hidden="false" customHeight="false" outlineLevel="0" collapsed="false">
      <c r="A1061" s="9" t="s">
        <v>4337</v>
      </c>
      <c r="B1061" s="9" t="s">
        <v>4329</v>
      </c>
      <c r="C1061" s="9" t="s">
        <v>4338</v>
      </c>
      <c r="D1061" s="9" t="str">
        <f aca="false">C1061&amp;" - "&amp;E1061</f>
        <v>Oil Seal Kit - Universal</v>
      </c>
      <c r="E1061" s="9" t="s">
        <v>68</v>
      </c>
      <c r="F1061" s="9" t="s">
        <v>956</v>
      </c>
      <c r="G1061" s="10" t="n">
        <f aca="false">IF($AK1061=0,"",INDEX('Part types'!$P:$P,$AK1061))</f>
        <v>15</v>
      </c>
      <c r="H1061" s="10" t="n">
        <f aca="false">IF($AK1061=0,"",INDEX('Part types'!$Q:$Q,$AK1061))</f>
        <v>10</v>
      </c>
      <c r="I1061" s="10" t="n">
        <f aca="false">IF($AK1061=0,"",INDEX('Part types'!$R:$R,$AK1061))</f>
        <v>8</v>
      </c>
      <c r="J1061" s="10" t="n">
        <f aca="false">IF($AK1061=0,"",INDEX('Part types'!$S:$S,$AK1061))</f>
        <v>0.3</v>
      </c>
      <c r="K1061" s="11" t="s">
        <v>4331</v>
      </c>
      <c r="L1061" s="11" t="s">
        <v>4339</v>
      </c>
      <c r="M1061" s="11" t="str">
        <f aca="false">L1061&amp;" - "&amp;N1061</f>
        <v>طقم سيلات زيت متنوع - عام</v>
      </c>
      <c r="N1061" s="11" t="s">
        <v>72</v>
      </c>
      <c r="O1061" s="11" t="s">
        <v>959</v>
      </c>
      <c r="P1061" s="10" t="n">
        <f aca="false">G1061</f>
        <v>15</v>
      </c>
      <c r="Q1061" s="10" t="n">
        <f aca="false">H1061</f>
        <v>10</v>
      </c>
      <c r="R1061" s="10" t="n">
        <f aca="false">I1061</f>
        <v>8</v>
      </c>
      <c r="S1061" s="10" t="n">
        <f aca="false">J1061</f>
        <v>0.3</v>
      </c>
      <c r="T1061" s="12" t="s">
        <v>4333</v>
      </c>
      <c r="U1061" s="12" t="s">
        <v>4340</v>
      </c>
      <c r="V1061" s="9" t="str">
        <f aca="false">U1061&amp;" - "&amp;W1061</f>
        <v>油封套装 - 通用</v>
      </c>
      <c r="W1061" s="12" t="s">
        <v>76</v>
      </c>
      <c r="X1061" s="12" t="s">
        <v>962</v>
      </c>
      <c r="Y1061" s="10" t="n">
        <f aca="false">G1061</f>
        <v>15</v>
      </c>
      <c r="Z1061" s="10" t="n">
        <f aca="false">H1061</f>
        <v>10</v>
      </c>
      <c r="AA1061" s="10" t="n">
        <f aca="false">I1061</f>
        <v>8</v>
      </c>
      <c r="AB1061" s="10" t="n">
        <f aca="false">J1061</f>
        <v>0.3</v>
      </c>
      <c r="AC1061" s="9" t="s">
        <v>4335</v>
      </c>
      <c r="AD1061" s="9" t="s">
        <v>4341</v>
      </c>
      <c r="AE1061" s="9" t="str">
        <f aca="false">IF($AK1061=0,"",INDEX('Part types'!$T:$T,$AK1061)&amp;"")</f>
        <v>All vehicles</v>
      </c>
      <c r="AF1061" s="9" t="str">
        <f aca="false">IF($AK1061=0,"",INDEX('Part types'!$U:$U,$AK1061)&amp;"")</f>
        <v/>
      </c>
      <c r="AG1061" s="9" t="str">
        <f aca="false">IF($AK1061=0,"",INDEX('Part types'!$V:$V,$AK1061)&amp;"")</f>
        <v>Estimate: size class S</v>
      </c>
      <c r="AH1061" s="9" t="str">
        <f aca="false">IF($AK1061=0,"",INDEX('Part types'!$W:$W,$AK1061)&amp;"")</f>
        <v>Oil Seal Assortment Kit</v>
      </c>
      <c r="AI1061" s="11" t="str">
        <f aca="false">IF($AK1061=0,"",INDEX('Part types'!$X:$X,$AK1061)&amp;"")</f>
        <v/>
      </c>
      <c r="AJ1061" s="9" t="str">
        <f aca="false">IF($AK1061=0,"",INDEX('Part types'!$Y:$Y,$AK1061)&amp;"")</f>
        <v/>
      </c>
      <c r="AK1061" s="9" t="n">
        <f aca="false">IFERROR(MATCH($AD1061,'Part types'!$E:$E,0),0)</f>
        <v>700</v>
      </c>
    </row>
    <row r="1062" customFormat="false" ht="15" hidden="false" customHeight="false" outlineLevel="0" collapsed="false">
      <c r="A1062" s="9" t="s">
        <v>4342</v>
      </c>
      <c r="B1062" s="9" t="s">
        <v>4329</v>
      </c>
      <c r="C1062" s="9" t="s">
        <v>4343</v>
      </c>
      <c r="D1062" s="9" t="str">
        <f aca="false">C1062&amp;" - "&amp;E1062</f>
        <v>Copper Washer Set - Universal</v>
      </c>
      <c r="E1062" s="9" t="s">
        <v>68</v>
      </c>
      <c r="F1062" s="9" t="s">
        <v>956</v>
      </c>
      <c r="G1062" s="10" t="n">
        <f aca="false">IF($AK1062=0,"",INDEX('Part types'!$P:$P,$AK1062))</f>
        <v>10</v>
      </c>
      <c r="H1062" s="10" t="n">
        <f aca="false">IF($AK1062=0,"",INDEX('Part types'!$Q:$Q,$AK1062))</f>
        <v>8</v>
      </c>
      <c r="I1062" s="10" t="n">
        <f aca="false">IF($AK1062=0,"",INDEX('Part types'!$R:$R,$AK1062))</f>
        <v>6</v>
      </c>
      <c r="J1062" s="10" t="n">
        <f aca="false">IF($AK1062=0,"",INDEX('Part types'!$S:$S,$AK1062))</f>
        <v>0.1</v>
      </c>
      <c r="K1062" s="11" t="s">
        <v>4331</v>
      </c>
      <c r="L1062" s="11" t="s">
        <v>4344</v>
      </c>
      <c r="M1062" s="11" t="str">
        <f aca="false">L1062&amp;" - "&amp;N1062</f>
        <v>طقم وردات نحاس - عام</v>
      </c>
      <c r="N1062" s="11" t="s">
        <v>72</v>
      </c>
      <c r="O1062" s="11" t="s">
        <v>959</v>
      </c>
      <c r="P1062" s="10" t="n">
        <f aca="false">G1062</f>
        <v>10</v>
      </c>
      <c r="Q1062" s="10" t="n">
        <f aca="false">H1062</f>
        <v>8</v>
      </c>
      <c r="R1062" s="10" t="n">
        <f aca="false">I1062</f>
        <v>6</v>
      </c>
      <c r="S1062" s="10" t="n">
        <f aca="false">J1062</f>
        <v>0.1</v>
      </c>
      <c r="T1062" s="12" t="s">
        <v>4333</v>
      </c>
      <c r="U1062" s="12" t="s">
        <v>4345</v>
      </c>
      <c r="V1062" s="9" t="str">
        <f aca="false">U1062&amp;" - "&amp;W1062</f>
        <v>铜垫圈套装 - 通用</v>
      </c>
      <c r="W1062" s="12" t="s">
        <v>76</v>
      </c>
      <c r="X1062" s="12" t="s">
        <v>962</v>
      </c>
      <c r="Y1062" s="10" t="n">
        <f aca="false">G1062</f>
        <v>10</v>
      </c>
      <c r="Z1062" s="10" t="n">
        <f aca="false">H1062</f>
        <v>8</v>
      </c>
      <c r="AA1062" s="10" t="n">
        <f aca="false">I1062</f>
        <v>6</v>
      </c>
      <c r="AB1062" s="10" t="n">
        <f aca="false">J1062</f>
        <v>0.1</v>
      </c>
      <c r="AC1062" s="9" t="s">
        <v>4335</v>
      </c>
      <c r="AD1062" s="9" t="s">
        <v>4346</v>
      </c>
      <c r="AE1062" s="9" t="str">
        <f aca="false">IF($AK1062=0,"",INDEX('Part types'!$T:$T,$AK1062)&amp;"")</f>
        <v>All vehicles</v>
      </c>
      <c r="AF1062" s="9" t="str">
        <f aca="false">IF($AK1062=0,"",INDEX('Part types'!$U:$U,$AK1062)&amp;"")</f>
        <v/>
      </c>
      <c r="AG1062" s="9" t="str">
        <f aca="false">IF($AK1062=0,"",INDEX('Part types'!$V:$V,$AK1062)&amp;"")</f>
        <v>Estimate: size class XS</v>
      </c>
      <c r="AH1062" s="9" t="str">
        <f aca="false">IF($AK1062=0,"",INDEX('Part types'!$W:$W,$AK1062)&amp;"")</f>
        <v/>
      </c>
      <c r="AI1062" s="11" t="str">
        <f aca="false">IF($AK1062=0,"",INDEX('Part types'!$X:$X,$AK1062)&amp;"")</f>
        <v/>
      </c>
      <c r="AJ1062" s="9" t="str">
        <f aca="false">IF($AK1062=0,"",INDEX('Part types'!$Y:$Y,$AK1062)&amp;"")</f>
        <v/>
      </c>
      <c r="AK1062" s="9" t="n">
        <f aca="false">IFERROR(MATCH($AD1062,'Part types'!$E:$E,0),0)</f>
        <v>701</v>
      </c>
    </row>
    <row r="1063" customFormat="false" ht="15" hidden="false" customHeight="false" outlineLevel="0" collapsed="false">
      <c r="A1063" s="9" t="s">
        <v>4347</v>
      </c>
      <c r="B1063" s="9" t="s">
        <v>4329</v>
      </c>
      <c r="C1063" s="9" t="s">
        <v>4348</v>
      </c>
      <c r="D1063" s="9" t="str">
        <f aca="false">C1063&amp;" - "&amp;E1063</f>
        <v>Rubber Grommet Set - Universal</v>
      </c>
      <c r="E1063" s="9" t="s">
        <v>68</v>
      </c>
      <c r="F1063" s="9" t="s">
        <v>956</v>
      </c>
      <c r="G1063" s="10" t="n">
        <f aca="false">IF($AK1063=0,"",INDEX('Part types'!$P:$P,$AK1063))</f>
        <v>10</v>
      </c>
      <c r="H1063" s="10" t="n">
        <f aca="false">IF($AK1063=0,"",INDEX('Part types'!$Q:$Q,$AK1063))</f>
        <v>8</v>
      </c>
      <c r="I1063" s="10" t="n">
        <f aca="false">IF($AK1063=0,"",INDEX('Part types'!$R:$R,$AK1063))</f>
        <v>6</v>
      </c>
      <c r="J1063" s="10" t="n">
        <f aca="false">IF($AK1063=0,"",INDEX('Part types'!$S:$S,$AK1063))</f>
        <v>0.1</v>
      </c>
      <c r="K1063" s="11" t="s">
        <v>4331</v>
      </c>
      <c r="L1063" s="11" t="s">
        <v>4349</v>
      </c>
      <c r="M1063" s="11" t="str">
        <f aca="false">L1063&amp;" - "&amp;N1063</f>
        <v>طقم حلقات مطاط - عام</v>
      </c>
      <c r="N1063" s="11" t="s">
        <v>72</v>
      </c>
      <c r="O1063" s="11" t="s">
        <v>959</v>
      </c>
      <c r="P1063" s="10" t="n">
        <f aca="false">G1063</f>
        <v>10</v>
      </c>
      <c r="Q1063" s="10" t="n">
        <f aca="false">H1063</f>
        <v>8</v>
      </c>
      <c r="R1063" s="10" t="n">
        <f aca="false">I1063</f>
        <v>6</v>
      </c>
      <c r="S1063" s="10" t="n">
        <f aca="false">J1063</f>
        <v>0.1</v>
      </c>
      <c r="T1063" s="12" t="s">
        <v>4333</v>
      </c>
      <c r="U1063" s="12" t="s">
        <v>4350</v>
      </c>
      <c r="V1063" s="9" t="str">
        <f aca="false">U1063&amp;" - "&amp;W1063</f>
        <v>橡胶护线圈套装 - 通用</v>
      </c>
      <c r="W1063" s="12" t="s">
        <v>76</v>
      </c>
      <c r="X1063" s="12" t="s">
        <v>962</v>
      </c>
      <c r="Y1063" s="10" t="n">
        <f aca="false">G1063</f>
        <v>10</v>
      </c>
      <c r="Z1063" s="10" t="n">
        <f aca="false">H1063</f>
        <v>8</v>
      </c>
      <c r="AA1063" s="10" t="n">
        <f aca="false">I1063</f>
        <v>6</v>
      </c>
      <c r="AB1063" s="10" t="n">
        <f aca="false">J1063</f>
        <v>0.1</v>
      </c>
      <c r="AC1063" s="9" t="s">
        <v>4335</v>
      </c>
      <c r="AD1063" s="9" t="s">
        <v>4351</v>
      </c>
      <c r="AE1063" s="9" t="str">
        <f aca="false">IF($AK1063=0,"",INDEX('Part types'!$T:$T,$AK1063)&amp;"")</f>
        <v>All vehicles</v>
      </c>
      <c r="AF1063" s="9" t="str">
        <f aca="false">IF($AK1063=0,"",INDEX('Part types'!$U:$U,$AK1063)&amp;"")</f>
        <v/>
      </c>
      <c r="AG1063" s="9" t="str">
        <f aca="false">IF($AK1063=0,"",INDEX('Part types'!$V:$V,$AK1063)&amp;"")</f>
        <v>Estimate: size class XS</v>
      </c>
      <c r="AH1063" s="9" t="str">
        <f aca="false">IF($AK1063=0,"",INDEX('Part types'!$W:$W,$AK1063)&amp;"")</f>
        <v/>
      </c>
      <c r="AI1063" s="11" t="str">
        <f aca="false">IF($AK1063=0,"",INDEX('Part types'!$X:$X,$AK1063)&amp;"")</f>
        <v/>
      </c>
      <c r="AJ1063" s="9" t="str">
        <f aca="false">IF($AK1063=0,"",INDEX('Part types'!$Y:$Y,$AK1063)&amp;"")</f>
        <v/>
      </c>
      <c r="AK1063" s="9" t="n">
        <f aca="false">IFERROR(MATCH($AD1063,'Part types'!$E:$E,0),0)</f>
        <v>702</v>
      </c>
    </row>
    <row r="1064" customFormat="false" ht="15" hidden="false" customHeight="false" outlineLevel="0" collapsed="false">
      <c r="A1064" s="9" t="s">
        <v>4352</v>
      </c>
      <c r="B1064" s="9" t="s">
        <v>4329</v>
      </c>
      <c r="C1064" s="9" t="s">
        <v>4353</v>
      </c>
      <c r="D1064" s="9" t="str">
        <f aca="false">C1064&amp;" - "&amp;E1064</f>
        <v>Hole Plug Set - Universal</v>
      </c>
      <c r="E1064" s="9" t="s">
        <v>68</v>
      </c>
      <c r="F1064" s="9" t="s">
        <v>956</v>
      </c>
      <c r="G1064" s="10" t="n">
        <f aca="false">IF($AK1064=0,"",INDEX('Part types'!$P:$P,$AK1064))</f>
        <v>10</v>
      </c>
      <c r="H1064" s="10" t="n">
        <f aca="false">IF($AK1064=0,"",INDEX('Part types'!$Q:$Q,$AK1064))</f>
        <v>8</v>
      </c>
      <c r="I1064" s="10" t="n">
        <f aca="false">IF($AK1064=0,"",INDEX('Part types'!$R:$R,$AK1064))</f>
        <v>6</v>
      </c>
      <c r="J1064" s="10" t="n">
        <f aca="false">IF($AK1064=0,"",INDEX('Part types'!$S:$S,$AK1064))</f>
        <v>0.1</v>
      </c>
      <c r="K1064" s="11" t="s">
        <v>4331</v>
      </c>
      <c r="L1064" s="11" t="s">
        <v>4354</v>
      </c>
      <c r="M1064" s="11" t="str">
        <f aca="false">L1064&amp;" - "&amp;N1064</f>
        <v>طقم سدادات مطاط للهيكل - عام</v>
      </c>
      <c r="N1064" s="11" t="s">
        <v>72</v>
      </c>
      <c r="O1064" s="11" t="s">
        <v>959</v>
      </c>
      <c r="P1064" s="10" t="n">
        <f aca="false">G1064</f>
        <v>10</v>
      </c>
      <c r="Q1064" s="10" t="n">
        <f aca="false">H1064</f>
        <v>8</v>
      </c>
      <c r="R1064" s="10" t="n">
        <f aca="false">I1064</f>
        <v>6</v>
      </c>
      <c r="S1064" s="10" t="n">
        <f aca="false">J1064</f>
        <v>0.1</v>
      </c>
      <c r="T1064" s="12" t="s">
        <v>4333</v>
      </c>
      <c r="U1064" s="12" t="s">
        <v>4355</v>
      </c>
      <c r="V1064" s="9" t="str">
        <f aca="false">U1064&amp;" - "&amp;W1064</f>
        <v>车身堵头套装 - 通用</v>
      </c>
      <c r="W1064" s="12" t="s">
        <v>76</v>
      </c>
      <c r="X1064" s="12" t="s">
        <v>962</v>
      </c>
      <c r="Y1064" s="10" t="n">
        <f aca="false">G1064</f>
        <v>10</v>
      </c>
      <c r="Z1064" s="10" t="n">
        <f aca="false">H1064</f>
        <v>8</v>
      </c>
      <c r="AA1064" s="10" t="n">
        <f aca="false">I1064</f>
        <v>6</v>
      </c>
      <c r="AB1064" s="10" t="n">
        <f aca="false">J1064</f>
        <v>0.1</v>
      </c>
      <c r="AC1064" s="9" t="s">
        <v>4335</v>
      </c>
      <c r="AD1064" s="9" t="s">
        <v>4356</v>
      </c>
      <c r="AE1064" s="9" t="str">
        <f aca="false">IF($AK1064=0,"",INDEX('Part types'!$T:$T,$AK1064)&amp;"")</f>
        <v>All vehicles</v>
      </c>
      <c r="AF1064" s="9" t="str">
        <f aca="false">IF($AK1064=0,"",INDEX('Part types'!$U:$U,$AK1064)&amp;"")</f>
        <v/>
      </c>
      <c r="AG1064" s="9" t="str">
        <f aca="false">IF($AK1064=0,"",INDEX('Part types'!$V:$V,$AK1064)&amp;"")</f>
        <v>Estimate: size class XS</v>
      </c>
      <c r="AH1064" s="9" t="str">
        <f aca="false">IF($AK1064=0,"",INDEX('Part types'!$W:$W,$AK1064)&amp;"")</f>
        <v>Body Hole Plug Set</v>
      </c>
      <c r="AI1064" s="11" t="str">
        <f aca="false">IF($AK1064=0,"",INDEX('Part types'!$X:$X,$AK1064)&amp;"")</f>
        <v/>
      </c>
      <c r="AJ1064" s="9" t="str">
        <f aca="false">IF($AK1064=0,"",INDEX('Part types'!$Y:$Y,$AK1064)&amp;"")</f>
        <v/>
      </c>
      <c r="AK1064" s="9" t="n">
        <f aca="false">IFERROR(MATCH($AD1064,'Part types'!$E:$E,0),0)</f>
        <v>703</v>
      </c>
    </row>
    <row r="1065" customFormat="false" ht="15" hidden="false" customHeight="false" outlineLevel="0" collapsed="false">
      <c r="A1065" s="9" t="s">
        <v>4357</v>
      </c>
      <c r="B1065" s="9" t="s">
        <v>4329</v>
      </c>
      <c r="C1065" s="9" t="s">
        <v>4358</v>
      </c>
      <c r="D1065" s="9" t="str">
        <f aca="false">C1065&amp;" - "&amp;E1065</f>
        <v>Weatherstrip Adhesive - Universal</v>
      </c>
      <c r="E1065" s="9" t="s">
        <v>68</v>
      </c>
      <c r="F1065" s="9" t="s">
        <v>956</v>
      </c>
      <c r="G1065" s="10" t="n">
        <f aca="false">IF($AK1065=0,"",INDEX('Part types'!$P:$P,$AK1065))</f>
        <v>10</v>
      </c>
      <c r="H1065" s="10" t="n">
        <f aca="false">IF($AK1065=0,"",INDEX('Part types'!$Q:$Q,$AK1065))</f>
        <v>8</v>
      </c>
      <c r="I1065" s="10" t="n">
        <f aca="false">IF($AK1065=0,"",INDEX('Part types'!$R:$R,$AK1065))</f>
        <v>6</v>
      </c>
      <c r="J1065" s="10" t="n">
        <f aca="false">IF($AK1065=0,"",INDEX('Part types'!$S:$S,$AK1065))</f>
        <v>0.1</v>
      </c>
      <c r="K1065" s="11" t="s">
        <v>4331</v>
      </c>
      <c r="L1065" s="11" t="s">
        <v>4359</v>
      </c>
      <c r="M1065" s="11" t="str">
        <f aca="false">L1065&amp;" - "&amp;N1065</f>
        <v>لاصق مطاط العزل - عام</v>
      </c>
      <c r="N1065" s="11" t="s">
        <v>72</v>
      </c>
      <c r="O1065" s="11" t="s">
        <v>959</v>
      </c>
      <c r="P1065" s="10" t="n">
        <f aca="false">G1065</f>
        <v>10</v>
      </c>
      <c r="Q1065" s="10" t="n">
        <f aca="false">H1065</f>
        <v>8</v>
      </c>
      <c r="R1065" s="10" t="n">
        <f aca="false">I1065</f>
        <v>6</v>
      </c>
      <c r="S1065" s="10" t="n">
        <f aca="false">J1065</f>
        <v>0.1</v>
      </c>
      <c r="T1065" s="12" t="s">
        <v>4333</v>
      </c>
      <c r="U1065" s="12" t="s">
        <v>4360</v>
      </c>
      <c r="V1065" s="9" t="str">
        <f aca="false">U1065&amp;" - "&amp;W1065</f>
        <v>密封条胶 - 通用</v>
      </c>
      <c r="W1065" s="12" t="s">
        <v>76</v>
      </c>
      <c r="X1065" s="12" t="s">
        <v>962</v>
      </c>
      <c r="Y1065" s="10" t="n">
        <f aca="false">G1065</f>
        <v>10</v>
      </c>
      <c r="Z1065" s="10" t="n">
        <f aca="false">H1065</f>
        <v>8</v>
      </c>
      <c r="AA1065" s="10" t="n">
        <f aca="false">I1065</f>
        <v>6</v>
      </c>
      <c r="AB1065" s="10" t="n">
        <f aca="false">J1065</f>
        <v>0.1</v>
      </c>
      <c r="AC1065" s="9" t="s">
        <v>4335</v>
      </c>
      <c r="AD1065" s="9" t="s">
        <v>4361</v>
      </c>
      <c r="AE1065" s="9" t="str">
        <f aca="false">IF($AK1065=0,"",INDEX('Part types'!$T:$T,$AK1065)&amp;"")</f>
        <v>All vehicles</v>
      </c>
      <c r="AF1065" s="9" t="str">
        <f aca="false">IF($AK1065=0,"",INDEX('Part types'!$U:$U,$AK1065)&amp;"")</f>
        <v>Liquid / flammable</v>
      </c>
      <c r="AG1065" s="9" t="str">
        <f aca="false">IF($AK1065=0,"",INDEX('Part types'!$V:$V,$AK1065)&amp;"")</f>
        <v>Estimate: size class XS</v>
      </c>
      <c r="AH1065" s="9" t="str">
        <f aca="false">IF($AK1065=0,"",INDEX('Part types'!$W:$W,$AK1065)&amp;"")</f>
        <v/>
      </c>
      <c r="AI1065" s="11" t="str">
        <f aca="false">IF($AK1065=0,"",INDEX('Part types'!$X:$X,$AK1065)&amp;"")</f>
        <v/>
      </c>
      <c r="AJ1065" s="9" t="str">
        <f aca="false">IF($AK1065=0,"",INDEX('Part types'!$Y:$Y,$AK1065)&amp;"")</f>
        <v/>
      </c>
      <c r="AK1065" s="9" t="n">
        <f aca="false">IFERROR(MATCH($AD1065,'Part types'!$E:$E,0),0)</f>
        <v>704</v>
      </c>
    </row>
    <row r="1066" customFormat="false" ht="15" hidden="false" customHeight="false" outlineLevel="0" collapsed="false">
      <c r="A1066" s="9" t="s">
        <v>4362</v>
      </c>
      <c r="B1066" s="9" t="s">
        <v>4329</v>
      </c>
      <c r="C1066" s="9" t="s">
        <v>4363</v>
      </c>
      <c r="D1066" s="9" t="str">
        <f aca="false">C1066&amp;" - "&amp;E1066</f>
        <v>Thread Seal Tape - Universal</v>
      </c>
      <c r="E1066" s="9" t="s">
        <v>68</v>
      </c>
      <c r="F1066" s="9" t="s">
        <v>956</v>
      </c>
      <c r="G1066" s="10" t="n">
        <f aca="false">IF($AK1066=0,"",INDEX('Part types'!$P:$P,$AK1066))</f>
        <v>6</v>
      </c>
      <c r="H1066" s="10" t="n">
        <f aca="false">IF($AK1066=0,"",INDEX('Part types'!$Q:$Q,$AK1066))</f>
        <v>4</v>
      </c>
      <c r="I1066" s="10" t="n">
        <f aca="false">IF($AK1066=0,"",INDEX('Part types'!$R:$R,$AK1066))</f>
        <v>3</v>
      </c>
      <c r="J1066" s="10" t="n">
        <f aca="false">IF($AK1066=0,"",INDEX('Part types'!$S:$S,$AK1066))</f>
        <v>0.02</v>
      </c>
      <c r="K1066" s="11" t="s">
        <v>4331</v>
      </c>
      <c r="L1066" s="11" t="s">
        <v>4364</v>
      </c>
      <c r="M1066" s="11" t="str">
        <f aca="false">L1066&amp;" - "&amp;N1066</f>
        <v>شريط تفلون - عام</v>
      </c>
      <c r="N1066" s="11" t="s">
        <v>72</v>
      </c>
      <c r="O1066" s="11" t="s">
        <v>959</v>
      </c>
      <c r="P1066" s="10" t="n">
        <f aca="false">G1066</f>
        <v>6</v>
      </c>
      <c r="Q1066" s="10" t="n">
        <f aca="false">H1066</f>
        <v>4</v>
      </c>
      <c r="R1066" s="10" t="n">
        <f aca="false">I1066</f>
        <v>3</v>
      </c>
      <c r="S1066" s="10" t="n">
        <f aca="false">J1066</f>
        <v>0.02</v>
      </c>
      <c r="T1066" s="12" t="s">
        <v>4333</v>
      </c>
      <c r="U1066" s="12" t="s">
        <v>4365</v>
      </c>
      <c r="V1066" s="9" t="str">
        <f aca="false">U1066&amp;" - "&amp;W1066</f>
        <v>生料带 - 通用</v>
      </c>
      <c r="W1066" s="12" t="s">
        <v>76</v>
      </c>
      <c r="X1066" s="12" t="s">
        <v>962</v>
      </c>
      <c r="Y1066" s="10" t="n">
        <f aca="false">G1066</f>
        <v>6</v>
      </c>
      <c r="Z1066" s="10" t="n">
        <f aca="false">H1066</f>
        <v>4</v>
      </c>
      <c r="AA1066" s="10" t="n">
        <f aca="false">I1066</f>
        <v>3</v>
      </c>
      <c r="AB1066" s="10" t="n">
        <f aca="false">J1066</f>
        <v>0.02</v>
      </c>
      <c r="AC1066" s="9" t="s">
        <v>4335</v>
      </c>
      <c r="AD1066" s="9" t="s">
        <v>4366</v>
      </c>
      <c r="AE1066" s="9" t="str">
        <f aca="false">IF($AK1066=0,"",INDEX('Part types'!$T:$T,$AK1066)&amp;"")</f>
        <v>All vehicles</v>
      </c>
      <c r="AF1066" s="9" t="str">
        <f aca="false">IF($AK1066=0,"",INDEX('Part types'!$U:$U,$AK1066)&amp;"")</f>
        <v/>
      </c>
      <c r="AG1066" s="9" t="str">
        <f aca="false">IF($AK1066=0,"",INDEX('Part types'!$V:$V,$AK1066)&amp;"")</f>
        <v>Estimate: size class T</v>
      </c>
      <c r="AH1066" s="9" t="str">
        <f aca="false">IF($AK1066=0,"",INDEX('Part types'!$W:$W,$AK1066)&amp;"")</f>
        <v/>
      </c>
      <c r="AI1066" s="11" t="str">
        <f aca="false">IF($AK1066=0,"",INDEX('Part types'!$X:$X,$AK1066)&amp;"")</f>
        <v/>
      </c>
      <c r="AJ1066" s="9" t="str">
        <f aca="false">IF($AK1066=0,"",INDEX('Part types'!$Y:$Y,$AK1066)&amp;"")</f>
        <v/>
      </c>
      <c r="AK1066" s="9" t="n">
        <f aca="false">IFERROR(MATCH($AD1066,'Part types'!$E:$E,0),0)</f>
        <v>705</v>
      </c>
    </row>
    <row r="1067" customFormat="false" ht="15" hidden="false" customHeight="false" outlineLevel="0" collapsed="false">
      <c r="A1067" s="9" t="s">
        <v>4367</v>
      </c>
      <c r="B1067" s="9" t="s">
        <v>4329</v>
      </c>
      <c r="C1067" s="9" t="s">
        <v>4368</v>
      </c>
      <c r="D1067" s="9" t="str">
        <f aca="false">C1067&amp;" - "&amp;E1067</f>
        <v>Vacuum Cap Set - Universal</v>
      </c>
      <c r="E1067" s="9" t="s">
        <v>68</v>
      </c>
      <c r="F1067" s="9" t="s">
        <v>956</v>
      </c>
      <c r="G1067" s="10" t="n">
        <f aca="false">IF($AK1067=0,"",INDEX('Part types'!$P:$P,$AK1067))</f>
        <v>10</v>
      </c>
      <c r="H1067" s="10" t="n">
        <f aca="false">IF($AK1067=0,"",INDEX('Part types'!$Q:$Q,$AK1067))</f>
        <v>8</v>
      </c>
      <c r="I1067" s="10" t="n">
        <f aca="false">IF($AK1067=0,"",INDEX('Part types'!$R:$R,$AK1067))</f>
        <v>6</v>
      </c>
      <c r="J1067" s="10" t="n">
        <f aca="false">IF($AK1067=0,"",INDEX('Part types'!$S:$S,$AK1067))</f>
        <v>0.1</v>
      </c>
      <c r="K1067" s="11" t="s">
        <v>4331</v>
      </c>
      <c r="L1067" s="11" t="s">
        <v>4369</v>
      </c>
      <c r="M1067" s="11" t="str">
        <f aca="false">L1067&amp;" - "&amp;N1067</f>
        <v>طقم سدادات تفريغ - عام</v>
      </c>
      <c r="N1067" s="11" t="s">
        <v>72</v>
      </c>
      <c r="O1067" s="11" t="s">
        <v>959</v>
      </c>
      <c r="P1067" s="10" t="n">
        <f aca="false">G1067</f>
        <v>10</v>
      </c>
      <c r="Q1067" s="10" t="n">
        <f aca="false">H1067</f>
        <v>8</v>
      </c>
      <c r="R1067" s="10" t="n">
        <f aca="false">I1067</f>
        <v>6</v>
      </c>
      <c r="S1067" s="10" t="n">
        <f aca="false">J1067</f>
        <v>0.1</v>
      </c>
      <c r="T1067" s="12" t="s">
        <v>4333</v>
      </c>
      <c r="U1067" s="12" t="s">
        <v>4370</v>
      </c>
      <c r="V1067" s="9" t="str">
        <f aca="false">U1067&amp;" - "&amp;W1067</f>
        <v>真空帽套装 - 通用</v>
      </c>
      <c r="W1067" s="12" t="s">
        <v>76</v>
      </c>
      <c r="X1067" s="12" t="s">
        <v>962</v>
      </c>
      <c r="Y1067" s="10" t="n">
        <f aca="false">G1067</f>
        <v>10</v>
      </c>
      <c r="Z1067" s="10" t="n">
        <f aca="false">H1067</f>
        <v>8</v>
      </c>
      <c r="AA1067" s="10" t="n">
        <f aca="false">I1067</f>
        <v>6</v>
      </c>
      <c r="AB1067" s="10" t="n">
        <f aca="false">J1067</f>
        <v>0.1</v>
      </c>
      <c r="AC1067" s="9" t="s">
        <v>4335</v>
      </c>
      <c r="AD1067" s="9" t="s">
        <v>4371</v>
      </c>
      <c r="AE1067" s="9" t="str">
        <f aca="false">IF($AK1067=0,"",INDEX('Part types'!$T:$T,$AK1067)&amp;"")</f>
        <v>All vehicles</v>
      </c>
      <c r="AF1067" s="9" t="str">
        <f aca="false">IF($AK1067=0,"",INDEX('Part types'!$U:$U,$AK1067)&amp;"")</f>
        <v/>
      </c>
      <c r="AG1067" s="9" t="str">
        <f aca="false">IF($AK1067=0,"",INDEX('Part types'!$V:$V,$AK1067)&amp;"")</f>
        <v>Estimate: size class XS</v>
      </c>
      <c r="AH1067" s="9" t="str">
        <f aca="false">IF($AK1067=0,"",INDEX('Part types'!$W:$W,$AK1067)&amp;"")</f>
        <v>Vacuum Cap Assortment</v>
      </c>
      <c r="AI1067" s="11" t="str">
        <f aca="false">IF($AK1067=0,"",INDEX('Part types'!$X:$X,$AK1067)&amp;"")</f>
        <v/>
      </c>
      <c r="AJ1067" s="9" t="str">
        <f aca="false">IF($AK1067=0,"",INDEX('Part types'!$Y:$Y,$AK1067)&amp;"")</f>
        <v/>
      </c>
      <c r="AK1067" s="9" t="n">
        <f aca="false">IFERROR(MATCH($AD1067,'Part types'!$E:$E,0),0)</f>
        <v>706</v>
      </c>
    </row>
    <row r="1068" customFormat="false" ht="15" hidden="false" customHeight="false" outlineLevel="0" collapsed="false">
      <c r="A1068" s="9" t="s">
        <v>4372</v>
      </c>
      <c r="B1068" s="9" t="s">
        <v>4373</v>
      </c>
      <c r="C1068" s="9" t="s">
        <v>4374</v>
      </c>
      <c r="D1068" s="9" t="str">
        <f aca="false">C1068&amp;" - "&amp;E1068</f>
        <v>Car Cover - Universal</v>
      </c>
      <c r="E1068" s="9" t="s">
        <v>68</v>
      </c>
      <c r="F1068" s="9" t="s">
        <v>2660</v>
      </c>
      <c r="G1068" s="10" t="n">
        <f aca="false">IF($AK1068=0,"",INDEX('Part types'!$P:$P,$AK1068))</f>
        <v>45</v>
      </c>
      <c r="H1068" s="10" t="n">
        <f aca="false">IF($AK1068=0,"",INDEX('Part types'!$Q:$Q,$AK1068))</f>
        <v>35</v>
      </c>
      <c r="I1068" s="10" t="n">
        <f aca="false">IF($AK1068=0,"",INDEX('Part types'!$R:$R,$AK1068))</f>
        <v>20</v>
      </c>
      <c r="J1068" s="10" t="n">
        <f aca="false">IF($AK1068=0,"",INDEX('Part types'!$S:$S,$AK1068))</f>
        <v>3.5</v>
      </c>
      <c r="K1068" s="11" t="s">
        <v>4375</v>
      </c>
      <c r="L1068" s="11" t="s">
        <v>4376</v>
      </c>
      <c r="M1068" s="11" t="str">
        <f aca="false">L1068&amp;" - "&amp;N1068</f>
        <v>غطاء سيارة - عام</v>
      </c>
      <c r="N1068" s="11" t="s">
        <v>72</v>
      </c>
      <c r="O1068" s="11" t="s">
        <v>2663</v>
      </c>
      <c r="P1068" s="10" t="n">
        <f aca="false">G1068</f>
        <v>45</v>
      </c>
      <c r="Q1068" s="10" t="n">
        <f aca="false">H1068</f>
        <v>35</v>
      </c>
      <c r="R1068" s="10" t="n">
        <f aca="false">I1068</f>
        <v>20</v>
      </c>
      <c r="S1068" s="10" t="n">
        <f aca="false">J1068</f>
        <v>3.5</v>
      </c>
      <c r="T1068" s="12" t="s">
        <v>4377</v>
      </c>
      <c r="U1068" s="12" t="s">
        <v>4378</v>
      </c>
      <c r="V1068" s="9" t="str">
        <f aca="false">U1068&amp;" - "&amp;W1068</f>
        <v>车衣 - 通用</v>
      </c>
      <c r="W1068" s="12" t="s">
        <v>76</v>
      </c>
      <c r="X1068" s="12" t="s">
        <v>2666</v>
      </c>
      <c r="Y1068" s="10" t="n">
        <f aca="false">G1068</f>
        <v>45</v>
      </c>
      <c r="Z1068" s="10" t="n">
        <f aca="false">H1068</f>
        <v>35</v>
      </c>
      <c r="AA1068" s="10" t="n">
        <f aca="false">I1068</f>
        <v>20</v>
      </c>
      <c r="AB1068" s="10" t="n">
        <f aca="false">J1068</f>
        <v>3.5</v>
      </c>
      <c r="AC1068" s="9" t="s">
        <v>4379</v>
      </c>
      <c r="AD1068" s="9" t="s">
        <v>4380</v>
      </c>
      <c r="AE1068" s="9" t="str">
        <f aca="false">IF($AK1068=0,"",INDEX('Part types'!$T:$T,$AK1068)&amp;"")</f>
        <v>All vehicles</v>
      </c>
      <c r="AF1068" s="9" t="str">
        <f aca="false">IF($AK1068=0,"",INDEX('Part types'!$U:$U,$AK1068)&amp;"")</f>
        <v/>
      </c>
      <c r="AG1068" s="9" t="str">
        <f aca="false">IF($AK1068=0,"",INDEX('Part types'!$V:$V,$AK1068)&amp;"")</f>
        <v>Estimate: item-specific</v>
      </c>
      <c r="AH1068" s="9" t="str">
        <f aca="false">IF($AK1068=0,"",INDEX('Part types'!$W:$W,$AK1068)&amp;"")</f>
        <v/>
      </c>
      <c r="AI1068" s="11" t="str">
        <f aca="false">IF($AK1068=0,"",INDEX('Part types'!$X:$X,$AK1068)&amp;"")</f>
        <v/>
      </c>
      <c r="AJ1068" s="9" t="str">
        <f aca="false">IF($AK1068=0,"",INDEX('Part types'!$Y:$Y,$AK1068)&amp;"")</f>
        <v/>
      </c>
      <c r="AK1068" s="9" t="n">
        <f aca="false">IFERROR(MATCH($AD1068,'Part types'!$E:$E,0),0)</f>
        <v>707</v>
      </c>
    </row>
    <row r="1069" customFormat="false" ht="15" hidden="false" customHeight="false" outlineLevel="0" collapsed="false">
      <c r="A1069" s="9" t="s">
        <v>4381</v>
      </c>
      <c r="B1069" s="9" t="s">
        <v>4373</v>
      </c>
      <c r="C1069" s="9" t="s">
        <v>4382</v>
      </c>
      <c r="D1069" s="9" t="str">
        <f aca="false">C1069&amp;" - "&amp;E1069</f>
        <v>Windshield Sunshade - Universal</v>
      </c>
      <c r="E1069" s="9" t="s">
        <v>68</v>
      </c>
      <c r="F1069" s="9" t="s">
        <v>2575</v>
      </c>
      <c r="G1069" s="10" t="n">
        <f aca="false">IF($AK1069=0,"",INDEX('Part types'!$P:$P,$AK1069))</f>
        <v>30</v>
      </c>
      <c r="H1069" s="10" t="n">
        <f aca="false">IF($AK1069=0,"",INDEX('Part types'!$Q:$Q,$AK1069))</f>
        <v>20</v>
      </c>
      <c r="I1069" s="10" t="n">
        <f aca="false">IF($AK1069=0,"",INDEX('Part types'!$R:$R,$AK1069))</f>
        <v>15</v>
      </c>
      <c r="J1069" s="10" t="n">
        <f aca="false">IF($AK1069=0,"",INDEX('Part types'!$S:$S,$AK1069))</f>
        <v>1.8</v>
      </c>
      <c r="K1069" s="11" t="s">
        <v>4375</v>
      </c>
      <c r="L1069" s="11" t="s">
        <v>4383</v>
      </c>
      <c r="M1069" s="11" t="str">
        <f aca="false">L1069&amp;" - "&amp;N1069</f>
        <v>ستارة شمس للزجاج الأمامي - عام</v>
      </c>
      <c r="N1069" s="11" t="s">
        <v>72</v>
      </c>
      <c r="O1069" s="11" t="s">
        <v>2577</v>
      </c>
      <c r="P1069" s="10" t="n">
        <f aca="false">G1069</f>
        <v>30</v>
      </c>
      <c r="Q1069" s="10" t="n">
        <f aca="false">H1069</f>
        <v>20</v>
      </c>
      <c r="R1069" s="10" t="n">
        <f aca="false">I1069</f>
        <v>15</v>
      </c>
      <c r="S1069" s="10" t="n">
        <f aca="false">J1069</f>
        <v>1.8</v>
      </c>
      <c r="T1069" s="12" t="s">
        <v>4377</v>
      </c>
      <c r="U1069" s="12" t="s">
        <v>4384</v>
      </c>
      <c r="V1069" s="9" t="str">
        <f aca="false">U1069&amp;" - "&amp;W1069</f>
        <v>前挡遮阳帘 - 通用</v>
      </c>
      <c r="W1069" s="12" t="s">
        <v>76</v>
      </c>
      <c r="X1069" s="12" t="s">
        <v>2579</v>
      </c>
      <c r="Y1069" s="10" t="n">
        <f aca="false">G1069</f>
        <v>30</v>
      </c>
      <c r="Z1069" s="10" t="n">
        <f aca="false">H1069</f>
        <v>20</v>
      </c>
      <c r="AA1069" s="10" t="n">
        <f aca="false">I1069</f>
        <v>15</v>
      </c>
      <c r="AB1069" s="10" t="n">
        <f aca="false">J1069</f>
        <v>1.8</v>
      </c>
      <c r="AC1069" s="9" t="s">
        <v>4379</v>
      </c>
      <c r="AD1069" s="9" t="s">
        <v>4385</v>
      </c>
      <c r="AE1069" s="9" t="str">
        <f aca="false">IF($AK1069=0,"",INDEX('Part types'!$T:$T,$AK1069)&amp;"")</f>
        <v>All vehicles</v>
      </c>
      <c r="AF1069" s="9" t="str">
        <f aca="false">IF($AK1069=0,"",INDEX('Part types'!$U:$U,$AK1069)&amp;"")</f>
        <v/>
      </c>
      <c r="AG1069" s="9" t="str">
        <f aca="false">IF($AK1069=0,"",INDEX('Part types'!$V:$V,$AK1069)&amp;"")</f>
        <v>Estimate: size class M2</v>
      </c>
      <c r="AH1069" s="9" t="str">
        <f aca="false">IF($AK1069=0,"",INDEX('Part types'!$W:$W,$AK1069)&amp;"")</f>
        <v/>
      </c>
      <c r="AI1069" s="11" t="str">
        <f aca="false">IF($AK1069=0,"",INDEX('Part types'!$X:$X,$AK1069)&amp;"")</f>
        <v/>
      </c>
      <c r="AJ1069" s="9" t="str">
        <f aca="false">IF($AK1069=0,"",INDEX('Part types'!$Y:$Y,$AK1069)&amp;"")</f>
        <v/>
      </c>
      <c r="AK1069" s="9" t="n">
        <f aca="false">IFERROR(MATCH($AD1069,'Part types'!$E:$E,0),0)</f>
        <v>708</v>
      </c>
    </row>
    <row r="1070" customFormat="false" ht="15" hidden="false" customHeight="false" outlineLevel="0" collapsed="false">
      <c r="A1070" s="9" t="s">
        <v>4386</v>
      </c>
      <c r="B1070" s="9" t="s">
        <v>4373</v>
      </c>
      <c r="C1070" s="9" t="s">
        <v>4387</v>
      </c>
      <c r="D1070" s="9" t="str">
        <f aca="false">C1070&amp;" - "&amp;E1070</f>
        <v>Side Window Sunshade - Front-Left</v>
      </c>
      <c r="E1070" s="9" t="s">
        <v>1346</v>
      </c>
      <c r="F1070" s="9" t="s">
        <v>3859</v>
      </c>
      <c r="G1070" s="10" t="n">
        <f aca="false">IF($AK1070=0,"",INDEX('Part types'!$P:$P,$AK1070))</f>
        <v>15</v>
      </c>
      <c r="H1070" s="10" t="n">
        <f aca="false">IF($AK1070=0,"",INDEX('Part types'!$Q:$Q,$AK1070))</f>
        <v>10</v>
      </c>
      <c r="I1070" s="10" t="n">
        <f aca="false">IF($AK1070=0,"",INDEX('Part types'!$R:$R,$AK1070))</f>
        <v>8</v>
      </c>
      <c r="J1070" s="10" t="n">
        <f aca="false">IF($AK1070=0,"",INDEX('Part types'!$S:$S,$AK1070))</f>
        <v>0.3</v>
      </c>
      <c r="K1070" s="11" t="s">
        <v>4375</v>
      </c>
      <c r="L1070" s="11" t="s">
        <v>4388</v>
      </c>
      <c r="M1070" s="11" t="str">
        <f aca="false">L1070&amp;" - "&amp;N1070</f>
        <v>ستارة شمس جانبية - أمامي يسار</v>
      </c>
      <c r="N1070" s="11" t="s">
        <v>1349</v>
      </c>
      <c r="O1070" s="11" t="s">
        <v>3861</v>
      </c>
      <c r="P1070" s="10" t="n">
        <f aca="false">G1070</f>
        <v>15</v>
      </c>
      <c r="Q1070" s="10" t="n">
        <f aca="false">H1070</f>
        <v>10</v>
      </c>
      <c r="R1070" s="10" t="n">
        <f aca="false">I1070</f>
        <v>8</v>
      </c>
      <c r="S1070" s="10" t="n">
        <f aca="false">J1070</f>
        <v>0.3</v>
      </c>
      <c r="T1070" s="12" t="s">
        <v>4377</v>
      </c>
      <c r="U1070" s="12" t="s">
        <v>4389</v>
      </c>
      <c r="V1070" s="9" t="str">
        <f aca="false">U1070&amp;" - "&amp;W1070</f>
        <v>侧窗遮阳帘 - 前左</v>
      </c>
      <c r="W1070" s="12" t="s">
        <v>1352</v>
      </c>
      <c r="X1070" s="12" t="s">
        <v>3863</v>
      </c>
      <c r="Y1070" s="10" t="n">
        <f aca="false">G1070</f>
        <v>15</v>
      </c>
      <c r="Z1070" s="10" t="n">
        <f aca="false">H1070</f>
        <v>10</v>
      </c>
      <c r="AA1070" s="10" t="n">
        <f aca="false">I1070</f>
        <v>8</v>
      </c>
      <c r="AB1070" s="10" t="n">
        <f aca="false">J1070</f>
        <v>0.3</v>
      </c>
      <c r="AC1070" s="9" t="s">
        <v>4379</v>
      </c>
      <c r="AD1070" s="9" t="s">
        <v>4390</v>
      </c>
      <c r="AE1070" s="9" t="str">
        <f aca="false">IF($AK1070=0,"",INDEX('Part types'!$T:$T,$AK1070)&amp;"")</f>
        <v>All vehicles</v>
      </c>
      <c r="AF1070" s="9" t="str">
        <f aca="false">IF($AK1070=0,"",INDEX('Part types'!$U:$U,$AK1070)&amp;"")</f>
        <v/>
      </c>
      <c r="AG1070" s="9" t="str">
        <f aca="false">IF($AK1070=0,"",INDEX('Part types'!$V:$V,$AK1070)&amp;"")</f>
        <v>Estimate: size class S</v>
      </c>
      <c r="AH1070" s="9" t="str">
        <f aca="false">IF($AK1070=0,"",INDEX('Part types'!$W:$W,$AK1070)&amp;"")</f>
        <v/>
      </c>
      <c r="AI1070" s="11" t="str">
        <f aca="false">IF($AK1070=0,"",INDEX('Part types'!$X:$X,$AK1070)&amp;"")</f>
        <v/>
      </c>
      <c r="AJ1070" s="9" t="str">
        <f aca="false">IF($AK1070=0,"",INDEX('Part types'!$Y:$Y,$AK1070)&amp;"")</f>
        <v/>
      </c>
      <c r="AK1070" s="9" t="n">
        <f aca="false">IFERROR(MATCH($AD1070,'Part types'!$E:$E,0),0)</f>
        <v>709</v>
      </c>
    </row>
    <row r="1071" customFormat="false" ht="15" hidden="false" customHeight="false" outlineLevel="0" collapsed="false">
      <c r="A1071" s="9" t="s">
        <v>4391</v>
      </c>
      <c r="B1071" s="9" t="s">
        <v>4373</v>
      </c>
      <c r="C1071" s="9" t="s">
        <v>4387</v>
      </c>
      <c r="D1071" s="9" t="str">
        <f aca="false">C1071&amp;" - "&amp;E1071</f>
        <v>Side Window Sunshade - Front-Right</v>
      </c>
      <c r="E1071" s="9" t="s">
        <v>1356</v>
      </c>
      <c r="F1071" s="9" t="s">
        <v>3859</v>
      </c>
      <c r="G1071" s="10" t="n">
        <f aca="false">IF($AK1071=0,"",INDEX('Part types'!$P:$P,$AK1071))</f>
        <v>15</v>
      </c>
      <c r="H1071" s="10" t="n">
        <f aca="false">IF($AK1071=0,"",INDEX('Part types'!$Q:$Q,$AK1071))</f>
        <v>10</v>
      </c>
      <c r="I1071" s="10" t="n">
        <f aca="false">IF($AK1071=0,"",INDEX('Part types'!$R:$R,$AK1071))</f>
        <v>8</v>
      </c>
      <c r="J1071" s="10" t="n">
        <f aca="false">IF($AK1071=0,"",INDEX('Part types'!$S:$S,$AK1071))</f>
        <v>0.3</v>
      </c>
      <c r="K1071" s="11" t="s">
        <v>4375</v>
      </c>
      <c r="L1071" s="11" t="s">
        <v>4388</v>
      </c>
      <c r="M1071" s="11" t="str">
        <f aca="false">L1071&amp;" - "&amp;N1071</f>
        <v>ستارة شمس جانبية - أمامي يمين</v>
      </c>
      <c r="N1071" s="11" t="s">
        <v>1357</v>
      </c>
      <c r="O1071" s="11" t="s">
        <v>3861</v>
      </c>
      <c r="P1071" s="10" t="n">
        <f aca="false">G1071</f>
        <v>15</v>
      </c>
      <c r="Q1071" s="10" t="n">
        <f aca="false">H1071</f>
        <v>10</v>
      </c>
      <c r="R1071" s="10" t="n">
        <f aca="false">I1071</f>
        <v>8</v>
      </c>
      <c r="S1071" s="10" t="n">
        <f aca="false">J1071</f>
        <v>0.3</v>
      </c>
      <c r="T1071" s="12" t="s">
        <v>4377</v>
      </c>
      <c r="U1071" s="12" t="s">
        <v>4389</v>
      </c>
      <c r="V1071" s="9" t="str">
        <f aca="false">U1071&amp;" - "&amp;W1071</f>
        <v>侧窗遮阳帘 - 前右</v>
      </c>
      <c r="W1071" s="12" t="s">
        <v>1358</v>
      </c>
      <c r="X1071" s="12" t="s">
        <v>3863</v>
      </c>
      <c r="Y1071" s="10" t="n">
        <f aca="false">G1071</f>
        <v>15</v>
      </c>
      <c r="Z1071" s="10" t="n">
        <f aca="false">H1071</f>
        <v>10</v>
      </c>
      <c r="AA1071" s="10" t="n">
        <f aca="false">I1071</f>
        <v>8</v>
      </c>
      <c r="AB1071" s="10" t="n">
        <f aca="false">J1071</f>
        <v>0.3</v>
      </c>
      <c r="AC1071" s="9" t="s">
        <v>4379</v>
      </c>
      <c r="AD1071" s="9" t="s">
        <v>4390</v>
      </c>
      <c r="AE1071" s="9" t="str">
        <f aca="false">IF($AK1071=0,"",INDEX('Part types'!$T:$T,$AK1071)&amp;"")</f>
        <v>All vehicles</v>
      </c>
      <c r="AF1071" s="9" t="str">
        <f aca="false">IF($AK1071=0,"",INDEX('Part types'!$U:$U,$AK1071)&amp;"")</f>
        <v/>
      </c>
      <c r="AG1071" s="9" t="str">
        <f aca="false">IF($AK1071=0,"",INDEX('Part types'!$V:$V,$AK1071)&amp;"")</f>
        <v>Estimate: size class S</v>
      </c>
      <c r="AH1071" s="9" t="str">
        <f aca="false">IF($AK1071=0,"",INDEX('Part types'!$W:$W,$AK1071)&amp;"")</f>
        <v/>
      </c>
      <c r="AI1071" s="11" t="str">
        <f aca="false">IF($AK1071=0,"",INDEX('Part types'!$X:$X,$AK1071)&amp;"")</f>
        <v/>
      </c>
      <c r="AJ1071" s="9" t="str">
        <f aca="false">IF($AK1071=0,"",INDEX('Part types'!$Y:$Y,$AK1071)&amp;"")</f>
        <v/>
      </c>
      <c r="AK1071" s="9" t="n">
        <f aca="false">IFERROR(MATCH($AD1071,'Part types'!$E:$E,0),0)</f>
        <v>709</v>
      </c>
    </row>
    <row r="1072" customFormat="false" ht="15" hidden="false" customHeight="false" outlineLevel="0" collapsed="false">
      <c r="A1072" s="9" t="s">
        <v>4392</v>
      </c>
      <c r="B1072" s="9" t="s">
        <v>4373</v>
      </c>
      <c r="C1072" s="9" t="s">
        <v>4387</v>
      </c>
      <c r="D1072" s="9" t="str">
        <f aca="false">C1072&amp;" - "&amp;E1072</f>
        <v>Side Window Sunshade - Rear-Left</v>
      </c>
      <c r="E1072" s="9" t="s">
        <v>1360</v>
      </c>
      <c r="F1072" s="9" t="s">
        <v>3859</v>
      </c>
      <c r="G1072" s="10" t="n">
        <f aca="false">IF($AK1072=0,"",INDEX('Part types'!$P:$P,$AK1072))</f>
        <v>15</v>
      </c>
      <c r="H1072" s="10" t="n">
        <f aca="false">IF($AK1072=0,"",INDEX('Part types'!$Q:$Q,$AK1072))</f>
        <v>10</v>
      </c>
      <c r="I1072" s="10" t="n">
        <f aca="false">IF($AK1072=0,"",INDEX('Part types'!$R:$R,$AK1072))</f>
        <v>8</v>
      </c>
      <c r="J1072" s="10" t="n">
        <f aca="false">IF($AK1072=0,"",INDEX('Part types'!$S:$S,$AK1072))</f>
        <v>0.3</v>
      </c>
      <c r="K1072" s="11" t="s">
        <v>4375</v>
      </c>
      <c r="L1072" s="11" t="s">
        <v>4388</v>
      </c>
      <c r="M1072" s="11" t="str">
        <f aca="false">L1072&amp;" - "&amp;N1072</f>
        <v>ستارة شمس جانبية - خلفي يسار</v>
      </c>
      <c r="N1072" s="11" t="s">
        <v>1361</v>
      </c>
      <c r="O1072" s="11" t="s">
        <v>3861</v>
      </c>
      <c r="P1072" s="10" t="n">
        <f aca="false">G1072</f>
        <v>15</v>
      </c>
      <c r="Q1072" s="10" t="n">
        <f aca="false">H1072</f>
        <v>10</v>
      </c>
      <c r="R1072" s="10" t="n">
        <f aca="false">I1072</f>
        <v>8</v>
      </c>
      <c r="S1072" s="10" t="n">
        <f aca="false">J1072</f>
        <v>0.3</v>
      </c>
      <c r="T1072" s="12" t="s">
        <v>4377</v>
      </c>
      <c r="U1072" s="12" t="s">
        <v>4389</v>
      </c>
      <c r="V1072" s="9" t="str">
        <f aca="false">U1072&amp;" - "&amp;W1072</f>
        <v>侧窗遮阳帘 - 后左</v>
      </c>
      <c r="W1072" s="12" t="s">
        <v>1362</v>
      </c>
      <c r="X1072" s="12" t="s">
        <v>3863</v>
      </c>
      <c r="Y1072" s="10" t="n">
        <f aca="false">G1072</f>
        <v>15</v>
      </c>
      <c r="Z1072" s="10" t="n">
        <f aca="false">H1072</f>
        <v>10</v>
      </c>
      <c r="AA1072" s="10" t="n">
        <f aca="false">I1072</f>
        <v>8</v>
      </c>
      <c r="AB1072" s="10" t="n">
        <f aca="false">J1072</f>
        <v>0.3</v>
      </c>
      <c r="AC1072" s="9" t="s">
        <v>4379</v>
      </c>
      <c r="AD1072" s="9" t="s">
        <v>4390</v>
      </c>
      <c r="AE1072" s="9" t="str">
        <f aca="false">IF($AK1072=0,"",INDEX('Part types'!$T:$T,$AK1072)&amp;"")</f>
        <v>All vehicles</v>
      </c>
      <c r="AF1072" s="9" t="str">
        <f aca="false">IF($AK1072=0,"",INDEX('Part types'!$U:$U,$AK1072)&amp;"")</f>
        <v/>
      </c>
      <c r="AG1072" s="9" t="str">
        <f aca="false">IF($AK1072=0,"",INDEX('Part types'!$V:$V,$AK1072)&amp;"")</f>
        <v>Estimate: size class S</v>
      </c>
      <c r="AH1072" s="9" t="str">
        <f aca="false">IF($AK1072=0,"",INDEX('Part types'!$W:$W,$AK1072)&amp;"")</f>
        <v/>
      </c>
      <c r="AI1072" s="11" t="str">
        <f aca="false">IF($AK1072=0,"",INDEX('Part types'!$X:$X,$AK1072)&amp;"")</f>
        <v/>
      </c>
      <c r="AJ1072" s="9" t="str">
        <f aca="false">IF($AK1072=0,"",INDEX('Part types'!$Y:$Y,$AK1072)&amp;"")</f>
        <v/>
      </c>
      <c r="AK1072" s="9" t="n">
        <f aca="false">IFERROR(MATCH($AD1072,'Part types'!$E:$E,0),0)</f>
        <v>709</v>
      </c>
    </row>
    <row r="1073" customFormat="false" ht="15" hidden="false" customHeight="false" outlineLevel="0" collapsed="false">
      <c r="A1073" s="9" t="s">
        <v>4393</v>
      </c>
      <c r="B1073" s="9" t="s">
        <v>4373</v>
      </c>
      <c r="C1073" s="9" t="s">
        <v>4387</v>
      </c>
      <c r="D1073" s="9" t="str">
        <f aca="false">C1073&amp;" - "&amp;E1073</f>
        <v>Side Window Sunshade - Rear-Right</v>
      </c>
      <c r="E1073" s="9" t="s">
        <v>1364</v>
      </c>
      <c r="F1073" s="9" t="s">
        <v>3859</v>
      </c>
      <c r="G1073" s="10" t="n">
        <f aca="false">IF($AK1073=0,"",INDEX('Part types'!$P:$P,$AK1073))</f>
        <v>15</v>
      </c>
      <c r="H1073" s="10" t="n">
        <f aca="false">IF($AK1073=0,"",INDEX('Part types'!$Q:$Q,$AK1073))</f>
        <v>10</v>
      </c>
      <c r="I1073" s="10" t="n">
        <f aca="false">IF($AK1073=0,"",INDEX('Part types'!$R:$R,$AK1073))</f>
        <v>8</v>
      </c>
      <c r="J1073" s="10" t="n">
        <f aca="false">IF($AK1073=0,"",INDEX('Part types'!$S:$S,$AK1073))</f>
        <v>0.3</v>
      </c>
      <c r="K1073" s="11" t="s">
        <v>4375</v>
      </c>
      <c r="L1073" s="11" t="s">
        <v>4388</v>
      </c>
      <c r="M1073" s="11" t="str">
        <f aca="false">L1073&amp;" - "&amp;N1073</f>
        <v>ستارة شمس جانبية - خلفي يمين</v>
      </c>
      <c r="N1073" s="11" t="s">
        <v>1365</v>
      </c>
      <c r="O1073" s="11" t="s">
        <v>3861</v>
      </c>
      <c r="P1073" s="10" t="n">
        <f aca="false">G1073</f>
        <v>15</v>
      </c>
      <c r="Q1073" s="10" t="n">
        <f aca="false">H1073</f>
        <v>10</v>
      </c>
      <c r="R1073" s="10" t="n">
        <f aca="false">I1073</f>
        <v>8</v>
      </c>
      <c r="S1073" s="10" t="n">
        <f aca="false">J1073</f>
        <v>0.3</v>
      </c>
      <c r="T1073" s="12" t="s">
        <v>4377</v>
      </c>
      <c r="U1073" s="12" t="s">
        <v>4389</v>
      </c>
      <c r="V1073" s="9" t="str">
        <f aca="false">U1073&amp;" - "&amp;W1073</f>
        <v>侧窗遮阳帘 - 后右</v>
      </c>
      <c r="W1073" s="12" t="s">
        <v>1366</v>
      </c>
      <c r="X1073" s="12" t="s">
        <v>3863</v>
      </c>
      <c r="Y1073" s="10" t="n">
        <f aca="false">G1073</f>
        <v>15</v>
      </c>
      <c r="Z1073" s="10" t="n">
        <f aca="false">H1073</f>
        <v>10</v>
      </c>
      <c r="AA1073" s="10" t="n">
        <f aca="false">I1073</f>
        <v>8</v>
      </c>
      <c r="AB1073" s="10" t="n">
        <f aca="false">J1073</f>
        <v>0.3</v>
      </c>
      <c r="AC1073" s="9" t="s">
        <v>4379</v>
      </c>
      <c r="AD1073" s="9" t="s">
        <v>4390</v>
      </c>
      <c r="AE1073" s="9" t="str">
        <f aca="false">IF($AK1073=0,"",INDEX('Part types'!$T:$T,$AK1073)&amp;"")</f>
        <v>All vehicles</v>
      </c>
      <c r="AF1073" s="9" t="str">
        <f aca="false">IF($AK1073=0,"",INDEX('Part types'!$U:$U,$AK1073)&amp;"")</f>
        <v/>
      </c>
      <c r="AG1073" s="9" t="str">
        <f aca="false">IF($AK1073=0,"",INDEX('Part types'!$V:$V,$AK1073)&amp;"")</f>
        <v>Estimate: size class S</v>
      </c>
      <c r="AH1073" s="9" t="str">
        <f aca="false">IF($AK1073=0,"",INDEX('Part types'!$W:$W,$AK1073)&amp;"")</f>
        <v/>
      </c>
      <c r="AI1073" s="11" t="str">
        <f aca="false">IF($AK1073=0,"",INDEX('Part types'!$X:$X,$AK1073)&amp;"")</f>
        <v/>
      </c>
      <c r="AJ1073" s="9" t="str">
        <f aca="false">IF($AK1073=0,"",INDEX('Part types'!$Y:$Y,$AK1073)&amp;"")</f>
        <v/>
      </c>
      <c r="AK1073" s="9" t="n">
        <f aca="false">IFERROR(MATCH($AD1073,'Part types'!$E:$E,0),0)</f>
        <v>709</v>
      </c>
    </row>
    <row r="1074" customFormat="false" ht="15" hidden="false" customHeight="false" outlineLevel="0" collapsed="false">
      <c r="A1074" s="9" t="s">
        <v>4394</v>
      </c>
      <c r="B1074" s="9" t="s">
        <v>4373</v>
      </c>
      <c r="C1074" s="9" t="s">
        <v>4395</v>
      </c>
      <c r="D1074" s="9" t="str">
        <f aca="false">C1074&amp;" - "&amp;E1074</f>
        <v>Steering Wheel Cover - Universal</v>
      </c>
      <c r="E1074" s="9" t="s">
        <v>68</v>
      </c>
      <c r="F1074" s="9" t="s">
        <v>1863</v>
      </c>
      <c r="G1074" s="10" t="n">
        <f aca="false">IF($AK1074=0,"",INDEX('Part types'!$P:$P,$AK1074))</f>
        <v>15</v>
      </c>
      <c r="H1074" s="10" t="n">
        <f aca="false">IF($AK1074=0,"",INDEX('Part types'!$Q:$Q,$AK1074))</f>
        <v>10</v>
      </c>
      <c r="I1074" s="10" t="n">
        <f aca="false">IF($AK1074=0,"",INDEX('Part types'!$R:$R,$AK1074))</f>
        <v>8</v>
      </c>
      <c r="J1074" s="10" t="n">
        <f aca="false">IF($AK1074=0,"",INDEX('Part types'!$S:$S,$AK1074))</f>
        <v>0.3</v>
      </c>
      <c r="K1074" s="11" t="s">
        <v>4375</v>
      </c>
      <c r="L1074" s="11" t="s">
        <v>4396</v>
      </c>
      <c r="M1074" s="11" t="str">
        <f aca="false">L1074&amp;" - "&amp;N1074</f>
        <v>غطاء عجلة القيادة - عام</v>
      </c>
      <c r="N1074" s="11" t="s">
        <v>72</v>
      </c>
      <c r="O1074" s="11" t="s">
        <v>1864</v>
      </c>
      <c r="P1074" s="10" t="n">
        <f aca="false">G1074</f>
        <v>15</v>
      </c>
      <c r="Q1074" s="10" t="n">
        <f aca="false">H1074</f>
        <v>10</v>
      </c>
      <c r="R1074" s="10" t="n">
        <f aca="false">I1074</f>
        <v>8</v>
      </c>
      <c r="S1074" s="10" t="n">
        <f aca="false">J1074</f>
        <v>0.3</v>
      </c>
      <c r="T1074" s="12" t="s">
        <v>4377</v>
      </c>
      <c r="U1074" s="12" t="s">
        <v>4397</v>
      </c>
      <c r="V1074" s="9" t="str">
        <f aca="false">U1074&amp;" - "&amp;W1074</f>
        <v>方向盘套 - 通用</v>
      </c>
      <c r="W1074" s="12" t="s">
        <v>76</v>
      </c>
      <c r="X1074" s="12" t="s">
        <v>1865</v>
      </c>
      <c r="Y1074" s="10" t="n">
        <f aca="false">G1074</f>
        <v>15</v>
      </c>
      <c r="Z1074" s="10" t="n">
        <f aca="false">H1074</f>
        <v>10</v>
      </c>
      <c r="AA1074" s="10" t="n">
        <f aca="false">I1074</f>
        <v>8</v>
      </c>
      <c r="AB1074" s="10" t="n">
        <f aca="false">J1074</f>
        <v>0.3</v>
      </c>
      <c r="AC1074" s="9" t="s">
        <v>4379</v>
      </c>
      <c r="AD1074" s="9" t="s">
        <v>4398</v>
      </c>
      <c r="AE1074" s="9" t="str">
        <f aca="false">IF($AK1074=0,"",INDEX('Part types'!$T:$T,$AK1074)&amp;"")</f>
        <v>All vehicles</v>
      </c>
      <c r="AF1074" s="9" t="str">
        <f aca="false">IF($AK1074=0,"",INDEX('Part types'!$U:$U,$AK1074)&amp;"")</f>
        <v/>
      </c>
      <c r="AG1074" s="9" t="str">
        <f aca="false">IF($AK1074=0,"",INDEX('Part types'!$V:$V,$AK1074)&amp;"")</f>
        <v>Estimate: size class S</v>
      </c>
      <c r="AH1074" s="9" t="str">
        <f aca="false">IF($AK1074=0,"",INDEX('Part types'!$W:$W,$AK1074)&amp;"")</f>
        <v/>
      </c>
      <c r="AI1074" s="11" t="str">
        <f aca="false">IF($AK1074=0,"",INDEX('Part types'!$X:$X,$AK1074)&amp;"")</f>
        <v/>
      </c>
      <c r="AJ1074" s="9" t="str">
        <f aca="false">IF($AK1074=0,"",INDEX('Part types'!$Y:$Y,$AK1074)&amp;"")</f>
        <v/>
      </c>
      <c r="AK1074" s="9" t="n">
        <f aca="false">IFERROR(MATCH($AD1074,'Part types'!$E:$E,0),0)</f>
        <v>710</v>
      </c>
    </row>
    <row r="1075" customFormat="false" ht="15" hidden="false" customHeight="false" outlineLevel="0" collapsed="false">
      <c r="A1075" s="9" t="s">
        <v>4399</v>
      </c>
      <c r="B1075" s="9" t="s">
        <v>4373</v>
      </c>
      <c r="C1075" s="9" t="s">
        <v>4400</v>
      </c>
      <c r="D1075" s="9" t="str">
        <f aca="false">C1075&amp;" - "&amp;E1075</f>
        <v>Seat Cushion Pad - Universal</v>
      </c>
      <c r="E1075" s="9" t="s">
        <v>68</v>
      </c>
      <c r="F1075" s="9" t="s">
        <v>2601</v>
      </c>
      <c r="G1075" s="10" t="n">
        <f aca="false">IF($AK1075=0,"",INDEX('Part types'!$P:$P,$AK1075))</f>
        <v>40</v>
      </c>
      <c r="H1075" s="10" t="n">
        <f aca="false">IF($AK1075=0,"",INDEX('Part types'!$Q:$Q,$AK1075))</f>
        <v>25</v>
      </c>
      <c r="I1075" s="10" t="n">
        <f aca="false">IF($AK1075=0,"",INDEX('Part types'!$R:$R,$AK1075))</f>
        <v>15</v>
      </c>
      <c r="J1075" s="10" t="n">
        <f aca="false">IF($AK1075=0,"",INDEX('Part types'!$S:$S,$AK1075))</f>
        <v>3</v>
      </c>
      <c r="K1075" s="11" t="s">
        <v>4375</v>
      </c>
      <c r="L1075" s="11" t="s">
        <v>4401</v>
      </c>
      <c r="M1075" s="11" t="str">
        <f aca="false">L1075&amp;" - "&amp;N1075</f>
        <v>وسادة مقعد - عام</v>
      </c>
      <c r="N1075" s="11" t="s">
        <v>72</v>
      </c>
      <c r="O1075" s="11" t="s">
        <v>2603</v>
      </c>
      <c r="P1075" s="10" t="n">
        <f aca="false">G1075</f>
        <v>40</v>
      </c>
      <c r="Q1075" s="10" t="n">
        <f aca="false">H1075</f>
        <v>25</v>
      </c>
      <c r="R1075" s="10" t="n">
        <f aca="false">I1075</f>
        <v>15</v>
      </c>
      <c r="S1075" s="10" t="n">
        <f aca="false">J1075</f>
        <v>3</v>
      </c>
      <c r="T1075" s="12" t="s">
        <v>4377</v>
      </c>
      <c r="U1075" s="12" t="s">
        <v>4402</v>
      </c>
      <c r="V1075" s="9" t="str">
        <f aca="false">U1075&amp;" - "&amp;W1075</f>
        <v>座垫 - 通用</v>
      </c>
      <c r="W1075" s="12" t="s">
        <v>76</v>
      </c>
      <c r="X1075" s="12" t="s">
        <v>2605</v>
      </c>
      <c r="Y1075" s="10" t="n">
        <f aca="false">G1075</f>
        <v>40</v>
      </c>
      <c r="Z1075" s="10" t="n">
        <f aca="false">H1075</f>
        <v>25</v>
      </c>
      <c r="AA1075" s="10" t="n">
        <f aca="false">I1075</f>
        <v>15</v>
      </c>
      <c r="AB1075" s="10" t="n">
        <f aca="false">J1075</f>
        <v>3</v>
      </c>
      <c r="AC1075" s="9" t="s">
        <v>4379</v>
      </c>
      <c r="AD1075" s="9" t="s">
        <v>4403</v>
      </c>
      <c r="AE1075" s="9" t="str">
        <f aca="false">IF($AK1075=0,"",INDEX('Part types'!$T:$T,$AK1075)&amp;"")</f>
        <v>All vehicles</v>
      </c>
      <c r="AF1075" s="9" t="str">
        <f aca="false">IF($AK1075=0,"",INDEX('Part types'!$U:$U,$AK1075)&amp;"")</f>
        <v/>
      </c>
      <c r="AG1075" s="9" t="str">
        <f aca="false">IF($AK1075=0,"",INDEX('Part types'!$V:$V,$AK1075)&amp;"")</f>
        <v>Estimate: size class L</v>
      </c>
      <c r="AH1075" s="9" t="str">
        <f aca="false">IF($AK1075=0,"",INDEX('Part types'!$W:$W,$AK1075)&amp;"")</f>
        <v/>
      </c>
      <c r="AI1075" s="11" t="str">
        <f aca="false">IF($AK1075=0,"",INDEX('Part types'!$X:$X,$AK1075)&amp;"")</f>
        <v/>
      </c>
      <c r="AJ1075" s="9" t="str">
        <f aca="false">IF($AK1075=0,"",INDEX('Part types'!$Y:$Y,$AK1075)&amp;"")</f>
        <v>坐垫</v>
      </c>
      <c r="AK1075" s="9" t="n">
        <f aca="false">IFERROR(MATCH($AD1075,'Part types'!$E:$E,0),0)</f>
        <v>711</v>
      </c>
    </row>
    <row r="1076" customFormat="false" ht="15" hidden="false" customHeight="false" outlineLevel="0" collapsed="false">
      <c r="A1076" s="9" t="s">
        <v>4404</v>
      </c>
      <c r="B1076" s="9" t="s">
        <v>4373</v>
      </c>
      <c r="C1076" s="9" t="s">
        <v>4405</v>
      </c>
      <c r="D1076" s="9" t="str">
        <f aca="false">C1076&amp;" - "&amp;E1076</f>
        <v>Seat Back Organizer - Universal</v>
      </c>
      <c r="E1076" s="9" t="s">
        <v>68</v>
      </c>
      <c r="F1076" s="9" t="s">
        <v>2601</v>
      </c>
      <c r="G1076" s="10" t="n">
        <f aca="false">IF($AK1076=0,"",INDEX('Part types'!$P:$P,$AK1076))</f>
        <v>25</v>
      </c>
      <c r="H1076" s="10" t="n">
        <f aca="false">IF($AK1076=0,"",INDEX('Part types'!$Q:$Q,$AK1076))</f>
        <v>15</v>
      </c>
      <c r="I1076" s="10" t="n">
        <f aca="false">IF($AK1076=0,"",INDEX('Part types'!$R:$R,$AK1076))</f>
        <v>10</v>
      </c>
      <c r="J1076" s="10" t="n">
        <f aca="false">IF($AK1076=0,"",INDEX('Part types'!$S:$S,$AK1076))</f>
        <v>0.9</v>
      </c>
      <c r="K1076" s="11" t="s">
        <v>4375</v>
      </c>
      <c r="L1076" s="11" t="s">
        <v>4406</v>
      </c>
      <c r="M1076" s="11" t="str">
        <f aca="false">L1076&amp;" - "&amp;N1076</f>
        <v>منظم خلف المقعد - عام</v>
      </c>
      <c r="N1076" s="11" t="s">
        <v>72</v>
      </c>
      <c r="O1076" s="11" t="s">
        <v>2603</v>
      </c>
      <c r="P1076" s="10" t="n">
        <f aca="false">G1076</f>
        <v>25</v>
      </c>
      <c r="Q1076" s="10" t="n">
        <f aca="false">H1076</f>
        <v>15</v>
      </c>
      <c r="R1076" s="10" t="n">
        <f aca="false">I1076</f>
        <v>10</v>
      </c>
      <c r="S1076" s="10" t="n">
        <f aca="false">J1076</f>
        <v>0.9</v>
      </c>
      <c r="T1076" s="12" t="s">
        <v>4377</v>
      </c>
      <c r="U1076" s="12" t="s">
        <v>4407</v>
      </c>
      <c r="V1076" s="9" t="str">
        <f aca="false">U1076&amp;" - "&amp;W1076</f>
        <v>座椅靠背收纳袋 - 通用</v>
      </c>
      <c r="W1076" s="12" t="s">
        <v>76</v>
      </c>
      <c r="X1076" s="12" t="s">
        <v>2605</v>
      </c>
      <c r="Y1076" s="10" t="n">
        <f aca="false">G1076</f>
        <v>25</v>
      </c>
      <c r="Z1076" s="10" t="n">
        <f aca="false">H1076</f>
        <v>15</v>
      </c>
      <c r="AA1076" s="10" t="n">
        <f aca="false">I1076</f>
        <v>10</v>
      </c>
      <c r="AB1076" s="10" t="n">
        <f aca="false">J1076</f>
        <v>0.9</v>
      </c>
      <c r="AC1076" s="9" t="s">
        <v>4379</v>
      </c>
      <c r="AD1076" s="9" t="s">
        <v>4408</v>
      </c>
      <c r="AE1076" s="9" t="str">
        <f aca="false">IF($AK1076=0,"",INDEX('Part types'!$T:$T,$AK1076)&amp;"")</f>
        <v>All vehicles</v>
      </c>
      <c r="AF1076" s="9" t="str">
        <f aca="false">IF($AK1076=0,"",INDEX('Part types'!$U:$U,$AK1076)&amp;"")</f>
        <v/>
      </c>
      <c r="AG1076" s="9" t="str">
        <f aca="false">IF($AK1076=0,"",INDEX('Part types'!$V:$V,$AK1076)&amp;"")</f>
        <v>Estimate: size class M</v>
      </c>
      <c r="AH1076" s="9" t="str">
        <f aca="false">IF($AK1076=0,"",INDEX('Part types'!$W:$W,$AK1076)&amp;"")</f>
        <v/>
      </c>
      <c r="AI1076" s="11" t="str">
        <f aca="false">IF($AK1076=0,"",INDEX('Part types'!$X:$X,$AK1076)&amp;"")</f>
        <v/>
      </c>
      <c r="AJ1076" s="9" t="str">
        <f aca="false">IF($AK1076=0,"",INDEX('Part types'!$Y:$Y,$AK1076)&amp;"")</f>
        <v/>
      </c>
      <c r="AK1076" s="9" t="n">
        <f aca="false">IFERROR(MATCH($AD1076,'Part types'!$E:$E,0),0)</f>
        <v>712</v>
      </c>
    </row>
    <row r="1077" customFormat="false" ht="15" hidden="false" customHeight="false" outlineLevel="0" collapsed="false">
      <c r="A1077" s="9" t="s">
        <v>4409</v>
      </c>
      <c r="B1077" s="9" t="s">
        <v>4373</v>
      </c>
      <c r="C1077" s="9" t="s">
        <v>4410</v>
      </c>
      <c r="D1077" s="9" t="str">
        <f aca="false">C1077&amp;" - "&amp;E1077</f>
        <v>Trunk Organizer - Universal</v>
      </c>
      <c r="E1077" s="9" t="s">
        <v>68</v>
      </c>
      <c r="F1077" s="9" t="s">
        <v>2106</v>
      </c>
      <c r="G1077" s="10" t="n">
        <f aca="false">IF($AK1077=0,"",INDEX('Part types'!$P:$P,$AK1077))</f>
        <v>50</v>
      </c>
      <c r="H1077" s="10" t="n">
        <f aca="false">IF($AK1077=0,"",INDEX('Part types'!$Q:$Q,$AK1077))</f>
        <v>35</v>
      </c>
      <c r="I1077" s="10" t="n">
        <f aca="false">IF($AK1077=0,"",INDEX('Part types'!$R:$R,$AK1077))</f>
        <v>25</v>
      </c>
      <c r="J1077" s="10" t="n">
        <f aca="false">IF($AK1077=0,"",INDEX('Part types'!$S:$S,$AK1077))</f>
        <v>2</v>
      </c>
      <c r="K1077" s="11" t="s">
        <v>4375</v>
      </c>
      <c r="L1077" s="11" t="s">
        <v>4411</v>
      </c>
      <c r="M1077" s="11" t="str">
        <f aca="false">L1077&amp;" - "&amp;N1077</f>
        <v>منظم الصندوق - عام</v>
      </c>
      <c r="N1077" s="11" t="s">
        <v>72</v>
      </c>
      <c r="O1077" s="11" t="s">
        <v>2108</v>
      </c>
      <c r="P1077" s="10" t="n">
        <f aca="false">G1077</f>
        <v>50</v>
      </c>
      <c r="Q1077" s="10" t="n">
        <f aca="false">H1077</f>
        <v>35</v>
      </c>
      <c r="R1077" s="10" t="n">
        <f aca="false">I1077</f>
        <v>25</v>
      </c>
      <c r="S1077" s="10" t="n">
        <f aca="false">J1077</f>
        <v>2</v>
      </c>
      <c r="T1077" s="12" t="s">
        <v>4377</v>
      </c>
      <c r="U1077" s="12" t="s">
        <v>4412</v>
      </c>
      <c r="V1077" s="9" t="str">
        <f aca="false">U1077&amp;" - "&amp;W1077</f>
        <v>后备箱收纳箱 - 通用</v>
      </c>
      <c r="W1077" s="12" t="s">
        <v>76</v>
      </c>
      <c r="X1077" s="12" t="s">
        <v>2110</v>
      </c>
      <c r="Y1077" s="10" t="n">
        <f aca="false">G1077</f>
        <v>50</v>
      </c>
      <c r="Z1077" s="10" t="n">
        <f aca="false">H1077</f>
        <v>35</v>
      </c>
      <c r="AA1077" s="10" t="n">
        <f aca="false">I1077</f>
        <v>25</v>
      </c>
      <c r="AB1077" s="10" t="n">
        <f aca="false">J1077</f>
        <v>2</v>
      </c>
      <c r="AC1077" s="9" t="s">
        <v>4379</v>
      </c>
      <c r="AD1077" s="9" t="s">
        <v>4413</v>
      </c>
      <c r="AE1077" s="9" t="str">
        <f aca="false">IF($AK1077=0,"",INDEX('Part types'!$T:$T,$AK1077)&amp;"")</f>
        <v>All vehicles</v>
      </c>
      <c r="AF1077" s="9" t="str">
        <f aca="false">IF($AK1077=0,"",INDEX('Part types'!$U:$U,$AK1077)&amp;"")</f>
        <v/>
      </c>
      <c r="AG1077" s="9" t="str">
        <f aca="false">IF($AK1077=0,"",INDEX('Part types'!$V:$V,$AK1077)&amp;"")</f>
        <v>Estimate: item-specific</v>
      </c>
      <c r="AH1077" s="9" t="str">
        <f aca="false">IF($AK1077=0,"",INDEX('Part types'!$W:$W,$AK1077)&amp;"")</f>
        <v/>
      </c>
      <c r="AI1077" s="11" t="str">
        <f aca="false">IF($AK1077=0,"",INDEX('Part types'!$X:$X,$AK1077)&amp;"")</f>
        <v/>
      </c>
      <c r="AJ1077" s="9" t="str">
        <f aca="false">IF($AK1077=0,"",INDEX('Part types'!$Y:$Y,$AK1077)&amp;"")</f>
        <v/>
      </c>
      <c r="AK1077" s="9" t="n">
        <f aca="false">IFERROR(MATCH($AD1077,'Part types'!$E:$E,0),0)</f>
        <v>713</v>
      </c>
    </row>
    <row r="1078" customFormat="false" ht="15" hidden="false" customHeight="false" outlineLevel="0" collapsed="false">
      <c r="A1078" s="9" t="s">
        <v>4414</v>
      </c>
      <c r="B1078" s="9" t="s">
        <v>4373</v>
      </c>
      <c r="C1078" s="9" t="s">
        <v>4415</v>
      </c>
      <c r="D1078" s="9" t="str">
        <f aca="false">C1078&amp;" - "&amp;E1078</f>
        <v>Phone Holder - Universal</v>
      </c>
      <c r="E1078" s="9" t="s">
        <v>68</v>
      </c>
      <c r="F1078" s="9" t="s">
        <v>2439</v>
      </c>
      <c r="G1078" s="10" t="n">
        <f aca="false">IF($AK1078=0,"",INDEX('Part types'!$P:$P,$AK1078))</f>
        <v>15</v>
      </c>
      <c r="H1078" s="10" t="n">
        <f aca="false">IF($AK1078=0,"",INDEX('Part types'!$Q:$Q,$AK1078))</f>
        <v>10</v>
      </c>
      <c r="I1078" s="10" t="n">
        <f aca="false">IF($AK1078=0,"",INDEX('Part types'!$R:$R,$AK1078))</f>
        <v>8</v>
      </c>
      <c r="J1078" s="10" t="n">
        <f aca="false">IF($AK1078=0,"",INDEX('Part types'!$S:$S,$AK1078))</f>
        <v>0.3</v>
      </c>
      <c r="K1078" s="11" t="s">
        <v>4375</v>
      </c>
      <c r="L1078" s="11" t="s">
        <v>4416</v>
      </c>
      <c r="M1078" s="11" t="str">
        <f aca="false">L1078&amp;" - "&amp;N1078</f>
        <v>حامل جوال - عام</v>
      </c>
      <c r="N1078" s="11" t="s">
        <v>72</v>
      </c>
      <c r="O1078" s="11" t="s">
        <v>2441</v>
      </c>
      <c r="P1078" s="10" t="n">
        <f aca="false">G1078</f>
        <v>15</v>
      </c>
      <c r="Q1078" s="10" t="n">
        <f aca="false">H1078</f>
        <v>10</v>
      </c>
      <c r="R1078" s="10" t="n">
        <f aca="false">I1078</f>
        <v>8</v>
      </c>
      <c r="S1078" s="10" t="n">
        <f aca="false">J1078</f>
        <v>0.3</v>
      </c>
      <c r="T1078" s="12" t="s">
        <v>4377</v>
      </c>
      <c r="U1078" s="12" t="s">
        <v>4417</v>
      </c>
      <c r="V1078" s="9" t="str">
        <f aca="false">U1078&amp;" - "&amp;W1078</f>
        <v>手机支架 - 通用</v>
      </c>
      <c r="W1078" s="12" t="s">
        <v>76</v>
      </c>
      <c r="X1078" s="12" t="s">
        <v>2443</v>
      </c>
      <c r="Y1078" s="10" t="n">
        <f aca="false">G1078</f>
        <v>15</v>
      </c>
      <c r="Z1078" s="10" t="n">
        <f aca="false">H1078</f>
        <v>10</v>
      </c>
      <c r="AA1078" s="10" t="n">
        <f aca="false">I1078</f>
        <v>8</v>
      </c>
      <c r="AB1078" s="10" t="n">
        <f aca="false">J1078</f>
        <v>0.3</v>
      </c>
      <c r="AC1078" s="9" t="s">
        <v>4379</v>
      </c>
      <c r="AD1078" s="9" t="s">
        <v>4418</v>
      </c>
      <c r="AE1078" s="9" t="str">
        <f aca="false">IF($AK1078=0,"",INDEX('Part types'!$T:$T,$AK1078)&amp;"")</f>
        <v>All vehicles</v>
      </c>
      <c r="AF1078" s="9" t="str">
        <f aca="false">IF($AK1078=0,"",INDEX('Part types'!$U:$U,$AK1078)&amp;"")</f>
        <v/>
      </c>
      <c r="AG1078" s="9" t="str">
        <f aca="false">IF($AK1078=0,"",INDEX('Part types'!$V:$V,$AK1078)&amp;"")</f>
        <v>Estimate: size class S</v>
      </c>
      <c r="AH1078" s="9" t="str">
        <f aca="false">IF($AK1078=0,"",INDEX('Part types'!$W:$W,$AK1078)&amp;"")</f>
        <v/>
      </c>
      <c r="AI1078" s="11" t="str">
        <f aca="false">IF($AK1078=0,"",INDEX('Part types'!$X:$X,$AK1078)&amp;"")</f>
        <v/>
      </c>
      <c r="AJ1078" s="9" t="str">
        <f aca="false">IF($AK1078=0,"",INDEX('Part types'!$Y:$Y,$AK1078)&amp;"")</f>
        <v/>
      </c>
      <c r="AK1078" s="9" t="n">
        <f aca="false">IFERROR(MATCH($AD1078,'Part types'!$E:$E,0),0)</f>
        <v>714</v>
      </c>
    </row>
    <row r="1079" customFormat="false" ht="15" hidden="false" customHeight="false" outlineLevel="0" collapsed="false">
      <c r="A1079" s="9" t="s">
        <v>4419</v>
      </c>
      <c r="B1079" s="9" t="s">
        <v>4373</v>
      </c>
      <c r="C1079" s="9" t="s">
        <v>4420</v>
      </c>
      <c r="D1079" s="9" t="str">
        <f aca="false">C1079&amp;" - "&amp;E1079</f>
        <v>Roof Crossbar Set - Universal</v>
      </c>
      <c r="E1079" s="9" t="s">
        <v>68</v>
      </c>
      <c r="F1079" s="9" t="s">
        <v>3364</v>
      </c>
      <c r="G1079" s="10" t="n">
        <f aca="false">IF($AK1079=0,"",INDEX('Part types'!$P:$P,$AK1079))</f>
        <v>140</v>
      </c>
      <c r="H1079" s="10" t="n">
        <f aca="false">IF($AK1079=0,"",INDEX('Part types'!$Q:$Q,$AK1079))</f>
        <v>20</v>
      </c>
      <c r="I1079" s="10" t="n">
        <f aca="false">IF($AK1079=0,"",INDEX('Part types'!$R:$R,$AK1079))</f>
        <v>12</v>
      </c>
      <c r="J1079" s="10" t="n">
        <f aca="false">IF($AK1079=0,"",INDEX('Part types'!$S:$S,$AK1079))</f>
        <v>5</v>
      </c>
      <c r="K1079" s="11" t="s">
        <v>4375</v>
      </c>
      <c r="L1079" s="11" t="s">
        <v>4421</v>
      </c>
      <c r="M1079" s="11" t="str">
        <f aca="false">L1079&amp;" - "&amp;N1079</f>
        <v>طقم عوارض السقف - عام</v>
      </c>
      <c r="N1079" s="11" t="s">
        <v>72</v>
      </c>
      <c r="O1079" s="11" t="s">
        <v>3366</v>
      </c>
      <c r="P1079" s="10" t="n">
        <f aca="false">G1079</f>
        <v>140</v>
      </c>
      <c r="Q1079" s="10" t="n">
        <f aca="false">H1079</f>
        <v>20</v>
      </c>
      <c r="R1079" s="10" t="n">
        <f aca="false">I1079</f>
        <v>12</v>
      </c>
      <c r="S1079" s="10" t="n">
        <f aca="false">J1079</f>
        <v>5</v>
      </c>
      <c r="T1079" s="12" t="s">
        <v>4377</v>
      </c>
      <c r="U1079" s="12" t="s">
        <v>4422</v>
      </c>
      <c r="V1079" s="9" t="str">
        <f aca="false">U1079&amp;" - "&amp;W1079</f>
        <v>车顶横杆套装 - 通用</v>
      </c>
      <c r="W1079" s="12" t="s">
        <v>76</v>
      </c>
      <c r="X1079" s="12" t="s">
        <v>3368</v>
      </c>
      <c r="Y1079" s="10" t="n">
        <f aca="false">G1079</f>
        <v>140</v>
      </c>
      <c r="Z1079" s="10" t="n">
        <f aca="false">H1079</f>
        <v>20</v>
      </c>
      <c r="AA1079" s="10" t="n">
        <f aca="false">I1079</f>
        <v>12</v>
      </c>
      <c r="AB1079" s="10" t="n">
        <f aca="false">J1079</f>
        <v>5</v>
      </c>
      <c r="AC1079" s="9" t="s">
        <v>4379</v>
      </c>
      <c r="AD1079" s="9" t="s">
        <v>4423</v>
      </c>
      <c r="AE1079" s="9" t="str">
        <f aca="false">IF($AK1079=0,"",INDEX('Part types'!$T:$T,$AK1079)&amp;"")</f>
        <v>All vehicles</v>
      </c>
      <c r="AF1079" s="9" t="str">
        <f aca="false">IF($AK1079=0,"",INDEX('Part types'!$U:$U,$AK1079)&amp;"")</f>
        <v>Oversized (over 120 cm)</v>
      </c>
      <c r="AG1079" s="9" t="str">
        <f aca="false">IF($AK1079=0,"",INDEX('Part types'!$V:$V,$AK1079)&amp;"")</f>
        <v>Estimate: item-specific</v>
      </c>
      <c r="AH1079" s="9" t="str">
        <f aca="false">IF($AK1079=0,"",INDEX('Part types'!$W:$W,$AK1079)&amp;"")</f>
        <v>Roof Rack Crossbar Set</v>
      </c>
      <c r="AI1079" s="11" t="str">
        <f aca="false">IF($AK1079=0,"",INDEX('Part types'!$X:$X,$AK1079)&amp;"")</f>
        <v/>
      </c>
      <c r="AJ1079" s="9" t="str">
        <f aca="false">IF($AK1079=0,"",INDEX('Part types'!$Y:$Y,$AK1079)&amp;"")</f>
        <v/>
      </c>
      <c r="AK1079" s="9" t="n">
        <f aca="false">IFERROR(MATCH($AD1079,'Part types'!$E:$E,0),0)</f>
        <v>715</v>
      </c>
    </row>
    <row r="1080" customFormat="false" ht="15" hidden="false" customHeight="false" outlineLevel="0" collapsed="false">
      <c r="A1080" s="9" t="s">
        <v>4424</v>
      </c>
      <c r="B1080" s="9" t="s">
        <v>4373</v>
      </c>
      <c r="C1080" s="9" t="s">
        <v>4425</v>
      </c>
      <c r="D1080" s="9" t="str">
        <f aca="false">C1080&amp;" - "&amp;E1080</f>
        <v>Roof Box - Universal</v>
      </c>
      <c r="E1080" s="9" t="s">
        <v>68</v>
      </c>
      <c r="F1080" s="9" t="s">
        <v>3364</v>
      </c>
      <c r="G1080" s="10" t="n">
        <f aca="false">IF($AK1080=0,"",INDEX('Part types'!$P:$P,$AK1080))</f>
        <v>180</v>
      </c>
      <c r="H1080" s="10" t="n">
        <f aca="false">IF($AK1080=0,"",INDEX('Part types'!$Q:$Q,$AK1080))</f>
        <v>80</v>
      </c>
      <c r="I1080" s="10" t="n">
        <f aca="false">IF($AK1080=0,"",INDEX('Part types'!$R:$R,$AK1080))</f>
        <v>40</v>
      </c>
      <c r="J1080" s="10" t="n">
        <f aca="false">IF($AK1080=0,"",INDEX('Part types'!$S:$S,$AK1080))</f>
        <v>16</v>
      </c>
      <c r="K1080" s="11" t="s">
        <v>4375</v>
      </c>
      <c r="L1080" s="11" t="s">
        <v>4426</v>
      </c>
      <c r="M1080" s="11" t="str">
        <f aca="false">L1080&amp;" - "&amp;N1080</f>
        <v>صندوق سقف - عام</v>
      </c>
      <c r="N1080" s="11" t="s">
        <v>72</v>
      </c>
      <c r="O1080" s="11" t="s">
        <v>3366</v>
      </c>
      <c r="P1080" s="10" t="n">
        <f aca="false">G1080</f>
        <v>180</v>
      </c>
      <c r="Q1080" s="10" t="n">
        <f aca="false">H1080</f>
        <v>80</v>
      </c>
      <c r="R1080" s="10" t="n">
        <f aca="false">I1080</f>
        <v>40</v>
      </c>
      <c r="S1080" s="10" t="n">
        <f aca="false">J1080</f>
        <v>16</v>
      </c>
      <c r="T1080" s="12" t="s">
        <v>4377</v>
      </c>
      <c r="U1080" s="12" t="s">
        <v>4427</v>
      </c>
      <c r="V1080" s="9" t="str">
        <f aca="false">U1080&amp;" - "&amp;W1080</f>
        <v>车顶行李箱 - 通用</v>
      </c>
      <c r="W1080" s="12" t="s">
        <v>76</v>
      </c>
      <c r="X1080" s="12" t="s">
        <v>3368</v>
      </c>
      <c r="Y1080" s="10" t="n">
        <f aca="false">G1080</f>
        <v>180</v>
      </c>
      <c r="Z1080" s="10" t="n">
        <f aca="false">H1080</f>
        <v>80</v>
      </c>
      <c r="AA1080" s="10" t="n">
        <f aca="false">I1080</f>
        <v>40</v>
      </c>
      <c r="AB1080" s="10" t="n">
        <f aca="false">J1080</f>
        <v>16</v>
      </c>
      <c r="AC1080" s="9" t="s">
        <v>4379</v>
      </c>
      <c r="AD1080" s="9" t="s">
        <v>4428</v>
      </c>
      <c r="AE1080" s="9" t="str">
        <f aca="false">IF($AK1080=0,"",INDEX('Part types'!$T:$T,$AK1080)&amp;"")</f>
        <v>All vehicles</v>
      </c>
      <c r="AF1080" s="9" t="str">
        <f aca="false">IF($AK1080=0,"",INDEX('Part types'!$U:$U,$AK1080)&amp;"")</f>
        <v>Oversized (over 120 cm)</v>
      </c>
      <c r="AG1080" s="9" t="str">
        <f aca="false">IF($AK1080=0,"",INDEX('Part types'!$V:$V,$AK1080)&amp;"")</f>
        <v>Estimate: item-specific</v>
      </c>
      <c r="AH1080" s="9" t="str">
        <f aca="false">IF($AK1080=0,"",INDEX('Part types'!$W:$W,$AK1080)&amp;"")</f>
        <v/>
      </c>
      <c r="AI1080" s="11" t="str">
        <f aca="false">IF($AK1080=0,"",INDEX('Part types'!$X:$X,$AK1080)&amp;"")</f>
        <v/>
      </c>
      <c r="AJ1080" s="9" t="str">
        <f aca="false">IF($AK1080=0,"",INDEX('Part types'!$Y:$Y,$AK1080)&amp;"")</f>
        <v/>
      </c>
      <c r="AK1080" s="9" t="n">
        <f aca="false">IFERROR(MATCH($AD1080,'Part types'!$E:$E,0),0)</f>
        <v>716</v>
      </c>
    </row>
    <row r="1081" customFormat="false" ht="15" hidden="false" customHeight="false" outlineLevel="0" collapsed="false">
      <c r="A1081" s="9" t="s">
        <v>4429</v>
      </c>
      <c r="B1081" s="9" t="s">
        <v>4373</v>
      </c>
      <c r="C1081" s="9" t="s">
        <v>4430</v>
      </c>
      <c r="D1081" s="9" t="str">
        <f aca="false">C1081&amp;" - "&amp;E1081</f>
        <v>Bike Carrier - Universal</v>
      </c>
      <c r="E1081" s="9" t="s">
        <v>68</v>
      </c>
      <c r="F1081" s="9" t="s">
        <v>2660</v>
      </c>
      <c r="G1081" s="10" t="n">
        <f aca="false">IF($AK1081=0,"",INDEX('Part types'!$P:$P,$AK1081))</f>
        <v>90</v>
      </c>
      <c r="H1081" s="10" t="n">
        <f aca="false">IF($AK1081=0,"",INDEX('Part types'!$Q:$Q,$AK1081))</f>
        <v>30</v>
      </c>
      <c r="I1081" s="10" t="n">
        <f aca="false">IF($AK1081=0,"",INDEX('Part types'!$R:$R,$AK1081))</f>
        <v>25</v>
      </c>
      <c r="J1081" s="10" t="n">
        <f aca="false">IF($AK1081=0,"",INDEX('Part types'!$S:$S,$AK1081))</f>
        <v>6</v>
      </c>
      <c r="K1081" s="11" t="s">
        <v>4375</v>
      </c>
      <c r="L1081" s="11" t="s">
        <v>4431</v>
      </c>
      <c r="M1081" s="11" t="str">
        <f aca="false">L1081&amp;" - "&amp;N1081</f>
        <v>حامل دراجات - عام</v>
      </c>
      <c r="N1081" s="11" t="s">
        <v>72</v>
      </c>
      <c r="O1081" s="11" t="s">
        <v>2663</v>
      </c>
      <c r="P1081" s="10" t="n">
        <f aca="false">G1081</f>
        <v>90</v>
      </c>
      <c r="Q1081" s="10" t="n">
        <f aca="false">H1081</f>
        <v>30</v>
      </c>
      <c r="R1081" s="10" t="n">
        <f aca="false">I1081</f>
        <v>25</v>
      </c>
      <c r="S1081" s="10" t="n">
        <f aca="false">J1081</f>
        <v>6</v>
      </c>
      <c r="T1081" s="12" t="s">
        <v>4377</v>
      </c>
      <c r="U1081" s="12" t="s">
        <v>4432</v>
      </c>
      <c r="V1081" s="9" t="str">
        <f aca="false">U1081&amp;" - "&amp;W1081</f>
        <v>自行车架 - 通用</v>
      </c>
      <c r="W1081" s="12" t="s">
        <v>76</v>
      </c>
      <c r="X1081" s="12" t="s">
        <v>2666</v>
      </c>
      <c r="Y1081" s="10" t="n">
        <f aca="false">G1081</f>
        <v>90</v>
      </c>
      <c r="Z1081" s="10" t="n">
        <f aca="false">H1081</f>
        <v>30</v>
      </c>
      <c r="AA1081" s="10" t="n">
        <f aca="false">I1081</f>
        <v>25</v>
      </c>
      <c r="AB1081" s="10" t="n">
        <f aca="false">J1081</f>
        <v>6</v>
      </c>
      <c r="AC1081" s="9" t="s">
        <v>4379</v>
      </c>
      <c r="AD1081" s="9" t="s">
        <v>4433</v>
      </c>
      <c r="AE1081" s="9" t="str">
        <f aca="false">IF($AK1081=0,"",INDEX('Part types'!$T:$T,$AK1081)&amp;"")</f>
        <v>All vehicles</v>
      </c>
      <c r="AF1081" s="9" t="str">
        <f aca="false">IF($AK1081=0,"",INDEX('Part types'!$U:$U,$AK1081)&amp;"")</f>
        <v/>
      </c>
      <c r="AG1081" s="9" t="str">
        <f aca="false">IF($AK1081=0,"",INDEX('Part types'!$V:$V,$AK1081)&amp;"")</f>
        <v>Estimate: item-specific</v>
      </c>
      <c r="AH1081" s="9" t="str">
        <f aca="false">IF($AK1081=0,"",INDEX('Part types'!$W:$W,$AK1081)&amp;"")</f>
        <v/>
      </c>
      <c r="AI1081" s="11" t="str">
        <f aca="false">IF($AK1081=0,"",INDEX('Part types'!$X:$X,$AK1081)&amp;"")</f>
        <v/>
      </c>
      <c r="AJ1081" s="9" t="str">
        <f aca="false">IF($AK1081=0,"",INDEX('Part types'!$Y:$Y,$AK1081)&amp;"")</f>
        <v/>
      </c>
      <c r="AK1081" s="9" t="n">
        <f aca="false">IFERROR(MATCH($AD1081,'Part types'!$E:$E,0),0)</f>
        <v>717</v>
      </c>
    </row>
    <row r="1082" customFormat="false" ht="15" hidden="false" customHeight="false" outlineLevel="0" collapsed="false">
      <c r="A1082" s="9" t="s">
        <v>4434</v>
      </c>
      <c r="B1082" s="9" t="s">
        <v>4373</v>
      </c>
      <c r="C1082" s="9" t="s">
        <v>4435</v>
      </c>
      <c r="D1082" s="9" t="str">
        <f aca="false">C1082&amp;" - "&amp;E1082</f>
        <v>Tow Bar - Universal</v>
      </c>
      <c r="E1082" s="9" t="s">
        <v>68</v>
      </c>
      <c r="F1082" s="9" t="s">
        <v>237</v>
      </c>
      <c r="G1082" s="10" t="n">
        <f aca="false">IF($AK1082=0,"",INDEX('Part types'!$P:$P,$AK1082))</f>
        <v>70</v>
      </c>
      <c r="H1082" s="10" t="n">
        <f aca="false">IF($AK1082=0,"",INDEX('Part types'!$Q:$Q,$AK1082))</f>
        <v>25</v>
      </c>
      <c r="I1082" s="10" t="n">
        <f aca="false">IF($AK1082=0,"",INDEX('Part types'!$R:$R,$AK1082))</f>
        <v>15</v>
      </c>
      <c r="J1082" s="10" t="n">
        <f aca="false">IF($AK1082=0,"",INDEX('Part types'!$S:$S,$AK1082))</f>
        <v>14</v>
      </c>
      <c r="K1082" s="11" t="s">
        <v>4375</v>
      </c>
      <c r="L1082" s="11" t="s">
        <v>4436</v>
      </c>
      <c r="M1082" s="11" t="str">
        <f aca="false">L1082&amp;" - "&amp;N1082</f>
        <v>وصلة سحب - عام</v>
      </c>
      <c r="N1082" s="11" t="s">
        <v>72</v>
      </c>
      <c r="O1082" s="11" t="s">
        <v>239</v>
      </c>
      <c r="P1082" s="10" t="n">
        <f aca="false">G1082</f>
        <v>70</v>
      </c>
      <c r="Q1082" s="10" t="n">
        <f aca="false">H1082</f>
        <v>25</v>
      </c>
      <c r="R1082" s="10" t="n">
        <f aca="false">I1082</f>
        <v>15</v>
      </c>
      <c r="S1082" s="10" t="n">
        <f aca="false">J1082</f>
        <v>14</v>
      </c>
      <c r="T1082" s="12" t="s">
        <v>4377</v>
      </c>
      <c r="U1082" s="12" t="s">
        <v>4437</v>
      </c>
      <c r="V1082" s="9" t="str">
        <f aca="false">U1082&amp;" - "&amp;W1082</f>
        <v>拖车钩牵引杆 - 通用</v>
      </c>
      <c r="W1082" s="12" t="s">
        <v>76</v>
      </c>
      <c r="X1082" s="12" t="s">
        <v>241</v>
      </c>
      <c r="Y1082" s="10" t="n">
        <f aca="false">G1082</f>
        <v>70</v>
      </c>
      <c r="Z1082" s="10" t="n">
        <f aca="false">H1082</f>
        <v>25</v>
      </c>
      <c r="AA1082" s="10" t="n">
        <f aca="false">I1082</f>
        <v>15</v>
      </c>
      <c r="AB1082" s="10" t="n">
        <f aca="false">J1082</f>
        <v>14</v>
      </c>
      <c r="AC1082" s="9" t="s">
        <v>4379</v>
      </c>
      <c r="AD1082" s="9" t="s">
        <v>4438</v>
      </c>
      <c r="AE1082" s="9" t="str">
        <f aca="false">IF($AK1082=0,"",INDEX('Part types'!$T:$T,$AK1082)&amp;"")</f>
        <v>All vehicles</v>
      </c>
      <c r="AF1082" s="9" t="str">
        <f aca="false">IF($AK1082=0,"",INDEX('Part types'!$U:$U,$AK1082)&amp;"")</f>
        <v/>
      </c>
      <c r="AG1082" s="9" t="str">
        <f aca="false">IF($AK1082=0,"",INDEX('Part types'!$V:$V,$AK1082)&amp;"")</f>
        <v>Estimate: item-specific</v>
      </c>
      <c r="AH1082" s="9" t="str">
        <f aca="false">IF($AK1082=0,"",INDEX('Part types'!$W:$W,$AK1082)&amp;"")</f>
        <v>Hitch</v>
      </c>
      <c r="AI1082" s="11" t="str">
        <f aca="false">IF($AK1082=0,"",INDEX('Part types'!$X:$X,$AK1082)&amp;"")</f>
        <v>تاو بار</v>
      </c>
      <c r="AJ1082" s="9" t="str">
        <f aca="false">IF($AK1082=0,"",INDEX('Part types'!$Y:$Y,$AK1082)&amp;"")</f>
        <v/>
      </c>
      <c r="AK1082" s="9" t="n">
        <f aca="false">IFERROR(MATCH($AD1082,'Part types'!$E:$E,0),0)</f>
        <v>718</v>
      </c>
    </row>
    <row r="1083" customFormat="false" ht="15" hidden="false" customHeight="false" outlineLevel="0" collapsed="false">
      <c r="A1083" s="9" t="s">
        <v>4439</v>
      </c>
      <c r="B1083" s="9" t="s">
        <v>4373</v>
      </c>
      <c r="C1083" s="9" t="s">
        <v>4440</v>
      </c>
      <c r="D1083" s="9" t="str">
        <f aca="false">C1083&amp;" - "&amp;E1083</f>
        <v>Trailer Wiring Kit - Universal</v>
      </c>
      <c r="E1083" s="9" t="s">
        <v>68</v>
      </c>
      <c r="F1083" s="9" t="s">
        <v>2336</v>
      </c>
      <c r="G1083" s="10" t="n">
        <f aca="false">IF($AK1083=0,"",INDEX('Part types'!$P:$P,$AK1083))</f>
        <v>25</v>
      </c>
      <c r="H1083" s="10" t="n">
        <f aca="false">IF($AK1083=0,"",INDEX('Part types'!$Q:$Q,$AK1083))</f>
        <v>15</v>
      </c>
      <c r="I1083" s="10" t="n">
        <f aca="false">IF($AK1083=0,"",INDEX('Part types'!$R:$R,$AK1083))</f>
        <v>10</v>
      </c>
      <c r="J1083" s="10" t="n">
        <f aca="false">IF($AK1083=0,"",INDEX('Part types'!$S:$S,$AK1083))</f>
        <v>0.9</v>
      </c>
      <c r="K1083" s="11" t="s">
        <v>4375</v>
      </c>
      <c r="L1083" s="11" t="s">
        <v>4441</v>
      </c>
      <c r="M1083" s="11" t="str">
        <f aca="false">L1083&amp;" - "&amp;N1083</f>
        <v>طقم توصيل المقطورة - عام</v>
      </c>
      <c r="N1083" s="11" t="s">
        <v>72</v>
      </c>
      <c r="O1083" s="11" t="s">
        <v>2375</v>
      </c>
      <c r="P1083" s="10" t="n">
        <f aca="false">G1083</f>
        <v>25</v>
      </c>
      <c r="Q1083" s="10" t="n">
        <f aca="false">H1083</f>
        <v>15</v>
      </c>
      <c r="R1083" s="10" t="n">
        <f aca="false">I1083</f>
        <v>10</v>
      </c>
      <c r="S1083" s="10" t="n">
        <f aca="false">J1083</f>
        <v>0.9</v>
      </c>
      <c r="T1083" s="12" t="s">
        <v>4377</v>
      </c>
      <c r="U1083" s="12" t="s">
        <v>4442</v>
      </c>
      <c r="V1083" s="9" t="str">
        <f aca="false">U1083&amp;" - "&amp;W1083</f>
        <v>拖车线束套装 - 通用</v>
      </c>
      <c r="W1083" s="12" t="s">
        <v>76</v>
      </c>
      <c r="X1083" s="12" t="s">
        <v>2377</v>
      </c>
      <c r="Y1083" s="10" t="n">
        <f aca="false">G1083</f>
        <v>25</v>
      </c>
      <c r="Z1083" s="10" t="n">
        <f aca="false">H1083</f>
        <v>15</v>
      </c>
      <c r="AA1083" s="10" t="n">
        <f aca="false">I1083</f>
        <v>10</v>
      </c>
      <c r="AB1083" s="10" t="n">
        <f aca="false">J1083</f>
        <v>0.9</v>
      </c>
      <c r="AC1083" s="9" t="s">
        <v>4379</v>
      </c>
      <c r="AD1083" s="9" t="s">
        <v>4443</v>
      </c>
      <c r="AE1083" s="9" t="str">
        <f aca="false">IF($AK1083=0,"",INDEX('Part types'!$T:$T,$AK1083)&amp;"")</f>
        <v>All vehicles</v>
      </c>
      <c r="AF1083" s="9" t="str">
        <f aca="false">IF($AK1083=0,"",INDEX('Part types'!$U:$U,$AK1083)&amp;"")</f>
        <v/>
      </c>
      <c r="AG1083" s="9" t="str">
        <f aca="false">IF($AK1083=0,"",INDEX('Part types'!$V:$V,$AK1083)&amp;"")</f>
        <v>Estimate: size class M</v>
      </c>
      <c r="AH1083" s="9" t="str">
        <f aca="false">IF($AK1083=0,"",INDEX('Part types'!$W:$W,$AK1083)&amp;"")</f>
        <v/>
      </c>
      <c r="AI1083" s="11" t="str">
        <f aca="false">IF($AK1083=0,"",INDEX('Part types'!$X:$X,$AK1083)&amp;"")</f>
        <v/>
      </c>
      <c r="AJ1083" s="9" t="str">
        <f aca="false">IF($AK1083=0,"",INDEX('Part types'!$Y:$Y,$AK1083)&amp;"")</f>
        <v/>
      </c>
      <c r="AK1083" s="9" t="n">
        <f aca="false">IFERROR(MATCH($AD1083,'Part types'!$E:$E,0),0)</f>
        <v>719</v>
      </c>
    </row>
    <row r="1084" customFormat="false" ht="15" hidden="false" customHeight="false" outlineLevel="0" collapsed="false">
      <c r="A1084" s="9" t="s">
        <v>4444</v>
      </c>
      <c r="B1084" s="9" t="s">
        <v>4373</v>
      </c>
      <c r="C1084" s="9" t="s">
        <v>4445</v>
      </c>
      <c r="D1084" s="9" t="str">
        <f aca="false">C1084&amp;" - "&amp;E1084</f>
        <v>Door Edge Guard - Front-Left</v>
      </c>
      <c r="E1084" s="9" t="s">
        <v>1346</v>
      </c>
      <c r="F1084" s="9" t="s">
        <v>3583</v>
      </c>
      <c r="G1084" s="10" t="n">
        <f aca="false">IF($AK1084=0,"",INDEX('Part types'!$P:$P,$AK1084))</f>
        <v>15</v>
      </c>
      <c r="H1084" s="10" t="n">
        <f aca="false">IF($AK1084=0,"",INDEX('Part types'!$Q:$Q,$AK1084))</f>
        <v>10</v>
      </c>
      <c r="I1084" s="10" t="n">
        <f aca="false">IF($AK1084=0,"",INDEX('Part types'!$R:$R,$AK1084))</f>
        <v>8</v>
      </c>
      <c r="J1084" s="10" t="n">
        <f aca="false">IF($AK1084=0,"",INDEX('Part types'!$S:$S,$AK1084))</f>
        <v>0.3</v>
      </c>
      <c r="K1084" s="11" t="s">
        <v>4375</v>
      </c>
      <c r="L1084" s="11" t="s">
        <v>4446</v>
      </c>
      <c r="M1084" s="11" t="str">
        <f aca="false">L1084&amp;" - "&amp;N1084</f>
        <v>واقي حواف الأبواب - أمامي يسار</v>
      </c>
      <c r="N1084" s="11" t="s">
        <v>1349</v>
      </c>
      <c r="O1084" s="11" t="s">
        <v>3585</v>
      </c>
      <c r="P1084" s="10" t="n">
        <f aca="false">G1084</f>
        <v>15</v>
      </c>
      <c r="Q1084" s="10" t="n">
        <f aca="false">H1084</f>
        <v>10</v>
      </c>
      <c r="R1084" s="10" t="n">
        <f aca="false">I1084</f>
        <v>8</v>
      </c>
      <c r="S1084" s="10" t="n">
        <f aca="false">J1084</f>
        <v>0.3</v>
      </c>
      <c r="T1084" s="12" t="s">
        <v>4377</v>
      </c>
      <c r="U1084" s="12" t="s">
        <v>4447</v>
      </c>
      <c r="V1084" s="9" t="str">
        <f aca="false">U1084&amp;" - "&amp;W1084</f>
        <v>车门防撞条 - 前左</v>
      </c>
      <c r="W1084" s="12" t="s">
        <v>1352</v>
      </c>
      <c r="X1084" s="12" t="s">
        <v>3587</v>
      </c>
      <c r="Y1084" s="10" t="n">
        <f aca="false">G1084</f>
        <v>15</v>
      </c>
      <c r="Z1084" s="10" t="n">
        <f aca="false">H1084</f>
        <v>10</v>
      </c>
      <c r="AA1084" s="10" t="n">
        <f aca="false">I1084</f>
        <v>8</v>
      </c>
      <c r="AB1084" s="10" t="n">
        <f aca="false">J1084</f>
        <v>0.3</v>
      </c>
      <c r="AC1084" s="9" t="s">
        <v>4379</v>
      </c>
      <c r="AD1084" s="9" t="s">
        <v>4448</v>
      </c>
      <c r="AE1084" s="9" t="str">
        <f aca="false">IF($AK1084=0,"",INDEX('Part types'!$T:$T,$AK1084)&amp;"")</f>
        <v>All vehicles</v>
      </c>
      <c r="AF1084" s="9" t="str">
        <f aca="false">IF($AK1084=0,"",INDEX('Part types'!$U:$U,$AK1084)&amp;"")</f>
        <v/>
      </c>
      <c r="AG1084" s="9" t="str">
        <f aca="false">IF($AK1084=0,"",INDEX('Part types'!$V:$V,$AK1084)&amp;"")</f>
        <v>Estimate: size class S</v>
      </c>
      <c r="AH1084" s="9" t="str">
        <f aca="false">IF($AK1084=0,"",INDEX('Part types'!$W:$W,$AK1084)&amp;"")</f>
        <v/>
      </c>
      <c r="AI1084" s="11" t="str">
        <f aca="false">IF($AK1084=0,"",INDEX('Part types'!$X:$X,$AK1084)&amp;"")</f>
        <v/>
      </c>
      <c r="AJ1084" s="9" t="str">
        <f aca="false">IF($AK1084=0,"",INDEX('Part types'!$Y:$Y,$AK1084)&amp;"")</f>
        <v/>
      </c>
      <c r="AK1084" s="9" t="n">
        <f aca="false">IFERROR(MATCH($AD1084,'Part types'!$E:$E,0),0)</f>
        <v>720</v>
      </c>
    </row>
    <row r="1085" customFormat="false" ht="15" hidden="false" customHeight="false" outlineLevel="0" collapsed="false">
      <c r="A1085" s="9" t="s">
        <v>4449</v>
      </c>
      <c r="B1085" s="9" t="s">
        <v>4373</v>
      </c>
      <c r="C1085" s="9" t="s">
        <v>4445</v>
      </c>
      <c r="D1085" s="9" t="str">
        <f aca="false">C1085&amp;" - "&amp;E1085</f>
        <v>Door Edge Guard - Front-Right</v>
      </c>
      <c r="E1085" s="9" t="s">
        <v>1356</v>
      </c>
      <c r="F1085" s="9" t="s">
        <v>3583</v>
      </c>
      <c r="G1085" s="10" t="n">
        <f aca="false">IF($AK1085=0,"",INDEX('Part types'!$P:$P,$AK1085))</f>
        <v>15</v>
      </c>
      <c r="H1085" s="10" t="n">
        <f aca="false">IF($AK1085=0,"",INDEX('Part types'!$Q:$Q,$AK1085))</f>
        <v>10</v>
      </c>
      <c r="I1085" s="10" t="n">
        <f aca="false">IF($AK1085=0,"",INDEX('Part types'!$R:$R,$AK1085))</f>
        <v>8</v>
      </c>
      <c r="J1085" s="10" t="n">
        <f aca="false">IF($AK1085=0,"",INDEX('Part types'!$S:$S,$AK1085))</f>
        <v>0.3</v>
      </c>
      <c r="K1085" s="11" t="s">
        <v>4375</v>
      </c>
      <c r="L1085" s="11" t="s">
        <v>4446</v>
      </c>
      <c r="M1085" s="11" t="str">
        <f aca="false">L1085&amp;" - "&amp;N1085</f>
        <v>واقي حواف الأبواب - أمامي يمين</v>
      </c>
      <c r="N1085" s="11" t="s">
        <v>1357</v>
      </c>
      <c r="O1085" s="11" t="s">
        <v>3585</v>
      </c>
      <c r="P1085" s="10" t="n">
        <f aca="false">G1085</f>
        <v>15</v>
      </c>
      <c r="Q1085" s="10" t="n">
        <f aca="false">H1085</f>
        <v>10</v>
      </c>
      <c r="R1085" s="10" t="n">
        <f aca="false">I1085</f>
        <v>8</v>
      </c>
      <c r="S1085" s="10" t="n">
        <f aca="false">J1085</f>
        <v>0.3</v>
      </c>
      <c r="T1085" s="12" t="s">
        <v>4377</v>
      </c>
      <c r="U1085" s="12" t="s">
        <v>4447</v>
      </c>
      <c r="V1085" s="9" t="str">
        <f aca="false">U1085&amp;" - "&amp;W1085</f>
        <v>车门防撞条 - 前右</v>
      </c>
      <c r="W1085" s="12" t="s">
        <v>1358</v>
      </c>
      <c r="X1085" s="12" t="s">
        <v>3587</v>
      </c>
      <c r="Y1085" s="10" t="n">
        <f aca="false">G1085</f>
        <v>15</v>
      </c>
      <c r="Z1085" s="10" t="n">
        <f aca="false">H1085</f>
        <v>10</v>
      </c>
      <c r="AA1085" s="10" t="n">
        <f aca="false">I1085</f>
        <v>8</v>
      </c>
      <c r="AB1085" s="10" t="n">
        <f aca="false">J1085</f>
        <v>0.3</v>
      </c>
      <c r="AC1085" s="9" t="s">
        <v>4379</v>
      </c>
      <c r="AD1085" s="9" t="s">
        <v>4448</v>
      </c>
      <c r="AE1085" s="9" t="str">
        <f aca="false">IF($AK1085=0,"",INDEX('Part types'!$T:$T,$AK1085)&amp;"")</f>
        <v>All vehicles</v>
      </c>
      <c r="AF1085" s="9" t="str">
        <f aca="false">IF($AK1085=0,"",INDEX('Part types'!$U:$U,$AK1085)&amp;"")</f>
        <v/>
      </c>
      <c r="AG1085" s="9" t="str">
        <f aca="false">IF($AK1085=0,"",INDEX('Part types'!$V:$V,$AK1085)&amp;"")</f>
        <v>Estimate: size class S</v>
      </c>
      <c r="AH1085" s="9" t="str">
        <f aca="false">IF($AK1085=0,"",INDEX('Part types'!$W:$W,$AK1085)&amp;"")</f>
        <v/>
      </c>
      <c r="AI1085" s="11" t="str">
        <f aca="false">IF($AK1085=0,"",INDEX('Part types'!$X:$X,$AK1085)&amp;"")</f>
        <v/>
      </c>
      <c r="AJ1085" s="9" t="str">
        <f aca="false">IF($AK1085=0,"",INDEX('Part types'!$Y:$Y,$AK1085)&amp;"")</f>
        <v/>
      </c>
      <c r="AK1085" s="9" t="n">
        <f aca="false">IFERROR(MATCH($AD1085,'Part types'!$E:$E,0),0)</f>
        <v>720</v>
      </c>
    </row>
    <row r="1086" customFormat="false" ht="15" hidden="false" customHeight="false" outlineLevel="0" collapsed="false">
      <c r="A1086" s="9" t="s">
        <v>4450</v>
      </c>
      <c r="B1086" s="9" t="s">
        <v>4373</v>
      </c>
      <c r="C1086" s="9" t="s">
        <v>4445</v>
      </c>
      <c r="D1086" s="9" t="str">
        <f aca="false">C1086&amp;" - "&amp;E1086</f>
        <v>Door Edge Guard - Rear-Left</v>
      </c>
      <c r="E1086" s="9" t="s">
        <v>1360</v>
      </c>
      <c r="F1086" s="9" t="s">
        <v>3583</v>
      </c>
      <c r="G1086" s="10" t="n">
        <f aca="false">IF($AK1086=0,"",INDEX('Part types'!$P:$P,$AK1086))</f>
        <v>15</v>
      </c>
      <c r="H1086" s="10" t="n">
        <f aca="false">IF($AK1086=0,"",INDEX('Part types'!$Q:$Q,$AK1086))</f>
        <v>10</v>
      </c>
      <c r="I1086" s="10" t="n">
        <f aca="false">IF($AK1086=0,"",INDEX('Part types'!$R:$R,$AK1086))</f>
        <v>8</v>
      </c>
      <c r="J1086" s="10" t="n">
        <f aca="false">IF($AK1086=0,"",INDEX('Part types'!$S:$S,$AK1086))</f>
        <v>0.3</v>
      </c>
      <c r="K1086" s="11" t="s">
        <v>4375</v>
      </c>
      <c r="L1086" s="11" t="s">
        <v>4446</v>
      </c>
      <c r="M1086" s="11" t="str">
        <f aca="false">L1086&amp;" - "&amp;N1086</f>
        <v>واقي حواف الأبواب - خلفي يسار</v>
      </c>
      <c r="N1086" s="11" t="s">
        <v>1361</v>
      </c>
      <c r="O1086" s="11" t="s">
        <v>3585</v>
      </c>
      <c r="P1086" s="10" t="n">
        <f aca="false">G1086</f>
        <v>15</v>
      </c>
      <c r="Q1086" s="10" t="n">
        <f aca="false">H1086</f>
        <v>10</v>
      </c>
      <c r="R1086" s="10" t="n">
        <f aca="false">I1086</f>
        <v>8</v>
      </c>
      <c r="S1086" s="10" t="n">
        <f aca="false">J1086</f>
        <v>0.3</v>
      </c>
      <c r="T1086" s="12" t="s">
        <v>4377</v>
      </c>
      <c r="U1086" s="12" t="s">
        <v>4447</v>
      </c>
      <c r="V1086" s="9" t="str">
        <f aca="false">U1086&amp;" - "&amp;W1086</f>
        <v>车门防撞条 - 后左</v>
      </c>
      <c r="W1086" s="12" t="s">
        <v>1362</v>
      </c>
      <c r="X1086" s="12" t="s">
        <v>3587</v>
      </c>
      <c r="Y1086" s="10" t="n">
        <f aca="false">G1086</f>
        <v>15</v>
      </c>
      <c r="Z1086" s="10" t="n">
        <f aca="false">H1086</f>
        <v>10</v>
      </c>
      <c r="AA1086" s="10" t="n">
        <f aca="false">I1086</f>
        <v>8</v>
      </c>
      <c r="AB1086" s="10" t="n">
        <f aca="false">J1086</f>
        <v>0.3</v>
      </c>
      <c r="AC1086" s="9" t="s">
        <v>4379</v>
      </c>
      <c r="AD1086" s="9" t="s">
        <v>4448</v>
      </c>
      <c r="AE1086" s="9" t="str">
        <f aca="false">IF($AK1086=0,"",INDEX('Part types'!$T:$T,$AK1086)&amp;"")</f>
        <v>All vehicles</v>
      </c>
      <c r="AF1086" s="9" t="str">
        <f aca="false">IF($AK1086=0,"",INDEX('Part types'!$U:$U,$AK1086)&amp;"")</f>
        <v/>
      </c>
      <c r="AG1086" s="9" t="str">
        <f aca="false">IF($AK1086=0,"",INDEX('Part types'!$V:$V,$AK1086)&amp;"")</f>
        <v>Estimate: size class S</v>
      </c>
      <c r="AH1086" s="9" t="str">
        <f aca="false">IF($AK1086=0,"",INDEX('Part types'!$W:$W,$AK1086)&amp;"")</f>
        <v/>
      </c>
      <c r="AI1086" s="11" t="str">
        <f aca="false">IF($AK1086=0,"",INDEX('Part types'!$X:$X,$AK1086)&amp;"")</f>
        <v/>
      </c>
      <c r="AJ1086" s="9" t="str">
        <f aca="false">IF($AK1086=0,"",INDEX('Part types'!$Y:$Y,$AK1086)&amp;"")</f>
        <v/>
      </c>
      <c r="AK1086" s="9" t="n">
        <f aca="false">IFERROR(MATCH($AD1086,'Part types'!$E:$E,0),0)</f>
        <v>720</v>
      </c>
    </row>
    <row r="1087" customFormat="false" ht="15" hidden="false" customHeight="false" outlineLevel="0" collapsed="false">
      <c r="A1087" s="9" t="s">
        <v>4451</v>
      </c>
      <c r="B1087" s="9" t="s">
        <v>4373</v>
      </c>
      <c r="C1087" s="9" t="s">
        <v>4445</v>
      </c>
      <c r="D1087" s="9" t="str">
        <f aca="false">C1087&amp;" - "&amp;E1087</f>
        <v>Door Edge Guard - Rear-Right</v>
      </c>
      <c r="E1087" s="9" t="s">
        <v>1364</v>
      </c>
      <c r="F1087" s="9" t="s">
        <v>3583</v>
      </c>
      <c r="G1087" s="10" t="n">
        <f aca="false">IF($AK1087=0,"",INDEX('Part types'!$P:$P,$AK1087))</f>
        <v>15</v>
      </c>
      <c r="H1087" s="10" t="n">
        <f aca="false">IF($AK1087=0,"",INDEX('Part types'!$Q:$Q,$AK1087))</f>
        <v>10</v>
      </c>
      <c r="I1087" s="10" t="n">
        <f aca="false">IF($AK1087=0,"",INDEX('Part types'!$R:$R,$AK1087))</f>
        <v>8</v>
      </c>
      <c r="J1087" s="10" t="n">
        <f aca="false">IF($AK1087=0,"",INDEX('Part types'!$S:$S,$AK1087))</f>
        <v>0.3</v>
      </c>
      <c r="K1087" s="11" t="s">
        <v>4375</v>
      </c>
      <c r="L1087" s="11" t="s">
        <v>4446</v>
      </c>
      <c r="M1087" s="11" t="str">
        <f aca="false">L1087&amp;" - "&amp;N1087</f>
        <v>واقي حواف الأبواب - خلفي يمين</v>
      </c>
      <c r="N1087" s="11" t="s">
        <v>1365</v>
      </c>
      <c r="O1087" s="11" t="s">
        <v>3585</v>
      </c>
      <c r="P1087" s="10" t="n">
        <f aca="false">G1087</f>
        <v>15</v>
      </c>
      <c r="Q1087" s="10" t="n">
        <f aca="false">H1087</f>
        <v>10</v>
      </c>
      <c r="R1087" s="10" t="n">
        <f aca="false">I1087</f>
        <v>8</v>
      </c>
      <c r="S1087" s="10" t="n">
        <f aca="false">J1087</f>
        <v>0.3</v>
      </c>
      <c r="T1087" s="12" t="s">
        <v>4377</v>
      </c>
      <c r="U1087" s="12" t="s">
        <v>4447</v>
      </c>
      <c r="V1087" s="9" t="str">
        <f aca="false">U1087&amp;" - "&amp;W1087</f>
        <v>车门防撞条 - 后右</v>
      </c>
      <c r="W1087" s="12" t="s">
        <v>1366</v>
      </c>
      <c r="X1087" s="12" t="s">
        <v>3587</v>
      </c>
      <c r="Y1087" s="10" t="n">
        <f aca="false">G1087</f>
        <v>15</v>
      </c>
      <c r="Z1087" s="10" t="n">
        <f aca="false">H1087</f>
        <v>10</v>
      </c>
      <c r="AA1087" s="10" t="n">
        <f aca="false">I1087</f>
        <v>8</v>
      </c>
      <c r="AB1087" s="10" t="n">
        <f aca="false">J1087</f>
        <v>0.3</v>
      </c>
      <c r="AC1087" s="9" t="s">
        <v>4379</v>
      </c>
      <c r="AD1087" s="9" t="s">
        <v>4448</v>
      </c>
      <c r="AE1087" s="9" t="str">
        <f aca="false">IF($AK1087=0,"",INDEX('Part types'!$T:$T,$AK1087)&amp;"")</f>
        <v>All vehicles</v>
      </c>
      <c r="AF1087" s="9" t="str">
        <f aca="false">IF($AK1087=0,"",INDEX('Part types'!$U:$U,$AK1087)&amp;"")</f>
        <v/>
      </c>
      <c r="AG1087" s="9" t="str">
        <f aca="false">IF($AK1087=0,"",INDEX('Part types'!$V:$V,$AK1087)&amp;"")</f>
        <v>Estimate: size class S</v>
      </c>
      <c r="AH1087" s="9" t="str">
        <f aca="false">IF($AK1087=0,"",INDEX('Part types'!$W:$W,$AK1087)&amp;"")</f>
        <v/>
      </c>
      <c r="AI1087" s="11" t="str">
        <f aca="false">IF($AK1087=0,"",INDEX('Part types'!$X:$X,$AK1087)&amp;"")</f>
        <v/>
      </c>
      <c r="AJ1087" s="9" t="str">
        <f aca="false">IF($AK1087=0,"",INDEX('Part types'!$Y:$Y,$AK1087)&amp;"")</f>
        <v/>
      </c>
      <c r="AK1087" s="9" t="n">
        <f aca="false">IFERROR(MATCH($AD1087,'Part types'!$E:$E,0),0)</f>
        <v>720</v>
      </c>
    </row>
    <row r="1088" customFormat="false" ht="15" hidden="false" customHeight="false" outlineLevel="0" collapsed="false">
      <c r="A1088" s="9" t="s">
        <v>4452</v>
      </c>
      <c r="B1088" s="9" t="s">
        <v>4373</v>
      </c>
      <c r="C1088" s="9" t="s">
        <v>4453</v>
      </c>
      <c r="D1088" s="9" t="str">
        <f aca="false">C1088&amp;" - "&amp;E1088</f>
        <v>Door Sill Protector - Front-Left</v>
      </c>
      <c r="E1088" s="9" t="s">
        <v>1346</v>
      </c>
      <c r="F1088" s="9" t="s">
        <v>3602</v>
      </c>
      <c r="G1088" s="10" t="n">
        <f aca="false">IF($AK1088=0,"",INDEX('Part types'!$P:$P,$AK1088))</f>
        <v>25</v>
      </c>
      <c r="H1088" s="10" t="n">
        <f aca="false">IF($AK1088=0,"",INDEX('Part types'!$Q:$Q,$AK1088))</f>
        <v>15</v>
      </c>
      <c r="I1088" s="10" t="n">
        <f aca="false">IF($AK1088=0,"",INDEX('Part types'!$R:$R,$AK1088))</f>
        <v>10</v>
      </c>
      <c r="J1088" s="10" t="n">
        <f aca="false">IF($AK1088=0,"",INDEX('Part types'!$S:$S,$AK1088))</f>
        <v>0.9</v>
      </c>
      <c r="K1088" s="11" t="s">
        <v>4375</v>
      </c>
      <c r="L1088" s="11" t="s">
        <v>4454</v>
      </c>
      <c r="M1088" s="11" t="str">
        <f aca="false">L1088&amp;" - "&amp;N1088</f>
        <v>واقي عتبة الباب - أمامي يسار</v>
      </c>
      <c r="N1088" s="11" t="s">
        <v>1349</v>
      </c>
      <c r="O1088" s="11" t="s">
        <v>3604</v>
      </c>
      <c r="P1088" s="10" t="n">
        <f aca="false">G1088</f>
        <v>25</v>
      </c>
      <c r="Q1088" s="10" t="n">
        <f aca="false">H1088</f>
        <v>15</v>
      </c>
      <c r="R1088" s="10" t="n">
        <f aca="false">I1088</f>
        <v>10</v>
      </c>
      <c r="S1088" s="10" t="n">
        <f aca="false">J1088</f>
        <v>0.9</v>
      </c>
      <c r="T1088" s="12" t="s">
        <v>4377</v>
      </c>
      <c r="U1088" s="12" t="s">
        <v>4455</v>
      </c>
      <c r="V1088" s="9" t="str">
        <f aca="false">U1088&amp;" - "&amp;W1088</f>
        <v>门槛保护条 - 前左</v>
      </c>
      <c r="W1088" s="12" t="s">
        <v>1352</v>
      </c>
      <c r="X1088" s="12" t="s">
        <v>3606</v>
      </c>
      <c r="Y1088" s="10" t="n">
        <f aca="false">G1088</f>
        <v>25</v>
      </c>
      <c r="Z1088" s="10" t="n">
        <f aca="false">H1088</f>
        <v>15</v>
      </c>
      <c r="AA1088" s="10" t="n">
        <f aca="false">I1088</f>
        <v>10</v>
      </c>
      <c r="AB1088" s="10" t="n">
        <f aca="false">J1088</f>
        <v>0.9</v>
      </c>
      <c r="AC1088" s="9" t="s">
        <v>4379</v>
      </c>
      <c r="AD1088" s="9" t="s">
        <v>4456</v>
      </c>
      <c r="AE1088" s="9" t="str">
        <f aca="false">IF($AK1088=0,"",INDEX('Part types'!$T:$T,$AK1088)&amp;"")</f>
        <v>All vehicles</v>
      </c>
      <c r="AF1088" s="9" t="str">
        <f aca="false">IF($AK1088=0,"",INDEX('Part types'!$U:$U,$AK1088)&amp;"")</f>
        <v/>
      </c>
      <c r="AG1088" s="9" t="str">
        <f aca="false">IF($AK1088=0,"",INDEX('Part types'!$V:$V,$AK1088)&amp;"")</f>
        <v>Estimate: size class M</v>
      </c>
      <c r="AH1088" s="9" t="str">
        <f aca="false">IF($AK1088=0,"",INDEX('Part types'!$W:$W,$AK1088)&amp;"")</f>
        <v/>
      </c>
      <c r="AI1088" s="11" t="str">
        <f aca="false">IF($AK1088=0,"",INDEX('Part types'!$X:$X,$AK1088)&amp;"")</f>
        <v/>
      </c>
      <c r="AJ1088" s="9" t="str">
        <f aca="false">IF($AK1088=0,"",INDEX('Part types'!$Y:$Y,$AK1088)&amp;"")</f>
        <v/>
      </c>
      <c r="AK1088" s="9" t="n">
        <f aca="false">IFERROR(MATCH($AD1088,'Part types'!$E:$E,0),0)</f>
        <v>721</v>
      </c>
    </row>
    <row r="1089" customFormat="false" ht="15" hidden="false" customHeight="false" outlineLevel="0" collapsed="false">
      <c r="A1089" s="9" t="s">
        <v>4457</v>
      </c>
      <c r="B1089" s="9" t="s">
        <v>4373</v>
      </c>
      <c r="C1089" s="9" t="s">
        <v>4453</v>
      </c>
      <c r="D1089" s="9" t="str">
        <f aca="false">C1089&amp;" - "&amp;E1089</f>
        <v>Door Sill Protector - Front-Right</v>
      </c>
      <c r="E1089" s="9" t="s">
        <v>1356</v>
      </c>
      <c r="F1089" s="9" t="s">
        <v>3602</v>
      </c>
      <c r="G1089" s="10" t="n">
        <f aca="false">IF($AK1089=0,"",INDEX('Part types'!$P:$P,$AK1089))</f>
        <v>25</v>
      </c>
      <c r="H1089" s="10" t="n">
        <f aca="false">IF($AK1089=0,"",INDEX('Part types'!$Q:$Q,$AK1089))</f>
        <v>15</v>
      </c>
      <c r="I1089" s="10" t="n">
        <f aca="false">IF($AK1089=0,"",INDEX('Part types'!$R:$R,$AK1089))</f>
        <v>10</v>
      </c>
      <c r="J1089" s="10" t="n">
        <f aca="false">IF($AK1089=0,"",INDEX('Part types'!$S:$S,$AK1089))</f>
        <v>0.9</v>
      </c>
      <c r="K1089" s="11" t="s">
        <v>4375</v>
      </c>
      <c r="L1089" s="11" t="s">
        <v>4454</v>
      </c>
      <c r="M1089" s="11" t="str">
        <f aca="false">L1089&amp;" - "&amp;N1089</f>
        <v>واقي عتبة الباب - أمامي يمين</v>
      </c>
      <c r="N1089" s="11" t="s">
        <v>1357</v>
      </c>
      <c r="O1089" s="11" t="s">
        <v>3604</v>
      </c>
      <c r="P1089" s="10" t="n">
        <f aca="false">G1089</f>
        <v>25</v>
      </c>
      <c r="Q1089" s="10" t="n">
        <f aca="false">H1089</f>
        <v>15</v>
      </c>
      <c r="R1089" s="10" t="n">
        <f aca="false">I1089</f>
        <v>10</v>
      </c>
      <c r="S1089" s="10" t="n">
        <f aca="false">J1089</f>
        <v>0.9</v>
      </c>
      <c r="T1089" s="12" t="s">
        <v>4377</v>
      </c>
      <c r="U1089" s="12" t="s">
        <v>4455</v>
      </c>
      <c r="V1089" s="9" t="str">
        <f aca="false">U1089&amp;" - "&amp;W1089</f>
        <v>门槛保护条 - 前右</v>
      </c>
      <c r="W1089" s="12" t="s">
        <v>1358</v>
      </c>
      <c r="X1089" s="12" t="s">
        <v>3606</v>
      </c>
      <c r="Y1089" s="10" t="n">
        <f aca="false">G1089</f>
        <v>25</v>
      </c>
      <c r="Z1089" s="10" t="n">
        <f aca="false">H1089</f>
        <v>15</v>
      </c>
      <c r="AA1089" s="10" t="n">
        <f aca="false">I1089</f>
        <v>10</v>
      </c>
      <c r="AB1089" s="10" t="n">
        <f aca="false">J1089</f>
        <v>0.9</v>
      </c>
      <c r="AC1089" s="9" t="s">
        <v>4379</v>
      </c>
      <c r="AD1089" s="9" t="s">
        <v>4456</v>
      </c>
      <c r="AE1089" s="9" t="str">
        <f aca="false">IF($AK1089=0,"",INDEX('Part types'!$T:$T,$AK1089)&amp;"")</f>
        <v>All vehicles</v>
      </c>
      <c r="AF1089" s="9" t="str">
        <f aca="false">IF($AK1089=0,"",INDEX('Part types'!$U:$U,$AK1089)&amp;"")</f>
        <v/>
      </c>
      <c r="AG1089" s="9" t="str">
        <f aca="false">IF($AK1089=0,"",INDEX('Part types'!$V:$V,$AK1089)&amp;"")</f>
        <v>Estimate: size class M</v>
      </c>
      <c r="AH1089" s="9" t="str">
        <f aca="false">IF($AK1089=0,"",INDEX('Part types'!$W:$W,$AK1089)&amp;"")</f>
        <v/>
      </c>
      <c r="AI1089" s="11" t="str">
        <f aca="false">IF($AK1089=0,"",INDEX('Part types'!$X:$X,$AK1089)&amp;"")</f>
        <v/>
      </c>
      <c r="AJ1089" s="9" t="str">
        <f aca="false">IF($AK1089=0,"",INDEX('Part types'!$Y:$Y,$AK1089)&amp;"")</f>
        <v/>
      </c>
      <c r="AK1089" s="9" t="n">
        <f aca="false">IFERROR(MATCH($AD1089,'Part types'!$E:$E,0),0)</f>
        <v>721</v>
      </c>
    </row>
    <row r="1090" customFormat="false" ht="15" hidden="false" customHeight="false" outlineLevel="0" collapsed="false">
      <c r="A1090" s="9" t="s">
        <v>4458</v>
      </c>
      <c r="B1090" s="9" t="s">
        <v>4373</v>
      </c>
      <c r="C1090" s="9" t="s">
        <v>4453</v>
      </c>
      <c r="D1090" s="9" t="str">
        <f aca="false">C1090&amp;" - "&amp;E1090</f>
        <v>Door Sill Protector - Rear-Left</v>
      </c>
      <c r="E1090" s="9" t="s">
        <v>1360</v>
      </c>
      <c r="F1090" s="9" t="s">
        <v>3602</v>
      </c>
      <c r="G1090" s="10" t="n">
        <f aca="false">IF($AK1090=0,"",INDEX('Part types'!$P:$P,$AK1090))</f>
        <v>25</v>
      </c>
      <c r="H1090" s="10" t="n">
        <f aca="false">IF($AK1090=0,"",INDEX('Part types'!$Q:$Q,$AK1090))</f>
        <v>15</v>
      </c>
      <c r="I1090" s="10" t="n">
        <f aca="false">IF($AK1090=0,"",INDEX('Part types'!$R:$R,$AK1090))</f>
        <v>10</v>
      </c>
      <c r="J1090" s="10" t="n">
        <f aca="false">IF($AK1090=0,"",INDEX('Part types'!$S:$S,$AK1090))</f>
        <v>0.9</v>
      </c>
      <c r="K1090" s="11" t="s">
        <v>4375</v>
      </c>
      <c r="L1090" s="11" t="s">
        <v>4454</v>
      </c>
      <c r="M1090" s="11" t="str">
        <f aca="false">L1090&amp;" - "&amp;N1090</f>
        <v>واقي عتبة الباب - خلفي يسار</v>
      </c>
      <c r="N1090" s="11" t="s">
        <v>1361</v>
      </c>
      <c r="O1090" s="11" t="s">
        <v>3604</v>
      </c>
      <c r="P1090" s="10" t="n">
        <f aca="false">G1090</f>
        <v>25</v>
      </c>
      <c r="Q1090" s="10" t="n">
        <f aca="false">H1090</f>
        <v>15</v>
      </c>
      <c r="R1090" s="10" t="n">
        <f aca="false">I1090</f>
        <v>10</v>
      </c>
      <c r="S1090" s="10" t="n">
        <f aca="false">J1090</f>
        <v>0.9</v>
      </c>
      <c r="T1090" s="12" t="s">
        <v>4377</v>
      </c>
      <c r="U1090" s="12" t="s">
        <v>4455</v>
      </c>
      <c r="V1090" s="9" t="str">
        <f aca="false">U1090&amp;" - "&amp;W1090</f>
        <v>门槛保护条 - 后左</v>
      </c>
      <c r="W1090" s="12" t="s">
        <v>1362</v>
      </c>
      <c r="X1090" s="12" t="s">
        <v>3606</v>
      </c>
      <c r="Y1090" s="10" t="n">
        <f aca="false">G1090</f>
        <v>25</v>
      </c>
      <c r="Z1090" s="10" t="n">
        <f aca="false">H1090</f>
        <v>15</v>
      </c>
      <c r="AA1090" s="10" t="n">
        <f aca="false">I1090</f>
        <v>10</v>
      </c>
      <c r="AB1090" s="10" t="n">
        <f aca="false">J1090</f>
        <v>0.9</v>
      </c>
      <c r="AC1090" s="9" t="s">
        <v>4379</v>
      </c>
      <c r="AD1090" s="9" t="s">
        <v>4456</v>
      </c>
      <c r="AE1090" s="9" t="str">
        <f aca="false">IF($AK1090=0,"",INDEX('Part types'!$T:$T,$AK1090)&amp;"")</f>
        <v>All vehicles</v>
      </c>
      <c r="AF1090" s="9" t="str">
        <f aca="false">IF($AK1090=0,"",INDEX('Part types'!$U:$U,$AK1090)&amp;"")</f>
        <v/>
      </c>
      <c r="AG1090" s="9" t="str">
        <f aca="false">IF($AK1090=0,"",INDEX('Part types'!$V:$V,$AK1090)&amp;"")</f>
        <v>Estimate: size class M</v>
      </c>
      <c r="AH1090" s="9" t="str">
        <f aca="false">IF($AK1090=0,"",INDEX('Part types'!$W:$W,$AK1090)&amp;"")</f>
        <v/>
      </c>
      <c r="AI1090" s="11" t="str">
        <f aca="false">IF($AK1090=0,"",INDEX('Part types'!$X:$X,$AK1090)&amp;"")</f>
        <v/>
      </c>
      <c r="AJ1090" s="9" t="str">
        <f aca="false">IF($AK1090=0,"",INDEX('Part types'!$Y:$Y,$AK1090)&amp;"")</f>
        <v/>
      </c>
      <c r="AK1090" s="9" t="n">
        <f aca="false">IFERROR(MATCH($AD1090,'Part types'!$E:$E,0),0)</f>
        <v>721</v>
      </c>
    </row>
    <row r="1091" customFormat="false" ht="15" hidden="false" customHeight="false" outlineLevel="0" collapsed="false">
      <c r="A1091" s="9" t="s">
        <v>4459</v>
      </c>
      <c r="B1091" s="9" t="s">
        <v>4373</v>
      </c>
      <c r="C1091" s="9" t="s">
        <v>4453</v>
      </c>
      <c r="D1091" s="9" t="str">
        <f aca="false">C1091&amp;" - "&amp;E1091</f>
        <v>Door Sill Protector - Rear-Right</v>
      </c>
      <c r="E1091" s="9" t="s">
        <v>1364</v>
      </c>
      <c r="F1091" s="9" t="s">
        <v>3602</v>
      </c>
      <c r="G1091" s="10" t="n">
        <f aca="false">IF($AK1091=0,"",INDEX('Part types'!$P:$P,$AK1091))</f>
        <v>25</v>
      </c>
      <c r="H1091" s="10" t="n">
        <f aca="false">IF($AK1091=0,"",INDEX('Part types'!$Q:$Q,$AK1091))</f>
        <v>15</v>
      </c>
      <c r="I1091" s="10" t="n">
        <f aca="false">IF($AK1091=0,"",INDEX('Part types'!$R:$R,$AK1091))</f>
        <v>10</v>
      </c>
      <c r="J1091" s="10" t="n">
        <f aca="false">IF($AK1091=0,"",INDEX('Part types'!$S:$S,$AK1091))</f>
        <v>0.9</v>
      </c>
      <c r="K1091" s="11" t="s">
        <v>4375</v>
      </c>
      <c r="L1091" s="11" t="s">
        <v>4454</v>
      </c>
      <c r="M1091" s="11" t="str">
        <f aca="false">L1091&amp;" - "&amp;N1091</f>
        <v>واقي عتبة الباب - خلفي يمين</v>
      </c>
      <c r="N1091" s="11" t="s">
        <v>1365</v>
      </c>
      <c r="O1091" s="11" t="s">
        <v>3604</v>
      </c>
      <c r="P1091" s="10" t="n">
        <f aca="false">G1091</f>
        <v>25</v>
      </c>
      <c r="Q1091" s="10" t="n">
        <f aca="false">H1091</f>
        <v>15</v>
      </c>
      <c r="R1091" s="10" t="n">
        <f aca="false">I1091</f>
        <v>10</v>
      </c>
      <c r="S1091" s="10" t="n">
        <f aca="false">J1091</f>
        <v>0.9</v>
      </c>
      <c r="T1091" s="12" t="s">
        <v>4377</v>
      </c>
      <c r="U1091" s="12" t="s">
        <v>4455</v>
      </c>
      <c r="V1091" s="9" t="str">
        <f aca="false">U1091&amp;" - "&amp;W1091</f>
        <v>门槛保护条 - 后右</v>
      </c>
      <c r="W1091" s="12" t="s">
        <v>1366</v>
      </c>
      <c r="X1091" s="12" t="s">
        <v>3606</v>
      </c>
      <c r="Y1091" s="10" t="n">
        <f aca="false">G1091</f>
        <v>25</v>
      </c>
      <c r="Z1091" s="10" t="n">
        <f aca="false">H1091</f>
        <v>15</v>
      </c>
      <c r="AA1091" s="10" t="n">
        <f aca="false">I1091</f>
        <v>10</v>
      </c>
      <c r="AB1091" s="10" t="n">
        <f aca="false">J1091</f>
        <v>0.9</v>
      </c>
      <c r="AC1091" s="9" t="s">
        <v>4379</v>
      </c>
      <c r="AD1091" s="9" t="s">
        <v>4456</v>
      </c>
      <c r="AE1091" s="9" t="str">
        <f aca="false">IF($AK1091=0,"",INDEX('Part types'!$T:$T,$AK1091)&amp;"")</f>
        <v>All vehicles</v>
      </c>
      <c r="AF1091" s="9" t="str">
        <f aca="false">IF($AK1091=0,"",INDEX('Part types'!$U:$U,$AK1091)&amp;"")</f>
        <v/>
      </c>
      <c r="AG1091" s="9" t="str">
        <f aca="false">IF($AK1091=0,"",INDEX('Part types'!$V:$V,$AK1091)&amp;"")</f>
        <v>Estimate: size class M</v>
      </c>
      <c r="AH1091" s="9" t="str">
        <f aca="false">IF($AK1091=0,"",INDEX('Part types'!$W:$W,$AK1091)&amp;"")</f>
        <v/>
      </c>
      <c r="AI1091" s="11" t="str">
        <f aca="false">IF($AK1091=0,"",INDEX('Part types'!$X:$X,$AK1091)&amp;"")</f>
        <v/>
      </c>
      <c r="AJ1091" s="9" t="str">
        <f aca="false">IF($AK1091=0,"",INDEX('Part types'!$Y:$Y,$AK1091)&amp;"")</f>
        <v/>
      </c>
      <c r="AK1091" s="9" t="n">
        <f aca="false">IFERROR(MATCH($AD1091,'Part types'!$E:$E,0),0)</f>
        <v>721</v>
      </c>
    </row>
    <row r="1092" customFormat="false" ht="15" hidden="false" customHeight="false" outlineLevel="0" collapsed="false">
      <c r="A1092" s="9" t="s">
        <v>4460</v>
      </c>
      <c r="B1092" s="9" t="s">
        <v>4373</v>
      </c>
      <c r="C1092" s="9" t="s">
        <v>4461</v>
      </c>
      <c r="D1092" s="9" t="str">
        <f aca="false">C1092&amp;" - "&amp;E1092</f>
        <v>Side Step - Left</v>
      </c>
      <c r="E1092" s="9" t="s">
        <v>218</v>
      </c>
      <c r="F1092" s="9" t="s">
        <v>2839</v>
      </c>
      <c r="G1092" s="10" t="n">
        <f aca="false">IF($AK1092=0,"",INDEX('Part types'!$P:$P,$AK1092))</f>
        <v>170</v>
      </c>
      <c r="H1092" s="10" t="n">
        <f aca="false">IF($AK1092=0,"",INDEX('Part types'!$Q:$Q,$AK1092))</f>
        <v>20</v>
      </c>
      <c r="I1092" s="10" t="n">
        <f aca="false">IF($AK1092=0,"",INDEX('Part types'!$R:$R,$AK1092))</f>
        <v>10</v>
      </c>
      <c r="J1092" s="10" t="n">
        <f aca="false">IF($AK1092=0,"",INDEX('Part types'!$S:$S,$AK1092))</f>
        <v>10</v>
      </c>
      <c r="K1092" s="11" t="s">
        <v>4375</v>
      </c>
      <c r="L1092" s="11" t="s">
        <v>4462</v>
      </c>
      <c r="M1092" s="11" t="str">
        <f aca="false">L1092&amp;" - "&amp;N1092</f>
        <v>درجة جانبية - يسار</v>
      </c>
      <c r="N1092" s="11" t="s">
        <v>220</v>
      </c>
      <c r="O1092" s="11" t="s">
        <v>2841</v>
      </c>
      <c r="P1092" s="10" t="n">
        <f aca="false">G1092</f>
        <v>170</v>
      </c>
      <c r="Q1092" s="10" t="n">
        <f aca="false">H1092</f>
        <v>20</v>
      </c>
      <c r="R1092" s="10" t="n">
        <f aca="false">I1092</f>
        <v>10</v>
      </c>
      <c r="S1092" s="10" t="n">
        <f aca="false">J1092</f>
        <v>10</v>
      </c>
      <c r="T1092" s="12" t="s">
        <v>4377</v>
      </c>
      <c r="U1092" s="12" t="s">
        <v>4463</v>
      </c>
      <c r="V1092" s="9" t="str">
        <f aca="false">U1092&amp;" - "&amp;W1092</f>
        <v>侧踏板 - 左侧</v>
      </c>
      <c r="W1092" s="12" t="s">
        <v>222</v>
      </c>
      <c r="X1092" s="12" t="s">
        <v>2843</v>
      </c>
      <c r="Y1092" s="10" t="n">
        <f aca="false">G1092</f>
        <v>170</v>
      </c>
      <c r="Z1092" s="10" t="n">
        <f aca="false">H1092</f>
        <v>20</v>
      </c>
      <c r="AA1092" s="10" t="n">
        <f aca="false">I1092</f>
        <v>10</v>
      </c>
      <c r="AB1092" s="10" t="n">
        <f aca="false">J1092</f>
        <v>10</v>
      </c>
      <c r="AC1092" s="9" t="s">
        <v>4379</v>
      </c>
      <c r="AD1092" s="9" t="s">
        <v>4464</v>
      </c>
      <c r="AE1092" s="9" t="str">
        <f aca="false">IF($AK1092=0,"",INDEX('Part types'!$T:$T,$AK1092)&amp;"")</f>
        <v>All vehicles</v>
      </c>
      <c r="AF1092" s="9" t="str">
        <f aca="false">IF($AK1092=0,"",INDEX('Part types'!$U:$U,$AK1092)&amp;"")</f>
        <v>Oversized (over 120 cm)</v>
      </c>
      <c r="AG1092" s="9" t="str">
        <f aca="false">IF($AK1092=0,"",INDEX('Part types'!$V:$V,$AK1092)&amp;"")</f>
        <v>Estimate: item-specific</v>
      </c>
      <c r="AH1092" s="9" t="str">
        <f aca="false">IF($AK1092=0,"",INDEX('Part types'!$W:$W,$AK1092)&amp;"")</f>
        <v>Running Board</v>
      </c>
      <c r="AI1092" s="11" t="str">
        <f aca="false">IF($AK1092=0,"",INDEX('Part types'!$X:$X,$AK1092)&amp;"")</f>
        <v/>
      </c>
      <c r="AJ1092" s="9" t="str">
        <f aca="false">IF($AK1092=0,"",INDEX('Part types'!$Y:$Y,$AK1092)&amp;"")</f>
        <v/>
      </c>
      <c r="AK1092" s="9" t="n">
        <f aca="false">IFERROR(MATCH($AD1092,'Part types'!$E:$E,0),0)</f>
        <v>722</v>
      </c>
    </row>
    <row r="1093" customFormat="false" ht="15" hidden="false" customHeight="false" outlineLevel="0" collapsed="false">
      <c r="A1093" s="9" t="s">
        <v>4465</v>
      </c>
      <c r="B1093" s="9" t="s">
        <v>4373</v>
      </c>
      <c r="C1093" s="9" t="s">
        <v>4461</v>
      </c>
      <c r="D1093" s="9" t="str">
        <f aca="false">C1093&amp;" - "&amp;E1093</f>
        <v>Side Step - Right</v>
      </c>
      <c r="E1093" s="9" t="s">
        <v>225</v>
      </c>
      <c r="F1093" s="9" t="s">
        <v>2839</v>
      </c>
      <c r="G1093" s="10" t="n">
        <f aca="false">IF($AK1093=0,"",INDEX('Part types'!$P:$P,$AK1093))</f>
        <v>170</v>
      </c>
      <c r="H1093" s="10" t="n">
        <f aca="false">IF($AK1093=0,"",INDEX('Part types'!$Q:$Q,$AK1093))</f>
        <v>20</v>
      </c>
      <c r="I1093" s="10" t="n">
        <f aca="false">IF($AK1093=0,"",INDEX('Part types'!$R:$R,$AK1093))</f>
        <v>10</v>
      </c>
      <c r="J1093" s="10" t="n">
        <f aca="false">IF($AK1093=0,"",INDEX('Part types'!$S:$S,$AK1093))</f>
        <v>10</v>
      </c>
      <c r="K1093" s="11" t="s">
        <v>4375</v>
      </c>
      <c r="L1093" s="11" t="s">
        <v>4462</v>
      </c>
      <c r="M1093" s="11" t="str">
        <f aca="false">L1093&amp;" - "&amp;N1093</f>
        <v>درجة جانبية - يمين</v>
      </c>
      <c r="N1093" s="11" t="s">
        <v>226</v>
      </c>
      <c r="O1093" s="11" t="s">
        <v>2841</v>
      </c>
      <c r="P1093" s="10" t="n">
        <f aca="false">G1093</f>
        <v>170</v>
      </c>
      <c r="Q1093" s="10" t="n">
        <f aca="false">H1093</f>
        <v>20</v>
      </c>
      <c r="R1093" s="10" t="n">
        <f aca="false">I1093</f>
        <v>10</v>
      </c>
      <c r="S1093" s="10" t="n">
        <f aca="false">J1093</f>
        <v>10</v>
      </c>
      <c r="T1093" s="12" t="s">
        <v>4377</v>
      </c>
      <c r="U1093" s="12" t="s">
        <v>4463</v>
      </c>
      <c r="V1093" s="9" t="str">
        <f aca="false">U1093&amp;" - "&amp;W1093</f>
        <v>侧踏板 - 右侧</v>
      </c>
      <c r="W1093" s="12" t="s">
        <v>227</v>
      </c>
      <c r="X1093" s="12" t="s">
        <v>2843</v>
      </c>
      <c r="Y1093" s="10" t="n">
        <f aca="false">G1093</f>
        <v>170</v>
      </c>
      <c r="Z1093" s="10" t="n">
        <f aca="false">H1093</f>
        <v>20</v>
      </c>
      <c r="AA1093" s="10" t="n">
        <f aca="false">I1093</f>
        <v>10</v>
      </c>
      <c r="AB1093" s="10" t="n">
        <f aca="false">J1093</f>
        <v>10</v>
      </c>
      <c r="AC1093" s="9" t="s">
        <v>4379</v>
      </c>
      <c r="AD1093" s="9" t="s">
        <v>4464</v>
      </c>
      <c r="AE1093" s="9" t="str">
        <f aca="false">IF($AK1093=0,"",INDEX('Part types'!$T:$T,$AK1093)&amp;"")</f>
        <v>All vehicles</v>
      </c>
      <c r="AF1093" s="9" t="str">
        <f aca="false">IF($AK1093=0,"",INDEX('Part types'!$U:$U,$AK1093)&amp;"")</f>
        <v>Oversized (over 120 cm)</v>
      </c>
      <c r="AG1093" s="9" t="str">
        <f aca="false">IF($AK1093=0,"",INDEX('Part types'!$V:$V,$AK1093)&amp;"")</f>
        <v>Estimate: item-specific</v>
      </c>
      <c r="AH1093" s="9" t="str">
        <f aca="false">IF($AK1093=0,"",INDEX('Part types'!$W:$W,$AK1093)&amp;"")</f>
        <v>Running Board</v>
      </c>
      <c r="AI1093" s="11" t="str">
        <f aca="false">IF($AK1093=0,"",INDEX('Part types'!$X:$X,$AK1093)&amp;"")</f>
        <v/>
      </c>
      <c r="AJ1093" s="9" t="str">
        <f aca="false">IF($AK1093=0,"",INDEX('Part types'!$Y:$Y,$AK1093)&amp;"")</f>
        <v/>
      </c>
      <c r="AK1093" s="9" t="n">
        <f aca="false">IFERROR(MATCH($AD1093,'Part types'!$E:$E,0),0)</f>
        <v>722</v>
      </c>
    </row>
    <row r="1094" customFormat="false" ht="15" hidden="false" customHeight="false" outlineLevel="0" collapsed="false">
      <c r="A1094" s="9" t="s">
        <v>4466</v>
      </c>
      <c r="B1094" s="9" t="s">
        <v>4373</v>
      </c>
      <c r="C1094" s="9" t="s">
        <v>4467</v>
      </c>
      <c r="D1094" s="9" t="str">
        <f aca="false">C1094&amp;" - "&amp;E1094</f>
        <v>Bull Bar - Universal</v>
      </c>
      <c r="E1094" s="9" t="s">
        <v>68</v>
      </c>
      <c r="F1094" s="9" t="s">
        <v>2685</v>
      </c>
      <c r="G1094" s="10" t="n">
        <f aca="false">IF($AK1094=0,"",INDEX('Part types'!$P:$P,$AK1094))</f>
        <v>150</v>
      </c>
      <c r="H1094" s="10" t="n">
        <f aca="false">IF($AK1094=0,"",INDEX('Part types'!$Q:$Q,$AK1094))</f>
        <v>40</v>
      </c>
      <c r="I1094" s="10" t="n">
        <f aca="false">IF($AK1094=0,"",INDEX('Part types'!$R:$R,$AK1094))</f>
        <v>30</v>
      </c>
      <c r="J1094" s="10" t="n">
        <f aca="false">IF($AK1094=0,"",INDEX('Part types'!$S:$S,$AK1094))</f>
        <v>20</v>
      </c>
      <c r="K1094" s="11" t="s">
        <v>4375</v>
      </c>
      <c r="L1094" s="11" t="s">
        <v>4468</v>
      </c>
      <c r="M1094" s="11" t="str">
        <f aca="false">L1094&amp;" - "&amp;N1094</f>
        <v>حماية أمامية - عام</v>
      </c>
      <c r="N1094" s="11" t="s">
        <v>72</v>
      </c>
      <c r="O1094" s="11" t="s">
        <v>2687</v>
      </c>
      <c r="P1094" s="10" t="n">
        <f aca="false">G1094</f>
        <v>150</v>
      </c>
      <c r="Q1094" s="10" t="n">
        <f aca="false">H1094</f>
        <v>40</v>
      </c>
      <c r="R1094" s="10" t="n">
        <f aca="false">I1094</f>
        <v>30</v>
      </c>
      <c r="S1094" s="10" t="n">
        <f aca="false">J1094</f>
        <v>20</v>
      </c>
      <c r="T1094" s="12" t="s">
        <v>4377</v>
      </c>
      <c r="U1094" s="12" t="s">
        <v>4469</v>
      </c>
      <c r="V1094" s="9" t="str">
        <f aca="false">U1094&amp;" - "&amp;W1094</f>
        <v>前护杠 - 通用</v>
      </c>
      <c r="W1094" s="12" t="s">
        <v>76</v>
      </c>
      <c r="X1094" s="12" t="s">
        <v>2689</v>
      </c>
      <c r="Y1094" s="10" t="n">
        <f aca="false">G1094</f>
        <v>150</v>
      </c>
      <c r="Z1094" s="10" t="n">
        <f aca="false">H1094</f>
        <v>40</v>
      </c>
      <c r="AA1094" s="10" t="n">
        <f aca="false">I1094</f>
        <v>30</v>
      </c>
      <c r="AB1094" s="10" t="n">
        <f aca="false">J1094</f>
        <v>20</v>
      </c>
      <c r="AC1094" s="9" t="s">
        <v>4379</v>
      </c>
      <c r="AD1094" s="9" t="s">
        <v>4470</v>
      </c>
      <c r="AE1094" s="9" t="str">
        <f aca="false">IF($AK1094=0,"",INDEX('Part types'!$T:$T,$AK1094)&amp;"")</f>
        <v>All vehicles</v>
      </c>
      <c r="AF1094" s="9" t="str">
        <f aca="false">IF($AK1094=0,"",INDEX('Part types'!$U:$U,$AK1094)&amp;"")</f>
        <v>Oversized (over 120 cm)</v>
      </c>
      <c r="AG1094" s="9" t="str">
        <f aca="false">IF($AK1094=0,"",INDEX('Part types'!$V:$V,$AK1094)&amp;"")</f>
        <v>Estimate: item-specific</v>
      </c>
      <c r="AH1094" s="9" t="str">
        <f aca="false">IF($AK1094=0,"",INDEX('Part types'!$W:$W,$AK1094)&amp;"")</f>
        <v/>
      </c>
      <c r="AI1094" s="11" t="str">
        <f aca="false">IF($AK1094=0,"",INDEX('Part types'!$X:$X,$AK1094)&amp;"")</f>
        <v>بول بار</v>
      </c>
      <c r="AJ1094" s="9" t="str">
        <f aca="false">IF($AK1094=0,"",INDEX('Part types'!$Y:$Y,$AK1094)&amp;"")</f>
        <v/>
      </c>
      <c r="AK1094" s="9" t="n">
        <f aca="false">IFERROR(MATCH($AD1094,'Part types'!$E:$E,0),0)</f>
        <v>723</v>
      </c>
    </row>
    <row r="1095" customFormat="false" ht="15" hidden="false" customHeight="false" outlineLevel="0" collapsed="false">
      <c r="A1095" s="9" t="s">
        <v>4471</v>
      </c>
      <c r="B1095" s="9" t="s">
        <v>4373</v>
      </c>
      <c r="C1095" s="9" t="s">
        <v>4472</v>
      </c>
      <c r="D1095" s="9" t="str">
        <f aca="false">C1095&amp;" - "&amp;E1095</f>
        <v>Window Visor - Front-Left</v>
      </c>
      <c r="E1095" s="9" t="s">
        <v>1346</v>
      </c>
      <c r="F1095" s="9" t="s">
        <v>3859</v>
      </c>
      <c r="G1095" s="10" t="n">
        <f aca="false">IF($AK1095=0,"",INDEX('Part types'!$P:$P,$AK1095))</f>
        <v>25</v>
      </c>
      <c r="H1095" s="10" t="n">
        <f aca="false">IF($AK1095=0,"",INDEX('Part types'!$Q:$Q,$AK1095))</f>
        <v>15</v>
      </c>
      <c r="I1095" s="10" t="n">
        <f aca="false">IF($AK1095=0,"",INDEX('Part types'!$R:$R,$AK1095))</f>
        <v>10</v>
      </c>
      <c r="J1095" s="10" t="n">
        <f aca="false">IF($AK1095=0,"",INDEX('Part types'!$S:$S,$AK1095))</f>
        <v>0.9</v>
      </c>
      <c r="K1095" s="11" t="s">
        <v>4375</v>
      </c>
      <c r="L1095" s="11" t="s">
        <v>4473</v>
      </c>
      <c r="M1095" s="11" t="str">
        <f aca="false">L1095&amp;" - "&amp;N1095</f>
        <v>واقي مطر للنوافذ - أمامي يسار</v>
      </c>
      <c r="N1095" s="11" t="s">
        <v>1349</v>
      </c>
      <c r="O1095" s="11" t="s">
        <v>3861</v>
      </c>
      <c r="P1095" s="10" t="n">
        <f aca="false">G1095</f>
        <v>25</v>
      </c>
      <c r="Q1095" s="10" t="n">
        <f aca="false">H1095</f>
        <v>15</v>
      </c>
      <c r="R1095" s="10" t="n">
        <f aca="false">I1095</f>
        <v>10</v>
      </c>
      <c r="S1095" s="10" t="n">
        <f aca="false">J1095</f>
        <v>0.9</v>
      </c>
      <c r="T1095" s="12" t="s">
        <v>4377</v>
      </c>
      <c r="U1095" s="12" t="s">
        <v>4474</v>
      </c>
      <c r="V1095" s="9" t="str">
        <f aca="false">U1095&amp;" - "&amp;W1095</f>
        <v>晴雨挡 - 前左</v>
      </c>
      <c r="W1095" s="12" t="s">
        <v>1352</v>
      </c>
      <c r="X1095" s="12" t="s">
        <v>3863</v>
      </c>
      <c r="Y1095" s="10" t="n">
        <f aca="false">G1095</f>
        <v>25</v>
      </c>
      <c r="Z1095" s="10" t="n">
        <f aca="false">H1095</f>
        <v>15</v>
      </c>
      <c r="AA1095" s="10" t="n">
        <f aca="false">I1095</f>
        <v>10</v>
      </c>
      <c r="AB1095" s="10" t="n">
        <f aca="false">J1095</f>
        <v>0.9</v>
      </c>
      <c r="AC1095" s="9" t="s">
        <v>4379</v>
      </c>
      <c r="AD1095" s="9" t="s">
        <v>4475</v>
      </c>
      <c r="AE1095" s="9" t="str">
        <f aca="false">IF($AK1095=0,"",INDEX('Part types'!$T:$T,$AK1095)&amp;"")</f>
        <v>All vehicles</v>
      </c>
      <c r="AF1095" s="9" t="str">
        <f aca="false">IF($AK1095=0,"",INDEX('Part types'!$U:$U,$AK1095)&amp;"")</f>
        <v/>
      </c>
      <c r="AG1095" s="9" t="str">
        <f aca="false">IF($AK1095=0,"",INDEX('Part types'!$V:$V,$AK1095)&amp;"")</f>
        <v>Estimate: size class M</v>
      </c>
      <c r="AH1095" s="9" t="str">
        <f aca="false">IF($AK1095=0,"",INDEX('Part types'!$W:$W,$AK1095)&amp;"")</f>
        <v>Rain Guard</v>
      </c>
      <c r="AI1095" s="11" t="str">
        <f aca="false">IF($AK1095=0,"",INDEX('Part types'!$X:$X,$AK1095)&amp;"")</f>
        <v/>
      </c>
      <c r="AJ1095" s="9" t="str">
        <f aca="false">IF($AK1095=0,"",INDEX('Part types'!$Y:$Y,$AK1095)&amp;"")</f>
        <v/>
      </c>
      <c r="AK1095" s="9" t="n">
        <f aca="false">IFERROR(MATCH($AD1095,'Part types'!$E:$E,0),0)</f>
        <v>724</v>
      </c>
    </row>
    <row r="1096" customFormat="false" ht="15" hidden="false" customHeight="false" outlineLevel="0" collapsed="false">
      <c r="A1096" s="9" t="s">
        <v>4476</v>
      </c>
      <c r="B1096" s="9" t="s">
        <v>4373</v>
      </c>
      <c r="C1096" s="9" t="s">
        <v>4472</v>
      </c>
      <c r="D1096" s="9" t="str">
        <f aca="false">C1096&amp;" - "&amp;E1096</f>
        <v>Window Visor - Front-Right</v>
      </c>
      <c r="E1096" s="9" t="s">
        <v>1356</v>
      </c>
      <c r="F1096" s="9" t="s">
        <v>3859</v>
      </c>
      <c r="G1096" s="10" t="n">
        <f aca="false">IF($AK1096=0,"",INDEX('Part types'!$P:$P,$AK1096))</f>
        <v>25</v>
      </c>
      <c r="H1096" s="10" t="n">
        <f aca="false">IF($AK1096=0,"",INDEX('Part types'!$Q:$Q,$AK1096))</f>
        <v>15</v>
      </c>
      <c r="I1096" s="10" t="n">
        <f aca="false">IF($AK1096=0,"",INDEX('Part types'!$R:$R,$AK1096))</f>
        <v>10</v>
      </c>
      <c r="J1096" s="10" t="n">
        <f aca="false">IF($AK1096=0,"",INDEX('Part types'!$S:$S,$AK1096))</f>
        <v>0.9</v>
      </c>
      <c r="K1096" s="11" t="s">
        <v>4375</v>
      </c>
      <c r="L1096" s="11" t="s">
        <v>4473</v>
      </c>
      <c r="M1096" s="11" t="str">
        <f aca="false">L1096&amp;" - "&amp;N1096</f>
        <v>واقي مطر للنوافذ - أمامي يمين</v>
      </c>
      <c r="N1096" s="11" t="s">
        <v>1357</v>
      </c>
      <c r="O1096" s="11" t="s">
        <v>3861</v>
      </c>
      <c r="P1096" s="10" t="n">
        <f aca="false">G1096</f>
        <v>25</v>
      </c>
      <c r="Q1096" s="10" t="n">
        <f aca="false">H1096</f>
        <v>15</v>
      </c>
      <c r="R1096" s="10" t="n">
        <f aca="false">I1096</f>
        <v>10</v>
      </c>
      <c r="S1096" s="10" t="n">
        <f aca="false">J1096</f>
        <v>0.9</v>
      </c>
      <c r="T1096" s="12" t="s">
        <v>4377</v>
      </c>
      <c r="U1096" s="12" t="s">
        <v>4474</v>
      </c>
      <c r="V1096" s="9" t="str">
        <f aca="false">U1096&amp;" - "&amp;W1096</f>
        <v>晴雨挡 - 前右</v>
      </c>
      <c r="W1096" s="12" t="s">
        <v>1358</v>
      </c>
      <c r="X1096" s="12" t="s">
        <v>3863</v>
      </c>
      <c r="Y1096" s="10" t="n">
        <f aca="false">G1096</f>
        <v>25</v>
      </c>
      <c r="Z1096" s="10" t="n">
        <f aca="false">H1096</f>
        <v>15</v>
      </c>
      <c r="AA1096" s="10" t="n">
        <f aca="false">I1096</f>
        <v>10</v>
      </c>
      <c r="AB1096" s="10" t="n">
        <f aca="false">J1096</f>
        <v>0.9</v>
      </c>
      <c r="AC1096" s="9" t="s">
        <v>4379</v>
      </c>
      <c r="AD1096" s="9" t="s">
        <v>4475</v>
      </c>
      <c r="AE1096" s="9" t="str">
        <f aca="false">IF($AK1096=0,"",INDEX('Part types'!$T:$T,$AK1096)&amp;"")</f>
        <v>All vehicles</v>
      </c>
      <c r="AF1096" s="9" t="str">
        <f aca="false">IF($AK1096=0,"",INDEX('Part types'!$U:$U,$AK1096)&amp;"")</f>
        <v/>
      </c>
      <c r="AG1096" s="9" t="str">
        <f aca="false">IF($AK1096=0,"",INDEX('Part types'!$V:$V,$AK1096)&amp;"")</f>
        <v>Estimate: size class M</v>
      </c>
      <c r="AH1096" s="9" t="str">
        <f aca="false">IF($AK1096=0,"",INDEX('Part types'!$W:$W,$AK1096)&amp;"")</f>
        <v>Rain Guard</v>
      </c>
      <c r="AI1096" s="11" t="str">
        <f aca="false">IF($AK1096=0,"",INDEX('Part types'!$X:$X,$AK1096)&amp;"")</f>
        <v/>
      </c>
      <c r="AJ1096" s="9" t="str">
        <f aca="false">IF($AK1096=0,"",INDEX('Part types'!$Y:$Y,$AK1096)&amp;"")</f>
        <v/>
      </c>
      <c r="AK1096" s="9" t="n">
        <f aca="false">IFERROR(MATCH($AD1096,'Part types'!$E:$E,0),0)</f>
        <v>724</v>
      </c>
    </row>
    <row r="1097" customFormat="false" ht="15" hidden="false" customHeight="false" outlineLevel="0" collapsed="false">
      <c r="A1097" s="9" t="s">
        <v>4477</v>
      </c>
      <c r="B1097" s="9" t="s">
        <v>4373</v>
      </c>
      <c r="C1097" s="9" t="s">
        <v>4472</v>
      </c>
      <c r="D1097" s="9" t="str">
        <f aca="false">C1097&amp;" - "&amp;E1097</f>
        <v>Window Visor - Rear-Left</v>
      </c>
      <c r="E1097" s="9" t="s">
        <v>1360</v>
      </c>
      <c r="F1097" s="9" t="s">
        <v>3859</v>
      </c>
      <c r="G1097" s="10" t="n">
        <f aca="false">IF($AK1097=0,"",INDEX('Part types'!$P:$P,$AK1097))</f>
        <v>25</v>
      </c>
      <c r="H1097" s="10" t="n">
        <f aca="false">IF($AK1097=0,"",INDEX('Part types'!$Q:$Q,$AK1097))</f>
        <v>15</v>
      </c>
      <c r="I1097" s="10" t="n">
        <f aca="false">IF($AK1097=0,"",INDEX('Part types'!$R:$R,$AK1097))</f>
        <v>10</v>
      </c>
      <c r="J1097" s="10" t="n">
        <f aca="false">IF($AK1097=0,"",INDEX('Part types'!$S:$S,$AK1097))</f>
        <v>0.9</v>
      </c>
      <c r="K1097" s="11" t="s">
        <v>4375</v>
      </c>
      <c r="L1097" s="11" t="s">
        <v>4473</v>
      </c>
      <c r="M1097" s="11" t="str">
        <f aca="false">L1097&amp;" - "&amp;N1097</f>
        <v>واقي مطر للنوافذ - خلفي يسار</v>
      </c>
      <c r="N1097" s="11" t="s">
        <v>1361</v>
      </c>
      <c r="O1097" s="11" t="s">
        <v>3861</v>
      </c>
      <c r="P1097" s="10" t="n">
        <f aca="false">G1097</f>
        <v>25</v>
      </c>
      <c r="Q1097" s="10" t="n">
        <f aca="false">H1097</f>
        <v>15</v>
      </c>
      <c r="R1097" s="10" t="n">
        <f aca="false">I1097</f>
        <v>10</v>
      </c>
      <c r="S1097" s="10" t="n">
        <f aca="false">J1097</f>
        <v>0.9</v>
      </c>
      <c r="T1097" s="12" t="s">
        <v>4377</v>
      </c>
      <c r="U1097" s="12" t="s">
        <v>4474</v>
      </c>
      <c r="V1097" s="9" t="str">
        <f aca="false">U1097&amp;" - "&amp;W1097</f>
        <v>晴雨挡 - 后左</v>
      </c>
      <c r="W1097" s="12" t="s">
        <v>1362</v>
      </c>
      <c r="X1097" s="12" t="s">
        <v>3863</v>
      </c>
      <c r="Y1097" s="10" t="n">
        <f aca="false">G1097</f>
        <v>25</v>
      </c>
      <c r="Z1097" s="10" t="n">
        <f aca="false">H1097</f>
        <v>15</v>
      </c>
      <c r="AA1097" s="10" t="n">
        <f aca="false">I1097</f>
        <v>10</v>
      </c>
      <c r="AB1097" s="10" t="n">
        <f aca="false">J1097</f>
        <v>0.9</v>
      </c>
      <c r="AC1097" s="9" t="s">
        <v>4379</v>
      </c>
      <c r="AD1097" s="9" t="s">
        <v>4475</v>
      </c>
      <c r="AE1097" s="9" t="str">
        <f aca="false">IF($AK1097=0,"",INDEX('Part types'!$T:$T,$AK1097)&amp;"")</f>
        <v>All vehicles</v>
      </c>
      <c r="AF1097" s="9" t="str">
        <f aca="false">IF($AK1097=0,"",INDEX('Part types'!$U:$U,$AK1097)&amp;"")</f>
        <v/>
      </c>
      <c r="AG1097" s="9" t="str">
        <f aca="false">IF($AK1097=0,"",INDEX('Part types'!$V:$V,$AK1097)&amp;"")</f>
        <v>Estimate: size class M</v>
      </c>
      <c r="AH1097" s="9" t="str">
        <f aca="false">IF($AK1097=0,"",INDEX('Part types'!$W:$W,$AK1097)&amp;"")</f>
        <v>Rain Guard</v>
      </c>
      <c r="AI1097" s="11" t="str">
        <f aca="false">IF($AK1097=0,"",INDEX('Part types'!$X:$X,$AK1097)&amp;"")</f>
        <v/>
      </c>
      <c r="AJ1097" s="9" t="str">
        <f aca="false">IF($AK1097=0,"",INDEX('Part types'!$Y:$Y,$AK1097)&amp;"")</f>
        <v/>
      </c>
      <c r="AK1097" s="9" t="n">
        <f aca="false">IFERROR(MATCH($AD1097,'Part types'!$E:$E,0),0)</f>
        <v>724</v>
      </c>
    </row>
    <row r="1098" customFormat="false" ht="15" hidden="false" customHeight="false" outlineLevel="0" collapsed="false">
      <c r="A1098" s="9" t="s">
        <v>4478</v>
      </c>
      <c r="B1098" s="9" t="s">
        <v>4373</v>
      </c>
      <c r="C1098" s="9" t="s">
        <v>4472</v>
      </c>
      <c r="D1098" s="9" t="str">
        <f aca="false">C1098&amp;" - "&amp;E1098</f>
        <v>Window Visor - Rear-Right</v>
      </c>
      <c r="E1098" s="9" t="s">
        <v>1364</v>
      </c>
      <c r="F1098" s="9" t="s">
        <v>3859</v>
      </c>
      <c r="G1098" s="10" t="n">
        <f aca="false">IF($AK1098=0,"",INDEX('Part types'!$P:$P,$AK1098))</f>
        <v>25</v>
      </c>
      <c r="H1098" s="10" t="n">
        <f aca="false">IF($AK1098=0,"",INDEX('Part types'!$Q:$Q,$AK1098))</f>
        <v>15</v>
      </c>
      <c r="I1098" s="10" t="n">
        <f aca="false">IF($AK1098=0,"",INDEX('Part types'!$R:$R,$AK1098))</f>
        <v>10</v>
      </c>
      <c r="J1098" s="10" t="n">
        <f aca="false">IF($AK1098=0,"",INDEX('Part types'!$S:$S,$AK1098))</f>
        <v>0.9</v>
      </c>
      <c r="K1098" s="11" t="s">
        <v>4375</v>
      </c>
      <c r="L1098" s="11" t="s">
        <v>4473</v>
      </c>
      <c r="M1098" s="11" t="str">
        <f aca="false">L1098&amp;" - "&amp;N1098</f>
        <v>واقي مطر للنوافذ - خلفي يمين</v>
      </c>
      <c r="N1098" s="11" t="s">
        <v>1365</v>
      </c>
      <c r="O1098" s="11" t="s">
        <v>3861</v>
      </c>
      <c r="P1098" s="10" t="n">
        <f aca="false">G1098</f>
        <v>25</v>
      </c>
      <c r="Q1098" s="10" t="n">
        <f aca="false">H1098</f>
        <v>15</v>
      </c>
      <c r="R1098" s="10" t="n">
        <f aca="false">I1098</f>
        <v>10</v>
      </c>
      <c r="S1098" s="10" t="n">
        <f aca="false">J1098</f>
        <v>0.9</v>
      </c>
      <c r="T1098" s="12" t="s">
        <v>4377</v>
      </c>
      <c r="U1098" s="12" t="s">
        <v>4474</v>
      </c>
      <c r="V1098" s="9" t="str">
        <f aca="false">U1098&amp;" - "&amp;W1098</f>
        <v>晴雨挡 - 后右</v>
      </c>
      <c r="W1098" s="12" t="s">
        <v>1366</v>
      </c>
      <c r="X1098" s="12" t="s">
        <v>3863</v>
      </c>
      <c r="Y1098" s="10" t="n">
        <f aca="false">G1098</f>
        <v>25</v>
      </c>
      <c r="Z1098" s="10" t="n">
        <f aca="false">H1098</f>
        <v>15</v>
      </c>
      <c r="AA1098" s="10" t="n">
        <f aca="false">I1098</f>
        <v>10</v>
      </c>
      <c r="AB1098" s="10" t="n">
        <f aca="false">J1098</f>
        <v>0.9</v>
      </c>
      <c r="AC1098" s="9" t="s">
        <v>4379</v>
      </c>
      <c r="AD1098" s="9" t="s">
        <v>4475</v>
      </c>
      <c r="AE1098" s="9" t="str">
        <f aca="false">IF($AK1098=0,"",INDEX('Part types'!$T:$T,$AK1098)&amp;"")</f>
        <v>All vehicles</v>
      </c>
      <c r="AF1098" s="9" t="str">
        <f aca="false">IF($AK1098=0,"",INDEX('Part types'!$U:$U,$AK1098)&amp;"")</f>
        <v/>
      </c>
      <c r="AG1098" s="9" t="str">
        <f aca="false">IF($AK1098=0,"",INDEX('Part types'!$V:$V,$AK1098)&amp;"")</f>
        <v>Estimate: size class M</v>
      </c>
      <c r="AH1098" s="9" t="str">
        <f aca="false">IF($AK1098=0,"",INDEX('Part types'!$W:$W,$AK1098)&amp;"")</f>
        <v>Rain Guard</v>
      </c>
      <c r="AI1098" s="11" t="str">
        <f aca="false">IF($AK1098=0,"",INDEX('Part types'!$X:$X,$AK1098)&amp;"")</f>
        <v/>
      </c>
      <c r="AJ1098" s="9" t="str">
        <f aca="false">IF($AK1098=0,"",INDEX('Part types'!$Y:$Y,$AK1098)&amp;"")</f>
        <v/>
      </c>
      <c r="AK1098" s="9" t="n">
        <f aca="false">IFERROR(MATCH($AD1098,'Part types'!$E:$E,0),0)</f>
        <v>724</v>
      </c>
    </row>
    <row r="1099" customFormat="false" ht="15" hidden="false" customHeight="false" outlineLevel="0" collapsed="false">
      <c r="A1099" s="9" t="s">
        <v>4479</v>
      </c>
      <c r="B1099" s="9" t="s">
        <v>4373</v>
      </c>
      <c r="C1099" s="9" t="s">
        <v>4480</v>
      </c>
      <c r="D1099" s="9" t="str">
        <f aca="false">C1099&amp;" - "&amp;E1099</f>
        <v>Hood Protector - Universal</v>
      </c>
      <c r="E1099" s="9" t="s">
        <v>68</v>
      </c>
      <c r="F1099" s="9" t="s">
        <v>3482</v>
      </c>
      <c r="G1099" s="10" t="n">
        <f aca="false">IF($AK1099=0,"",INDEX('Part types'!$P:$P,$AK1099))</f>
        <v>40</v>
      </c>
      <c r="H1099" s="10" t="n">
        <f aca="false">IF($AK1099=0,"",INDEX('Part types'!$Q:$Q,$AK1099))</f>
        <v>25</v>
      </c>
      <c r="I1099" s="10" t="n">
        <f aca="false">IF($AK1099=0,"",INDEX('Part types'!$R:$R,$AK1099))</f>
        <v>15</v>
      </c>
      <c r="J1099" s="10" t="n">
        <f aca="false">IF($AK1099=0,"",INDEX('Part types'!$S:$S,$AK1099))</f>
        <v>3</v>
      </c>
      <c r="K1099" s="11" t="s">
        <v>4375</v>
      </c>
      <c r="L1099" s="11" t="s">
        <v>4481</v>
      </c>
      <c r="M1099" s="11" t="str">
        <f aca="false">L1099&amp;" - "&amp;N1099</f>
        <v>واقي غطاء المحرك - عام</v>
      </c>
      <c r="N1099" s="11" t="s">
        <v>72</v>
      </c>
      <c r="O1099" s="11" t="s">
        <v>3484</v>
      </c>
      <c r="P1099" s="10" t="n">
        <f aca="false">G1099</f>
        <v>40</v>
      </c>
      <c r="Q1099" s="10" t="n">
        <f aca="false">H1099</f>
        <v>25</v>
      </c>
      <c r="R1099" s="10" t="n">
        <f aca="false">I1099</f>
        <v>15</v>
      </c>
      <c r="S1099" s="10" t="n">
        <f aca="false">J1099</f>
        <v>3</v>
      </c>
      <c r="T1099" s="12" t="s">
        <v>4377</v>
      </c>
      <c r="U1099" s="12" t="s">
        <v>4482</v>
      </c>
      <c r="V1099" s="9" t="str">
        <f aca="false">U1099&amp;" - "&amp;W1099</f>
        <v>引擎盖防护罩 - 通用</v>
      </c>
      <c r="W1099" s="12" t="s">
        <v>76</v>
      </c>
      <c r="X1099" s="12" t="s">
        <v>3485</v>
      </c>
      <c r="Y1099" s="10" t="n">
        <f aca="false">G1099</f>
        <v>40</v>
      </c>
      <c r="Z1099" s="10" t="n">
        <f aca="false">H1099</f>
        <v>25</v>
      </c>
      <c r="AA1099" s="10" t="n">
        <f aca="false">I1099</f>
        <v>15</v>
      </c>
      <c r="AB1099" s="10" t="n">
        <f aca="false">J1099</f>
        <v>3</v>
      </c>
      <c r="AC1099" s="9" t="s">
        <v>4379</v>
      </c>
      <c r="AD1099" s="9" t="s">
        <v>4483</v>
      </c>
      <c r="AE1099" s="9" t="str">
        <f aca="false">IF($AK1099=0,"",INDEX('Part types'!$T:$T,$AK1099)&amp;"")</f>
        <v>All vehicles</v>
      </c>
      <c r="AF1099" s="9" t="str">
        <f aca="false">IF($AK1099=0,"",INDEX('Part types'!$U:$U,$AK1099)&amp;"")</f>
        <v/>
      </c>
      <c r="AG1099" s="9" t="str">
        <f aca="false">IF($AK1099=0,"",INDEX('Part types'!$V:$V,$AK1099)&amp;"")</f>
        <v>Estimate: size class L</v>
      </c>
      <c r="AH1099" s="9" t="str">
        <f aca="false">IF($AK1099=0,"",INDEX('Part types'!$W:$W,$AK1099)&amp;"")</f>
        <v>Bug Shield</v>
      </c>
      <c r="AI1099" s="11" t="str">
        <f aca="false">IF($AK1099=0,"",INDEX('Part types'!$X:$X,$AK1099)&amp;"")</f>
        <v/>
      </c>
      <c r="AJ1099" s="9" t="str">
        <f aca="false">IF($AK1099=0,"",INDEX('Part types'!$Y:$Y,$AK1099)&amp;"")</f>
        <v/>
      </c>
      <c r="AK1099" s="9" t="n">
        <f aca="false">IFERROR(MATCH($AD1099,'Part types'!$E:$E,0),0)</f>
        <v>725</v>
      </c>
    </row>
    <row r="1100" customFormat="false" ht="15" hidden="false" customHeight="false" outlineLevel="0" collapsed="false">
      <c r="A1100" s="9" t="s">
        <v>4484</v>
      </c>
      <c r="B1100" s="9" t="s">
        <v>4373</v>
      </c>
      <c r="C1100" s="9" t="s">
        <v>4485</v>
      </c>
      <c r="D1100" s="9" t="str">
        <f aca="false">C1100&amp;" - "&amp;E1100</f>
        <v>Air Freshener - Universal</v>
      </c>
      <c r="E1100" s="9" t="s">
        <v>68</v>
      </c>
      <c r="F1100" s="9" t="s">
        <v>2260</v>
      </c>
      <c r="G1100" s="10" t="n">
        <f aca="false">IF($AK1100=0,"",INDEX('Part types'!$P:$P,$AK1100))</f>
        <v>10</v>
      </c>
      <c r="H1100" s="10" t="n">
        <f aca="false">IF($AK1100=0,"",INDEX('Part types'!$Q:$Q,$AK1100))</f>
        <v>8</v>
      </c>
      <c r="I1100" s="10" t="n">
        <f aca="false">IF($AK1100=0,"",INDEX('Part types'!$R:$R,$AK1100))</f>
        <v>6</v>
      </c>
      <c r="J1100" s="10" t="n">
        <f aca="false">IF($AK1100=0,"",INDEX('Part types'!$S:$S,$AK1100))</f>
        <v>0.1</v>
      </c>
      <c r="K1100" s="11" t="s">
        <v>4375</v>
      </c>
      <c r="L1100" s="11" t="s">
        <v>4486</v>
      </c>
      <c r="M1100" s="11" t="str">
        <f aca="false">L1100&amp;" - "&amp;N1100</f>
        <v>معطر جو - عام</v>
      </c>
      <c r="N1100" s="11" t="s">
        <v>72</v>
      </c>
      <c r="O1100" s="11" t="s">
        <v>2262</v>
      </c>
      <c r="P1100" s="10" t="n">
        <f aca="false">G1100</f>
        <v>10</v>
      </c>
      <c r="Q1100" s="10" t="n">
        <f aca="false">H1100</f>
        <v>8</v>
      </c>
      <c r="R1100" s="10" t="n">
        <f aca="false">I1100</f>
        <v>6</v>
      </c>
      <c r="S1100" s="10" t="n">
        <f aca="false">J1100</f>
        <v>0.1</v>
      </c>
      <c r="T1100" s="12" t="s">
        <v>4377</v>
      </c>
      <c r="U1100" s="12" t="s">
        <v>4487</v>
      </c>
      <c r="V1100" s="9" t="str">
        <f aca="false">U1100&amp;" - "&amp;W1100</f>
        <v>车载香水 - 通用</v>
      </c>
      <c r="W1100" s="12" t="s">
        <v>76</v>
      </c>
      <c r="X1100" s="12" t="s">
        <v>2264</v>
      </c>
      <c r="Y1100" s="10" t="n">
        <f aca="false">G1100</f>
        <v>10</v>
      </c>
      <c r="Z1100" s="10" t="n">
        <f aca="false">H1100</f>
        <v>8</v>
      </c>
      <c r="AA1100" s="10" t="n">
        <f aca="false">I1100</f>
        <v>6</v>
      </c>
      <c r="AB1100" s="10" t="n">
        <f aca="false">J1100</f>
        <v>0.1</v>
      </c>
      <c r="AC1100" s="9" t="s">
        <v>4379</v>
      </c>
      <c r="AD1100" s="9" t="s">
        <v>4488</v>
      </c>
      <c r="AE1100" s="9" t="str">
        <f aca="false">IF($AK1100=0,"",INDEX('Part types'!$T:$T,$AK1100)&amp;"")</f>
        <v>All vehicles</v>
      </c>
      <c r="AF1100" s="9" t="str">
        <f aca="false">IF($AK1100=0,"",INDEX('Part types'!$U:$U,$AK1100)&amp;"")</f>
        <v>Liquid / flammable</v>
      </c>
      <c r="AG1100" s="9" t="str">
        <f aca="false">IF($AK1100=0,"",INDEX('Part types'!$V:$V,$AK1100)&amp;"")</f>
        <v>Estimate: size class XS</v>
      </c>
      <c r="AH1100" s="9" t="str">
        <f aca="false">IF($AK1100=0,"",INDEX('Part types'!$W:$W,$AK1100)&amp;"")</f>
        <v/>
      </c>
      <c r="AI1100" s="11" t="str">
        <f aca="false">IF($AK1100=0,"",INDEX('Part types'!$X:$X,$AK1100)&amp;"")</f>
        <v/>
      </c>
      <c r="AJ1100" s="9" t="str">
        <f aca="false">IF($AK1100=0,"",INDEX('Part types'!$Y:$Y,$AK1100)&amp;"")</f>
        <v/>
      </c>
      <c r="AK1100" s="9" t="n">
        <f aca="false">IFERROR(MATCH($AD1100,'Part types'!$E:$E,0),0)</f>
        <v>726</v>
      </c>
    </row>
    <row r="1101" customFormat="false" ht="15" hidden="false" customHeight="false" outlineLevel="0" collapsed="false">
      <c r="A1101" s="9" t="s">
        <v>4489</v>
      </c>
      <c r="B1101" s="9" t="s">
        <v>4373</v>
      </c>
      <c r="C1101" s="9" t="s">
        <v>4490</v>
      </c>
      <c r="D1101" s="9" t="str">
        <f aca="false">C1101&amp;" - "&amp;E1101</f>
        <v>License Plate Frame - Front</v>
      </c>
      <c r="E1101" s="9" t="s">
        <v>161</v>
      </c>
      <c r="F1101" s="9" t="s">
        <v>2660</v>
      </c>
      <c r="G1101" s="10" t="n">
        <f aca="false">IF($AK1101=0,"",INDEX('Part types'!$P:$P,$AK1101))</f>
        <v>15</v>
      </c>
      <c r="H1101" s="10" t="n">
        <f aca="false">IF($AK1101=0,"",INDEX('Part types'!$Q:$Q,$AK1101))</f>
        <v>10</v>
      </c>
      <c r="I1101" s="10" t="n">
        <f aca="false">IF($AK1101=0,"",INDEX('Part types'!$R:$R,$AK1101))</f>
        <v>8</v>
      </c>
      <c r="J1101" s="10" t="n">
        <f aca="false">IF($AK1101=0,"",INDEX('Part types'!$S:$S,$AK1101))</f>
        <v>0.3</v>
      </c>
      <c r="K1101" s="11" t="s">
        <v>4375</v>
      </c>
      <c r="L1101" s="11" t="s">
        <v>4491</v>
      </c>
      <c r="M1101" s="11" t="str">
        <f aca="false">L1101&amp;" - "&amp;N1101</f>
        <v>إطار لوحة الأرقام - أمامي</v>
      </c>
      <c r="N1101" s="11" t="s">
        <v>163</v>
      </c>
      <c r="O1101" s="11" t="s">
        <v>2663</v>
      </c>
      <c r="P1101" s="10" t="n">
        <f aca="false">G1101</f>
        <v>15</v>
      </c>
      <c r="Q1101" s="10" t="n">
        <f aca="false">H1101</f>
        <v>10</v>
      </c>
      <c r="R1101" s="10" t="n">
        <f aca="false">I1101</f>
        <v>8</v>
      </c>
      <c r="S1101" s="10" t="n">
        <f aca="false">J1101</f>
        <v>0.3</v>
      </c>
      <c r="T1101" s="12" t="s">
        <v>4377</v>
      </c>
      <c r="U1101" s="12" t="s">
        <v>4492</v>
      </c>
      <c r="V1101" s="9" t="str">
        <f aca="false">U1101&amp;" - "&amp;W1101</f>
        <v>牌照框 - 前部</v>
      </c>
      <c r="W1101" s="12" t="s">
        <v>165</v>
      </c>
      <c r="X1101" s="12" t="s">
        <v>2666</v>
      </c>
      <c r="Y1101" s="10" t="n">
        <f aca="false">G1101</f>
        <v>15</v>
      </c>
      <c r="Z1101" s="10" t="n">
        <f aca="false">H1101</f>
        <v>10</v>
      </c>
      <c r="AA1101" s="10" t="n">
        <f aca="false">I1101</f>
        <v>8</v>
      </c>
      <c r="AB1101" s="10" t="n">
        <f aca="false">J1101</f>
        <v>0.3</v>
      </c>
      <c r="AC1101" s="9" t="s">
        <v>4379</v>
      </c>
      <c r="AD1101" s="9" t="s">
        <v>4493</v>
      </c>
      <c r="AE1101" s="9" t="str">
        <f aca="false">IF($AK1101=0,"",INDEX('Part types'!$T:$T,$AK1101)&amp;"")</f>
        <v>All vehicles</v>
      </c>
      <c r="AF1101" s="9" t="str">
        <f aca="false">IF($AK1101=0,"",INDEX('Part types'!$U:$U,$AK1101)&amp;"")</f>
        <v/>
      </c>
      <c r="AG1101" s="9" t="str">
        <f aca="false">IF($AK1101=0,"",INDEX('Part types'!$V:$V,$AK1101)&amp;"")</f>
        <v>Estimate: size class S</v>
      </c>
      <c r="AH1101" s="9" t="str">
        <f aca="false">IF($AK1101=0,"",INDEX('Part types'!$W:$W,$AK1101)&amp;"")</f>
        <v/>
      </c>
      <c r="AI1101" s="11" t="str">
        <f aca="false">IF($AK1101=0,"",INDEX('Part types'!$X:$X,$AK1101)&amp;"")</f>
        <v/>
      </c>
      <c r="AJ1101" s="9" t="str">
        <f aca="false">IF($AK1101=0,"",INDEX('Part types'!$Y:$Y,$AK1101)&amp;"")</f>
        <v/>
      </c>
      <c r="AK1101" s="9" t="n">
        <f aca="false">IFERROR(MATCH($AD1101,'Part types'!$E:$E,0),0)</f>
        <v>727</v>
      </c>
    </row>
    <row r="1102" customFormat="false" ht="15" hidden="false" customHeight="false" outlineLevel="0" collapsed="false">
      <c r="A1102" s="9" t="s">
        <v>4494</v>
      </c>
      <c r="B1102" s="9" t="s">
        <v>4373</v>
      </c>
      <c r="C1102" s="9" t="s">
        <v>4490</v>
      </c>
      <c r="D1102" s="9" t="str">
        <f aca="false">C1102&amp;" - "&amp;E1102</f>
        <v>License Plate Frame - Rear</v>
      </c>
      <c r="E1102" s="9" t="s">
        <v>168</v>
      </c>
      <c r="F1102" s="9" t="s">
        <v>2660</v>
      </c>
      <c r="G1102" s="10" t="n">
        <f aca="false">IF($AK1102=0,"",INDEX('Part types'!$P:$P,$AK1102))</f>
        <v>15</v>
      </c>
      <c r="H1102" s="10" t="n">
        <f aca="false">IF($AK1102=0,"",INDEX('Part types'!$Q:$Q,$AK1102))</f>
        <v>10</v>
      </c>
      <c r="I1102" s="10" t="n">
        <f aca="false">IF($AK1102=0,"",INDEX('Part types'!$R:$R,$AK1102))</f>
        <v>8</v>
      </c>
      <c r="J1102" s="10" t="n">
        <f aca="false">IF($AK1102=0,"",INDEX('Part types'!$S:$S,$AK1102))</f>
        <v>0.3</v>
      </c>
      <c r="K1102" s="11" t="s">
        <v>4375</v>
      </c>
      <c r="L1102" s="11" t="s">
        <v>4491</v>
      </c>
      <c r="M1102" s="11" t="str">
        <f aca="false">L1102&amp;" - "&amp;N1102</f>
        <v>إطار لوحة الأرقام - خلفي</v>
      </c>
      <c r="N1102" s="11" t="s">
        <v>169</v>
      </c>
      <c r="O1102" s="11" t="s">
        <v>2663</v>
      </c>
      <c r="P1102" s="10" t="n">
        <f aca="false">G1102</f>
        <v>15</v>
      </c>
      <c r="Q1102" s="10" t="n">
        <f aca="false">H1102</f>
        <v>10</v>
      </c>
      <c r="R1102" s="10" t="n">
        <f aca="false">I1102</f>
        <v>8</v>
      </c>
      <c r="S1102" s="10" t="n">
        <f aca="false">J1102</f>
        <v>0.3</v>
      </c>
      <c r="T1102" s="12" t="s">
        <v>4377</v>
      </c>
      <c r="U1102" s="12" t="s">
        <v>4492</v>
      </c>
      <c r="V1102" s="9" t="str">
        <f aca="false">U1102&amp;" - "&amp;W1102</f>
        <v>牌照框 - 后部</v>
      </c>
      <c r="W1102" s="12" t="s">
        <v>170</v>
      </c>
      <c r="X1102" s="12" t="s">
        <v>2666</v>
      </c>
      <c r="Y1102" s="10" t="n">
        <f aca="false">G1102</f>
        <v>15</v>
      </c>
      <c r="Z1102" s="10" t="n">
        <f aca="false">H1102</f>
        <v>10</v>
      </c>
      <c r="AA1102" s="10" t="n">
        <f aca="false">I1102</f>
        <v>8</v>
      </c>
      <c r="AB1102" s="10" t="n">
        <f aca="false">J1102</f>
        <v>0.3</v>
      </c>
      <c r="AC1102" s="9" t="s">
        <v>4379</v>
      </c>
      <c r="AD1102" s="9" t="s">
        <v>4493</v>
      </c>
      <c r="AE1102" s="9" t="str">
        <f aca="false">IF($AK1102=0,"",INDEX('Part types'!$T:$T,$AK1102)&amp;"")</f>
        <v>All vehicles</v>
      </c>
      <c r="AF1102" s="9" t="str">
        <f aca="false">IF($AK1102=0,"",INDEX('Part types'!$U:$U,$AK1102)&amp;"")</f>
        <v/>
      </c>
      <c r="AG1102" s="9" t="str">
        <f aca="false">IF($AK1102=0,"",INDEX('Part types'!$V:$V,$AK1102)&amp;"")</f>
        <v>Estimate: size class S</v>
      </c>
      <c r="AH1102" s="9" t="str">
        <f aca="false">IF($AK1102=0,"",INDEX('Part types'!$W:$W,$AK1102)&amp;"")</f>
        <v/>
      </c>
      <c r="AI1102" s="11" t="str">
        <f aca="false">IF($AK1102=0,"",INDEX('Part types'!$X:$X,$AK1102)&amp;"")</f>
        <v/>
      </c>
      <c r="AJ1102" s="9" t="str">
        <f aca="false">IF($AK1102=0,"",INDEX('Part types'!$Y:$Y,$AK1102)&amp;"")</f>
        <v/>
      </c>
      <c r="AK1102" s="9" t="n">
        <f aca="false">IFERROR(MATCH($AD1102,'Part types'!$E:$E,0),0)</f>
        <v>727</v>
      </c>
    </row>
    <row r="1103" customFormat="false" ht="15" hidden="false" customHeight="false" outlineLevel="0" collapsed="false">
      <c r="A1103" s="9" t="s">
        <v>4495</v>
      </c>
      <c r="B1103" s="9" t="s">
        <v>4496</v>
      </c>
      <c r="C1103" s="9" t="s">
        <v>4497</v>
      </c>
      <c r="D1103" s="9" t="str">
        <f aca="false">C1103&amp;" - "&amp;E1103</f>
        <v>Scissor Jack - Universal</v>
      </c>
      <c r="E1103" s="9" t="s">
        <v>68</v>
      </c>
      <c r="F1103" s="9" t="s">
        <v>956</v>
      </c>
      <c r="G1103" s="10" t="n">
        <f aca="false">IF($AK1103=0,"",INDEX('Part types'!$P:$P,$AK1103))</f>
        <v>35</v>
      </c>
      <c r="H1103" s="10" t="n">
        <f aca="false">IF($AK1103=0,"",INDEX('Part types'!$Q:$Q,$AK1103))</f>
        <v>15</v>
      </c>
      <c r="I1103" s="10" t="n">
        <f aca="false">IF($AK1103=0,"",INDEX('Part types'!$R:$R,$AK1103))</f>
        <v>10</v>
      </c>
      <c r="J1103" s="10" t="n">
        <f aca="false">IF($AK1103=0,"",INDEX('Part types'!$S:$S,$AK1103))</f>
        <v>3</v>
      </c>
      <c r="K1103" s="11" t="s">
        <v>4498</v>
      </c>
      <c r="L1103" s="11" t="s">
        <v>4499</v>
      </c>
      <c r="M1103" s="11" t="str">
        <f aca="false">L1103&amp;" - "&amp;N1103</f>
        <v>رافعة - عام</v>
      </c>
      <c r="N1103" s="11" t="s">
        <v>72</v>
      </c>
      <c r="O1103" s="11" t="s">
        <v>959</v>
      </c>
      <c r="P1103" s="10" t="n">
        <f aca="false">G1103</f>
        <v>35</v>
      </c>
      <c r="Q1103" s="10" t="n">
        <f aca="false">H1103</f>
        <v>15</v>
      </c>
      <c r="R1103" s="10" t="n">
        <f aca="false">I1103</f>
        <v>10</v>
      </c>
      <c r="S1103" s="10" t="n">
        <f aca="false">J1103</f>
        <v>3</v>
      </c>
      <c r="T1103" s="12" t="s">
        <v>4500</v>
      </c>
      <c r="U1103" s="12" t="s">
        <v>4501</v>
      </c>
      <c r="V1103" s="9" t="str">
        <f aca="false">U1103&amp;" - "&amp;W1103</f>
        <v>剪式千斤顶 - 通用</v>
      </c>
      <c r="W1103" s="12" t="s">
        <v>76</v>
      </c>
      <c r="X1103" s="12" t="s">
        <v>962</v>
      </c>
      <c r="Y1103" s="10" t="n">
        <f aca="false">G1103</f>
        <v>35</v>
      </c>
      <c r="Z1103" s="10" t="n">
        <f aca="false">H1103</f>
        <v>15</v>
      </c>
      <c r="AA1103" s="10" t="n">
        <f aca="false">I1103</f>
        <v>10</v>
      </c>
      <c r="AB1103" s="10" t="n">
        <f aca="false">J1103</f>
        <v>3</v>
      </c>
      <c r="AC1103" s="9" t="s">
        <v>4502</v>
      </c>
      <c r="AD1103" s="9" t="s">
        <v>4503</v>
      </c>
      <c r="AE1103" s="9" t="str">
        <f aca="false">IF($AK1103=0,"",INDEX('Part types'!$T:$T,$AK1103)&amp;"")</f>
        <v>All vehicles</v>
      </c>
      <c r="AF1103" s="9" t="str">
        <f aca="false">IF($AK1103=0,"",INDEX('Part types'!$U:$U,$AK1103)&amp;"")</f>
        <v/>
      </c>
      <c r="AG1103" s="9" t="str">
        <f aca="false">IF($AK1103=0,"",INDEX('Part types'!$V:$V,$AK1103)&amp;"")</f>
        <v>Estimate: item-specific</v>
      </c>
      <c r="AH1103" s="9" t="str">
        <f aca="false">IF($AK1103=0,"",INDEX('Part types'!$W:$W,$AK1103)&amp;"")</f>
        <v/>
      </c>
      <c r="AI1103" s="11" t="str">
        <f aca="false">IF($AK1103=0,"",INDEX('Part types'!$X:$X,$AK1103)&amp;"")</f>
        <v>جك مقص</v>
      </c>
      <c r="AJ1103" s="9" t="str">
        <f aca="false">IF($AK1103=0,"",INDEX('Part types'!$Y:$Y,$AK1103)&amp;"")</f>
        <v/>
      </c>
      <c r="AK1103" s="9" t="n">
        <f aca="false">IFERROR(MATCH($AD1103,'Part types'!$E:$E,0),0)</f>
        <v>728</v>
      </c>
    </row>
    <row r="1104" customFormat="false" ht="15" hidden="false" customHeight="false" outlineLevel="0" collapsed="false">
      <c r="A1104" s="9" t="s">
        <v>4504</v>
      </c>
      <c r="B1104" s="9" t="s">
        <v>4496</v>
      </c>
      <c r="C1104" s="9" t="s">
        <v>4505</v>
      </c>
      <c r="D1104" s="9" t="str">
        <f aca="false">C1104&amp;" - "&amp;E1104</f>
        <v>Hydraulic Floor Jack - Universal</v>
      </c>
      <c r="E1104" s="9" t="s">
        <v>68</v>
      </c>
      <c r="F1104" s="9" t="s">
        <v>956</v>
      </c>
      <c r="G1104" s="10" t="n">
        <f aca="false">IF($AK1104=0,"",INDEX('Part types'!$P:$P,$AK1104))</f>
        <v>60</v>
      </c>
      <c r="H1104" s="10" t="n">
        <f aca="false">IF($AK1104=0,"",INDEX('Part types'!$Q:$Q,$AK1104))</f>
        <v>25</v>
      </c>
      <c r="I1104" s="10" t="n">
        <f aca="false">IF($AK1104=0,"",INDEX('Part types'!$R:$R,$AK1104))</f>
        <v>20</v>
      </c>
      <c r="J1104" s="10" t="n">
        <f aca="false">IF($AK1104=0,"",INDEX('Part types'!$S:$S,$AK1104))</f>
        <v>12</v>
      </c>
      <c r="K1104" s="11" t="s">
        <v>4498</v>
      </c>
      <c r="L1104" s="11" t="s">
        <v>4506</v>
      </c>
      <c r="M1104" s="11" t="str">
        <f aca="false">L1104&amp;" - "&amp;N1104</f>
        <v>جك هيدروليكي أرضي - عام</v>
      </c>
      <c r="N1104" s="11" t="s">
        <v>72</v>
      </c>
      <c r="O1104" s="11" t="s">
        <v>959</v>
      </c>
      <c r="P1104" s="10" t="n">
        <f aca="false">G1104</f>
        <v>60</v>
      </c>
      <c r="Q1104" s="10" t="n">
        <f aca="false">H1104</f>
        <v>25</v>
      </c>
      <c r="R1104" s="10" t="n">
        <f aca="false">I1104</f>
        <v>20</v>
      </c>
      <c r="S1104" s="10" t="n">
        <f aca="false">J1104</f>
        <v>12</v>
      </c>
      <c r="T1104" s="12" t="s">
        <v>4500</v>
      </c>
      <c r="U1104" s="12" t="s">
        <v>4507</v>
      </c>
      <c r="V1104" s="9" t="str">
        <f aca="false">U1104&amp;" - "&amp;W1104</f>
        <v>液压千斤顶 - 通用</v>
      </c>
      <c r="W1104" s="12" t="s">
        <v>76</v>
      </c>
      <c r="X1104" s="12" t="s">
        <v>962</v>
      </c>
      <c r="Y1104" s="10" t="n">
        <f aca="false">G1104</f>
        <v>60</v>
      </c>
      <c r="Z1104" s="10" t="n">
        <f aca="false">H1104</f>
        <v>25</v>
      </c>
      <c r="AA1104" s="10" t="n">
        <f aca="false">I1104</f>
        <v>20</v>
      </c>
      <c r="AB1104" s="10" t="n">
        <f aca="false">J1104</f>
        <v>12</v>
      </c>
      <c r="AC1104" s="9" t="s">
        <v>4502</v>
      </c>
      <c r="AD1104" s="9" t="s">
        <v>4508</v>
      </c>
      <c r="AE1104" s="9" t="str">
        <f aca="false">IF($AK1104=0,"",INDEX('Part types'!$T:$T,$AK1104)&amp;"")</f>
        <v>All vehicles</v>
      </c>
      <c r="AF1104" s="9" t="str">
        <f aca="false">IF($AK1104=0,"",INDEX('Part types'!$U:$U,$AK1104)&amp;"")</f>
        <v/>
      </c>
      <c r="AG1104" s="9" t="str">
        <f aca="false">IF($AK1104=0,"",INDEX('Part types'!$V:$V,$AK1104)&amp;"")</f>
        <v>Estimate: item-specific</v>
      </c>
      <c r="AH1104" s="9" t="str">
        <f aca="false">IF($AK1104=0,"",INDEX('Part types'!$W:$W,$AK1104)&amp;"")</f>
        <v/>
      </c>
      <c r="AI1104" s="11" t="str">
        <f aca="false">IF($AK1104=0,"",INDEX('Part types'!$X:$X,$AK1104)&amp;"")</f>
        <v/>
      </c>
      <c r="AJ1104" s="9" t="str">
        <f aca="false">IF($AK1104=0,"",INDEX('Part types'!$Y:$Y,$AK1104)&amp;"")</f>
        <v/>
      </c>
      <c r="AK1104" s="9" t="n">
        <f aca="false">IFERROR(MATCH($AD1104,'Part types'!$E:$E,0),0)</f>
        <v>729</v>
      </c>
    </row>
    <row r="1105" customFormat="false" ht="15" hidden="false" customHeight="false" outlineLevel="0" collapsed="false">
      <c r="A1105" s="9" t="s">
        <v>4509</v>
      </c>
      <c r="B1105" s="9" t="s">
        <v>4496</v>
      </c>
      <c r="C1105" s="9" t="s">
        <v>4510</v>
      </c>
      <c r="D1105" s="9" t="str">
        <f aca="false">C1105&amp;" - "&amp;E1105</f>
        <v>Jack Stand - Universal</v>
      </c>
      <c r="E1105" s="9" t="s">
        <v>68</v>
      </c>
      <c r="F1105" s="9" t="s">
        <v>956</v>
      </c>
      <c r="G1105" s="10" t="n">
        <f aca="false">IF($AK1105=0,"",INDEX('Part types'!$P:$P,$AK1105))</f>
        <v>30</v>
      </c>
      <c r="H1105" s="10" t="n">
        <f aca="false">IF($AK1105=0,"",INDEX('Part types'!$Q:$Q,$AK1105))</f>
        <v>20</v>
      </c>
      <c r="I1105" s="10" t="n">
        <f aca="false">IF($AK1105=0,"",INDEX('Part types'!$R:$R,$AK1105))</f>
        <v>35</v>
      </c>
      <c r="J1105" s="10" t="n">
        <f aca="false">IF($AK1105=0,"",INDEX('Part types'!$S:$S,$AK1105))</f>
        <v>5</v>
      </c>
      <c r="K1105" s="11" t="s">
        <v>4498</v>
      </c>
      <c r="L1105" s="11" t="s">
        <v>4511</v>
      </c>
      <c r="M1105" s="11" t="str">
        <f aca="false">L1105&amp;" - "&amp;N1105</f>
        <v>حامل جك - عام</v>
      </c>
      <c r="N1105" s="11" t="s">
        <v>72</v>
      </c>
      <c r="O1105" s="11" t="s">
        <v>959</v>
      </c>
      <c r="P1105" s="10" t="n">
        <f aca="false">G1105</f>
        <v>30</v>
      </c>
      <c r="Q1105" s="10" t="n">
        <f aca="false">H1105</f>
        <v>20</v>
      </c>
      <c r="R1105" s="10" t="n">
        <f aca="false">I1105</f>
        <v>35</v>
      </c>
      <c r="S1105" s="10" t="n">
        <f aca="false">J1105</f>
        <v>5</v>
      </c>
      <c r="T1105" s="12" t="s">
        <v>4500</v>
      </c>
      <c r="U1105" s="12" t="s">
        <v>4512</v>
      </c>
      <c r="V1105" s="9" t="str">
        <f aca="false">U1105&amp;" - "&amp;W1105</f>
        <v>千斤顶支架 - 通用</v>
      </c>
      <c r="W1105" s="12" t="s">
        <v>76</v>
      </c>
      <c r="X1105" s="12" t="s">
        <v>962</v>
      </c>
      <c r="Y1105" s="10" t="n">
        <f aca="false">G1105</f>
        <v>30</v>
      </c>
      <c r="Z1105" s="10" t="n">
        <f aca="false">H1105</f>
        <v>20</v>
      </c>
      <c r="AA1105" s="10" t="n">
        <f aca="false">I1105</f>
        <v>35</v>
      </c>
      <c r="AB1105" s="10" t="n">
        <f aca="false">J1105</f>
        <v>5</v>
      </c>
      <c r="AC1105" s="9" t="s">
        <v>4502</v>
      </c>
      <c r="AD1105" s="9" t="s">
        <v>4513</v>
      </c>
      <c r="AE1105" s="9" t="str">
        <f aca="false">IF($AK1105=0,"",INDEX('Part types'!$T:$T,$AK1105)&amp;"")</f>
        <v>All vehicles</v>
      </c>
      <c r="AF1105" s="9" t="str">
        <f aca="false">IF($AK1105=0,"",INDEX('Part types'!$U:$U,$AK1105)&amp;"")</f>
        <v/>
      </c>
      <c r="AG1105" s="9" t="str">
        <f aca="false">IF($AK1105=0,"",INDEX('Part types'!$V:$V,$AK1105)&amp;"")</f>
        <v>Estimate: item-specific</v>
      </c>
      <c r="AH1105" s="9" t="str">
        <f aca="false">IF($AK1105=0,"",INDEX('Part types'!$W:$W,$AK1105)&amp;"")</f>
        <v/>
      </c>
      <c r="AI1105" s="11" t="str">
        <f aca="false">IF($AK1105=0,"",INDEX('Part types'!$X:$X,$AK1105)&amp;"")</f>
        <v>ستاند</v>
      </c>
      <c r="AJ1105" s="9" t="str">
        <f aca="false">IF($AK1105=0,"",INDEX('Part types'!$Y:$Y,$AK1105)&amp;"")</f>
        <v/>
      </c>
      <c r="AK1105" s="9" t="n">
        <f aca="false">IFERROR(MATCH($AD1105,'Part types'!$E:$E,0),0)</f>
        <v>730</v>
      </c>
    </row>
    <row r="1106" customFormat="false" ht="15" hidden="false" customHeight="false" outlineLevel="0" collapsed="false">
      <c r="A1106" s="9" t="s">
        <v>4514</v>
      </c>
      <c r="B1106" s="9" t="s">
        <v>4496</v>
      </c>
      <c r="C1106" s="9" t="s">
        <v>4515</v>
      </c>
      <c r="D1106" s="9" t="str">
        <f aca="false">C1106&amp;" - "&amp;E1106</f>
        <v>Lug Wrench - Universal</v>
      </c>
      <c r="E1106" s="9" t="s">
        <v>68</v>
      </c>
      <c r="F1106" s="9" t="s">
        <v>956</v>
      </c>
      <c r="G1106" s="10" t="n">
        <f aca="false">IF($AK1106=0,"",INDEX('Part types'!$P:$P,$AK1106))</f>
        <v>45</v>
      </c>
      <c r="H1106" s="10" t="n">
        <f aca="false">IF($AK1106=0,"",INDEX('Part types'!$Q:$Q,$AK1106))</f>
        <v>5</v>
      </c>
      <c r="I1106" s="10" t="n">
        <f aca="false">IF($AK1106=0,"",INDEX('Part types'!$R:$R,$AK1106))</f>
        <v>5</v>
      </c>
      <c r="J1106" s="10" t="n">
        <f aca="false">IF($AK1106=0,"",INDEX('Part types'!$S:$S,$AK1106))</f>
        <v>1</v>
      </c>
      <c r="K1106" s="11" t="s">
        <v>4498</v>
      </c>
      <c r="L1106" s="11" t="s">
        <v>4516</v>
      </c>
      <c r="M1106" s="11" t="str">
        <f aca="false">L1106&amp;" - "&amp;N1106</f>
        <v>مفتاح عجلات - عام</v>
      </c>
      <c r="N1106" s="11" t="s">
        <v>72</v>
      </c>
      <c r="O1106" s="11" t="s">
        <v>959</v>
      </c>
      <c r="P1106" s="10" t="n">
        <f aca="false">G1106</f>
        <v>45</v>
      </c>
      <c r="Q1106" s="10" t="n">
        <f aca="false">H1106</f>
        <v>5</v>
      </c>
      <c r="R1106" s="10" t="n">
        <f aca="false">I1106</f>
        <v>5</v>
      </c>
      <c r="S1106" s="10" t="n">
        <f aca="false">J1106</f>
        <v>1</v>
      </c>
      <c r="T1106" s="12" t="s">
        <v>4500</v>
      </c>
      <c r="U1106" s="12" t="s">
        <v>4517</v>
      </c>
      <c r="V1106" s="9" t="str">
        <f aca="false">U1106&amp;" - "&amp;W1106</f>
        <v>轮胎扳手 - 通用</v>
      </c>
      <c r="W1106" s="12" t="s">
        <v>76</v>
      </c>
      <c r="X1106" s="12" t="s">
        <v>962</v>
      </c>
      <c r="Y1106" s="10" t="n">
        <f aca="false">G1106</f>
        <v>45</v>
      </c>
      <c r="Z1106" s="10" t="n">
        <f aca="false">H1106</f>
        <v>5</v>
      </c>
      <c r="AA1106" s="10" t="n">
        <f aca="false">I1106</f>
        <v>5</v>
      </c>
      <c r="AB1106" s="10" t="n">
        <f aca="false">J1106</f>
        <v>1</v>
      </c>
      <c r="AC1106" s="9" t="s">
        <v>4502</v>
      </c>
      <c r="AD1106" s="9" t="s">
        <v>4518</v>
      </c>
      <c r="AE1106" s="9" t="str">
        <f aca="false">IF($AK1106=0,"",INDEX('Part types'!$T:$T,$AK1106)&amp;"")</f>
        <v>All vehicles</v>
      </c>
      <c r="AF1106" s="9" t="str">
        <f aca="false">IF($AK1106=0,"",INDEX('Part types'!$U:$U,$AK1106)&amp;"")</f>
        <v/>
      </c>
      <c r="AG1106" s="9" t="str">
        <f aca="false">IF($AK1106=0,"",INDEX('Part types'!$V:$V,$AK1106)&amp;"")</f>
        <v>Estimate: item-specific</v>
      </c>
      <c r="AH1106" s="9" t="str">
        <f aca="false">IF($AK1106=0,"",INDEX('Part types'!$W:$W,$AK1106)&amp;"")</f>
        <v/>
      </c>
      <c r="AI1106" s="11" t="str">
        <f aca="false">IF($AK1106=0,"",INDEX('Part types'!$X:$X,$AK1106)&amp;"")</f>
        <v/>
      </c>
      <c r="AJ1106" s="9" t="str">
        <f aca="false">IF($AK1106=0,"",INDEX('Part types'!$Y:$Y,$AK1106)&amp;"")</f>
        <v/>
      </c>
      <c r="AK1106" s="9" t="n">
        <f aca="false">IFERROR(MATCH($AD1106,'Part types'!$E:$E,0),0)</f>
        <v>731</v>
      </c>
    </row>
    <row r="1107" customFormat="false" ht="15" hidden="false" customHeight="false" outlineLevel="0" collapsed="false">
      <c r="A1107" s="9" t="s">
        <v>4519</v>
      </c>
      <c r="B1107" s="9" t="s">
        <v>4496</v>
      </c>
      <c r="C1107" s="9" t="s">
        <v>4520</v>
      </c>
      <c r="D1107" s="9" t="str">
        <f aca="false">C1107&amp;" - "&amp;E1107</f>
        <v>Tow Rope - Universal</v>
      </c>
      <c r="E1107" s="9" t="s">
        <v>68</v>
      </c>
      <c r="F1107" s="9" t="s">
        <v>956</v>
      </c>
      <c r="G1107" s="10" t="n">
        <f aca="false">IF($AK1107=0,"",INDEX('Part types'!$P:$P,$AK1107))</f>
        <v>25</v>
      </c>
      <c r="H1107" s="10" t="n">
        <f aca="false">IF($AK1107=0,"",INDEX('Part types'!$Q:$Q,$AK1107))</f>
        <v>15</v>
      </c>
      <c r="I1107" s="10" t="n">
        <f aca="false">IF($AK1107=0,"",INDEX('Part types'!$R:$R,$AK1107))</f>
        <v>10</v>
      </c>
      <c r="J1107" s="10" t="n">
        <f aca="false">IF($AK1107=0,"",INDEX('Part types'!$S:$S,$AK1107))</f>
        <v>0.9</v>
      </c>
      <c r="K1107" s="11" t="s">
        <v>4498</v>
      </c>
      <c r="L1107" s="11" t="s">
        <v>4521</v>
      </c>
      <c r="M1107" s="11" t="str">
        <f aca="false">L1107&amp;" - "&amp;N1107</f>
        <v>حبل سحب - عام</v>
      </c>
      <c r="N1107" s="11" t="s">
        <v>72</v>
      </c>
      <c r="O1107" s="11" t="s">
        <v>959</v>
      </c>
      <c r="P1107" s="10" t="n">
        <f aca="false">G1107</f>
        <v>25</v>
      </c>
      <c r="Q1107" s="10" t="n">
        <f aca="false">H1107</f>
        <v>15</v>
      </c>
      <c r="R1107" s="10" t="n">
        <f aca="false">I1107</f>
        <v>10</v>
      </c>
      <c r="S1107" s="10" t="n">
        <f aca="false">J1107</f>
        <v>0.9</v>
      </c>
      <c r="T1107" s="12" t="s">
        <v>4500</v>
      </c>
      <c r="U1107" s="12" t="s">
        <v>4522</v>
      </c>
      <c r="V1107" s="9" t="str">
        <f aca="false">U1107&amp;" - "&amp;W1107</f>
        <v>拖车绳 - 通用</v>
      </c>
      <c r="W1107" s="12" t="s">
        <v>76</v>
      </c>
      <c r="X1107" s="12" t="s">
        <v>962</v>
      </c>
      <c r="Y1107" s="10" t="n">
        <f aca="false">G1107</f>
        <v>25</v>
      </c>
      <c r="Z1107" s="10" t="n">
        <f aca="false">H1107</f>
        <v>15</v>
      </c>
      <c r="AA1107" s="10" t="n">
        <f aca="false">I1107</f>
        <v>10</v>
      </c>
      <c r="AB1107" s="10" t="n">
        <f aca="false">J1107</f>
        <v>0.9</v>
      </c>
      <c r="AC1107" s="9" t="s">
        <v>4502</v>
      </c>
      <c r="AD1107" s="9" t="s">
        <v>4523</v>
      </c>
      <c r="AE1107" s="9" t="str">
        <f aca="false">IF($AK1107=0,"",INDEX('Part types'!$T:$T,$AK1107)&amp;"")</f>
        <v>All vehicles</v>
      </c>
      <c r="AF1107" s="9" t="str">
        <f aca="false">IF($AK1107=0,"",INDEX('Part types'!$U:$U,$AK1107)&amp;"")</f>
        <v/>
      </c>
      <c r="AG1107" s="9" t="str">
        <f aca="false">IF($AK1107=0,"",INDEX('Part types'!$V:$V,$AK1107)&amp;"")</f>
        <v>Estimate: size class M</v>
      </c>
      <c r="AH1107" s="9" t="str">
        <f aca="false">IF($AK1107=0,"",INDEX('Part types'!$W:$W,$AK1107)&amp;"")</f>
        <v/>
      </c>
      <c r="AI1107" s="11" t="str">
        <f aca="false">IF($AK1107=0,"",INDEX('Part types'!$X:$X,$AK1107)&amp;"")</f>
        <v/>
      </c>
      <c r="AJ1107" s="9" t="str">
        <f aca="false">IF($AK1107=0,"",INDEX('Part types'!$Y:$Y,$AK1107)&amp;"")</f>
        <v/>
      </c>
      <c r="AK1107" s="9" t="n">
        <f aca="false">IFERROR(MATCH($AD1107,'Part types'!$E:$E,0),0)</f>
        <v>732</v>
      </c>
    </row>
    <row r="1108" customFormat="false" ht="15" hidden="false" customHeight="false" outlineLevel="0" collapsed="false">
      <c r="A1108" s="9" t="s">
        <v>4524</v>
      </c>
      <c r="B1108" s="9" t="s">
        <v>4496</v>
      </c>
      <c r="C1108" s="9" t="s">
        <v>4525</v>
      </c>
      <c r="D1108" s="9" t="str">
        <f aca="false">C1108&amp;" - "&amp;E1108</f>
        <v>Portable Jump Starter - Universal</v>
      </c>
      <c r="E1108" s="9" t="s">
        <v>68</v>
      </c>
      <c r="F1108" s="9" t="s">
        <v>956</v>
      </c>
      <c r="G1108" s="10" t="n">
        <f aca="false">IF($AK1108=0,"",INDEX('Part types'!$P:$P,$AK1108))</f>
        <v>22</v>
      </c>
      <c r="H1108" s="10" t="n">
        <f aca="false">IF($AK1108=0,"",INDEX('Part types'!$Q:$Q,$AK1108))</f>
        <v>10</v>
      </c>
      <c r="I1108" s="10" t="n">
        <f aca="false">IF($AK1108=0,"",INDEX('Part types'!$R:$R,$AK1108))</f>
        <v>8</v>
      </c>
      <c r="J1108" s="10" t="n">
        <f aca="false">IF($AK1108=0,"",INDEX('Part types'!$S:$S,$AK1108))</f>
        <v>1</v>
      </c>
      <c r="K1108" s="11" t="s">
        <v>4498</v>
      </c>
      <c r="L1108" s="11" t="s">
        <v>4526</v>
      </c>
      <c r="M1108" s="11" t="str">
        <f aca="false">L1108&amp;" - "&amp;N1108</f>
        <v>جهاز تشغيل البطارية - عام</v>
      </c>
      <c r="N1108" s="11" t="s">
        <v>72</v>
      </c>
      <c r="O1108" s="11" t="s">
        <v>959</v>
      </c>
      <c r="P1108" s="10" t="n">
        <f aca="false">G1108</f>
        <v>22</v>
      </c>
      <c r="Q1108" s="10" t="n">
        <f aca="false">H1108</f>
        <v>10</v>
      </c>
      <c r="R1108" s="10" t="n">
        <f aca="false">I1108</f>
        <v>8</v>
      </c>
      <c r="S1108" s="10" t="n">
        <f aca="false">J1108</f>
        <v>1</v>
      </c>
      <c r="T1108" s="12" t="s">
        <v>4500</v>
      </c>
      <c r="U1108" s="12" t="s">
        <v>4527</v>
      </c>
      <c r="V1108" s="9" t="str">
        <f aca="false">U1108&amp;" - "&amp;W1108</f>
        <v>应急启动电源 - 通用</v>
      </c>
      <c r="W1108" s="12" t="s">
        <v>76</v>
      </c>
      <c r="X1108" s="12" t="s">
        <v>962</v>
      </c>
      <c r="Y1108" s="10" t="n">
        <f aca="false">G1108</f>
        <v>22</v>
      </c>
      <c r="Z1108" s="10" t="n">
        <f aca="false">H1108</f>
        <v>10</v>
      </c>
      <c r="AA1108" s="10" t="n">
        <f aca="false">I1108</f>
        <v>8</v>
      </c>
      <c r="AB1108" s="10" t="n">
        <f aca="false">J1108</f>
        <v>1</v>
      </c>
      <c r="AC1108" s="9" t="s">
        <v>4502</v>
      </c>
      <c r="AD1108" s="9" t="s">
        <v>4528</v>
      </c>
      <c r="AE1108" s="9" t="str">
        <f aca="false">IF($AK1108=0,"",INDEX('Part types'!$T:$T,$AK1108)&amp;"")</f>
        <v>All vehicles</v>
      </c>
      <c r="AF1108" s="9" t="str">
        <f aca="false">IF($AK1108=0,"",INDEX('Part types'!$U:$U,$AK1108)&amp;"")</f>
        <v>Battery (restricted)</v>
      </c>
      <c r="AG1108" s="9" t="str">
        <f aca="false">IF($AK1108=0,"",INDEX('Part types'!$V:$V,$AK1108)&amp;"")</f>
        <v>Estimate: item-specific</v>
      </c>
      <c r="AH1108" s="9" t="str">
        <f aca="false">IF($AK1108=0,"",INDEX('Part types'!$W:$W,$AK1108)&amp;"")</f>
        <v/>
      </c>
      <c r="AI1108" s="11" t="str">
        <f aca="false">IF($AK1108=0,"",INDEX('Part types'!$X:$X,$AK1108)&amp;"")</f>
        <v>جامبر</v>
      </c>
      <c r="AJ1108" s="9" t="str">
        <f aca="false">IF($AK1108=0,"",INDEX('Part types'!$Y:$Y,$AK1108)&amp;"")</f>
        <v/>
      </c>
      <c r="AK1108" s="9" t="n">
        <f aca="false">IFERROR(MATCH($AD1108,'Part types'!$E:$E,0),0)</f>
        <v>733</v>
      </c>
    </row>
    <row r="1109" customFormat="false" ht="15" hidden="false" customHeight="false" outlineLevel="0" collapsed="false">
      <c r="A1109" s="9" t="s">
        <v>4529</v>
      </c>
      <c r="B1109" s="9" t="s">
        <v>4496</v>
      </c>
      <c r="C1109" s="9" t="s">
        <v>4530</v>
      </c>
      <c r="D1109" s="9" t="str">
        <f aca="false">C1109&amp;" - "&amp;E1109</f>
        <v>Jumper Cables - Universal</v>
      </c>
      <c r="E1109" s="9" t="s">
        <v>68</v>
      </c>
      <c r="F1109" s="9" t="s">
        <v>956</v>
      </c>
      <c r="G1109" s="10" t="n">
        <f aca="false">IF($AK1109=0,"",INDEX('Part types'!$P:$P,$AK1109))</f>
        <v>25</v>
      </c>
      <c r="H1109" s="10" t="n">
        <f aca="false">IF($AK1109=0,"",INDEX('Part types'!$Q:$Q,$AK1109))</f>
        <v>15</v>
      </c>
      <c r="I1109" s="10" t="n">
        <f aca="false">IF($AK1109=0,"",INDEX('Part types'!$R:$R,$AK1109))</f>
        <v>10</v>
      </c>
      <c r="J1109" s="10" t="n">
        <f aca="false">IF($AK1109=0,"",INDEX('Part types'!$S:$S,$AK1109))</f>
        <v>0.9</v>
      </c>
      <c r="K1109" s="11" t="s">
        <v>4498</v>
      </c>
      <c r="L1109" s="11" t="s">
        <v>4531</v>
      </c>
      <c r="M1109" s="11" t="str">
        <f aca="false">L1109&amp;" - "&amp;N1109</f>
        <v>كابلات توصيل البطارية - عام</v>
      </c>
      <c r="N1109" s="11" t="s">
        <v>72</v>
      </c>
      <c r="O1109" s="11" t="s">
        <v>959</v>
      </c>
      <c r="P1109" s="10" t="n">
        <f aca="false">G1109</f>
        <v>25</v>
      </c>
      <c r="Q1109" s="10" t="n">
        <f aca="false">H1109</f>
        <v>15</v>
      </c>
      <c r="R1109" s="10" t="n">
        <f aca="false">I1109</f>
        <v>10</v>
      </c>
      <c r="S1109" s="10" t="n">
        <f aca="false">J1109</f>
        <v>0.9</v>
      </c>
      <c r="T1109" s="12" t="s">
        <v>4500</v>
      </c>
      <c r="U1109" s="12" t="s">
        <v>4532</v>
      </c>
      <c r="V1109" s="9" t="str">
        <f aca="false">U1109&amp;" - "&amp;W1109</f>
        <v>搭电线 - 通用</v>
      </c>
      <c r="W1109" s="12" t="s">
        <v>76</v>
      </c>
      <c r="X1109" s="12" t="s">
        <v>962</v>
      </c>
      <c r="Y1109" s="10" t="n">
        <f aca="false">G1109</f>
        <v>25</v>
      </c>
      <c r="Z1109" s="10" t="n">
        <f aca="false">H1109</f>
        <v>15</v>
      </c>
      <c r="AA1109" s="10" t="n">
        <f aca="false">I1109</f>
        <v>10</v>
      </c>
      <c r="AB1109" s="10" t="n">
        <f aca="false">J1109</f>
        <v>0.9</v>
      </c>
      <c r="AC1109" s="9" t="s">
        <v>4502</v>
      </c>
      <c r="AD1109" s="9" t="s">
        <v>4533</v>
      </c>
      <c r="AE1109" s="9" t="str">
        <f aca="false">IF($AK1109=0,"",INDEX('Part types'!$T:$T,$AK1109)&amp;"")</f>
        <v>All vehicles</v>
      </c>
      <c r="AF1109" s="9" t="str">
        <f aca="false">IF($AK1109=0,"",INDEX('Part types'!$U:$U,$AK1109)&amp;"")</f>
        <v/>
      </c>
      <c r="AG1109" s="9" t="str">
        <f aca="false">IF($AK1109=0,"",INDEX('Part types'!$V:$V,$AK1109)&amp;"")</f>
        <v>Estimate: size class M</v>
      </c>
      <c r="AH1109" s="9" t="str">
        <f aca="false">IF($AK1109=0,"",INDEX('Part types'!$W:$W,$AK1109)&amp;"")</f>
        <v/>
      </c>
      <c r="AI1109" s="11" t="str">
        <f aca="false">IF($AK1109=0,"",INDEX('Part types'!$X:$X,$AK1109)&amp;"")</f>
        <v/>
      </c>
      <c r="AJ1109" s="9" t="str">
        <f aca="false">IF($AK1109=0,"",INDEX('Part types'!$Y:$Y,$AK1109)&amp;"")</f>
        <v/>
      </c>
      <c r="AK1109" s="9" t="n">
        <f aca="false">IFERROR(MATCH($AD1109,'Part types'!$E:$E,0),0)</f>
        <v>734</v>
      </c>
    </row>
    <row r="1110" customFormat="false" ht="15" hidden="false" customHeight="false" outlineLevel="0" collapsed="false">
      <c r="A1110" s="9" t="s">
        <v>4534</v>
      </c>
      <c r="B1110" s="9" t="s">
        <v>4496</v>
      </c>
      <c r="C1110" s="9" t="s">
        <v>4535</v>
      </c>
      <c r="D1110" s="9" t="str">
        <f aca="false">C1110&amp;" - "&amp;E1110</f>
        <v>Basic Tool Kit - Universal</v>
      </c>
      <c r="E1110" s="9" t="s">
        <v>68</v>
      </c>
      <c r="F1110" s="9" t="s">
        <v>956</v>
      </c>
      <c r="G1110" s="10" t="n">
        <f aca="false">IF($AK1110=0,"",INDEX('Part types'!$P:$P,$AK1110))</f>
        <v>40</v>
      </c>
      <c r="H1110" s="10" t="n">
        <f aca="false">IF($AK1110=0,"",INDEX('Part types'!$Q:$Q,$AK1110))</f>
        <v>30</v>
      </c>
      <c r="I1110" s="10" t="n">
        <f aca="false">IF($AK1110=0,"",INDEX('Part types'!$R:$R,$AK1110))</f>
        <v>10</v>
      </c>
      <c r="J1110" s="10" t="n">
        <f aca="false">IF($AK1110=0,"",INDEX('Part types'!$S:$S,$AK1110))</f>
        <v>4</v>
      </c>
      <c r="K1110" s="11" t="s">
        <v>4498</v>
      </c>
      <c r="L1110" s="11" t="s">
        <v>4536</v>
      </c>
      <c r="M1110" s="11" t="str">
        <f aca="false">L1110&amp;" - "&amp;N1110</f>
        <v>طقم عدة أساسية - عام</v>
      </c>
      <c r="N1110" s="11" t="s">
        <v>72</v>
      </c>
      <c r="O1110" s="11" t="s">
        <v>959</v>
      </c>
      <c r="P1110" s="10" t="n">
        <f aca="false">G1110</f>
        <v>40</v>
      </c>
      <c r="Q1110" s="10" t="n">
        <f aca="false">H1110</f>
        <v>30</v>
      </c>
      <c r="R1110" s="10" t="n">
        <f aca="false">I1110</f>
        <v>10</v>
      </c>
      <c r="S1110" s="10" t="n">
        <f aca="false">J1110</f>
        <v>4</v>
      </c>
      <c r="T1110" s="12" t="s">
        <v>4500</v>
      </c>
      <c r="U1110" s="12" t="s">
        <v>4537</v>
      </c>
      <c r="V1110" s="9" t="str">
        <f aca="false">U1110&amp;" - "&amp;W1110</f>
        <v>基础工具套装 - 通用</v>
      </c>
      <c r="W1110" s="12" t="s">
        <v>76</v>
      </c>
      <c r="X1110" s="12" t="s">
        <v>962</v>
      </c>
      <c r="Y1110" s="10" t="n">
        <f aca="false">G1110</f>
        <v>40</v>
      </c>
      <c r="Z1110" s="10" t="n">
        <f aca="false">H1110</f>
        <v>30</v>
      </c>
      <c r="AA1110" s="10" t="n">
        <f aca="false">I1110</f>
        <v>10</v>
      </c>
      <c r="AB1110" s="10" t="n">
        <f aca="false">J1110</f>
        <v>4</v>
      </c>
      <c r="AC1110" s="9" t="s">
        <v>4502</v>
      </c>
      <c r="AD1110" s="9" t="s">
        <v>4538</v>
      </c>
      <c r="AE1110" s="9" t="str">
        <f aca="false">IF($AK1110=0,"",INDEX('Part types'!$T:$T,$AK1110)&amp;"")</f>
        <v>All vehicles</v>
      </c>
      <c r="AF1110" s="9" t="str">
        <f aca="false">IF($AK1110=0,"",INDEX('Part types'!$U:$U,$AK1110)&amp;"")</f>
        <v/>
      </c>
      <c r="AG1110" s="9" t="str">
        <f aca="false">IF($AK1110=0,"",INDEX('Part types'!$V:$V,$AK1110)&amp;"")</f>
        <v>Estimate: item-specific</v>
      </c>
      <c r="AH1110" s="9" t="str">
        <f aca="false">IF($AK1110=0,"",INDEX('Part types'!$W:$W,$AK1110)&amp;"")</f>
        <v/>
      </c>
      <c r="AI1110" s="11" t="str">
        <f aca="false">IF($AK1110=0,"",INDEX('Part types'!$X:$X,$AK1110)&amp;"")</f>
        <v/>
      </c>
      <c r="AJ1110" s="9" t="str">
        <f aca="false">IF($AK1110=0,"",INDEX('Part types'!$Y:$Y,$AK1110)&amp;"")</f>
        <v/>
      </c>
      <c r="AK1110" s="9" t="n">
        <f aca="false">IFERROR(MATCH($AD1110,'Part types'!$E:$E,0),0)</f>
        <v>735</v>
      </c>
    </row>
    <row r="1111" customFormat="false" ht="15" hidden="false" customHeight="false" outlineLevel="0" collapsed="false">
      <c r="A1111" s="9" t="s">
        <v>4539</v>
      </c>
      <c r="B1111" s="9" t="s">
        <v>4496</v>
      </c>
      <c r="C1111" s="9" t="s">
        <v>4540</v>
      </c>
      <c r="D1111" s="9" t="str">
        <f aca="false">C1111&amp;" - "&amp;E1111</f>
        <v>OBD2 Diagnostic Scanner - Universal</v>
      </c>
      <c r="E1111" s="9" t="s">
        <v>68</v>
      </c>
      <c r="F1111" s="9" t="s">
        <v>956</v>
      </c>
      <c r="G1111" s="10" t="n">
        <f aca="false">IF($AK1111=0,"",INDEX('Part types'!$P:$P,$AK1111))</f>
        <v>15</v>
      </c>
      <c r="H1111" s="10" t="n">
        <f aca="false">IF($AK1111=0,"",INDEX('Part types'!$Q:$Q,$AK1111))</f>
        <v>10</v>
      </c>
      <c r="I1111" s="10" t="n">
        <f aca="false">IF($AK1111=0,"",INDEX('Part types'!$R:$R,$AK1111))</f>
        <v>8</v>
      </c>
      <c r="J1111" s="10" t="n">
        <f aca="false">IF($AK1111=0,"",INDEX('Part types'!$S:$S,$AK1111))</f>
        <v>0.3</v>
      </c>
      <c r="K1111" s="11" t="s">
        <v>4498</v>
      </c>
      <c r="L1111" s="11" t="s">
        <v>4541</v>
      </c>
      <c r="M1111" s="11" t="str">
        <f aca="false">L1111&amp;" - "&amp;N1111</f>
        <v>جهاز فحص OBD2 - عام</v>
      </c>
      <c r="N1111" s="11" t="s">
        <v>72</v>
      </c>
      <c r="O1111" s="11" t="s">
        <v>959</v>
      </c>
      <c r="P1111" s="10" t="n">
        <f aca="false">G1111</f>
        <v>15</v>
      </c>
      <c r="Q1111" s="10" t="n">
        <f aca="false">H1111</f>
        <v>10</v>
      </c>
      <c r="R1111" s="10" t="n">
        <f aca="false">I1111</f>
        <v>8</v>
      </c>
      <c r="S1111" s="10" t="n">
        <f aca="false">J1111</f>
        <v>0.3</v>
      </c>
      <c r="T1111" s="12" t="s">
        <v>4500</v>
      </c>
      <c r="U1111" s="9" t="s">
        <v>4542</v>
      </c>
      <c r="V1111" s="9" t="str">
        <f aca="false">U1111&amp;" - "&amp;W1111</f>
        <v>OBD2诊断仪 - 通用</v>
      </c>
      <c r="W1111" s="12" t="s">
        <v>76</v>
      </c>
      <c r="X1111" s="12" t="s">
        <v>962</v>
      </c>
      <c r="Y1111" s="10" t="n">
        <f aca="false">G1111</f>
        <v>15</v>
      </c>
      <c r="Z1111" s="10" t="n">
        <f aca="false">H1111</f>
        <v>10</v>
      </c>
      <c r="AA1111" s="10" t="n">
        <f aca="false">I1111</f>
        <v>8</v>
      </c>
      <c r="AB1111" s="10" t="n">
        <f aca="false">J1111</f>
        <v>0.3</v>
      </c>
      <c r="AC1111" s="9" t="s">
        <v>4502</v>
      </c>
      <c r="AD1111" s="9" t="s">
        <v>4543</v>
      </c>
      <c r="AE1111" s="9" t="str">
        <f aca="false">IF($AK1111=0,"",INDEX('Part types'!$T:$T,$AK1111)&amp;"")</f>
        <v>All vehicles</v>
      </c>
      <c r="AF1111" s="9" t="str">
        <f aca="false">IF($AK1111=0,"",INDEX('Part types'!$U:$U,$AK1111)&amp;"")</f>
        <v/>
      </c>
      <c r="AG1111" s="9" t="str">
        <f aca="false">IF($AK1111=0,"",INDEX('Part types'!$V:$V,$AK1111)&amp;"")</f>
        <v>Estimate: size class S</v>
      </c>
      <c r="AH1111" s="9" t="str">
        <f aca="false">IF($AK1111=0,"",INDEX('Part types'!$W:$W,$AK1111)&amp;"")</f>
        <v/>
      </c>
      <c r="AI1111" s="11" t="str">
        <f aca="false">IF($AK1111=0,"",INDEX('Part types'!$X:$X,$AK1111)&amp;"")</f>
        <v/>
      </c>
      <c r="AJ1111" s="9" t="str">
        <f aca="false">IF($AK1111=0,"",INDEX('Part types'!$Y:$Y,$AK1111)&amp;"")</f>
        <v/>
      </c>
      <c r="AK1111" s="9" t="n">
        <f aca="false">IFERROR(MATCH($AD1111,'Part types'!$E:$E,0),0)</f>
        <v>736</v>
      </c>
    </row>
    <row r="1112" customFormat="false" ht="15" hidden="false" customHeight="false" outlineLevel="0" collapsed="false">
      <c r="A1112" s="9" t="s">
        <v>4544</v>
      </c>
      <c r="B1112" s="9" t="s">
        <v>4496</v>
      </c>
      <c r="C1112" s="9" t="s">
        <v>4545</v>
      </c>
      <c r="D1112" s="9" t="str">
        <f aca="false">C1112&amp;" - "&amp;E1112</f>
        <v>Car Vacuum Cleaner - Universal</v>
      </c>
      <c r="E1112" s="9" t="s">
        <v>68</v>
      </c>
      <c r="F1112" s="9" t="s">
        <v>956</v>
      </c>
      <c r="G1112" s="10" t="n">
        <f aca="false">IF($AK1112=0,"",INDEX('Part types'!$P:$P,$AK1112))</f>
        <v>30</v>
      </c>
      <c r="H1112" s="10" t="n">
        <f aca="false">IF($AK1112=0,"",INDEX('Part types'!$Q:$Q,$AK1112))</f>
        <v>20</v>
      </c>
      <c r="I1112" s="10" t="n">
        <f aca="false">IF($AK1112=0,"",INDEX('Part types'!$R:$R,$AK1112))</f>
        <v>15</v>
      </c>
      <c r="J1112" s="10" t="n">
        <f aca="false">IF($AK1112=0,"",INDEX('Part types'!$S:$S,$AK1112))</f>
        <v>1.8</v>
      </c>
      <c r="K1112" s="11" t="s">
        <v>4498</v>
      </c>
      <c r="L1112" s="11" t="s">
        <v>4546</v>
      </c>
      <c r="M1112" s="11" t="str">
        <f aca="false">L1112&amp;" - "&amp;N1112</f>
        <v>مكنسة سيارة - عام</v>
      </c>
      <c r="N1112" s="11" t="s">
        <v>72</v>
      </c>
      <c r="O1112" s="11" t="s">
        <v>959</v>
      </c>
      <c r="P1112" s="10" t="n">
        <f aca="false">G1112</f>
        <v>30</v>
      </c>
      <c r="Q1112" s="10" t="n">
        <f aca="false">H1112</f>
        <v>20</v>
      </c>
      <c r="R1112" s="10" t="n">
        <f aca="false">I1112</f>
        <v>15</v>
      </c>
      <c r="S1112" s="10" t="n">
        <f aca="false">J1112</f>
        <v>1.8</v>
      </c>
      <c r="T1112" s="12" t="s">
        <v>4500</v>
      </c>
      <c r="U1112" s="12" t="s">
        <v>4547</v>
      </c>
      <c r="V1112" s="9" t="str">
        <f aca="false">U1112&amp;" - "&amp;W1112</f>
        <v>车载吸尘器 - 通用</v>
      </c>
      <c r="W1112" s="12" t="s">
        <v>76</v>
      </c>
      <c r="X1112" s="12" t="s">
        <v>962</v>
      </c>
      <c r="Y1112" s="10" t="n">
        <f aca="false">G1112</f>
        <v>30</v>
      </c>
      <c r="Z1112" s="10" t="n">
        <f aca="false">H1112</f>
        <v>20</v>
      </c>
      <c r="AA1112" s="10" t="n">
        <f aca="false">I1112</f>
        <v>15</v>
      </c>
      <c r="AB1112" s="10" t="n">
        <f aca="false">J1112</f>
        <v>1.8</v>
      </c>
      <c r="AC1112" s="9" t="s">
        <v>4502</v>
      </c>
      <c r="AD1112" s="9" t="s">
        <v>4548</v>
      </c>
      <c r="AE1112" s="9" t="str">
        <f aca="false">IF($AK1112=0,"",INDEX('Part types'!$T:$T,$AK1112)&amp;"")</f>
        <v>All vehicles</v>
      </c>
      <c r="AF1112" s="9" t="str">
        <f aca="false">IF($AK1112=0,"",INDEX('Part types'!$U:$U,$AK1112)&amp;"")</f>
        <v/>
      </c>
      <c r="AG1112" s="9" t="str">
        <f aca="false">IF($AK1112=0,"",INDEX('Part types'!$V:$V,$AK1112)&amp;"")</f>
        <v>Estimate: size class M2</v>
      </c>
      <c r="AH1112" s="9" t="str">
        <f aca="false">IF($AK1112=0,"",INDEX('Part types'!$W:$W,$AK1112)&amp;"")</f>
        <v>12 V</v>
      </c>
      <c r="AI1112" s="11" t="str">
        <f aca="false">IF($AK1112=0,"",INDEX('Part types'!$X:$X,$AK1112)&amp;"")</f>
        <v>12 فولت</v>
      </c>
      <c r="AJ1112" s="9" t="str">
        <f aca="false">IF($AK1112=0,"",INDEX('Part types'!$Y:$Y,$AK1112)&amp;"")</f>
        <v>12V</v>
      </c>
      <c r="AK1112" s="9" t="n">
        <f aca="false">IFERROR(MATCH($AD1112,'Part types'!$E:$E,0),0)</f>
        <v>737</v>
      </c>
    </row>
  </sheetData>
  <autoFilter ref="A1:AK1112"/>
  <dataValidations count="2">
    <dataValidation allowBlank="false" errorStyle="stop" operator="between" showDropDown="false" showErrorMessage="false" showInputMessage="false" sqref="E2:E1112" type="list">
      <formula1>Positions!$A$2:$A$10</formula1>
      <formula2>0</formula2>
    </dataValidation>
    <dataValidation allowBlank="false" errorStyle="stop" operator="between" showDropDown="false" showErrorMessage="false" showInputMessage="false" sqref="F2:F1112" type="list">
      <formula1>Placements!$A$2:$A$82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36"/>
    <col collapsed="false" customWidth="true" hidden="false" outlineLevel="0" max="8" min="8" style="0" width="28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34"/>
    <col collapsed="false" customWidth="true" hidden="false" outlineLevel="0" max="14" min="13" style="0" width="22"/>
    <col collapsed="false" customWidth="true" hidden="false" outlineLevel="0" max="15" min="15" style="0" width="18"/>
    <col collapsed="false" customWidth="true" hidden="false" outlineLevel="0" max="19" min="16" style="0" width="10"/>
    <col collapsed="false" customWidth="true" hidden="false" outlineLevel="0" max="20" min="20" style="0" width="40"/>
    <col collapsed="false" customWidth="true" hidden="false" outlineLevel="0" max="21" min="21" style="0" width="34"/>
    <col collapsed="false" customWidth="true" hidden="false" outlineLevel="0" max="22" min="22" style="0" width="24"/>
    <col collapsed="false" customWidth="true" hidden="false" outlineLevel="0" max="23" min="23" style="0" width="40"/>
    <col collapsed="false" customWidth="true" hidden="false" outlineLevel="0" max="24" min="24" style="0" width="30"/>
    <col collapsed="false" customWidth="true" hidden="false" outlineLevel="0" max="25" min="25" style="0" width="26"/>
  </cols>
  <sheetData>
    <row r="1" customFormat="false" ht="30" hidden="false" customHeight="true" outlineLevel="0" collapsed="false">
      <c r="A1" s="4" t="s">
        <v>56</v>
      </c>
      <c r="B1" s="4" t="s">
        <v>4549</v>
      </c>
      <c r="C1" s="4" t="s">
        <v>4550</v>
      </c>
      <c r="D1" s="4" t="s">
        <v>4551</v>
      </c>
      <c r="E1" s="4" t="s">
        <v>4552</v>
      </c>
      <c r="F1" s="4" t="s">
        <v>4553</v>
      </c>
      <c r="G1" s="4" t="s">
        <v>4554</v>
      </c>
      <c r="H1" s="4" t="s">
        <v>4555</v>
      </c>
      <c r="I1" s="4" t="s">
        <v>4556</v>
      </c>
      <c r="J1" s="4" t="s">
        <v>4557</v>
      </c>
      <c r="K1" s="4" t="s">
        <v>4558</v>
      </c>
      <c r="L1" s="6" t="s">
        <v>4559</v>
      </c>
      <c r="M1" s="6" t="s">
        <v>4560</v>
      </c>
      <c r="N1" s="6" t="s">
        <v>4561</v>
      </c>
      <c r="O1" s="6" t="s">
        <v>4562</v>
      </c>
      <c r="P1" s="5" t="s">
        <v>34</v>
      </c>
      <c r="Q1" s="5" t="s">
        <v>35</v>
      </c>
      <c r="R1" s="5" t="s">
        <v>36</v>
      </c>
      <c r="S1" s="5" t="s">
        <v>37</v>
      </c>
      <c r="T1" s="8" t="s">
        <v>58</v>
      </c>
      <c r="U1" s="8" t="s">
        <v>59</v>
      </c>
      <c r="V1" s="8" t="s">
        <v>60</v>
      </c>
      <c r="W1" s="8" t="s">
        <v>61</v>
      </c>
      <c r="X1" s="8" t="s">
        <v>62</v>
      </c>
      <c r="Y1" s="8" t="s">
        <v>63</v>
      </c>
    </row>
    <row r="2" customFormat="false" ht="15" hidden="false" customHeight="false" outlineLevel="0" collapsed="false">
      <c r="A2" s="9" t="s">
        <v>78</v>
      </c>
      <c r="B2" s="9" t="s">
        <v>66</v>
      </c>
      <c r="C2" s="11" t="s">
        <v>70</v>
      </c>
      <c r="D2" s="12" t="s">
        <v>74</v>
      </c>
      <c r="E2" s="9" t="s">
        <v>79</v>
      </c>
      <c r="F2" s="9" t="s">
        <v>67</v>
      </c>
      <c r="G2" s="11" t="s">
        <v>71</v>
      </c>
      <c r="H2" s="12" t="s">
        <v>75</v>
      </c>
      <c r="I2" s="9"/>
      <c r="J2" s="11"/>
      <c r="K2" s="9"/>
      <c r="L2" s="9" t="s">
        <v>68</v>
      </c>
      <c r="M2" s="9" t="s">
        <v>69</v>
      </c>
      <c r="N2" s="11" t="s">
        <v>73</v>
      </c>
      <c r="O2" s="12" t="s">
        <v>77</v>
      </c>
      <c r="P2" s="13" t="n">
        <v>110</v>
      </c>
      <c r="Q2" s="13" t="n">
        <v>75</v>
      </c>
      <c r="R2" s="13" t="n">
        <v>75</v>
      </c>
      <c r="S2" s="13" t="n">
        <v>150</v>
      </c>
      <c r="T2" s="9" t="s">
        <v>4563</v>
      </c>
      <c r="U2" s="9" t="s">
        <v>4564</v>
      </c>
      <c r="V2" s="9" t="s">
        <v>4565</v>
      </c>
      <c r="W2" s="9" t="s">
        <v>4566</v>
      </c>
      <c r="X2" s="11"/>
      <c r="Y2" s="9"/>
    </row>
    <row r="3" customFormat="false" ht="15" hidden="false" customHeight="false" outlineLevel="0" collapsed="false">
      <c r="A3" s="9" t="s">
        <v>78</v>
      </c>
      <c r="B3" s="9" t="s">
        <v>66</v>
      </c>
      <c r="C3" s="11" t="s">
        <v>70</v>
      </c>
      <c r="D3" s="12" t="s">
        <v>74</v>
      </c>
      <c r="E3" s="9" t="s">
        <v>84</v>
      </c>
      <c r="F3" s="9" t="s">
        <v>81</v>
      </c>
      <c r="G3" s="11" t="s">
        <v>82</v>
      </c>
      <c r="H3" s="12" t="s">
        <v>83</v>
      </c>
      <c r="I3" s="9"/>
      <c r="J3" s="11"/>
      <c r="K3" s="9"/>
      <c r="L3" s="9" t="s">
        <v>68</v>
      </c>
      <c r="M3" s="9" t="s">
        <v>69</v>
      </c>
      <c r="N3" s="11" t="s">
        <v>73</v>
      </c>
      <c r="O3" s="12" t="s">
        <v>77</v>
      </c>
      <c r="P3" s="13" t="n">
        <v>80</v>
      </c>
      <c r="Q3" s="13" t="n">
        <v>60</v>
      </c>
      <c r="R3" s="13" t="n">
        <v>60</v>
      </c>
      <c r="S3" s="13" t="n">
        <v>80</v>
      </c>
      <c r="T3" s="9" t="s">
        <v>4563</v>
      </c>
      <c r="U3" s="9" t="s">
        <v>4564</v>
      </c>
      <c r="V3" s="9" t="s">
        <v>4565</v>
      </c>
      <c r="W3" s="9"/>
      <c r="X3" s="11" t="s">
        <v>4567</v>
      </c>
      <c r="Y3" s="9"/>
    </row>
    <row r="4" customFormat="false" ht="15" hidden="false" customHeight="false" outlineLevel="0" collapsed="false">
      <c r="A4" s="9" t="s">
        <v>78</v>
      </c>
      <c r="B4" s="9" t="s">
        <v>66</v>
      </c>
      <c r="C4" s="11" t="s">
        <v>70</v>
      </c>
      <c r="D4" s="12" t="s">
        <v>74</v>
      </c>
      <c r="E4" s="9" t="s">
        <v>92</v>
      </c>
      <c r="F4" s="9" t="s">
        <v>86</v>
      </c>
      <c r="G4" s="11" t="s">
        <v>88</v>
      </c>
      <c r="H4" s="12" t="s">
        <v>90</v>
      </c>
      <c r="I4" s="9"/>
      <c r="J4" s="11"/>
      <c r="K4" s="9"/>
      <c r="L4" s="9" t="s">
        <v>68</v>
      </c>
      <c r="M4" s="9" t="s">
        <v>87</v>
      </c>
      <c r="N4" s="11" t="s">
        <v>89</v>
      </c>
      <c r="O4" s="12" t="s">
        <v>91</v>
      </c>
      <c r="P4" s="13" t="n">
        <v>60</v>
      </c>
      <c r="Q4" s="13" t="n">
        <v>45</v>
      </c>
      <c r="R4" s="13" t="n">
        <v>40</v>
      </c>
      <c r="S4" s="13" t="n">
        <v>35</v>
      </c>
      <c r="T4" s="9" t="s">
        <v>4563</v>
      </c>
      <c r="U4" s="9" t="s">
        <v>4564</v>
      </c>
      <c r="V4" s="9" t="s">
        <v>4565</v>
      </c>
      <c r="W4" s="9"/>
      <c r="X4" s="11"/>
      <c r="Y4" s="9"/>
    </row>
    <row r="5" customFormat="false" ht="15" hidden="false" customHeight="false" outlineLevel="0" collapsed="false">
      <c r="A5" s="9" t="s">
        <v>78</v>
      </c>
      <c r="B5" s="9" t="s">
        <v>66</v>
      </c>
      <c r="C5" s="11" t="s">
        <v>70</v>
      </c>
      <c r="D5" s="12" t="s">
        <v>74</v>
      </c>
      <c r="E5" s="9" t="s">
        <v>97</v>
      </c>
      <c r="F5" s="9" t="s">
        <v>94</v>
      </c>
      <c r="G5" s="11" t="s">
        <v>95</v>
      </c>
      <c r="H5" s="12" t="s">
        <v>96</v>
      </c>
      <c r="I5" s="9"/>
      <c r="J5" s="11"/>
      <c r="K5" s="9"/>
      <c r="L5" s="9" t="s">
        <v>68</v>
      </c>
      <c r="M5" s="9" t="s">
        <v>94</v>
      </c>
      <c r="N5" s="11" t="s">
        <v>95</v>
      </c>
      <c r="O5" s="12" t="s">
        <v>96</v>
      </c>
      <c r="P5" s="13" t="n">
        <v>60</v>
      </c>
      <c r="Q5" s="13" t="n">
        <v>30</v>
      </c>
      <c r="R5" s="13" t="n">
        <v>25</v>
      </c>
      <c r="S5" s="13" t="n">
        <v>18</v>
      </c>
      <c r="T5" s="9" t="s">
        <v>4563</v>
      </c>
      <c r="U5" s="9"/>
      <c r="V5" s="9" t="s">
        <v>4565</v>
      </c>
      <c r="W5" s="9"/>
      <c r="X5" s="11"/>
      <c r="Y5" s="9"/>
    </row>
    <row r="6" customFormat="false" ht="15" hidden="false" customHeight="false" outlineLevel="0" collapsed="false">
      <c r="A6" s="9" t="s">
        <v>78</v>
      </c>
      <c r="B6" s="9" t="s">
        <v>66</v>
      </c>
      <c r="C6" s="11" t="s">
        <v>70</v>
      </c>
      <c r="D6" s="12" t="s">
        <v>74</v>
      </c>
      <c r="E6" s="9" t="s">
        <v>102</v>
      </c>
      <c r="F6" s="9" t="s">
        <v>99</v>
      </c>
      <c r="G6" s="11" t="s">
        <v>100</v>
      </c>
      <c r="H6" s="12" t="s">
        <v>101</v>
      </c>
      <c r="I6" s="9"/>
      <c r="J6" s="11"/>
      <c r="K6" s="9"/>
      <c r="L6" s="9" t="s">
        <v>68</v>
      </c>
      <c r="M6" s="9" t="s">
        <v>94</v>
      </c>
      <c r="N6" s="11" t="s">
        <v>95</v>
      </c>
      <c r="O6" s="12" t="s">
        <v>96</v>
      </c>
      <c r="P6" s="13" t="n">
        <v>50</v>
      </c>
      <c r="Q6" s="13" t="n">
        <v>30</v>
      </c>
      <c r="R6" s="13" t="n">
        <v>3</v>
      </c>
      <c r="S6" s="13" t="n">
        <v>0.4</v>
      </c>
      <c r="T6" s="9" t="s">
        <v>4563</v>
      </c>
      <c r="U6" s="9"/>
      <c r="V6" s="9" t="s">
        <v>4565</v>
      </c>
      <c r="W6" s="9"/>
      <c r="X6" s="11"/>
      <c r="Y6" s="9"/>
    </row>
    <row r="7" customFormat="false" ht="15" hidden="false" customHeight="false" outlineLevel="0" collapsed="false">
      <c r="A7" s="9" t="s">
        <v>78</v>
      </c>
      <c r="B7" s="9" t="s">
        <v>66</v>
      </c>
      <c r="C7" s="11" t="s">
        <v>70</v>
      </c>
      <c r="D7" s="12" t="s">
        <v>74</v>
      </c>
      <c r="E7" s="9" t="s">
        <v>107</v>
      </c>
      <c r="F7" s="9" t="s">
        <v>104</v>
      </c>
      <c r="G7" s="11" t="s">
        <v>105</v>
      </c>
      <c r="H7" s="12" t="s">
        <v>106</v>
      </c>
      <c r="I7" s="9"/>
      <c r="J7" s="11"/>
      <c r="K7" s="9"/>
      <c r="L7" s="9" t="s">
        <v>68</v>
      </c>
      <c r="M7" s="9" t="s">
        <v>94</v>
      </c>
      <c r="N7" s="11" t="s">
        <v>95</v>
      </c>
      <c r="O7" s="12" t="s">
        <v>96</v>
      </c>
      <c r="P7" s="13" t="n">
        <v>25</v>
      </c>
      <c r="Q7" s="13" t="n">
        <v>15</v>
      </c>
      <c r="R7" s="13" t="n">
        <v>10</v>
      </c>
      <c r="S7" s="13" t="n">
        <v>0.9</v>
      </c>
      <c r="T7" s="9" t="s">
        <v>4563</v>
      </c>
      <c r="U7" s="9"/>
      <c r="V7" s="9" t="s">
        <v>4568</v>
      </c>
      <c r="W7" s="9" t="s">
        <v>4569</v>
      </c>
      <c r="X7" s="11"/>
      <c r="Y7" s="9"/>
    </row>
    <row r="8" customFormat="false" ht="15" hidden="false" customHeight="false" outlineLevel="0" collapsed="false">
      <c r="A8" s="9" t="s">
        <v>78</v>
      </c>
      <c r="B8" s="9" t="s">
        <v>66</v>
      </c>
      <c r="C8" s="11" t="s">
        <v>70</v>
      </c>
      <c r="D8" s="12" t="s">
        <v>74</v>
      </c>
      <c r="E8" s="9" t="s">
        <v>115</v>
      </c>
      <c r="F8" s="9" t="s">
        <v>109</v>
      </c>
      <c r="G8" s="11" t="s">
        <v>111</v>
      </c>
      <c r="H8" s="12" t="s">
        <v>113</v>
      </c>
      <c r="I8" s="9"/>
      <c r="J8" s="11"/>
      <c r="K8" s="9"/>
      <c r="L8" s="9" t="s">
        <v>68</v>
      </c>
      <c r="M8" s="9" t="s">
        <v>110</v>
      </c>
      <c r="N8" s="11" t="s">
        <v>112</v>
      </c>
      <c r="O8" s="12" t="s">
        <v>114</v>
      </c>
      <c r="P8" s="13" t="n">
        <v>40</v>
      </c>
      <c r="Q8" s="13" t="n">
        <v>25</v>
      </c>
      <c r="R8" s="13" t="n">
        <v>15</v>
      </c>
      <c r="S8" s="13" t="n">
        <v>3</v>
      </c>
      <c r="T8" s="9" t="s">
        <v>4563</v>
      </c>
      <c r="U8" s="9"/>
      <c r="V8" s="9" t="s">
        <v>4570</v>
      </c>
      <c r="W8" s="9"/>
      <c r="X8" s="11"/>
      <c r="Y8" s="9"/>
    </row>
    <row r="9" customFormat="false" ht="15" hidden="false" customHeight="false" outlineLevel="0" collapsed="false">
      <c r="A9" s="9" t="s">
        <v>78</v>
      </c>
      <c r="B9" s="9" t="s">
        <v>66</v>
      </c>
      <c r="C9" s="11" t="s">
        <v>70</v>
      </c>
      <c r="D9" s="12" t="s">
        <v>74</v>
      </c>
      <c r="E9" s="9" t="s">
        <v>120</v>
      </c>
      <c r="F9" s="9" t="s">
        <v>117</v>
      </c>
      <c r="G9" s="11" t="s">
        <v>118</v>
      </c>
      <c r="H9" s="12" t="s">
        <v>119</v>
      </c>
      <c r="I9" s="9"/>
      <c r="J9" s="11"/>
      <c r="K9" s="9"/>
      <c r="L9" s="9" t="s">
        <v>68</v>
      </c>
      <c r="M9" s="9" t="s">
        <v>110</v>
      </c>
      <c r="N9" s="11" t="s">
        <v>112</v>
      </c>
      <c r="O9" s="12" t="s">
        <v>114</v>
      </c>
      <c r="P9" s="13" t="n">
        <v>15</v>
      </c>
      <c r="Q9" s="13" t="n">
        <v>10</v>
      </c>
      <c r="R9" s="13" t="n">
        <v>8</v>
      </c>
      <c r="S9" s="13" t="n">
        <v>0.3</v>
      </c>
      <c r="T9" s="9" t="s">
        <v>4563</v>
      </c>
      <c r="U9" s="9"/>
      <c r="V9" s="9" t="s">
        <v>4571</v>
      </c>
      <c r="W9" s="9"/>
      <c r="X9" s="11"/>
      <c r="Y9" s="9"/>
    </row>
    <row r="10" customFormat="false" ht="15" hidden="false" customHeight="false" outlineLevel="0" collapsed="false">
      <c r="A10" s="9" t="s">
        <v>78</v>
      </c>
      <c r="B10" s="9" t="s">
        <v>66</v>
      </c>
      <c r="C10" s="11" t="s">
        <v>70</v>
      </c>
      <c r="D10" s="12" t="s">
        <v>74</v>
      </c>
      <c r="E10" s="9" t="s">
        <v>128</v>
      </c>
      <c r="F10" s="9" t="s">
        <v>122</v>
      </c>
      <c r="G10" s="11" t="s">
        <v>124</v>
      </c>
      <c r="H10" s="12" t="s">
        <v>126</v>
      </c>
      <c r="I10" s="9"/>
      <c r="J10" s="11"/>
      <c r="K10" s="9"/>
      <c r="L10" s="9" t="s">
        <v>68</v>
      </c>
      <c r="M10" s="9" t="s">
        <v>123</v>
      </c>
      <c r="N10" s="11" t="s">
        <v>125</v>
      </c>
      <c r="O10" s="12" t="s">
        <v>127</v>
      </c>
      <c r="P10" s="13" t="n">
        <v>10</v>
      </c>
      <c r="Q10" s="13" t="n">
        <v>8</v>
      </c>
      <c r="R10" s="13" t="n">
        <v>6</v>
      </c>
      <c r="S10" s="13" t="n">
        <v>0.1</v>
      </c>
      <c r="T10" s="9" t="s">
        <v>4563</v>
      </c>
      <c r="U10" s="9"/>
      <c r="V10" s="9" t="s">
        <v>4572</v>
      </c>
      <c r="W10" s="9"/>
      <c r="X10" s="11" t="s">
        <v>4573</v>
      </c>
      <c r="Y10" s="9"/>
    </row>
    <row r="11" customFormat="false" ht="15" hidden="false" customHeight="false" outlineLevel="0" collapsed="false">
      <c r="A11" s="9" t="s">
        <v>78</v>
      </c>
      <c r="B11" s="9" t="s">
        <v>66</v>
      </c>
      <c r="C11" s="11" t="s">
        <v>70</v>
      </c>
      <c r="D11" s="12" t="s">
        <v>74</v>
      </c>
      <c r="E11" s="9" t="s">
        <v>133</v>
      </c>
      <c r="F11" s="9" t="s">
        <v>130</v>
      </c>
      <c r="G11" s="11" t="s">
        <v>131</v>
      </c>
      <c r="H11" s="12" t="s">
        <v>132</v>
      </c>
      <c r="I11" s="9"/>
      <c r="J11" s="11"/>
      <c r="K11" s="9"/>
      <c r="L11" s="9" t="s">
        <v>68</v>
      </c>
      <c r="M11" s="9" t="s">
        <v>123</v>
      </c>
      <c r="N11" s="11" t="s">
        <v>125</v>
      </c>
      <c r="O11" s="12" t="s">
        <v>127</v>
      </c>
      <c r="P11" s="13" t="n">
        <v>15</v>
      </c>
      <c r="Q11" s="13" t="n">
        <v>10</v>
      </c>
      <c r="R11" s="13" t="n">
        <v>8</v>
      </c>
      <c r="S11" s="13" t="n">
        <v>0.3</v>
      </c>
      <c r="T11" s="9" t="s">
        <v>4563</v>
      </c>
      <c r="U11" s="9"/>
      <c r="V11" s="9" t="s">
        <v>4571</v>
      </c>
      <c r="W11" s="9"/>
      <c r="X11" s="11"/>
      <c r="Y11" s="9"/>
    </row>
    <row r="12" customFormat="false" ht="15" hidden="false" customHeight="false" outlineLevel="0" collapsed="false">
      <c r="A12" s="9" t="s">
        <v>78</v>
      </c>
      <c r="B12" s="9" t="s">
        <v>66</v>
      </c>
      <c r="C12" s="11" t="s">
        <v>70</v>
      </c>
      <c r="D12" s="12" t="s">
        <v>74</v>
      </c>
      <c r="E12" s="9" t="s">
        <v>138</v>
      </c>
      <c r="F12" s="9" t="s">
        <v>135</v>
      </c>
      <c r="G12" s="11" t="s">
        <v>136</v>
      </c>
      <c r="H12" s="12" t="s">
        <v>137</v>
      </c>
      <c r="I12" s="9"/>
      <c r="J12" s="11"/>
      <c r="K12" s="9"/>
      <c r="L12" s="9" t="s">
        <v>68</v>
      </c>
      <c r="M12" s="9" t="s">
        <v>123</v>
      </c>
      <c r="N12" s="11" t="s">
        <v>125</v>
      </c>
      <c r="O12" s="12" t="s">
        <v>127</v>
      </c>
      <c r="P12" s="13" t="n">
        <v>10</v>
      </c>
      <c r="Q12" s="13" t="n">
        <v>8</v>
      </c>
      <c r="R12" s="13" t="n">
        <v>6</v>
      </c>
      <c r="S12" s="13" t="n">
        <v>0.1</v>
      </c>
      <c r="T12" s="9" t="s">
        <v>4563</v>
      </c>
      <c r="U12" s="9"/>
      <c r="V12" s="9" t="s">
        <v>4572</v>
      </c>
      <c r="W12" s="9"/>
      <c r="X12" s="11"/>
      <c r="Y12" s="9"/>
    </row>
    <row r="13" customFormat="false" ht="15" hidden="false" customHeight="false" outlineLevel="0" collapsed="false">
      <c r="A13" s="9" t="s">
        <v>78</v>
      </c>
      <c r="B13" s="9" t="s">
        <v>66</v>
      </c>
      <c r="C13" s="11" t="s">
        <v>70</v>
      </c>
      <c r="D13" s="12" t="s">
        <v>74</v>
      </c>
      <c r="E13" s="9" t="s">
        <v>143</v>
      </c>
      <c r="F13" s="9" t="s">
        <v>140</v>
      </c>
      <c r="G13" s="11" t="s">
        <v>141</v>
      </c>
      <c r="H13" s="12" t="s">
        <v>142</v>
      </c>
      <c r="I13" s="9"/>
      <c r="J13" s="11"/>
      <c r="K13" s="9"/>
      <c r="L13" s="9" t="s">
        <v>68</v>
      </c>
      <c r="M13" s="9" t="s">
        <v>123</v>
      </c>
      <c r="N13" s="11" t="s">
        <v>125</v>
      </c>
      <c r="O13" s="12" t="s">
        <v>127</v>
      </c>
      <c r="P13" s="13" t="n">
        <v>15</v>
      </c>
      <c r="Q13" s="13" t="n">
        <v>10</v>
      </c>
      <c r="R13" s="13" t="n">
        <v>8</v>
      </c>
      <c r="S13" s="13" t="n">
        <v>0.3</v>
      </c>
      <c r="T13" s="9" t="s">
        <v>4563</v>
      </c>
      <c r="U13" s="9"/>
      <c r="V13" s="9" t="s">
        <v>4571</v>
      </c>
      <c r="W13" s="9"/>
      <c r="X13" s="11" t="s">
        <v>4574</v>
      </c>
      <c r="Y13" s="9"/>
    </row>
    <row r="14" customFormat="false" ht="15" hidden="false" customHeight="false" outlineLevel="0" collapsed="false">
      <c r="A14" s="9" t="s">
        <v>78</v>
      </c>
      <c r="B14" s="9" t="s">
        <v>66</v>
      </c>
      <c r="C14" s="11" t="s">
        <v>70</v>
      </c>
      <c r="D14" s="12" t="s">
        <v>74</v>
      </c>
      <c r="E14" s="9" t="s">
        <v>148</v>
      </c>
      <c r="F14" s="9" t="s">
        <v>145</v>
      </c>
      <c r="G14" s="11" t="s">
        <v>146</v>
      </c>
      <c r="H14" s="12" t="s">
        <v>147</v>
      </c>
      <c r="I14" s="9"/>
      <c r="J14" s="11"/>
      <c r="K14" s="9"/>
      <c r="L14" s="9" t="s">
        <v>68</v>
      </c>
      <c r="M14" s="9" t="s">
        <v>123</v>
      </c>
      <c r="N14" s="11" t="s">
        <v>125</v>
      </c>
      <c r="O14" s="12" t="s">
        <v>127</v>
      </c>
      <c r="P14" s="13" t="n">
        <v>15</v>
      </c>
      <c r="Q14" s="13" t="n">
        <v>10</v>
      </c>
      <c r="R14" s="13" t="n">
        <v>8</v>
      </c>
      <c r="S14" s="13" t="n">
        <v>0.3</v>
      </c>
      <c r="T14" s="9" t="s">
        <v>4563</v>
      </c>
      <c r="U14" s="9"/>
      <c r="V14" s="9" t="s">
        <v>4571</v>
      </c>
      <c r="W14" s="9" t="s">
        <v>4575</v>
      </c>
      <c r="X14" s="11"/>
      <c r="Y14" s="9"/>
    </row>
    <row r="15" customFormat="false" ht="15" hidden="false" customHeight="false" outlineLevel="0" collapsed="false">
      <c r="A15" s="9" t="s">
        <v>78</v>
      </c>
      <c r="B15" s="9" t="s">
        <v>66</v>
      </c>
      <c r="C15" s="11" t="s">
        <v>70</v>
      </c>
      <c r="D15" s="12" t="s">
        <v>74</v>
      </c>
      <c r="E15" s="9" t="s">
        <v>153</v>
      </c>
      <c r="F15" s="9" t="s">
        <v>150</v>
      </c>
      <c r="G15" s="11" t="s">
        <v>151</v>
      </c>
      <c r="H15" s="12" t="s">
        <v>152</v>
      </c>
      <c r="I15" s="9"/>
      <c r="J15" s="11"/>
      <c r="K15" s="9"/>
      <c r="L15" s="9" t="s">
        <v>68</v>
      </c>
      <c r="M15" s="9" t="s">
        <v>123</v>
      </c>
      <c r="N15" s="11" t="s">
        <v>125</v>
      </c>
      <c r="O15" s="12" t="s">
        <v>127</v>
      </c>
      <c r="P15" s="13" t="n">
        <v>70</v>
      </c>
      <c r="Q15" s="13" t="n">
        <v>15</v>
      </c>
      <c r="R15" s="13" t="n">
        <v>15</v>
      </c>
      <c r="S15" s="13" t="n">
        <v>12</v>
      </c>
      <c r="T15" s="9" t="s">
        <v>4563</v>
      </c>
      <c r="U15" s="9"/>
      <c r="V15" s="9" t="s">
        <v>4565</v>
      </c>
      <c r="W15" s="9"/>
      <c r="X15" s="11" t="s">
        <v>4576</v>
      </c>
      <c r="Y15" s="9"/>
    </row>
    <row r="16" customFormat="false" ht="15" hidden="false" customHeight="false" outlineLevel="0" collapsed="false">
      <c r="A16" s="9" t="s">
        <v>78</v>
      </c>
      <c r="B16" s="9" t="s">
        <v>66</v>
      </c>
      <c r="C16" s="11" t="s">
        <v>70</v>
      </c>
      <c r="D16" s="12" t="s">
        <v>74</v>
      </c>
      <c r="E16" s="9" t="s">
        <v>158</v>
      </c>
      <c r="F16" s="9" t="s">
        <v>155</v>
      </c>
      <c r="G16" s="11" t="s">
        <v>156</v>
      </c>
      <c r="H16" s="12" t="s">
        <v>157</v>
      </c>
      <c r="I16" s="9"/>
      <c r="J16" s="11"/>
      <c r="K16" s="9"/>
      <c r="L16" s="9" t="s">
        <v>68</v>
      </c>
      <c r="M16" s="9" t="s">
        <v>123</v>
      </c>
      <c r="N16" s="11" t="s">
        <v>125</v>
      </c>
      <c r="O16" s="12" t="s">
        <v>127</v>
      </c>
      <c r="P16" s="13" t="n">
        <v>15</v>
      </c>
      <c r="Q16" s="13" t="n">
        <v>10</v>
      </c>
      <c r="R16" s="13" t="n">
        <v>8</v>
      </c>
      <c r="S16" s="13" t="n">
        <v>0.3</v>
      </c>
      <c r="T16" s="9" t="s">
        <v>4563</v>
      </c>
      <c r="U16" s="9"/>
      <c r="V16" s="9" t="s">
        <v>4571</v>
      </c>
      <c r="W16" s="9" t="s">
        <v>4577</v>
      </c>
      <c r="X16" s="11"/>
      <c r="Y16" s="9"/>
    </row>
    <row r="17" customFormat="false" ht="15" hidden="false" customHeight="false" outlineLevel="0" collapsed="false">
      <c r="A17" s="9" t="s">
        <v>78</v>
      </c>
      <c r="B17" s="9" t="s">
        <v>66</v>
      </c>
      <c r="C17" s="11" t="s">
        <v>70</v>
      </c>
      <c r="D17" s="12" t="s">
        <v>74</v>
      </c>
      <c r="E17" s="9" t="s">
        <v>166</v>
      </c>
      <c r="F17" s="9" t="s">
        <v>160</v>
      </c>
      <c r="G17" s="11" t="s">
        <v>162</v>
      </c>
      <c r="H17" s="12" t="s">
        <v>164</v>
      </c>
      <c r="I17" s="9"/>
      <c r="J17" s="11"/>
      <c r="K17" s="9"/>
      <c r="L17" s="9" t="s">
        <v>4578</v>
      </c>
      <c r="M17" s="9" t="s">
        <v>87</v>
      </c>
      <c r="N17" s="11" t="s">
        <v>89</v>
      </c>
      <c r="O17" s="12" t="s">
        <v>91</v>
      </c>
      <c r="P17" s="13" t="n">
        <v>10</v>
      </c>
      <c r="Q17" s="13" t="n">
        <v>8</v>
      </c>
      <c r="R17" s="13" t="n">
        <v>6</v>
      </c>
      <c r="S17" s="13" t="n">
        <v>0.1</v>
      </c>
      <c r="T17" s="9" t="s">
        <v>4563</v>
      </c>
      <c r="U17" s="9"/>
      <c r="V17" s="9" t="s">
        <v>4572</v>
      </c>
      <c r="W17" s="9"/>
      <c r="X17" s="11"/>
      <c r="Y17" s="9"/>
    </row>
    <row r="18" customFormat="false" ht="15" hidden="false" customHeight="false" outlineLevel="0" collapsed="false">
      <c r="A18" s="9" t="s">
        <v>78</v>
      </c>
      <c r="B18" s="9" t="s">
        <v>66</v>
      </c>
      <c r="C18" s="11" t="s">
        <v>70</v>
      </c>
      <c r="D18" s="12" t="s">
        <v>74</v>
      </c>
      <c r="E18" s="9" t="s">
        <v>175</v>
      </c>
      <c r="F18" s="9" t="s">
        <v>172</v>
      </c>
      <c r="G18" s="11" t="s">
        <v>173</v>
      </c>
      <c r="H18" s="12" t="s">
        <v>174</v>
      </c>
      <c r="I18" s="9"/>
      <c r="J18" s="11"/>
      <c r="K18" s="9"/>
      <c r="L18" s="9" t="s">
        <v>68</v>
      </c>
      <c r="M18" s="9" t="s">
        <v>94</v>
      </c>
      <c r="N18" s="11" t="s">
        <v>95</v>
      </c>
      <c r="O18" s="12" t="s">
        <v>96</v>
      </c>
      <c r="P18" s="13" t="n">
        <v>60</v>
      </c>
      <c r="Q18" s="13" t="n">
        <v>10</v>
      </c>
      <c r="R18" s="13" t="n">
        <v>10</v>
      </c>
      <c r="S18" s="13" t="n">
        <v>3</v>
      </c>
      <c r="T18" s="9" t="s">
        <v>4563</v>
      </c>
      <c r="U18" s="9"/>
      <c r="V18" s="9" t="s">
        <v>4565</v>
      </c>
      <c r="W18" s="9"/>
      <c r="X18" s="11"/>
      <c r="Y18" s="9"/>
    </row>
    <row r="19" customFormat="false" ht="15" hidden="false" customHeight="false" outlineLevel="0" collapsed="false">
      <c r="A19" s="9" t="s">
        <v>78</v>
      </c>
      <c r="B19" s="9" t="s">
        <v>66</v>
      </c>
      <c r="C19" s="11" t="s">
        <v>70</v>
      </c>
      <c r="D19" s="12" t="s">
        <v>74</v>
      </c>
      <c r="E19" s="9" t="s">
        <v>180</v>
      </c>
      <c r="F19" s="9" t="s">
        <v>177</v>
      </c>
      <c r="G19" s="11" t="s">
        <v>178</v>
      </c>
      <c r="H19" s="12" t="s">
        <v>179</v>
      </c>
      <c r="I19" s="9"/>
      <c r="J19" s="11"/>
      <c r="K19" s="9"/>
      <c r="L19" s="9" t="s">
        <v>68</v>
      </c>
      <c r="M19" s="9" t="s">
        <v>94</v>
      </c>
      <c r="N19" s="11" t="s">
        <v>95</v>
      </c>
      <c r="O19" s="12" t="s">
        <v>96</v>
      </c>
      <c r="P19" s="13" t="n">
        <v>15</v>
      </c>
      <c r="Q19" s="13" t="n">
        <v>10</v>
      </c>
      <c r="R19" s="13" t="n">
        <v>8</v>
      </c>
      <c r="S19" s="13" t="n">
        <v>0.3</v>
      </c>
      <c r="T19" s="9" t="s">
        <v>4563</v>
      </c>
      <c r="U19" s="9"/>
      <c r="V19" s="9" t="s">
        <v>4571</v>
      </c>
      <c r="W19" s="9"/>
      <c r="X19" s="11"/>
      <c r="Y19" s="9"/>
    </row>
    <row r="20" customFormat="false" ht="15" hidden="false" customHeight="false" outlineLevel="0" collapsed="false">
      <c r="A20" s="9" t="s">
        <v>78</v>
      </c>
      <c r="B20" s="9" t="s">
        <v>66</v>
      </c>
      <c r="C20" s="11" t="s">
        <v>70</v>
      </c>
      <c r="D20" s="12" t="s">
        <v>74</v>
      </c>
      <c r="E20" s="9" t="s">
        <v>185</v>
      </c>
      <c r="F20" s="9" t="s">
        <v>182</v>
      </c>
      <c r="G20" s="11" t="s">
        <v>183</v>
      </c>
      <c r="H20" s="12" t="s">
        <v>184</v>
      </c>
      <c r="I20" s="9"/>
      <c r="J20" s="11"/>
      <c r="K20" s="9"/>
      <c r="L20" s="9" t="s">
        <v>68</v>
      </c>
      <c r="M20" s="9" t="s">
        <v>94</v>
      </c>
      <c r="N20" s="11" t="s">
        <v>95</v>
      </c>
      <c r="O20" s="12" t="s">
        <v>96</v>
      </c>
      <c r="P20" s="13" t="n">
        <v>10</v>
      </c>
      <c r="Q20" s="13" t="n">
        <v>8</v>
      </c>
      <c r="R20" s="13" t="n">
        <v>6</v>
      </c>
      <c r="S20" s="13" t="n">
        <v>0.1</v>
      </c>
      <c r="T20" s="9" t="s">
        <v>4563</v>
      </c>
      <c r="U20" s="9"/>
      <c r="V20" s="9" t="s">
        <v>4572</v>
      </c>
      <c r="W20" s="9"/>
      <c r="X20" s="11"/>
      <c r="Y20" s="9"/>
    </row>
    <row r="21" customFormat="false" ht="15" hidden="false" customHeight="false" outlineLevel="0" collapsed="false">
      <c r="A21" s="9" t="s">
        <v>78</v>
      </c>
      <c r="B21" s="9" t="s">
        <v>66</v>
      </c>
      <c r="C21" s="11" t="s">
        <v>70</v>
      </c>
      <c r="D21" s="12" t="s">
        <v>74</v>
      </c>
      <c r="E21" s="9" t="s">
        <v>190</v>
      </c>
      <c r="F21" s="9" t="s">
        <v>187</v>
      </c>
      <c r="G21" s="11" t="s">
        <v>188</v>
      </c>
      <c r="H21" s="12" t="s">
        <v>189</v>
      </c>
      <c r="I21" s="9"/>
      <c r="J21" s="11"/>
      <c r="K21" s="9"/>
      <c r="L21" s="9" t="s">
        <v>68</v>
      </c>
      <c r="M21" s="9" t="s">
        <v>94</v>
      </c>
      <c r="N21" s="11" t="s">
        <v>95</v>
      </c>
      <c r="O21" s="12" t="s">
        <v>96</v>
      </c>
      <c r="P21" s="13" t="n">
        <v>10</v>
      </c>
      <c r="Q21" s="13" t="n">
        <v>8</v>
      </c>
      <c r="R21" s="13" t="n">
        <v>6</v>
      </c>
      <c r="S21" s="13" t="n">
        <v>0.1</v>
      </c>
      <c r="T21" s="9" t="s">
        <v>4563</v>
      </c>
      <c r="U21" s="9"/>
      <c r="V21" s="9" t="s">
        <v>4572</v>
      </c>
      <c r="W21" s="9"/>
      <c r="X21" s="11"/>
      <c r="Y21" s="9"/>
    </row>
    <row r="22" customFormat="false" ht="15" hidden="false" customHeight="false" outlineLevel="0" collapsed="false">
      <c r="A22" s="9" t="s">
        <v>78</v>
      </c>
      <c r="B22" s="9" t="s">
        <v>66</v>
      </c>
      <c r="C22" s="11" t="s">
        <v>70</v>
      </c>
      <c r="D22" s="12" t="s">
        <v>74</v>
      </c>
      <c r="E22" s="9" t="s">
        <v>195</v>
      </c>
      <c r="F22" s="9" t="s">
        <v>192</v>
      </c>
      <c r="G22" s="11" t="s">
        <v>193</v>
      </c>
      <c r="H22" s="12" t="s">
        <v>194</v>
      </c>
      <c r="I22" s="9"/>
      <c r="J22" s="11"/>
      <c r="K22" s="9"/>
      <c r="L22" s="9" t="s">
        <v>68</v>
      </c>
      <c r="M22" s="9" t="s">
        <v>94</v>
      </c>
      <c r="N22" s="11" t="s">
        <v>95</v>
      </c>
      <c r="O22" s="12" t="s">
        <v>96</v>
      </c>
      <c r="P22" s="13" t="n">
        <v>10</v>
      </c>
      <c r="Q22" s="13" t="n">
        <v>8</v>
      </c>
      <c r="R22" s="13" t="n">
        <v>6</v>
      </c>
      <c r="S22" s="13" t="n">
        <v>0.1</v>
      </c>
      <c r="T22" s="9" t="s">
        <v>4563</v>
      </c>
      <c r="U22" s="9"/>
      <c r="V22" s="9" t="s">
        <v>4572</v>
      </c>
      <c r="W22" s="9"/>
      <c r="X22" s="11"/>
      <c r="Y22" s="9"/>
    </row>
    <row r="23" customFormat="false" ht="15" hidden="false" customHeight="false" outlineLevel="0" collapsed="false">
      <c r="A23" s="9" t="s">
        <v>78</v>
      </c>
      <c r="B23" s="9" t="s">
        <v>66</v>
      </c>
      <c r="C23" s="11" t="s">
        <v>70</v>
      </c>
      <c r="D23" s="12" t="s">
        <v>74</v>
      </c>
      <c r="E23" s="9" t="s">
        <v>200</v>
      </c>
      <c r="F23" s="9" t="s">
        <v>197</v>
      </c>
      <c r="G23" s="11" t="s">
        <v>198</v>
      </c>
      <c r="H23" s="12" t="s">
        <v>199</v>
      </c>
      <c r="I23" s="9"/>
      <c r="J23" s="11"/>
      <c r="K23" s="9"/>
      <c r="L23" s="9" t="s">
        <v>68</v>
      </c>
      <c r="M23" s="9" t="s">
        <v>94</v>
      </c>
      <c r="N23" s="11" t="s">
        <v>95</v>
      </c>
      <c r="O23" s="12" t="s">
        <v>96</v>
      </c>
      <c r="P23" s="13" t="n">
        <v>10</v>
      </c>
      <c r="Q23" s="13" t="n">
        <v>8</v>
      </c>
      <c r="R23" s="13" t="n">
        <v>6</v>
      </c>
      <c r="S23" s="13" t="n">
        <v>0.1</v>
      </c>
      <c r="T23" s="9" t="s">
        <v>4563</v>
      </c>
      <c r="U23" s="9"/>
      <c r="V23" s="9" t="s">
        <v>4572</v>
      </c>
      <c r="W23" s="9"/>
      <c r="X23" s="11"/>
      <c r="Y23" s="9"/>
    </row>
    <row r="24" customFormat="false" ht="15" hidden="false" customHeight="false" outlineLevel="0" collapsed="false">
      <c r="A24" s="9" t="s">
        <v>78</v>
      </c>
      <c r="B24" s="9" t="s">
        <v>66</v>
      </c>
      <c r="C24" s="11" t="s">
        <v>70</v>
      </c>
      <c r="D24" s="12" t="s">
        <v>74</v>
      </c>
      <c r="E24" s="9" t="s">
        <v>205</v>
      </c>
      <c r="F24" s="9" t="s">
        <v>202</v>
      </c>
      <c r="G24" s="11" t="s">
        <v>203</v>
      </c>
      <c r="H24" s="12" t="s">
        <v>204</v>
      </c>
      <c r="I24" s="9"/>
      <c r="J24" s="11"/>
      <c r="K24" s="9"/>
      <c r="L24" s="9" t="s">
        <v>68</v>
      </c>
      <c r="M24" s="9" t="s">
        <v>94</v>
      </c>
      <c r="N24" s="11" t="s">
        <v>95</v>
      </c>
      <c r="O24" s="12" t="s">
        <v>96</v>
      </c>
      <c r="P24" s="13" t="n">
        <v>10</v>
      </c>
      <c r="Q24" s="13" t="n">
        <v>8</v>
      </c>
      <c r="R24" s="13" t="n">
        <v>6</v>
      </c>
      <c r="S24" s="13" t="n">
        <v>0.1</v>
      </c>
      <c r="T24" s="9" t="s">
        <v>4563</v>
      </c>
      <c r="U24" s="9"/>
      <c r="V24" s="9" t="s">
        <v>4572</v>
      </c>
      <c r="W24" s="9"/>
      <c r="X24" s="11"/>
      <c r="Y24" s="9"/>
    </row>
    <row r="25" customFormat="false" ht="15" hidden="false" customHeight="false" outlineLevel="0" collapsed="false">
      <c r="A25" s="9" t="s">
        <v>78</v>
      </c>
      <c r="B25" s="9" t="s">
        <v>66</v>
      </c>
      <c r="C25" s="11" t="s">
        <v>70</v>
      </c>
      <c r="D25" s="12" t="s">
        <v>74</v>
      </c>
      <c r="E25" s="9" t="s">
        <v>210</v>
      </c>
      <c r="F25" s="9" t="s">
        <v>207</v>
      </c>
      <c r="G25" s="11" t="s">
        <v>208</v>
      </c>
      <c r="H25" s="12" t="s">
        <v>209</v>
      </c>
      <c r="I25" s="9"/>
      <c r="J25" s="11"/>
      <c r="K25" s="9"/>
      <c r="L25" s="9" t="s">
        <v>68</v>
      </c>
      <c r="M25" s="9" t="s">
        <v>94</v>
      </c>
      <c r="N25" s="11" t="s">
        <v>95</v>
      </c>
      <c r="O25" s="12" t="s">
        <v>96</v>
      </c>
      <c r="P25" s="13" t="n">
        <v>10</v>
      </c>
      <c r="Q25" s="13" t="n">
        <v>8</v>
      </c>
      <c r="R25" s="13" t="n">
        <v>6</v>
      </c>
      <c r="S25" s="13" t="n">
        <v>0.1</v>
      </c>
      <c r="T25" s="9" t="s">
        <v>4563</v>
      </c>
      <c r="U25" s="9"/>
      <c r="V25" s="9" t="s">
        <v>4572</v>
      </c>
      <c r="W25" s="9" t="s">
        <v>4579</v>
      </c>
      <c r="X25" s="11"/>
      <c r="Y25" s="9"/>
    </row>
    <row r="26" customFormat="false" ht="15" hidden="false" customHeight="false" outlineLevel="0" collapsed="false">
      <c r="A26" s="9" t="s">
        <v>78</v>
      </c>
      <c r="B26" s="9" t="s">
        <v>66</v>
      </c>
      <c r="C26" s="11" t="s">
        <v>70</v>
      </c>
      <c r="D26" s="12" t="s">
        <v>74</v>
      </c>
      <c r="E26" s="9" t="s">
        <v>215</v>
      </c>
      <c r="F26" s="9" t="s">
        <v>212</v>
      </c>
      <c r="G26" s="11" t="s">
        <v>213</v>
      </c>
      <c r="H26" s="12" t="s">
        <v>214</v>
      </c>
      <c r="I26" s="9"/>
      <c r="J26" s="11"/>
      <c r="K26" s="9"/>
      <c r="L26" s="9" t="s">
        <v>68</v>
      </c>
      <c r="M26" s="9" t="s">
        <v>94</v>
      </c>
      <c r="N26" s="11" t="s">
        <v>95</v>
      </c>
      <c r="O26" s="12" t="s">
        <v>96</v>
      </c>
      <c r="P26" s="13" t="n">
        <v>10</v>
      </c>
      <c r="Q26" s="13" t="n">
        <v>8</v>
      </c>
      <c r="R26" s="13" t="n">
        <v>6</v>
      </c>
      <c r="S26" s="13" t="n">
        <v>0.1</v>
      </c>
      <c r="T26" s="9" t="s">
        <v>4563</v>
      </c>
      <c r="U26" s="9"/>
      <c r="V26" s="9" t="s">
        <v>4572</v>
      </c>
      <c r="W26" s="9"/>
      <c r="X26" s="11"/>
      <c r="Y26" s="9"/>
    </row>
    <row r="27" customFormat="false" ht="15" hidden="false" customHeight="false" outlineLevel="0" collapsed="false">
      <c r="A27" s="9" t="s">
        <v>78</v>
      </c>
      <c r="B27" s="9" t="s">
        <v>66</v>
      </c>
      <c r="C27" s="11" t="s">
        <v>70</v>
      </c>
      <c r="D27" s="12" t="s">
        <v>74</v>
      </c>
      <c r="E27" s="9" t="s">
        <v>223</v>
      </c>
      <c r="F27" s="9" t="s">
        <v>217</v>
      </c>
      <c r="G27" s="11" t="s">
        <v>219</v>
      </c>
      <c r="H27" s="12" t="s">
        <v>221</v>
      </c>
      <c r="I27" s="9"/>
      <c r="J27" s="11"/>
      <c r="K27" s="9"/>
      <c r="L27" s="9" t="s">
        <v>4580</v>
      </c>
      <c r="M27" s="9" t="s">
        <v>69</v>
      </c>
      <c r="N27" s="11" t="s">
        <v>73</v>
      </c>
      <c r="O27" s="12" t="s">
        <v>77</v>
      </c>
      <c r="P27" s="13" t="n">
        <v>30</v>
      </c>
      <c r="Q27" s="13" t="n">
        <v>20</v>
      </c>
      <c r="R27" s="13" t="n">
        <v>15</v>
      </c>
      <c r="S27" s="13" t="n">
        <v>1.8</v>
      </c>
      <c r="T27" s="9" t="s">
        <v>4563</v>
      </c>
      <c r="U27" s="9"/>
      <c r="V27" s="9" t="s">
        <v>4581</v>
      </c>
      <c r="W27" s="9"/>
      <c r="X27" s="11" t="s">
        <v>4582</v>
      </c>
      <c r="Y27" s="12" t="s">
        <v>4583</v>
      </c>
    </row>
    <row r="28" customFormat="false" ht="15" hidden="false" customHeight="false" outlineLevel="0" collapsed="false">
      <c r="A28" s="9" t="s">
        <v>78</v>
      </c>
      <c r="B28" s="9" t="s">
        <v>66</v>
      </c>
      <c r="C28" s="11" t="s">
        <v>70</v>
      </c>
      <c r="D28" s="12" t="s">
        <v>74</v>
      </c>
      <c r="E28" s="9" t="s">
        <v>234</v>
      </c>
      <c r="F28" s="9" t="s">
        <v>231</v>
      </c>
      <c r="G28" s="11" t="s">
        <v>232</v>
      </c>
      <c r="H28" s="12" t="s">
        <v>233</v>
      </c>
      <c r="I28" s="9"/>
      <c r="J28" s="11"/>
      <c r="K28" s="9"/>
      <c r="L28" s="9" t="s">
        <v>68</v>
      </c>
      <c r="M28" s="9" t="s">
        <v>110</v>
      </c>
      <c r="N28" s="11" t="s">
        <v>112</v>
      </c>
      <c r="O28" s="12" t="s">
        <v>114</v>
      </c>
      <c r="P28" s="13" t="n">
        <v>40</v>
      </c>
      <c r="Q28" s="13" t="n">
        <v>25</v>
      </c>
      <c r="R28" s="13" t="n">
        <v>15</v>
      </c>
      <c r="S28" s="13" t="n">
        <v>3</v>
      </c>
      <c r="T28" s="9" t="s">
        <v>4563</v>
      </c>
      <c r="U28" s="9"/>
      <c r="V28" s="9" t="s">
        <v>4570</v>
      </c>
      <c r="W28" s="9"/>
      <c r="X28" s="11"/>
      <c r="Y28" s="9"/>
    </row>
    <row r="29" customFormat="false" ht="15" hidden="false" customHeight="false" outlineLevel="0" collapsed="false">
      <c r="A29" s="9" t="s">
        <v>78</v>
      </c>
      <c r="B29" s="9" t="s">
        <v>66</v>
      </c>
      <c r="C29" s="11" t="s">
        <v>70</v>
      </c>
      <c r="D29" s="12" t="s">
        <v>74</v>
      </c>
      <c r="E29" s="9" t="s">
        <v>242</v>
      </c>
      <c r="F29" s="9" t="s">
        <v>236</v>
      </c>
      <c r="G29" s="11" t="s">
        <v>238</v>
      </c>
      <c r="H29" s="12" t="s">
        <v>240</v>
      </c>
      <c r="I29" s="9"/>
      <c r="J29" s="11"/>
      <c r="K29" s="9"/>
      <c r="L29" s="9" t="s">
        <v>68</v>
      </c>
      <c r="M29" s="9" t="s">
        <v>237</v>
      </c>
      <c r="N29" s="11" t="s">
        <v>239</v>
      </c>
      <c r="O29" s="12" t="s">
        <v>241</v>
      </c>
      <c r="P29" s="13" t="n">
        <v>70</v>
      </c>
      <c r="Q29" s="13" t="n">
        <v>40</v>
      </c>
      <c r="R29" s="13" t="n">
        <v>25</v>
      </c>
      <c r="S29" s="13" t="n">
        <v>9</v>
      </c>
      <c r="T29" s="9" t="s">
        <v>4563</v>
      </c>
      <c r="U29" s="9"/>
      <c r="V29" s="9" t="s">
        <v>4584</v>
      </c>
      <c r="W29" s="9"/>
      <c r="X29" s="11"/>
      <c r="Y29" s="9"/>
    </row>
    <row r="30" customFormat="false" ht="15" hidden="false" customHeight="false" outlineLevel="0" collapsed="false">
      <c r="A30" s="9" t="s">
        <v>78</v>
      </c>
      <c r="B30" s="9" t="s">
        <v>66</v>
      </c>
      <c r="C30" s="11" t="s">
        <v>70</v>
      </c>
      <c r="D30" s="12" t="s">
        <v>74</v>
      </c>
      <c r="E30" s="9" t="s">
        <v>247</v>
      </c>
      <c r="F30" s="9" t="s">
        <v>244</v>
      </c>
      <c r="G30" s="11" t="s">
        <v>245</v>
      </c>
      <c r="H30" s="12" t="s">
        <v>246</v>
      </c>
      <c r="I30" s="9"/>
      <c r="J30" s="11"/>
      <c r="K30" s="9"/>
      <c r="L30" s="9" t="s">
        <v>68</v>
      </c>
      <c r="M30" s="9" t="s">
        <v>87</v>
      </c>
      <c r="N30" s="11" t="s">
        <v>89</v>
      </c>
      <c r="O30" s="12" t="s">
        <v>91</v>
      </c>
      <c r="P30" s="13" t="n">
        <v>45</v>
      </c>
      <c r="Q30" s="13" t="n">
        <v>10</v>
      </c>
      <c r="R30" s="13" t="n">
        <v>10</v>
      </c>
      <c r="S30" s="13" t="n">
        <v>3</v>
      </c>
      <c r="T30" s="9" t="s">
        <v>4563</v>
      </c>
      <c r="U30" s="9"/>
      <c r="V30" s="9" t="s">
        <v>4565</v>
      </c>
      <c r="W30" s="9"/>
      <c r="X30" s="11"/>
      <c r="Y30" s="9"/>
    </row>
    <row r="31" customFormat="false" ht="15" hidden="false" customHeight="false" outlineLevel="0" collapsed="false">
      <c r="A31" s="9" t="s">
        <v>78</v>
      </c>
      <c r="B31" s="9" t="s">
        <v>66</v>
      </c>
      <c r="C31" s="11" t="s">
        <v>70</v>
      </c>
      <c r="D31" s="12" t="s">
        <v>74</v>
      </c>
      <c r="E31" s="9" t="s">
        <v>252</v>
      </c>
      <c r="F31" s="9" t="s">
        <v>249</v>
      </c>
      <c r="G31" s="11" t="s">
        <v>250</v>
      </c>
      <c r="H31" s="12" t="s">
        <v>251</v>
      </c>
      <c r="I31" s="9"/>
      <c r="J31" s="11"/>
      <c r="K31" s="9"/>
      <c r="L31" s="9" t="s">
        <v>68</v>
      </c>
      <c r="M31" s="9" t="s">
        <v>87</v>
      </c>
      <c r="N31" s="11" t="s">
        <v>89</v>
      </c>
      <c r="O31" s="12" t="s">
        <v>91</v>
      </c>
      <c r="P31" s="13" t="n">
        <v>15</v>
      </c>
      <c r="Q31" s="13" t="n">
        <v>10</v>
      </c>
      <c r="R31" s="13" t="n">
        <v>8</v>
      </c>
      <c r="S31" s="13" t="n">
        <v>0.3</v>
      </c>
      <c r="T31" s="9" t="s">
        <v>4563</v>
      </c>
      <c r="U31" s="9"/>
      <c r="V31" s="9" t="s">
        <v>4571</v>
      </c>
      <c r="W31" s="9"/>
      <c r="X31" s="11"/>
      <c r="Y31" s="9"/>
    </row>
    <row r="32" customFormat="false" ht="15" hidden="false" customHeight="false" outlineLevel="0" collapsed="false">
      <c r="A32" s="9" t="s">
        <v>78</v>
      </c>
      <c r="B32" s="9" t="s">
        <v>66</v>
      </c>
      <c r="C32" s="11" t="s">
        <v>70</v>
      </c>
      <c r="D32" s="12" t="s">
        <v>74</v>
      </c>
      <c r="E32" s="9" t="s">
        <v>257</v>
      </c>
      <c r="F32" s="9" t="s">
        <v>254</v>
      </c>
      <c r="G32" s="11" t="s">
        <v>255</v>
      </c>
      <c r="H32" s="12" t="s">
        <v>256</v>
      </c>
      <c r="I32" s="9"/>
      <c r="J32" s="11"/>
      <c r="K32" s="9"/>
      <c r="L32" s="9" t="s">
        <v>68</v>
      </c>
      <c r="M32" s="9" t="s">
        <v>87</v>
      </c>
      <c r="N32" s="11" t="s">
        <v>89</v>
      </c>
      <c r="O32" s="12" t="s">
        <v>91</v>
      </c>
      <c r="P32" s="13" t="n">
        <v>10</v>
      </c>
      <c r="Q32" s="13" t="n">
        <v>8</v>
      </c>
      <c r="R32" s="13" t="n">
        <v>6</v>
      </c>
      <c r="S32" s="13" t="n">
        <v>0.1</v>
      </c>
      <c r="T32" s="9" t="s">
        <v>4563</v>
      </c>
      <c r="U32" s="9"/>
      <c r="V32" s="9" t="s">
        <v>4572</v>
      </c>
      <c r="W32" s="9"/>
      <c r="X32" s="11"/>
      <c r="Y32" s="9"/>
    </row>
    <row r="33" customFormat="false" ht="15" hidden="false" customHeight="false" outlineLevel="0" collapsed="false">
      <c r="A33" s="9" t="s">
        <v>78</v>
      </c>
      <c r="B33" s="9" t="s">
        <v>66</v>
      </c>
      <c r="C33" s="11" t="s">
        <v>70</v>
      </c>
      <c r="D33" s="12" t="s">
        <v>74</v>
      </c>
      <c r="E33" s="9" t="s">
        <v>262</v>
      </c>
      <c r="F33" s="9" t="s">
        <v>259</v>
      </c>
      <c r="G33" s="11" t="s">
        <v>260</v>
      </c>
      <c r="H33" s="12" t="s">
        <v>261</v>
      </c>
      <c r="I33" s="9"/>
      <c r="J33" s="11"/>
      <c r="K33" s="9"/>
      <c r="L33" s="9" t="s">
        <v>68</v>
      </c>
      <c r="M33" s="9" t="s">
        <v>69</v>
      </c>
      <c r="N33" s="11" t="s">
        <v>73</v>
      </c>
      <c r="O33" s="12" t="s">
        <v>77</v>
      </c>
      <c r="P33" s="13" t="n">
        <v>30</v>
      </c>
      <c r="Q33" s="13" t="n">
        <v>20</v>
      </c>
      <c r="R33" s="13" t="n">
        <v>15</v>
      </c>
      <c r="S33" s="13" t="n">
        <v>1.8</v>
      </c>
      <c r="T33" s="9" t="s">
        <v>4563</v>
      </c>
      <c r="U33" s="9"/>
      <c r="V33" s="9" t="s">
        <v>4581</v>
      </c>
      <c r="W33" s="9" t="s">
        <v>4585</v>
      </c>
      <c r="X33" s="11"/>
      <c r="Y33" s="9"/>
    </row>
    <row r="34" customFormat="false" ht="15" hidden="false" customHeight="false" outlineLevel="0" collapsed="false">
      <c r="A34" s="9" t="s">
        <v>273</v>
      </c>
      <c r="B34" s="9" t="s">
        <v>264</v>
      </c>
      <c r="C34" s="11" t="s">
        <v>267</v>
      </c>
      <c r="D34" s="12" t="s">
        <v>270</v>
      </c>
      <c r="E34" s="9" t="s">
        <v>274</v>
      </c>
      <c r="F34" s="9" t="s">
        <v>265</v>
      </c>
      <c r="G34" s="11" t="s">
        <v>268</v>
      </c>
      <c r="H34" s="12" t="s">
        <v>271</v>
      </c>
      <c r="I34" s="9"/>
      <c r="J34" s="11"/>
      <c r="K34" s="9"/>
      <c r="L34" s="9" t="s">
        <v>68</v>
      </c>
      <c r="M34" s="9" t="s">
        <v>266</v>
      </c>
      <c r="N34" s="11" t="s">
        <v>269</v>
      </c>
      <c r="O34" s="12" t="s">
        <v>272</v>
      </c>
      <c r="P34" s="13" t="n">
        <v>25</v>
      </c>
      <c r="Q34" s="13" t="n">
        <v>15</v>
      </c>
      <c r="R34" s="13" t="n">
        <v>10</v>
      </c>
      <c r="S34" s="13" t="n">
        <v>0.9</v>
      </c>
      <c r="T34" s="9" t="s">
        <v>4563</v>
      </c>
      <c r="U34" s="9"/>
      <c r="V34" s="9" t="s">
        <v>4568</v>
      </c>
      <c r="W34" s="9"/>
      <c r="X34" s="11"/>
      <c r="Y34" s="9"/>
    </row>
    <row r="35" customFormat="false" ht="15" hidden="false" customHeight="false" outlineLevel="0" collapsed="false">
      <c r="A35" s="9" t="s">
        <v>273</v>
      </c>
      <c r="B35" s="9" t="s">
        <v>264</v>
      </c>
      <c r="C35" s="11" t="s">
        <v>267</v>
      </c>
      <c r="D35" s="12" t="s">
        <v>270</v>
      </c>
      <c r="E35" s="9" t="s">
        <v>279</v>
      </c>
      <c r="F35" s="9" t="s">
        <v>276</v>
      </c>
      <c r="G35" s="11" t="s">
        <v>277</v>
      </c>
      <c r="H35" s="12" t="s">
        <v>278</v>
      </c>
      <c r="I35" s="9"/>
      <c r="J35" s="11"/>
      <c r="K35" s="9"/>
      <c r="L35" s="9" t="s">
        <v>68</v>
      </c>
      <c r="M35" s="9" t="s">
        <v>266</v>
      </c>
      <c r="N35" s="11" t="s">
        <v>269</v>
      </c>
      <c r="O35" s="12" t="s">
        <v>272</v>
      </c>
      <c r="P35" s="13" t="n">
        <v>15</v>
      </c>
      <c r="Q35" s="13" t="n">
        <v>10</v>
      </c>
      <c r="R35" s="13" t="n">
        <v>8</v>
      </c>
      <c r="S35" s="13" t="n">
        <v>0.3</v>
      </c>
      <c r="T35" s="9" t="s">
        <v>4563</v>
      </c>
      <c r="U35" s="9"/>
      <c r="V35" s="9" t="s">
        <v>4571</v>
      </c>
      <c r="W35" s="9" t="s">
        <v>4586</v>
      </c>
      <c r="X35" s="11" t="s">
        <v>4586</v>
      </c>
      <c r="Y35" s="9" t="s">
        <v>4586</v>
      </c>
    </row>
    <row r="36" customFormat="false" ht="15" hidden="false" customHeight="false" outlineLevel="0" collapsed="false">
      <c r="A36" s="9" t="s">
        <v>273</v>
      </c>
      <c r="B36" s="9" t="s">
        <v>264</v>
      </c>
      <c r="C36" s="11" t="s">
        <v>267</v>
      </c>
      <c r="D36" s="12" t="s">
        <v>270</v>
      </c>
      <c r="E36" s="9" t="s">
        <v>284</v>
      </c>
      <c r="F36" s="9" t="s">
        <v>281</v>
      </c>
      <c r="G36" s="11" t="s">
        <v>282</v>
      </c>
      <c r="H36" s="9" t="s">
        <v>283</v>
      </c>
      <c r="I36" s="9"/>
      <c r="J36" s="11"/>
      <c r="K36" s="9"/>
      <c r="L36" s="9" t="s">
        <v>68</v>
      </c>
      <c r="M36" s="9" t="s">
        <v>94</v>
      </c>
      <c r="N36" s="11" t="s">
        <v>95</v>
      </c>
      <c r="O36" s="12" t="s">
        <v>96</v>
      </c>
      <c r="P36" s="13" t="n">
        <v>10</v>
      </c>
      <c r="Q36" s="13" t="n">
        <v>8</v>
      </c>
      <c r="R36" s="13" t="n">
        <v>6</v>
      </c>
      <c r="S36" s="13" t="n">
        <v>0.1</v>
      </c>
      <c r="T36" s="9" t="s">
        <v>4563</v>
      </c>
      <c r="U36" s="9"/>
      <c r="V36" s="9" t="s">
        <v>4572</v>
      </c>
      <c r="W36" s="9"/>
      <c r="X36" s="11"/>
      <c r="Y36" s="9"/>
    </row>
    <row r="37" customFormat="false" ht="15" hidden="false" customHeight="false" outlineLevel="0" collapsed="false">
      <c r="A37" s="9" t="s">
        <v>273</v>
      </c>
      <c r="B37" s="9" t="s">
        <v>264</v>
      </c>
      <c r="C37" s="11" t="s">
        <v>267</v>
      </c>
      <c r="D37" s="12" t="s">
        <v>270</v>
      </c>
      <c r="E37" s="9" t="s">
        <v>289</v>
      </c>
      <c r="F37" s="9" t="s">
        <v>286</v>
      </c>
      <c r="G37" s="11" t="s">
        <v>287</v>
      </c>
      <c r="H37" s="12" t="s">
        <v>288</v>
      </c>
      <c r="I37" s="9"/>
      <c r="J37" s="11"/>
      <c r="K37" s="9"/>
      <c r="L37" s="9" t="s">
        <v>68</v>
      </c>
      <c r="M37" s="9" t="s">
        <v>266</v>
      </c>
      <c r="N37" s="11" t="s">
        <v>269</v>
      </c>
      <c r="O37" s="12" t="s">
        <v>272</v>
      </c>
      <c r="P37" s="13" t="n">
        <v>15</v>
      </c>
      <c r="Q37" s="13" t="n">
        <v>10</v>
      </c>
      <c r="R37" s="13" t="n">
        <v>8</v>
      </c>
      <c r="S37" s="13" t="n">
        <v>0.3</v>
      </c>
      <c r="T37" s="9" t="s">
        <v>4563</v>
      </c>
      <c r="U37" s="9"/>
      <c r="V37" s="9" t="s">
        <v>4571</v>
      </c>
      <c r="W37" s="9"/>
      <c r="X37" s="11"/>
      <c r="Y37" s="9"/>
    </row>
    <row r="38" customFormat="false" ht="15" hidden="false" customHeight="false" outlineLevel="0" collapsed="false">
      <c r="A38" s="9" t="s">
        <v>273</v>
      </c>
      <c r="B38" s="9" t="s">
        <v>264</v>
      </c>
      <c r="C38" s="11" t="s">
        <v>267</v>
      </c>
      <c r="D38" s="12" t="s">
        <v>270</v>
      </c>
      <c r="E38" s="9" t="s">
        <v>294</v>
      </c>
      <c r="F38" s="9" t="s">
        <v>291</v>
      </c>
      <c r="G38" s="11" t="s">
        <v>292</v>
      </c>
      <c r="H38" s="12" t="s">
        <v>293</v>
      </c>
      <c r="I38" s="9"/>
      <c r="J38" s="11"/>
      <c r="K38" s="9"/>
      <c r="L38" s="9" t="s">
        <v>68</v>
      </c>
      <c r="M38" s="9" t="s">
        <v>266</v>
      </c>
      <c r="N38" s="11" t="s">
        <v>269</v>
      </c>
      <c r="O38" s="12" t="s">
        <v>272</v>
      </c>
      <c r="P38" s="13" t="n">
        <v>25</v>
      </c>
      <c r="Q38" s="13" t="n">
        <v>15</v>
      </c>
      <c r="R38" s="13" t="n">
        <v>10</v>
      </c>
      <c r="S38" s="13" t="n">
        <v>0.9</v>
      </c>
      <c r="T38" s="9" t="s">
        <v>4563</v>
      </c>
      <c r="U38" s="9"/>
      <c r="V38" s="9" t="s">
        <v>4568</v>
      </c>
      <c r="W38" s="9"/>
      <c r="X38" s="11"/>
      <c r="Y38" s="9"/>
    </row>
    <row r="39" customFormat="false" ht="15" hidden="false" customHeight="false" outlineLevel="0" collapsed="false">
      <c r="A39" s="9" t="s">
        <v>273</v>
      </c>
      <c r="B39" s="9" t="s">
        <v>264</v>
      </c>
      <c r="C39" s="11" t="s">
        <v>267</v>
      </c>
      <c r="D39" s="12" t="s">
        <v>270</v>
      </c>
      <c r="E39" s="9" t="s">
        <v>299</v>
      </c>
      <c r="F39" s="9" t="s">
        <v>296</v>
      </c>
      <c r="G39" s="11" t="s">
        <v>297</v>
      </c>
      <c r="H39" s="12" t="s">
        <v>298</v>
      </c>
      <c r="I39" s="9"/>
      <c r="J39" s="11"/>
      <c r="K39" s="9"/>
      <c r="L39" s="9" t="s">
        <v>68</v>
      </c>
      <c r="M39" s="9" t="s">
        <v>266</v>
      </c>
      <c r="N39" s="11" t="s">
        <v>269</v>
      </c>
      <c r="O39" s="12" t="s">
        <v>272</v>
      </c>
      <c r="P39" s="13" t="n">
        <v>15</v>
      </c>
      <c r="Q39" s="13" t="n">
        <v>10</v>
      </c>
      <c r="R39" s="13" t="n">
        <v>8</v>
      </c>
      <c r="S39" s="13" t="n">
        <v>0.3</v>
      </c>
      <c r="T39" s="9" t="s">
        <v>4563</v>
      </c>
      <c r="U39" s="9"/>
      <c r="V39" s="9" t="s">
        <v>4571</v>
      </c>
      <c r="W39" s="9"/>
      <c r="X39" s="11"/>
      <c r="Y39" s="9"/>
    </row>
    <row r="40" customFormat="false" ht="15" hidden="false" customHeight="false" outlineLevel="0" collapsed="false">
      <c r="A40" s="9" t="s">
        <v>273</v>
      </c>
      <c r="B40" s="9" t="s">
        <v>264</v>
      </c>
      <c r="C40" s="11" t="s">
        <v>267</v>
      </c>
      <c r="D40" s="12" t="s">
        <v>270</v>
      </c>
      <c r="E40" s="9" t="s">
        <v>304</v>
      </c>
      <c r="F40" s="9" t="s">
        <v>301</v>
      </c>
      <c r="G40" s="11" t="s">
        <v>302</v>
      </c>
      <c r="H40" s="12" t="s">
        <v>303</v>
      </c>
      <c r="I40" s="9"/>
      <c r="J40" s="11"/>
      <c r="K40" s="9"/>
      <c r="L40" s="9" t="s">
        <v>68</v>
      </c>
      <c r="M40" s="9" t="s">
        <v>266</v>
      </c>
      <c r="N40" s="11" t="s">
        <v>269</v>
      </c>
      <c r="O40" s="12" t="s">
        <v>272</v>
      </c>
      <c r="P40" s="13" t="n">
        <v>25</v>
      </c>
      <c r="Q40" s="13" t="n">
        <v>15</v>
      </c>
      <c r="R40" s="13" t="n">
        <v>10</v>
      </c>
      <c r="S40" s="13" t="n">
        <v>0.9</v>
      </c>
      <c r="T40" s="9" t="s">
        <v>4563</v>
      </c>
      <c r="U40" s="9"/>
      <c r="V40" s="9" t="s">
        <v>4568</v>
      </c>
      <c r="W40" s="9"/>
      <c r="X40" s="11"/>
      <c r="Y40" s="9"/>
    </row>
    <row r="41" customFormat="false" ht="15" hidden="false" customHeight="false" outlineLevel="0" collapsed="false">
      <c r="A41" s="9" t="s">
        <v>273</v>
      </c>
      <c r="B41" s="9" t="s">
        <v>264</v>
      </c>
      <c r="C41" s="11" t="s">
        <v>267</v>
      </c>
      <c r="D41" s="12" t="s">
        <v>270</v>
      </c>
      <c r="E41" s="9" t="s">
        <v>309</v>
      </c>
      <c r="F41" s="9" t="s">
        <v>306</v>
      </c>
      <c r="G41" s="11" t="s">
        <v>307</v>
      </c>
      <c r="H41" s="12" t="s">
        <v>308</v>
      </c>
      <c r="I41" s="9"/>
      <c r="J41" s="11"/>
      <c r="K41" s="9"/>
      <c r="L41" s="9" t="s">
        <v>68</v>
      </c>
      <c r="M41" s="9" t="s">
        <v>266</v>
      </c>
      <c r="N41" s="11" t="s">
        <v>269</v>
      </c>
      <c r="O41" s="12" t="s">
        <v>272</v>
      </c>
      <c r="P41" s="13" t="n">
        <v>10</v>
      </c>
      <c r="Q41" s="13" t="n">
        <v>8</v>
      </c>
      <c r="R41" s="13" t="n">
        <v>6</v>
      </c>
      <c r="S41" s="13" t="n">
        <v>0.1</v>
      </c>
      <c r="T41" s="9" t="s">
        <v>4563</v>
      </c>
      <c r="U41" s="9"/>
      <c r="V41" s="9" t="s">
        <v>4572</v>
      </c>
      <c r="W41" s="9"/>
      <c r="X41" s="11"/>
      <c r="Y41" s="9"/>
    </row>
    <row r="42" customFormat="false" ht="15" hidden="false" customHeight="false" outlineLevel="0" collapsed="false">
      <c r="A42" s="9" t="s">
        <v>273</v>
      </c>
      <c r="B42" s="9" t="s">
        <v>264</v>
      </c>
      <c r="C42" s="11" t="s">
        <v>267</v>
      </c>
      <c r="D42" s="12" t="s">
        <v>270</v>
      </c>
      <c r="E42" s="9" t="s">
        <v>314</v>
      </c>
      <c r="F42" s="9" t="s">
        <v>311</v>
      </c>
      <c r="G42" s="11" t="s">
        <v>312</v>
      </c>
      <c r="H42" s="12" t="s">
        <v>313</v>
      </c>
      <c r="I42" s="9"/>
      <c r="J42" s="11"/>
      <c r="K42" s="9"/>
      <c r="L42" s="9" t="s">
        <v>68</v>
      </c>
      <c r="M42" s="9" t="s">
        <v>266</v>
      </c>
      <c r="N42" s="11" t="s">
        <v>269</v>
      </c>
      <c r="O42" s="12" t="s">
        <v>272</v>
      </c>
      <c r="P42" s="13" t="n">
        <v>10</v>
      </c>
      <c r="Q42" s="13" t="n">
        <v>8</v>
      </c>
      <c r="R42" s="13" t="n">
        <v>6</v>
      </c>
      <c r="S42" s="13" t="n">
        <v>0.1</v>
      </c>
      <c r="T42" s="9" t="s">
        <v>4563</v>
      </c>
      <c r="U42" s="9"/>
      <c r="V42" s="9" t="s">
        <v>4572</v>
      </c>
      <c r="W42" s="9"/>
      <c r="X42" s="11"/>
      <c r="Y42" s="9"/>
    </row>
    <row r="43" customFormat="false" ht="15" hidden="false" customHeight="false" outlineLevel="0" collapsed="false">
      <c r="A43" s="9" t="s">
        <v>273</v>
      </c>
      <c r="B43" s="9" t="s">
        <v>264</v>
      </c>
      <c r="C43" s="11" t="s">
        <v>267</v>
      </c>
      <c r="D43" s="12" t="s">
        <v>270</v>
      </c>
      <c r="E43" s="9" t="s">
        <v>319</v>
      </c>
      <c r="F43" s="9" t="s">
        <v>316</v>
      </c>
      <c r="G43" s="11" t="s">
        <v>317</v>
      </c>
      <c r="H43" s="12" t="s">
        <v>318</v>
      </c>
      <c r="I43" s="9"/>
      <c r="J43" s="11"/>
      <c r="K43" s="9"/>
      <c r="L43" s="9" t="s">
        <v>68</v>
      </c>
      <c r="M43" s="9" t="s">
        <v>266</v>
      </c>
      <c r="N43" s="11" t="s">
        <v>269</v>
      </c>
      <c r="O43" s="12" t="s">
        <v>272</v>
      </c>
      <c r="P43" s="13" t="n">
        <v>10</v>
      </c>
      <c r="Q43" s="13" t="n">
        <v>8</v>
      </c>
      <c r="R43" s="13" t="n">
        <v>6</v>
      </c>
      <c r="S43" s="13" t="n">
        <v>0.1</v>
      </c>
      <c r="T43" s="9" t="s">
        <v>4563</v>
      </c>
      <c r="U43" s="9"/>
      <c r="V43" s="9" t="s">
        <v>4572</v>
      </c>
      <c r="W43" s="9"/>
      <c r="X43" s="11"/>
      <c r="Y43" s="9"/>
    </row>
    <row r="44" customFormat="false" ht="15" hidden="false" customHeight="false" outlineLevel="0" collapsed="false">
      <c r="A44" s="9" t="s">
        <v>273</v>
      </c>
      <c r="B44" s="9" t="s">
        <v>264</v>
      </c>
      <c r="C44" s="11" t="s">
        <v>267</v>
      </c>
      <c r="D44" s="12" t="s">
        <v>270</v>
      </c>
      <c r="E44" s="9" t="s">
        <v>324</v>
      </c>
      <c r="F44" s="9" t="s">
        <v>321</v>
      </c>
      <c r="G44" s="11" t="s">
        <v>322</v>
      </c>
      <c r="H44" s="12" t="s">
        <v>323</v>
      </c>
      <c r="I44" s="9"/>
      <c r="J44" s="11"/>
      <c r="K44" s="9"/>
      <c r="L44" s="9" t="s">
        <v>68</v>
      </c>
      <c r="M44" s="9" t="s">
        <v>266</v>
      </c>
      <c r="N44" s="11" t="s">
        <v>269</v>
      </c>
      <c r="O44" s="12" t="s">
        <v>272</v>
      </c>
      <c r="P44" s="13" t="n">
        <v>40</v>
      </c>
      <c r="Q44" s="13" t="n">
        <v>25</v>
      </c>
      <c r="R44" s="13" t="n">
        <v>15</v>
      </c>
      <c r="S44" s="13" t="n">
        <v>3</v>
      </c>
      <c r="T44" s="9" t="s">
        <v>4563</v>
      </c>
      <c r="U44" s="9"/>
      <c r="V44" s="9" t="s">
        <v>4570</v>
      </c>
      <c r="W44" s="9"/>
      <c r="X44" s="11"/>
      <c r="Y44" s="9"/>
    </row>
    <row r="45" customFormat="false" ht="15" hidden="false" customHeight="false" outlineLevel="0" collapsed="false">
      <c r="A45" s="9" t="s">
        <v>273</v>
      </c>
      <c r="B45" s="9" t="s">
        <v>264</v>
      </c>
      <c r="C45" s="11" t="s">
        <v>267</v>
      </c>
      <c r="D45" s="12" t="s">
        <v>270</v>
      </c>
      <c r="E45" s="9" t="s">
        <v>329</v>
      </c>
      <c r="F45" s="9" t="s">
        <v>326</v>
      </c>
      <c r="G45" s="11" t="s">
        <v>327</v>
      </c>
      <c r="H45" s="12" t="s">
        <v>328</v>
      </c>
      <c r="I45" s="9"/>
      <c r="J45" s="11"/>
      <c r="K45" s="9"/>
      <c r="L45" s="9" t="s">
        <v>68</v>
      </c>
      <c r="M45" s="9" t="s">
        <v>266</v>
      </c>
      <c r="N45" s="11" t="s">
        <v>269</v>
      </c>
      <c r="O45" s="12" t="s">
        <v>272</v>
      </c>
      <c r="P45" s="13" t="n">
        <v>15</v>
      </c>
      <c r="Q45" s="13" t="n">
        <v>10</v>
      </c>
      <c r="R45" s="13" t="n">
        <v>8</v>
      </c>
      <c r="S45" s="13" t="n">
        <v>0.3</v>
      </c>
      <c r="T45" s="9" t="s">
        <v>4563</v>
      </c>
      <c r="U45" s="9"/>
      <c r="V45" s="9" t="s">
        <v>4571</v>
      </c>
      <c r="W45" s="9"/>
      <c r="X45" s="11" t="s">
        <v>4587</v>
      </c>
      <c r="Y45" s="9"/>
    </row>
    <row r="46" customFormat="false" ht="15" hidden="false" customHeight="false" outlineLevel="0" collapsed="false">
      <c r="A46" s="9" t="s">
        <v>273</v>
      </c>
      <c r="B46" s="9" t="s">
        <v>264</v>
      </c>
      <c r="C46" s="11" t="s">
        <v>267</v>
      </c>
      <c r="D46" s="12" t="s">
        <v>270</v>
      </c>
      <c r="E46" s="9" t="s">
        <v>334</v>
      </c>
      <c r="F46" s="9" t="s">
        <v>331</v>
      </c>
      <c r="G46" s="11" t="s">
        <v>332</v>
      </c>
      <c r="H46" s="12" t="s">
        <v>333</v>
      </c>
      <c r="I46" s="9"/>
      <c r="J46" s="11"/>
      <c r="K46" s="9"/>
      <c r="L46" s="9" t="s">
        <v>68</v>
      </c>
      <c r="M46" s="9" t="s">
        <v>266</v>
      </c>
      <c r="N46" s="11" t="s">
        <v>269</v>
      </c>
      <c r="O46" s="12" t="s">
        <v>272</v>
      </c>
      <c r="P46" s="13" t="n">
        <v>15</v>
      </c>
      <c r="Q46" s="13" t="n">
        <v>10</v>
      </c>
      <c r="R46" s="13" t="n">
        <v>8</v>
      </c>
      <c r="S46" s="13" t="n">
        <v>0.3</v>
      </c>
      <c r="T46" s="9" t="s">
        <v>4563</v>
      </c>
      <c r="U46" s="9"/>
      <c r="V46" s="9" t="s">
        <v>4571</v>
      </c>
      <c r="W46" s="9"/>
      <c r="X46" s="11"/>
      <c r="Y46" s="9"/>
    </row>
    <row r="47" customFormat="false" ht="15" hidden="false" customHeight="false" outlineLevel="0" collapsed="false">
      <c r="A47" s="9" t="s">
        <v>273</v>
      </c>
      <c r="B47" s="9" t="s">
        <v>264</v>
      </c>
      <c r="C47" s="11" t="s">
        <v>267</v>
      </c>
      <c r="D47" s="12" t="s">
        <v>270</v>
      </c>
      <c r="E47" s="9" t="s">
        <v>339</v>
      </c>
      <c r="F47" s="9" t="s">
        <v>336</v>
      </c>
      <c r="G47" s="11" t="s">
        <v>337</v>
      </c>
      <c r="H47" s="12" t="s">
        <v>338</v>
      </c>
      <c r="I47" s="9"/>
      <c r="J47" s="11"/>
      <c r="K47" s="9"/>
      <c r="L47" s="9" t="s">
        <v>68</v>
      </c>
      <c r="M47" s="9" t="s">
        <v>266</v>
      </c>
      <c r="N47" s="11" t="s">
        <v>269</v>
      </c>
      <c r="O47" s="12" t="s">
        <v>272</v>
      </c>
      <c r="P47" s="13" t="n">
        <v>10</v>
      </c>
      <c r="Q47" s="13" t="n">
        <v>8</v>
      </c>
      <c r="R47" s="13" t="n">
        <v>6</v>
      </c>
      <c r="S47" s="13" t="n">
        <v>0.1</v>
      </c>
      <c r="T47" s="9" t="s">
        <v>4563</v>
      </c>
      <c r="U47" s="9"/>
      <c r="V47" s="9" t="s">
        <v>4572</v>
      </c>
      <c r="W47" s="9"/>
      <c r="X47" s="11"/>
      <c r="Y47" s="9"/>
    </row>
    <row r="48" customFormat="false" ht="15" hidden="false" customHeight="false" outlineLevel="0" collapsed="false">
      <c r="A48" s="9" t="s">
        <v>350</v>
      </c>
      <c r="B48" s="9" t="s">
        <v>341</v>
      </c>
      <c r="C48" s="11" t="s">
        <v>344</v>
      </c>
      <c r="D48" s="12" t="s">
        <v>347</v>
      </c>
      <c r="E48" s="9" t="s">
        <v>351</v>
      </c>
      <c r="F48" s="9" t="s">
        <v>342</v>
      </c>
      <c r="G48" s="11" t="s">
        <v>345</v>
      </c>
      <c r="H48" s="12" t="s">
        <v>348</v>
      </c>
      <c r="I48" s="9"/>
      <c r="J48" s="11"/>
      <c r="K48" s="9"/>
      <c r="L48" s="9" t="s">
        <v>68</v>
      </c>
      <c r="M48" s="9" t="s">
        <v>343</v>
      </c>
      <c r="N48" s="11" t="s">
        <v>346</v>
      </c>
      <c r="O48" s="12" t="s">
        <v>349</v>
      </c>
      <c r="P48" s="13" t="n">
        <v>40</v>
      </c>
      <c r="Q48" s="13" t="n">
        <v>25</v>
      </c>
      <c r="R48" s="13" t="n">
        <v>15</v>
      </c>
      <c r="S48" s="13" t="n">
        <v>3</v>
      </c>
      <c r="T48" s="9" t="s">
        <v>4563</v>
      </c>
      <c r="U48" s="9"/>
      <c r="V48" s="9" t="s">
        <v>4570</v>
      </c>
      <c r="W48" s="9"/>
      <c r="X48" s="11"/>
      <c r="Y48" s="9"/>
    </row>
    <row r="49" customFormat="false" ht="15" hidden="false" customHeight="false" outlineLevel="0" collapsed="false">
      <c r="A49" s="9" t="s">
        <v>350</v>
      </c>
      <c r="B49" s="9" t="s">
        <v>341</v>
      </c>
      <c r="C49" s="11" t="s">
        <v>344</v>
      </c>
      <c r="D49" s="12" t="s">
        <v>347</v>
      </c>
      <c r="E49" s="9" t="s">
        <v>356</v>
      </c>
      <c r="F49" s="9" t="s">
        <v>353</v>
      </c>
      <c r="G49" s="11" t="s">
        <v>354</v>
      </c>
      <c r="H49" s="12" t="s">
        <v>355</v>
      </c>
      <c r="I49" s="9"/>
      <c r="J49" s="11"/>
      <c r="K49" s="9"/>
      <c r="L49" s="9" t="s">
        <v>68</v>
      </c>
      <c r="M49" s="9" t="s">
        <v>343</v>
      </c>
      <c r="N49" s="11" t="s">
        <v>346</v>
      </c>
      <c r="O49" s="12" t="s">
        <v>349</v>
      </c>
      <c r="P49" s="13" t="n">
        <v>15</v>
      </c>
      <c r="Q49" s="13" t="n">
        <v>10</v>
      </c>
      <c r="R49" s="13" t="n">
        <v>8</v>
      </c>
      <c r="S49" s="13" t="n">
        <v>0.3</v>
      </c>
      <c r="T49" s="9" t="s">
        <v>4563</v>
      </c>
      <c r="U49" s="9"/>
      <c r="V49" s="9" t="s">
        <v>4571</v>
      </c>
      <c r="W49" s="9"/>
      <c r="X49" s="11"/>
      <c r="Y49" s="9"/>
    </row>
    <row r="50" customFormat="false" ht="15" hidden="false" customHeight="false" outlineLevel="0" collapsed="false">
      <c r="A50" s="9" t="s">
        <v>350</v>
      </c>
      <c r="B50" s="9" t="s">
        <v>341</v>
      </c>
      <c r="C50" s="11" t="s">
        <v>344</v>
      </c>
      <c r="D50" s="12" t="s">
        <v>347</v>
      </c>
      <c r="E50" s="9" t="s">
        <v>361</v>
      </c>
      <c r="F50" s="9" t="s">
        <v>358</v>
      </c>
      <c r="G50" s="11" t="s">
        <v>359</v>
      </c>
      <c r="H50" s="12" t="s">
        <v>360</v>
      </c>
      <c r="I50" s="9"/>
      <c r="J50" s="11"/>
      <c r="K50" s="9"/>
      <c r="L50" s="9" t="s">
        <v>68</v>
      </c>
      <c r="M50" s="9" t="s">
        <v>343</v>
      </c>
      <c r="N50" s="11" t="s">
        <v>346</v>
      </c>
      <c r="O50" s="12" t="s">
        <v>349</v>
      </c>
      <c r="P50" s="13" t="n">
        <v>25</v>
      </c>
      <c r="Q50" s="13" t="n">
        <v>15</v>
      </c>
      <c r="R50" s="13" t="n">
        <v>10</v>
      </c>
      <c r="S50" s="13" t="n">
        <v>0.9</v>
      </c>
      <c r="T50" s="9" t="s">
        <v>4563</v>
      </c>
      <c r="U50" s="9"/>
      <c r="V50" s="9" t="s">
        <v>4568</v>
      </c>
      <c r="W50" s="9"/>
      <c r="X50" s="11"/>
      <c r="Y50" s="9"/>
    </row>
    <row r="51" customFormat="false" ht="15" hidden="false" customHeight="false" outlineLevel="0" collapsed="false">
      <c r="A51" s="9" t="s">
        <v>350</v>
      </c>
      <c r="B51" s="9" t="s">
        <v>341</v>
      </c>
      <c r="C51" s="11" t="s">
        <v>344</v>
      </c>
      <c r="D51" s="12" t="s">
        <v>347</v>
      </c>
      <c r="E51" s="9" t="s">
        <v>366</v>
      </c>
      <c r="F51" s="9" t="s">
        <v>363</v>
      </c>
      <c r="G51" s="11" t="s">
        <v>364</v>
      </c>
      <c r="H51" s="12" t="s">
        <v>365</v>
      </c>
      <c r="I51" s="9"/>
      <c r="J51" s="11"/>
      <c r="K51" s="9"/>
      <c r="L51" s="9" t="s">
        <v>68</v>
      </c>
      <c r="M51" s="9" t="s">
        <v>343</v>
      </c>
      <c r="N51" s="11" t="s">
        <v>346</v>
      </c>
      <c r="O51" s="12" t="s">
        <v>349</v>
      </c>
      <c r="P51" s="13" t="n">
        <v>15</v>
      </c>
      <c r="Q51" s="13" t="n">
        <v>10</v>
      </c>
      <c r="R51" s="13" t="n">
        <v>8</v>
      </c>
      <c r="S51" s="13" t="n">
        <v>0.3</v>
      </c>
      <c r="T51" s="9" t="s">
        <v>4563</v>
      </c>
      <c r="U51" s="9"/>
      <c r="V51" s="9" t="s">
        <v>4571</v>
      </c>
      <c r="W51" s="9"/>
      <c r="X51" s="11"/>
      <c r="Y51" s="9"/>
    </row>
    <row r="52" customFormat="false" ht="15" hidden="false" customHeight="false" outlineLevel="0" collapsed="false">
      <c r="A52" s="9" t="s">
        <v>350</v>
      </c>
      <c r="B52" s="9" t="s">
        <v>341</v>
      </c>
      <c r="C52" s="11" t="s">
        <v>344</v>
      </c>
      <c r="D52" s="12" t="s">
        <v>347</v>
      </c>
      <c r="E52" s="9" t="s">
        <v>374</v>
      </c>
      <c r="F52" s="9" t="s">
        <v>368</v>
      </c>
      <c r="G52" s="11" t="s">
        <v>370</v>
      </c>
      <c r="H52" s="12" t="s">
        <v>372</v>
      </c>
      <c r="I52" s="9"/>
      <c r="J52" s="11"/>
      <c r="K52" s="9"/>
      <c r="L52" s="9" t="s">
        <v>68</v>
      </c>
      <c r="M52" s="9" t="s">
        <v>369</v>
      </c>
      <c r="N52" s="11" t="s">
        <v>371</v>
      </c>
      <c r="O52" s="12" t="s">
        <v>373</v>
      </c>
      <c r="P52" s="13" t="n">
        <v>25</v>
      </c>
      <c r="Q52" s="13" t="n">
        <v>15</v>
      </c>
      <c r="R52" s="13" t="n">
        <v>10</v>
      </c>
      <c r="S52" s="13" t="n">
        <v>0.9</v>
      </c>
      <c r="T52" s="9" t="s">
        <v>4563</v>
      </c>
      <c r="U52" s="9"/>
      <c r="V52" s="9" t="s">
        <v>4568</v>
      </c>
      <c r="W52" s="9"/>
      <c r="X52" s="11"/>
      <c r="Y52" s="9"/>
    </row>
    <row r="53" customFormat="false" ht="15" hidden="false" customHeight="false" outlineLevel="0" collapsed="false">
      <c r="A53" s="9" t="s">
        <v>350</v>
      </c>
      <c r="B53" s="9" t="s">
        <v>341</v>
      </c>
      <c r="C53" s="11" t="s">
        <v>344</v>
      </c>
      <c r="D53" s="12" t="s">
        <v>347</v>
      </c>
      <c r="E53" s="9" t="s">
        <v>379</v>
      </c>
      <c r="F53" s="9" t="s">
        <v>376</v>
      </c>
      <c r="G53" s="11" t="s">
        <v>377</v>
      </c>
      <c r="H53" s="12" t="s">
        <v>378</v>
      </c>
      <c r="I53" s="9"/>
      <c r="J53" s="11"/>
      <c r="K53" s="9"/>
      <c r="L53" s="9" t="s">
        <v>68</v>
      </c>
      <c r="M53" s="9" t="s">
        <v>369</v>
      </c>
      <c r="N53" s="11" t="s">
        <v>371</v>
      </c>
      <c r="O53" s="12" t="s">
        <v>373</v>
      </c>
      <c r="P53" s="13" t="n">
        <v>25</v>
      </c>
      <c r="Q53" s="13" t="n">
        <v>15</v>
      </c>
      <c r="R53" s="13" t="n">
        <v>10</v>
      </c>
      <c r="S53" s="13" t="n">
        <v>0.9</v>
      </c>
      <c r="T53" s="9" t="s">
        <v>4563</v>
      </c>
      <c r="U53" s="9"/>
      <c r="V53" s="9" t="s">
        <v>4568</v>
      </c>
      <c r="W53" s="9"/>
      <c r="X53" s="11"/>
      <c r="Y53" s="9"/>
    </row>
    <row r="54" customFormat="false" ht="15" hidden="false" customHeight="false" outlineLevel="0" collapsed="false">
      <c r="A54" s="9" t="s">
        <v>350</v>
      </c>
      <c r="B54" s="9" t="s">
        <v>341</v>
      </c>
      <c r="C54" s="11" t="s">
        <v>344</v>
      </c>
      <c r="D54" s="12" t="s">
        <v>347</v>
      </c>
      <c r="E54" s="9" t="s">
        <v>384</v>
      </c>
      <c r="F54" s="9" t="s">
        <v>381</v>
      </c>
      <c r="G54" s="11" t="s">
        <v>382</v>
      </c>
      <c r="H54" s="12" t="s">
        <v>383</v>
      </c>
      <c r="I54" s="9"/>
      <c r="J54" s="11"/>
      <c r="K54" s="9"/>
      <c r="L54" s="9" t="s">
        <v>68</v>
      </c>
      <c r="M54" s="9" t="s">
        <v>369</v>
      </c>
      <c r="N54" s="11" t="s">
        <v>371</v>
      </c>
      <c r="O54" s="12" t="s">
        <v>373</v>
      </c>
      <c r="P54" s="13" t="n">
        <v>15</v>
      </c>
      <c r="Q54" s="13" t="n">
        <v>10</v>
      </c>
      <c r="R54" s="13" t="n">
        <v>8</v>
      </c>
      <c r="S54" s="13" t="n">
        <v>0.3</v>
      </c>
      <c r="T54" s="9" t="s">
        <v>4563</v>
      </c>
      <c r="U54" s="9"/>
      <c r="V54" s="9" t="s">
        <v>4571</v>
      </c>
      <c r="W54" s="9"/>
      <c r="X54" s="11"/>
      <c r="Y54" s="9"/>
    </row>
    <row r="55" customFormat="false" ht="15" hidden="false" customHeight="false" outlineLevel="0" collapsed="false">
      <c r="A55" s="9" t="s">
        <v>350</v>
      </c>
      <c r="B55" s="9" t="s">
        <v>341</v>
      </c>
      <c r="C55" s="11" t="s">
        <v>344</v>
      </c>
      <c r="D55" s="12" t="s">
        <v>347</v>
      </c>
      <c r="E55" s="9" t="s">
        <v>389</v>
      </c>
      <c r="F55" s="9" t="s">
        <v>386</v>
      </c>
      <c r="G55" s="11" t="s">
        <v>387</v>
      </c>
      <c r="H55" s="12" t="s">
        <v>388</v>
      </c>
      <c r="I55" s="9"/>
      <c r="J55" s="11"/>
      <c r="K55" s="9"/>
      <c r="L55" s="9" t="s">
        <v>68</v>
      </c>
      <c r="M55" s="9" t="s">
        <v>110</v>
      </c>
      <c r="N55" s="11" t="s">
        <v>112</v>
      </c>
      <c r="O55" s="12" t="s">
        <v>114</v>
      </c>
      <c r="P55" s="13" t="n">
        <v>10</v>
      </c>
      <c r="Q55" s="13" t="n">
        <v>8</v>
      </c>
      <c r="R55" s="13" t="n">
        <v>6</v>
      </c>
      <c r="S55" s="13" t="n">
        <v>0.1</v>
      </c>
      <c r="T55" s="9" t="s">
        <v>4563</v>
      </c>
      <c r="U55" s="9"/>
      <c r="V55" s="9" t="s">
        <v>4572</v>
      </c>
      <c r="W55" s="9"/>
      <c r="X55" s="11"/>
      <c r="Y55" s="9"/>
    </row>
    <row r="56" customFormat="false" ht="15" hidden="false" customHeight="false" outlineLevel="0" collapsed="false">
      <c r="A56" s="9" t="s">
        <v>350</v>
      </c>
      <c r="B56" s="9" t="s">
        <v>341</v>
      </c>
      <c r="C56" s="11" t="s">
        <v>344</v>
      </c>
      <c r="D56" s="12" t="s">
        <v>347</v>
      </c>
      <c r="E56" s="9" t="s">
        <v>394</v>
      </c>
      <c r="F56" s="9" t="s">
        <v>391</v>
      </c>
      <c r="G56" s="11" t="s">
        <v>392</v>
      </c>
      <c r="H56" s="12" t="s">
        <v>393</v>
      </c>
      <c r="I56" s="9"/>
      <c r="J56" s="11"/>
      <c r="K56" s="9"/>
      <c r="L56" s="9" t="s">
        <v>68</v>
      </c>
      <c r="M56" s="9" t="s">
        <v>110</v>
      </c>
      <c r="N56" s="11" t="s">
        <v>112</v>
      </c>
      <c r="O56" s="12" t="s">
        <v>114</v>
      </c>
      <c r="P56" s="13" t="n">
        <v>25</v>
      </c>
      <c r="Q56" s="13" t="n">
        <v>15</v>
      </c>
      <c r="R56" s="13" t="n">
        <v>10</v>
      </c>
      <c r="S56" s="13" t="n">
        <v>0.9</v>
      </c>
      <c r="T56" s="9" t="s">
        <v>4563</v>
      </c>
      <c r="U56" s="9"/>
      <c r="V56" s="9" t="s">
        <v>4568</v>
      </c>
      <c r="W56" s="9"/>
      <c r="X56" s="11"/>
      <c r="Y56" s="9"/>
    </row>
    <row r="57" customFormat="false" ht="15" hidden="false" customHeight="false" outlineLevel="0" collapsed="false">
      <c r="A57" s="9" t="s">
        <v>350</v>
      </c>
      <c r="B57" s="9" t="s">
        <v>341</v>
      </c>
      <c r="C57" s="11" t="s">
        <v>344</v>
      </c>
      <c r="D57" s="12" t="s">
        <v>347</v>
      </c>
      <c r="E57" s="9" t="s">
        <v>399</v>
      </c>
      <c r="F57" s="9" t="s">
        <v>396</v>
      </c>
      <c r="G57" s="11" t="s">
        <v>397</v>
      </c>
      <c r="H57" s="12" t="s">
        <v>398</v>
      </c>
      <c r="I57" s="9"/>
      <c r="J57" s="11"/>
      <c r="K57" s="9"/>
      <c r="L57" s="9" t="s">
        <v>68</v>
      </c>
      <c r="M57" s="9" t="s">
        <v>110</v>
      </c>
      <c r="N57" s="11" t="s">
        <v>112</v>
      </c>
      <c r="O57" s="12" t="s">
        <v>114</v>
      </c>
      <c r="P57" s="13" t="n">
        <v>10</v>
      </c>
      <c r="Q57" s="13" t="n">
        <v>8</v>
      </c>
      <c r="R57" s="13" t="n">
        <v>6</v>
      </c>
      <c r="S57" s="13" t="n">
        <v>0.1</v>
      </c>
      <c r="T57" s="9" t="s">
        <v>4563</v>
      </c>
      <c r="U57" s="9"/>
      <c r="V57" s="9" t="s">
        <v>4572</v>
      </c>
      <c r="W57" s="9"/>
      <c r="X57" s="11" t="s">
        <v>4588</v>
      </c>
      <c r="Y57" s="9" t="s">
        <v>4588</v>
      </c>
    </row>
    <row r="58" customFormat="false" ht="15" hidden="false" customHeight="false" outlineLevel="0" collapsed="false">
      <c r="A58" s="9" t="s">
        <v>410</v>
      </c>
      <c r="B58" s="9" t="s">
        <v>401</v>
      </c>
      <c r="C58" s="11" t="s">
        <v>404</v>
      </c>
      <c r="D58" s="12" t="s">
        <v>407</v>
      </c>
      <c r="E58" s="9" t="s">
        <v>411</v>
      </c>
      <c r="F58" s="9" t="s">
        <v>402</v>
      </c>
      <c r="G58" s="11" t="s">
        <v>405</v>
      </c>
      <c r="H58" s="12" t="s">
        <v>408</v>
      </c>
      <c r="I58" s="9"/>
      <c r="J58" s="11"/>
      <c r="K58" s="9"/>
      <c r="L58" s="9" t="s">
        <v>68</v>
      </c>
      <c r="M58" s="9" t="s">
        <v>403</v>
      </c>
      <c r="N58" s="11" t="s">
        <v>406</v>
      </c>
      <c r="O58" s="12" t="s">
        <v>409</v>
      </c>
      <c r="P58" s="13" t="n">
        <v>50</v>
      </c>
      <c r="Q58" s="13" t="n">
        <v>30</v>
      </c>
      <c r="R58" s="13" t="n">
        <v>20</v>
      </c>
      <c r="S58" s="13" t="n">
        <v>5</v>
      </c>
      <c r="T58" s="9" t="s">
        <v>4563</v>
      </c>
      <c r="U58" s="9"/>
      <c r="V58" s="9" t="s">
        <v>4589</v>
      </c>
      <c r="W58" s="9"/>
      <c r="X58" s="11"/>
      <c r="Y58" s="9"/>
    </row>
    <row r="59" customFormat="false" ht="15" hidden="false" customHeight="false" outlineLevel="0" collapsed="false">
      <c r="A59" s="9" t="s">
        <v>410</v>
      </c>
      <c r="B59" s="9" t="s">
        <v>401</v>
      </c>
      <c r="C59" s="11" t="s">
        <v>404</v>
      </c>
      <c r="D59" s="12" t="s">
        <v>407</v>
      </c>
      <c r="E59" s="9" t="s">
        <v>416</v>
      </c>
      <c r="F59" s="9" t="s">
        <v>413</v>
      </c>
      <c r="G59" s="11" t="s">
        <v>414</v>
      </c>
      <c r="H59" s="12" t="s">
        <v>415</v>
      </c>
      <c r="I59" s="9"/>
      <c r="J59" s="11"/>
      <c r="K59" s="9"/>
      <c r="L59" s="9" t="s">
        <v>68</v>
      </c>
      <c r="M59" s="9" t="s">
        <v>403</v>
      </c>
      <c r="N59" s="11" t="s">
        <v>406</v>
      </c>
      <c r="O59" s="12" t="s">
        <v>409</v>
      </c>
      <c r="P59" s="13" t="n">
        <v>15</v>
      </c>
      <c r="Q59" s="13" t="n">
        <v>10</v>
      </c>
      <c r="R59" s="13" t="n">
        <v>8</v>
      </c>
      <c r="S59" s="13" t="n">
        <v>0.3</v>
      </c>
      <c r="T59" s="9" t="s">
        <v>4563</v>
      </c>
      <c r="U59" s="9"/>
      <c r="V59" s="9" t="s">
        <v>4571</v>
      </c>
      <c r="W59" s="9"/>
      <c r="X59" s="11"/>
      <c r="Y59" s="9"/>
    </row>
    <row r="60" customFormat="false" ht="15" hidden="false" customHeight="false" outlineLevel="0" collapsed="false">
      <c r="A60" s="9" t="s">
        <v>410</v>
      </c>
      <c r="B60" s="9" t="s">
        <v>401</v>
      </c>
      <c r="C60" s="11" t="s">
        <v>404</v>
      </c>
      <c r="D60" s="12" t="s">
        <v>407</v>
      </c>
      <c r="E60" s="9" t="s">
        <v>421</v>
      </c>
      <c r="F60" s="9" t="s">
        <v>418</v>
      </c>
      <c r="G60" s="11" t="s">
        <v>419</v>
      </c>
      <c r="H60" s="12" t="s">
        <v>420</v>
      </c>
      <c r="I60" s="9"/>
      <c r="J60" s="11"/>
      <c r="K60" s="9"/>
      <c r="L60" s="9" t="s">
        <v>68</v>
      </c>
      <c r="M60" s="9" t="s">
        <v>403</v>
      </c>
      <c r="N60" s="11" t="s">
        <v>406</v>
      </c>
      <c r="O60" s="12" t="s">
        <v>409</v>
      </c>
      <c r="P60" s="13" t="n">
        <v>25</v>
      </c>
      <c r="Q60" s="13" t="n">
        <v>15</v>
      </c>
      <c r="R60" s="13" t="n">
        <v>10</v>
      </c>
      <c r="S60" s="13" t="n">
        <v>0.9</v>
      </c>
      <c r="T60" s="9" t="s">
        <v>4563</v>
      </c>
      <c r="U60" s="9"/>
      <c r="V60" s="9" t="s">
        <v>4568</v>
      </c>
      <c r="W60" s="9"/>
      <c r="X60" s="11" t="s">
        <v>4590</v>
      </c>
      <c r="Y60" s="9"/>
    </row>
    <row r="61" customFormat="false" ht="15" hidden="false" customHeight="false" outlineLevel="0" collapsed="false">
      <c r="A61" s="9" t="s">
        <v>410</v>
      </c>
      <c r="B61" s="9" t="s">
        <v>401</v>
      </c>
      <c r="C61" s="11" t="s">
        <v>404</v>
      </c>
      <c r="D61" s="12" t="s">
        <v>407</v>
      </c>
      <c r="E61" s="9" t="s">
        <v>426</v>
      </c>
      <c r="F61" s="9" t="s">
        <v>423</v>
      </c>
      <c r="G61" s="11" t="s">
        <v>424</v>
      </c>
      <c r="H61" s="12" t="s">
        <v>425</v>
      </c>
      <c r="I61" s="9"/>
      <c r="J61" s="11"/>
      <c r="K61" s="9"/>
      <c r="L61" s="9" t="s">
        <v>68</v>
      </c>
      <c r="M61" s="9" t="s">
        <v>403</v>
      </c>
      <c r="N61" s="11" t="s">
        <v>406</v>
      </c>
      <c r="O61" s="12" t="s">
        <v>409</v>
      </c>
      <c r="P61" s="13" t="n">
        <v>10</v>
      </c>
      <c r="Q61" s="13" t="n">
        <v>8</v>
      </c>
      <c r="R61" s="13" t="n">
        <v>6</v>
      </c>
      <c r="S61" s="13" t="n">
        <v>0.1</v>
      </c>
      <c r="T61" s="9" t="s">
        <v>4563</v>
      </c>
      <c r="U61" s="9"/>
      <c r="V61" s="9" t="s">
        <v>4572</v>
      </c>
      <c r="W61" s="9"/>
      <c r="X61" s="11"/>
      <c r="Y61" s="9"/>
    </row>
    <row r="62" customFormat="false" ht="15" hidden="false" customHeight="false" outlineLevel="0" collapsed="false">
      <c r="A62" s="9" t="s">
        <v>410</v>
      </c>
      <c r="B62" s="9" t="s">
        <v>401</v>
      </c>
      <c r="C62" s="11" t="s">
        <v>404</v>
      </c>
      <c r="D62" s="12" t="s">
        <v>407</v>
      </c>
      <c r="E62" s="9" t="s">
        <v>431</v>
      </c>
      <c r="F62" s="9" t="s">
        <v>428</v>
      </c>
      <c r="G62" s="11" t="s">
        <v>429</v>
      </c>
      <c r="H62" s="12" t="s">
        <v>430</v>
      </c>
      <c r="I62" s="9"/>
      <c r="J62" s="11"/>
      <c r="K62" s="9"/>
      <c r="L62" s="9" t="s">
        <v>68</v>
      </c>
      <c r="M62" s="9" t="s">
        <v>403</v>
      </c>
      <c r="N62" s="11" t="s">
        <v>406</v>
      </c>
      <c r="O62" s="12" t="s">
        <v>409</v>
      </c>
      <c r="P62" s="13" t="n">
        <v>25</v>
      </c>
      <c r="Q62" s="13" t="n">
        <v>15</v>
      </c>
      <c r="R62" s="13" t="n">
        <v>10</v>
      </c>
      <c r="S62" s="13" t="n">
        <v>0.9</v>
      </c>
      <c r="T62" s="9" t="s">
        <v>4563</v>
      </c>
      <c r="U62" s="9"/>
      <c r="V62" s="9" t="s">
        <v>4568</v>
      </c>
      <c r="W62" s="9"/>
      <c r="X62" s="11"/>
      <c r="Y62" s="9"/>
    </row>
    <row r="63" customFormat="false" ht="15" hidden="false" customHeight="false" outlineLevel="0" collapsed="false">
      <c r="A63" s="9" t="s">
        <v>410</v>
      </c>
      <c r="B63" s="9" t="s">
        <v>401</v>
      </c>
      <c r="C63" s="11" t="s">
        <v>404</v>
      </c>
      <c r="D63" s="12" t="s">
        <v>407</v>
      </c>
      <c r="E63" s="9" t="s">
        <v>436</v>
      </c>
      <c r="F63" s="9" t="s">
        <v>433</v>
      </c>
      <c r="G63" s="11" t="s">
        <v>434</v>
      </c>
      <c r="H63" s="12" t="s">
        <v>435</v>
      </c>
      <c r="I63" s="9"/>
      <c r="J63" s="11"/>
      <c r="K63" s="9"/>
      <c r="L63" s="9" t="s">
        <v>68</v>
      </c>
      <c r="M63" s="9" t="s">
        <v>403</v>
      </c>
      <c r="N63" s="11" t="s">
        <v>406</v>
      </c>
      <c r="O63" s="12" t="s">
        <v>409</v>
      </c>
      <c r="P63" s="13" t="n">
        <v>40</v>
      </c>
      <c r="Q63" s="13" t="n">
        <v>25</v>
      </c>
      <c r="R63" s="13" t="n">
        <v>15</v>
      </c>
      <c r="S63" s="13" t="n">
        <v>3</v>
      </c>
      <c r="T63" s="9" t="s">
        <v>4563</v>
      </c>
      <c r="U63" s="9"/>
      <c r="V63" s="9" t="s">
        <v>4570</v>
      </c>
      <c r="W63" s="9"/>
      <c r="X63" s="11"/>
      <c r="Y63" s="9"/>
    </row>
    <row r="64" customFormat="false" ht="15" hidden="false" customHeight="false" outlineLevel="0" collapsed="false">
      <c r="A64" s="9" t="s">
        <v>410</v>
      </c>
      <c r="B64" s="9" t="s">
        <v>401</v>
      </c>
      <c r="C64" s="11" t="s">
        <v>404</v>
      </c>
      <c r="D64" s="12" t="s">
        <v>407</v>
      </c>
      <c r="E64" s="9" t="s">
        <v>441</v>
      </c>
      <c r="F64" s="9" t="s">
        <v>438</v>
      </c>
      <c r="G64" s="11" t="s">
        <v>439</v>
      </c>
      <c r="H64" s="12" t="s">
        <v>440</v>
      </c>
      <c r="I64" s="9"/>
      <c r="J64" s="11"/>
      <c r="K64" s="9"/>
      <c r="L64" s="9" t="s">
        <v>68</v>
      </c>
      <c r="M64" s="9" t="s">
        <v>403</v>
      </c>
      <c r="N64" s="11" t="s">
        <v>406</v>
      </c>
      <c r="O64" s="12" t="s">
        <v>409</v>
      </c>
      <c r="P64" s="13" t="n">
        <v>30</v>
      </c>
      <c r="Q64" s="13" t="n">
        <v>20</v>
      </c>
      <c r="R64" s="13" t="n">
        <v>15</v>
      </c>
      <c r="S64" s="13" t="n">
        <v>1.8</v>
      </c>
      <c r="T64" s="9" t="s">
        <v>4563</v>
      </c>
      <c r="U64" s="9"/>
      <c r="V64" s="9" t="s">
        <v>4581</v>
      </c>
      <c r="W64" s="9"/>
      <c r="X64" s="11"/>
      <c r="Y64" s="9"/>
    </row>
    <row r="65" customFormat="false" ht="15" hidden="false" customHeight="false" outlineLevel="0" collapsed="false">
      <c r="A65" s="9" t="s">
        <v>410</v>
      </c>
      <c r="B65" s="9" t="s">
        <v>401</v>
      </c>
      <c r="C65" s="11" t="s">
        <v>404</v>
      </c>
      <c r="D65" s="12" t="s">
        <v>407</v>
      </c>
      <c r="E65" s="9" t="s">
        <v>446</v>
      </c>
      <c r="F65" s="9" t="s">
        <v>443</v>
      </c>
      <c r="G65" s="11" t="s">
        <v>444</v>
      </c>
      <c r="H65" s="12" t="s">
        <v>445</v>
      </c>
      <c r="I65" s="9"/>
      <c r="J65" s="11"/>
      <c r="K65" s="9"/>
      <c r="L65" s="9" t="s">
        <v>68</v>
      </c>
      <c r="M65" s="9" t="s">
        <v>403</v>
      </c>
      <c r="N65" s="11" t="s">
        <v>406</v>
      </c>
      <c r="O65" s="12" t="s">
        <v>409</v>
      </c>
      <c r="P65" s="13" t="n">
        <v>15</v>
      </c>
      <c r="Q65" s="13" t="n">
        <v>10</v>
      </c>
      <c r="R65" s="13" t="n">
        <v>8</v>
      </c>
      <c r="S65" s="13" t="n">
        <v>0.3</v>
      </c>
      <c r="T65" s="9" t="s">
        <v>4563</v>
      </c>
      <c r="U65" s="9"/>
      <c r="V65" s="9" t="s">
        <v>4571</v>
      </c>
      <c r="W65" s="9" t="s">
        <v>4591</v>
      </c>
      <c r="X65" s="11"/>
      <c r="Y65" s="9"/>
    </row>
    <row r="66" customFormat="false" ht="15" hidden="false" customHeight="false" outlineLevel="0" collapsed="false">
      <c r="A66" s="9" t="s">
        <v>410</v>
      </c>
      <c r="B66" s="9" t="s">
        <v>401</v>
      </c>
      <c r="C66" s="11" t="s">
        <v>404</v>
      </c>
      <c r="D66" s="12" t="s">
        <v>407</v>
      </c>
      <c r="E66" s="9" t="s">
        <v>451</v>
      </c>
      <c r="F66" s="9" t="s">
        <v>448</v>
      </c>
      <c r="G66" s="11" t="s">
        <v>449</v>
      </c>
      <c r="H66" s="12" t="s">
        <v>450</v>
      </c>
      <c r="I66" s="9"/>
      <c r="J66" s="11"/>
      <c r="K66" s="9"/>
      <c r="L66" s="9" t="s">
        <v>68</v>
      </c>
      <c r="M66" s="9" t="s">
        <v>369</v>
      </c>
      <c r="N66" s="11" t="s">
        <v>371</v>
      </c>
      <c r="O66" s="12" t="s">
        <v>373</v>
      </c>
      <c r="P66" s="13" t="n">
        <v>25</v>
      </c>
      <c r="Q66" s="13" t="n">
        <v>15</v>
      </c>
      <c r="R66" s="13" t="n">
        <v>10</v>
      </c>
      <c r="S66" s="13" t="n">
        <v>0.9</v>
      </c>
      <c r="T66" s="9" t="s">
        <v>4563</v>
      </c>
      <c r="U66" s="9"/>
      <c r="V66" s="9" t="s">
        <v>4568</v>
      </c>
      <c r="W66" s="9"/>
      <c r="X66" s="11"/>
      <c r="Y66" s="9"/>
    </row>
    <row r="67" customFormat="false" ht="15" hidden="false" customHeight="false" outlineLevel="0" collapsed="false">
      <c r="A67" s="9" t="s">
        <v>410</v>
      </c>
      <c r="B67" s="9" t="s">
        <v>401</v>
      </c>
      <c r="C67" s="11" t="s">
        <v>404</v>
      </c>
      <c r="D67" s="12" t="s">
        <v>407</v>
      </c>
      <c r="E67" s="9" t="s">
        <v>456</v>
      </c>
      <c r="F67" s="9" t="s">
        <v>453</v>
      </c>
      <c r="G67" s="11" t="s">
        <v>454</v>
      </c>
      <c r="H67" s="12" t="s">
        <v>455</v>
      </c>
      <c r="I67" s="9"/>
      <c r="J67" s="11"/>
      <c r="K67" s="9"/>
      <c r="L67" s="9" t="s">
        <v>68</v>
      </c>
      <c r="M67" s="9" t="s">
        <v>69</v>
      </c>
      <c r="N67" s="11" t="s">
        <v>73</v>
      </c>
      <c r="O67" s="12" t="s">
        <v>77</v>
      </c>
      <c r="P67" s="13" t="n">
        <v>15</v>
      </c>
      <c r="Q67" s="13" t="n">
        <v>10</v>
      </c>
      <c r="R67" s="13" t="n">
        <v>8</v>
      </c>
      <c r="S67" s="13" t="n">
        <v>0.3</v>
      </c>
      <c r="T67" s="9" t="s">
        <v>4563</v>
      </c>
      <c r="U67" s="9"/>
      <c r="V67" s="9" t="s">
        <v>4571</v>
      </c>
      <c r="W67" s="9"/>
      <c r="X67" s="11"/>
      <c r="Y67" s="9"/>
    </row>
    <row r="68" customFormat="false" ht="15" hidden="false" customHeight="false" outlineLevel="0" collapsed="false">
      <c r="A68" s="9" t="s">
        <v>467</v>
      </c>
      <c r="B68" s="9" t="s">
        <v>458</v>
      </c>
      <c r="C68" s="11" t="s">
        <v>461</v>
      </c>
      <c r="D68" s="12" t="s">
        <v>464</v>
      </c>
      <c r="E68" s="9" t="s">
        <v>468</v>
      </c>
      <c r="F68" s="9" t="s">
        <v>459</v>
      </c>
      <c r="G68" s="11" t="s">
        <v>462</v>
      </c>
      <c r="H68" s="12" t="s">
        <v>465</v>
      </c>
      <c r="I68" s="9"/>
      <c r="J68" s="11"/>
      <c r="K68" s="9"/>
      <c r="L68" s="9" t="s">
        <v>68</v>
      </c>
      <c r="M68" s="9" t="s">
        <v>460</v>
      </c>
      <c r="N68" s="11" t="s">
        <v>463</v>
      </c>
      <c r="O68" s="12" t="s">
        <v>466</v>
      </c>
      <c r="P68" s="13" t="n">
        <v>35</v>
      </c>
      <c r="Q68" s="13" t="n">
        <v>30</v>
      </c>
      <c r="R68" s="13" t="n">
        <v>30</v>
      </c>
      <c r="S68" s="13" t="n">
        <v>8</v>
      </c>
      <c r="T68" s="9" t="s">
        <v>4563</v>
      </c>
      <c r="U68" s="9"/>
      <c r="V68" s="9" t="s">
        <v>4565</v>
      </c>
      <c r="W68" s="9"/>
      <c r="X68" s="11" t="s">
        <v>4592</v>
      </c>
      <c r="Y68" s="9"/>
    </row>
    <row r="69" customFormat="false" ht="15" hidden="false" customHeight="false" outlineLevel="0" collapsed="false">
      <c r="A69" s="9" t="s">
        <v>467</v>
      </c>
      <c r="B69" s="9" t="s">
        <v>458</v>
      </c>
      <c r="C69" s="11" t="s">
        <v>461</v>
      </c>
      <c r="D69" s="12" t="s">
        <v>464</v>
      </c>
      <c r="E69" s="9" t="s">
        <v>473</v>
      </c>
      <c r="F69" s="9" t="s">
        <v>470</v>
      </c>
      <c r="G69" s="11" t="s">
        <v>471</v>
      </c>
      <c r="H69" s="12" t="s">
        <v>472</v>
      </c>
      <c r="I69" s="9"/>
      <c r="J69" s="11"/>
      <c r="K69" s="9"/>
      <c r="L69" s="9" t="s">
        <v>68</v>
      </c>
      <c r="M69" s="9" t="s">
        <v>460</v>
      </c>
      <c r="N69" s="11" t="s">
        <v>463</v>
      </c>
      <c r="O69" s="12" t="s">
        <v>466</v>
      </c>
      <c r="P69" s="13" t="n">
        <v>15</v>
      </c>
      <c r="Q69" s="13" t="n">
        <v>10</v>
      </c>
      <c r="R69" s="13" t="n">
        <v>8</v>
      </c>
      <c r="S69" s="13" t="n">
        <v>0.3</v>
      </c>
      <c r="T69" s="9" t="s">
        <v>4563</v>
      </c>
      <c r="U69" s="9"/>
      <c r="V69" s="9" t="s">
        <v>4571</v>
      </c>
      <c r="W69" s="9"/>
      <c r="X69" s="11"/>
      <c r="Y69" s="9"/>
    </row>
    <row r="70" customFormat="false" ht="15" hidden="false" customHeight="false" outlineLevel="0" collapsed="false">
      <c r="A70" s="9" t="s">
        <v>467</v>
      </c>
      <c r="B70" s="9" t="s">
        <v>458</v>
      </c>
      <c r="C70" s="11" t="s">
        <v>461</v>
      </c>
      <c r="D70" s="12" t="s">
        <v>464</v>
      </c>
      <c r="E70" s="9" t="s">
        <v>478</v>
      </c>
      <c r="F70" s="9" t="s">
        <v>475</v>
      </c>
      <c r="G70" s="11" t="s">
        <v>476</v>
      </c>
      <c r="H70" s="12" t="s">
        <v>477</v>
      </c>
      <c r="I70" s="9"/>
      <c r="J70" s="11"/>
      <c r="K70" s="9"/>
      <c r="L70" s="9" t="s">
        <v>68</v>
      </c>
      <c r="M70" s="9" t="s">
        <v>460</v>
      </c>
      <c r="N70" s="11" t="s">
        <v>463</v>
      </c>
      <c r="O70" s="12" t="s">
        <v>466</v>
      </c>
      <c r="P70" s="13" t="n">
        <v>15</v>
      </c>
      <c r="Q70" s="13" t="n">
        <v>10</v>
      </c>
      <c r="R70" s="13" t="n">
        <v>8</v>
      </c>
      <c r="S70" s="13" t="n">
        <v>0.3</v>
      </c>
      <c r="T70" s="9" t="s">
        <v>4563</v>
      </c>
      <c r="U70" s="9"/>
      <c r="V70" s="9" t="s">
        <v>4571</v>
      </c>
      <c r="W70" s="9" t="s">
        <v>4593</v>
      </c>
      <c r="X70" s="11"/>
      <c r="Y70" s="9"/>
    </row>
    <row r="71" customFormat="false" ht="15" hidden="false" customHeight="false" outlineLevel="0" collapsed="false">
      <c r="A71" s="9" t="s">
        <v>467</v>
      </c>
      <c r="B71" s="9" t="s">
        <v>458</v>
      </c>
      <c r="C71" s="11" t="s">
        <v>461</v>
      </c>
      <c r="D71" s="12" t="s">
        <v>464</v>
      </c>
      <c r="E71" s="9" t="s">
        <v>483</v>
      </c>
      <c r="F71" s="9" t="s">
        <v>480</v>
      </c>
      <c r="G71" s="11" t="s">
        <v>481</v>
      </c>
      <c r="H71" s="12" t="s">
        <v>482</v>
      </c>
      <c r="I71" s="9"/>
      <c r="J71" s="11"/>
      <c r="K71" s="9"/>
      <c r="L71" s="9" t="s">
        <v>68</v>
      </c>
      <c r="M71" s="9" t="s">
        <v>460</v>
      </c>
      <c r="N71" s="11" t="s">
        <v>463</v>
      </c>
      <c r="O71" s="12" t="s">
        <v>466</v>
      </c>
      <c r="P71" s="13" t="n">
        <v>15</v>
      </c>
      <c r="Q71" s="13" t="n">
        <v>10</v>
      </c>
      <c r="R71" s="13" t="n">
        <v>8</v>
      </c>
      <c r="S71" s="13" t="n">
        <v>0.3</v>
      </c>
      <c r="T71" s="9" t="s">
        <v>4563</v>
      </c>
      <c r="U71" s="9"/>
      <c r="V71" s="9" t="s">
        <v>4571</v>
      </c>
      <c r="W71" s="9" t="s">
        <v>4594</v>
      </c>
      <c r="X71" s="11"/>
      <c r="Y71" s="9"/>
    </row>
    <row r="72" customFormat="false" ht="15" hidden="false" customHeight="false" outlineLevel="0" collapsed="false">
      <c r="A72" s="9" t="s">
        <v>467</v>
      </c>
      <c r="B72" s="9" t="s">
        <v>458</v>
      </c>
      <c r="C72" s="11" t="s">
        <v>461</v>
      </c>
      <c r="D72" s="12" t="s">
        <v>464</v>
      </c>
      <c r="E72" s="9" t="s">
        <v>488</v>
      </c>
      <c r="F72" s="9" t="s">
        <v>485</v>
      </c>
      <c r="G72" s="11" t="s">
        <v>486</v>
      </c>
      <c r="H72" s="12" t="s">
        <v>487</v>
      </c>
      <c r="I72" s="9"/>
      <c r="J72" s="11"/>
      <c r="K72" s="9"/>
      <c r="L72" s="9" t="s">
        <v>68</v>
      </c>
      <c r="M72" s="9" t="s">
        <v>460</v>
      </c>
      <c r="N72" s="11" t="s">
        <v>463</v>
      </c>
      <c r="O72" s="12" t="s">
        <v>466</v>
      </c>
      <c r="P72" s="13" t="n">
        <v>15</v>
      </c>
      <c r="Q72" s="13" t="n">
        <v>10</v>
      </c>
      <c r="R72" s="13" t="n">
        <v>8</v>
      </c>
      <c r="S72" s="13" t="n">
        <v>0.3</v>
      </c>
      <c r="T72" s="9" t="s">
        <v>4563</v>
      </c>
      <c r="U72" s="9"/>
      <c r="V72" s="9" t="s">
        <v>4571</v>
      </c>
      <c r="W72" s="9"/>
      <c r="X72" s="11"/>
      <c r="Y72" s="9"/>
    </row>
    <row r="73" customFormat="false" ht="15" hidden="false" customHeight="false" outlineLevel="0" collapsed="false">
      <c r="A73" s="9" t="s">
        <v>467</v>
      </c>
      <c r="B73" s="9" t="s">
        <v>458</v>
      </c>
      <c r="C73" s="11" t="s">
        <v>461</v>
      </c>
      <c r="D73" s="12" t="s">
        <v>464</v>
      </c>
      <c r="E73" s="9" t="s">
        <v>493</v>
      </c>
      <c r="F73" s="9" t="s">
        <v>490</v>
      </c>
      <c r="G73" s="11" t="s">
        <v>491</v>
      </c>
      <c r="H73" s="12" t="s">
        <v>492</v>
      </c>
      <c r="I73" s="9"/>
      <c r="J73" s="11"/>
      <c r="K73" s="9"/>
      <c r="L73" s="9" t="s">
        <v>68</v>
      </c>
      <c r="M73" s="9" t="s">
        <v>460</v>
      </c>
      <c r="N73" s="11" t="s">
        <v>463</v>
      </c>
      <c r="O73" s="12" t="s">
        <v>466</v>
      </c>
      <c r="P73" s="13" t="n">
        <v>25</v>
      </c>
      <c r="Q73" s="13" t="n">
        <v>15</v>
      </c>
      <c r="R73" s="13" t="n">
        <v>10</v>
      </c>
      <c r="S73" s="13" t="n">
        <v>0.9</v>
      </c>
      <c r="T73" s="9" t="s">
        <v>4563</v>
      </c>
      <c r="U73" s="9"/>
      <c r="V73" s="9" t="s">
        <v>4568</v>
      </c>
      <c r="W73" s="9"/>
      <c r="X73" s="11"/>
      <c r="Y73" s="9"/>
    </row>
    <row r="74" customFormat="false" ht="15" hidden="false" customHeight="false" outlineLevel="0" collapsed="false">
      <c r="A74" s="9" t="s">
        <v>467</v>
      </c>
      <c r="B74" s="9" t="s">
        <v>458</v>
      </c>
      <c r="C74" s="11" t="s">
        <v>461</v>
      </c>
      <c r="D74" s="12" t="s">
        <v>464</v>
      </c>
      <c r="E74" s="9" t="s">
        <v>501</v>
      </c>
      <c r="F74" s="9" t="s">
        <v>495</v>
      </c>
      <c r="G74" s="11" t="s">
        <v>497</v>
      </c>
      <c r="H74" s="12" t="s">
        <v>499</v>
      </c>
      <c r="I74" s="9"/>
      <c r="J74" s="11"/>
      <c r="K74" s="9"/>
      <c r="L74" s="9" t="s">
        <v>68</v>
      </c>
      <c r="M74" s="9" t="s">
        <v>496</v>
      </c>
      <c r="N74" s="11" t="s">
        <v>498</v>
      </c>
      <c r="O74" s="12" t="s">
        <v>500</v>
      </c>
      <c r="P74" s="13" t="n">
        <v>60</v>
      </c>
      <c r="Q74" s="13" t="n">
        <v>30</v>
      </c>
      <c r="R74" s="13" t="n">
        <v>15</v>
      </c>
      <c r="S74" s="13" t="n">
        <v>4</v>
      </c>
      <c r="T74" s="9" t="s">
        <v>4563</v>
      </c>
      <c r="U74" s="9"/>
      <c r="V74" s="9" t="s">
        <v>4565</v>
      </c>
      <c r="W74" s="9"/>
      <c r="X74" s="11" t="s">
        <v>4595</v>
      </c>
      <c r="Y74" s="9"/>
    </row>
    <row r="75" customFormat="false" ht="15" hidden="false" customHeight="false" outlineLevel="0" collapsed="false">
      <c r="A75" s="9" t="s">
        <v>467</v>
      </c>
      <c r="B75" s="9" t="s">
        <v>458</v>
      </c>
      <c r="C75" s="11" t="s">
        <v>461</v>
      </c>
      <c r="D75" s="12" t="s">
        <v>464</v>
      </c>
      <c r="E75" s="9" t="s">
        <v>506</v>
      </c>
      <c r="F75" s="9" t="s">
        <v>503</v>
      </c>
      <c r="G75" s="11" t="s">
        <v>504</v>
      </c>
      <c r="H75" s="12" t="s">
        <v>505</v>
      </c>
      <c r="I75" s="9"/>
      <c r="J75" s="11"/>
      <c r="K75" s="9"/>
      <c r="L75" s="9" t="s">
        <v>68</v>
      </c>
      <c r="M75" s="9" t="s">
        <v>496</v>
      </c>
      <c r="N75" s="11" t="s">
        <v>498</v>
      </c>
      <c r="O75" s="12" t="s">
        <v>500</v>
      </c>
      <c r="P75" s="13" t="n">
        <v>25</v>
      </c>
      <c r="Q75" s="13" t="n">
        <v>15</v>
      </c>
      <c r="R75" s="13" t="n">
        <v>10</v>
      </c>
      <c r="S75" s="13" t="n">
        <v>0.9</v>
      </c>
      <c r="T75" s="9" t="s">
        <v>4563</v>
      </c>
      <c r="U75" s="9"/>
      <c r="V75" s="9" t="s">
        <v>4568</v>
      </c>
      <c r="W75" s="9"/>
      <c r="X75" s="11"/>
      <c r="Y75" s="9"/>
    </row>
    <row r="76" customFormat="false" ht="15" hidden="false" customHeight="false" outlineLevel="0" collapsed="false">
      <c r="A76" s="9" t="s">
        <v>467</v>
      </c>
      <c r="B76" s="9" t="s">
        <v>458</v>
      </c>
      <c r="C76" s="11" t="s">
        <v>461</v>
      </c>
      <c r="D76" s="12" t="s">
        <v>464</v>
      </c>
      <c r="E76" s="9" t="s">
        <v>511</v>
      </c>
      <c r="F76" s="9" t="s">
        <v>508</v>
      </c>
      <c r="G76" s="11" t="s">
        <v>509</v>
      </c>
      <c r="H76" s="12" t="s">
        <v>510</v>
      </c>
      <c r="I76" s="9"/>
      <c r="J76" s="11"/>
      <c r="K76" s="9"/>
      <c r="L76" s="9" t="s">
        <v>68</v>
      </c>
      <c r="M76" s="9" t="s">
        <v>460</v>
      </c>
      <c r="N76" s="11" t="s">
        <v>463</v>
      </c>
      <c r="O76" s="12" t="s">
        <v>466</v>
      </c>
      <c r="P76" s="13" t="n">
        <v>15</v>
      </c>
      <c r="Q76" s="13" t="n">
        <v>10</v>
      </c>
      <c r="R76" s="13" t="n">
        <v>8</v>
      </c>
      <c r="S76" s="13" t="n">
        <v>0.3</v>
      </c>
      <c r="T76" s="9" t="s">
        <v>4563</v>
      </c>
      <c r="U76" s="9"/>
      <c r="V76" s="9" t="s">
        <v>4571</v>
      </c>
      <c r="W76" s="9"/>
      <c r="X76" s="11" t="s">
        <v>4596</v>
      </c>
      <c r="Y76" s="9"/>
    </row>
    <row r="77" customFormat="false" ht="15" hidden="false" customHeight="false" outlineLevel="0" collapsed="false">
      <c r="A77" s="9" t="s">
        <v>467</v>
      </c>
      <c r="B77" s="9" t="s">
        <v>458</v>
      </c>
      <c r="C77" s="11" t="s">
        <v>461</v>
      </c>
      <c r="D77" s="12" t="s">
        <v>464</v>
      </c>
      <c r="E77" s="9" t="s">
        <v>516</v>
      </c>
      <c r="F77" s="9" t="s">
        <v>513</v>
      </c>
      <c r="G77" s="11" t="s">
        <v>514</v>
      </c>
      <c r="H77" s="12" t="s">
        <v>515</v>
      </c>
      <c r="I77" s="9"/>
      <c r="J77" s="11"/>
      <c r="K77" s="9"/>
      <c r="L77" s="9" t="s">
        <v>68</v>
      </c>
      <c r="M77" s="9" t="s">
        <v>403</v>
      </c>
      <c r="N77" s="11" t="s">
        <v>406</v>
      </c>
      <c r="O77" s="12" t="s">
        <v>409</v>
      </c>
      <c r="P77" s="13" t="n">
        <v>50</v>
      </c>
      <c r="Q77" s="13" t="n">
        <v>30</v>
      </c>
      <c r="R77" s="13" t="n">
        <v>20</v>
      </c>
      <c r="S77" s="13" t="n">
        <v>5</v>
      </c>
      <c r="T77" s="9" t="s">
        <v>4563</v>
      </c>
      <c r="U77" s="9"/>
      <c r="V77" s="9" t="s">
        <v>4589</v>
      </c>
      <c r="W77" s="9"/>
      <c r="X77" s="11" t="s">
        <v>4597</v>
      </c>
      <c r="Y77" s="9"/>
    </row>
    <row r="78" customFormat="false" ht="15" hidden="false" customHeight="false" outlineLevel="0" collapsed="false">
      <c r="A78" s="9" t="s">
        <v>527</v>
      </c>
      <c r="B78" s="9" t="s">
        <v>518</v>
      </c>
      <c r="C78" s="11" t="s">
        <v>521</v>
      </c>
      <c r="D78" s="12" t="s">
        <v>524</v>
      </c>
      <c r="E78" s="9" t="s">
        <v>528</v>
      </c>
      <c r="F78" s="9" t="s">
        <v>519</v>
      </c>
      <c r="G78" s="11" t="s">
        <v>522</v>
      </c>
      <c r="H78" s="12" t="s">
        <v>525</v>
      </c>
      <c r="I78" s="9"/>
      <c r="J78" s="11"/>
      <c r="K78" s="9"/>
      <c r="L78" s="9" t="s">
        <v>68</v>
      </c>
      <c r="M78" s="9" t="s">
        <v>520</v>
      </c>
      <c r="N78" s="11" t="s">
        <v>523</v>
      </c>
      <c r="O78" s="12" t="s">
        <v>526</v>
      </c>
      <c r="P78" s="13" t="n">
        <v>25</v>
      </c>
      <c r="Q78" s="13" t="n">
        <v>15</v>
      </c>
      <c r="R78" s="13" t="n">
        <v>10</v>
      </c>
      <c r="S78" s="13" t="n">
        <v>0.9</v>
      </c>
      <c r="T78" s="9" t="s">
        <v>4563</v>
      </c>
      <c r="U78" s="9"/>
      <c r="V78" s="9" t="s">
        <v>4568</v>
      </c>
      <c r="W78" s="9"/>
      <c r="X78" s="11" t="s">
        <v>4598</v>
      </c>
      <c r="Y78" s="9"/>
    </row>
    <row r="79" customFormat="false" ht="15" hidden="false" customHeight="false" outlineLevel="0" collapsed="false">
      <c r="A79" s="9" t="s">
        <v>527</v>
      </c>
      <c r="B79" s="9" t="s">
        <v>518</v>
      </c>
      <c r="C79" s="11" t="s">
        <v>521</v>
      </c>
      <c r="D79" s="12" t="s">
        <v>524</v>
      </c>
      <c r="E79" s="9" t="s">
        <v>533</v>
      </c>
      <c r="F79" s="9" t="s">
        <v>530</v>
      </c>
      <c r="G79" s="11" t="s">
        <v>531</v>
      </c>
      <c r="H79" s="12" t="s">
        <v>532</v>
      </c>
      <c r="I79" s="9"/>
      <c r="J79" s="11"/>
      <c r="K79" s="9"/>
      <c r="L79" s="9" t="s">
        <v>68</v>
      </c>
      <c r="M79" s="9" t="s">
        <v>520</v>
      </c>
      <c r="N79" s="11" t="s">
        <v>523</v>
      </c>
      <c r="O79" s="12" t="s">
        <v>526</v>
      </c>
      <c r="P79" s="13" t="n">
        <v>40</v>
      </c>
      <c r="Q79" s="13" t="n">
        <v>25</v>
      </c>
      <c r="R79" s="13" t="n">
        <v>15</v>
      </c>
      <c r="S79" s="13" t="n">
        <v>3</v>
      </c>
      <c r="T79" s="9" t="s">
        <v>4563</v>
      </c>
      <c r="U79" s="9"/>
      <c r="V79" s="9" t="s">
        <v>4570</v>
      </c>
      <c r="W79" s="9" t="s">
        <v>4599</v>
      </c>
      <c r="X79" s="11"/>
      <c r="Y79" s="9"/>
    </row>
    <row r="80" customFormat="false" ht="15" hidden="false" customHeight="false" outlineLevel="0" collapsed="false">
      <c r="A80" s="9" t="s">
        <v>527</v>
      </c>
      <c r="B80" s="9" t="s">
        <v>518</v>
      </c>
      <c r="C80" s="11" t="s">
        <v>521</v>
      </c>
      <c r="D80" s="12" t="s">
        <v>524</v>
      </c>
      <c r="E80" s="9" t="s">
        <v>538</v>
      </c>
      <c r="F80" s="9" t="s">
        <v>535</v>
      </c>
      <c r="G80" s="11" t="s">
        <v>536</v>
      </c>
      <c r="H80" s="12" t="s">
        <v>537</v>
      </c>
      <c r="I80" s="9"/>
      <c r="J80" s="11"/>
      <c r="K80" s="9"/>
      <c r="L80" s="9" t="s">
        <v>68</v>
      </c>
      <c r="M80" s="9" t="s">
        <v>110</v>
      </c>
      <c r="N80" s="11" t="s">
        <v>112</v>
      </c>
      <c r="O80" s="12" t="s">
        <v>114</v>
      </c>
      <c r="P80" s="13" t="n">
        <v>25</v>
      </c>
      <c r="Q80" s="13" t="n">
        <v>15</v>
      </c>
      <c r="R80" s="13" t="n">
        <v>10</v>
      </c>
      <c r="S80" s="13" t="n">
        <v>0.9</v>
      </c>
      <c r="T80" s="9" t="s">
        <v>4563</v>
      </c>
      <c r="U80" s="9"/>
      <c r="V80" s="9" t="s">
        <v>4568</v>
      </c>
      <c r="W80" s="9"/>
      <c r="X80" s="11"/>
      <c r="Y80" s="9"/>
    </row>
    <row r="81" customFormat="false" ht="15" hidden="false" customHeight="false" outlineLevel="0" collapsed="false">
      <c r="A81" s="9" t="s">
        <v>527</v>
      </c>
      <c r="B81" s="9" t="s">
        <v>518</v>
      </c>
      <c r="C81" s="11" t="s">
        <v>521</v>
      </c>
      <c r="D81" s="12" t="s">
        <v>524</v>
      </c>
      <c r="E81" s="9" t="s">
        <v>543</v>
      </c>
      <c r="F81" s="9" t="s">
        <v>540</v>
      </c>
      <c r="G81" s="11" t="s">
        <v>541</v>
      </c>
      <c r="H81" s="12" t="s">
        <v>542</v>
      </c>
      <c r="I81" s="9"/>
      <c r="J81" s="11"/>
      <c r="K81" s="9"/>
      <c r="L81" s="9" t="s">
        <v>68</v>
      </c>
      <c r="M81" s="9" t="s">
        <v>110</v>
      </c>
      <c r="N81" s="11" t="s">
        <v>112</v>
      </c>
      <c r="O81" s="12" t="s">
        <v>114</v>
      </c>
      <c r="P81" s="13" t="n">
        <v>10</v>
      </c>
      <c r="Q81" s="13" t="n">
        <v>8</v>
      </c>
      <c r="R81" s="13" t="n">
        <v>6</v>
      </c>
      <c r="S81" s="13" t="n">
        <v>0.1</v>
      </c>
      <c r="T81" s="9" t="s">
        <v>4563</v>
      </c>
      <c r="U81" s="9"/>
      <c r="V81" s="9" t="s">
        <v>4572</v>
      </c>
      <c r="W81" s="9"/>
      <c r="X81" s="11" t="s">
        <v>4600</v>
      </c>
      <c r="Y81" s="9"/>
    </row>
    <row r="82" customFormat="false" ht="15" hidden="false" customHeight="false" outlineLevel="0" collapsed="false">
      <c r="A82" s="9" t="s">
        <v>527</v>
      </c>
      <c r="B82" s="9" t="s">
        <v>518</v>
      </c>
      <c r="C82" s="11" t="s">
        <v>521</v>
      </c>
      <c r="D82" s="12" t="s">
        <v>524</v>
      </c>
      <c r="E82" s="9" t="s">
        <v>548</v>
      </c>
      <c r="F82" s="9" t="s">
        <v>545</v>
      </c>
      <c r="G82" s="11" t="s">
        <v>546</v>
      </c>
      <c r="H82" s="12" t="s">
        <v>547</v>
      </c>
      <c r="I82" s="9"/>
      <c r="J82" s="11"/>
      <c r="K82" s="9"/>
      <c r="L82" s="9" t="s">
        <v>68</v>
      </c>
      <c r="M82" s="9" t="s">
        <v>110</v>
      </c>
      <c r="N82" s="11" t="s">
        <v>112</v>
      </c>
      <c r="O82" s="12" t="s">
        <v>114</v>
      </c>
      <c r="P82" s="13" t="n">
        <v>25</v>
      </c>
      <c r="Q82" s="13" t="n">
        <v>15</v>
      </c>
      <c r="R82" s="13" t="n">
        <v>10</v>
      </c>
      <c r="S82" s="13" t="n">
        <v>0.9</v>
      </c>
      <c r="T82" s="9" t="s">
        <v>4563</v>
      </c>
      <c r="U82" s="9"/>
      <c r="V82" s="9" t="s">
        <v>4568</v>
      </c>
      <c r="W82" s="9"/>
      <c r="X82" s="11"/>
      <c r="Y82" s="9"/>
    </row>
    <row r="83" customFormat="false" ht="15" hidden="false" customHeight="false" outlineLevel="0" collapsed="false">
      <c r="A83" s="9" t="s">
        <v>527</v>
      </c>
      <c r="B83" s="9" t="s">
        <v>518</v>
      </c>
      <c r="C83" s="11" t="s">
        <v>521</v>
      </c>
      <c r="D83" s="12" t="s">
        <v>524</v>
      </c>
      <c r="E83" s="9" t="s">
        <v>553</v>
      </c>
      <c r="F83" s="9" t="s">
        <v>550</v>
      </c>
      <c r="G83" s="11" t="s">
        <v>551</v>
      </c>
      <c r="H83" s="12" t="s">
        <v>552</v>
      </c>
      <c r="I83" s="9"/>
      <c r="J83" s="11"/>
      <c r="K83" s="9"/>
      <c r="L83" s="9" t="s">
        <v>68</v>
      </c>
      <c r="M83" s="9" t="s">
        <v>110</v>
      </c>
      <c r="N83" s="11" t="s">
        <v>112</v>
      </c>
      <c r="O83" s="12" t="s">
        <v>114</v>
      </c>
      <c r="P83" s="13" t="n">
        <v>10</v>
      </c>
      <c r="Q83" s="13" t="n">
        <v>8</v>
      </c>
      <c r="R83" s="13" t="n">
        <v>6</v>
      </c>
      <c r="S83" s="13" t="n">
        <v>0.1</v>
      </c>
      <c r="T83" s="9" t="s">
        <v>4563</v>
      </c>
      <c r="U83" s="9"/>
      <c r="V83" s="9" t="s">
        <v>4572</v>
      </c>
      <c r="W83" s="9" t="s">
        <v>4601</v>
      </c>
      <c r="X83" s="11"/>
      <c r="Y83" s="9"/>
    </row>
    <row r="84" customFormat="false" ht="15" hidden="false" customHeight="false" outlineLevel="0" collapsed="false">
      <c r="A84" s="9" t="s">
        <v>527</v>
      </c>
      <c r="B84" s="9" t="s">
        <v>518</v>
      </c>
      <c r="C84" s="11" t="s">
        <v>521</v>
      </c>
      <c r="D84" s="12" t="s">
        <v>524</v>
      </c>
      <c r="E84" s="9" t="s">
        <v>558</v>
      </c>
      <c r="F84" s="9" t="s">
        <v>555</v>
      </c>
      <c r="G84" s="11" t="s">
        <v>556</v>
      </c>
      <c r="H84" s="12" t="s">
        <v>557</v>
      </c>
      <c r="I84" s="9"/>
      <c r="J84" s="11"/>
      <c r="K84" s="9"/>
      <c r="L84" s="9" t="s">
        <v>68</v>
      </c>
      <c r="M84" s="9" t="s">
        <v>110</v>
      </c>
      <c r="N84" s="11" t="s">
        <v>112</v>
      </c>
      <c r="O84" s="12" t="s">
        <v>114</v>
      </c>
      <c r="P84" s="13" t="n">
        <v>30</v>
      </c>
      <c r="Q84" s="13" t="n">
        <v>20</v>
      </c>
      <c r="R84" s="13" t="n">
        <v>15</v>
      </c>
      <c r="S84" s="13" t="n">
        <v>1.8</v>
      </c>
      <c r="T84" s="9" t="s">
        <v>4563</v>
      </c>
      <c r="U84" s="9"/>
      <c r="V84" s="9" t="s">
        <v>4581</v>
      </c>
      <c r="W84" s="9"/>
      <c r="X84" s="11"/>
      <c r="Y84" s="12" t="s">
        <v>4602</v>
      </c>
    </row>
    <row r="85" customFormat="false" ht="15" hidden="false" customHeight="false" outlineLevel="0" collapsed="false">
      <c r="A85" s="9" t="s">
        <v>527</v>
      </c>
      <c r="B85" s="9" t="s">
        <v>518</v>
      </c>
      <c r="C85" s="11" t="s">
        <v>521</v>
      </c>
      <c r="D85" s="12" t="s">
        <v>524</v>
      </c>
      <c r="E85" s="9" t="s">
        <v>566</v>
      </c>
      <c r="F85" s="9" t="s">
        <v>560</v>
      </c>
      <c r="G85" s="11" t="s">
        <v>562</v>
      </c>
      <c r="H85" s="12" t="s">
        <v>564</v>
      </c>
      <c r="I85" s="9"/>
      <c r="J85" s="11"/>
      <c r="K85" s="9"/>
      <c r="L85" s="9" t="s">
        <v>68</v>
      </c>
      <c r="M85" s="9" t="s">
        <v>561</v>
      </c>
      <c r="N85" s="11" t="s">
        <v>563</v>
      </c>
      <c r="O85" s="12" t="s">
        <v>565</v>
      </c>
      <c r="P85" s="13" t="n">
        <v>15</v>
      </c>
      <c r="Q85" s="13" t="n">
        <v>10</v>
      </c>
      <c r="R85" s="13" t="n">
        <v>8</v>
      </c>
      <c r="S85" s="13" t="n">
        <v>0.3</v>
      </c>
      <c r="T85" s="9" t="s">
        <v>4563</v>
      </c>
      <c r="U85" s="9"/>
      <c r="V85" s="9" t="s">
        <v>4571</v>
      </c>
      <c r="W85" s="9"/>
      <c r="X85" s="11"/>
      <c r="Y85" s="9"/>
    </row>
    <row r="86" customFormat="false" ht="15" hidden="false" customHeight="false" outlineLevel="0" collapsed="false">
      <c r="A86" s="9" t="s">
        <v>527</v>
      </c>
      <c r="B86" s="9" t="s">
        <v>518</v>
      </c>
      <c r="C86" s="11" t="s">
        <v>521</v>
      </c>
      <c r="D86" s="12" t="s">
        <v>524</v>
      </c>
      <c r="E86" s="9" t="s">
        <v>568</v>
      </c>
      <c r="F86" s="9" t="s">
        <v>520</v>
      </c>
      <c r="G86" s="11" t="s">
        <v>523</v>
      </c>
      <c r="H86" s="12" t="s">
        <v>526</v>
      </c>
      <c r="I86" s="9"/>
      <c r="J86" s="11"/>
      <c r="K86" s="9"/>
      <c r="L86" s="9" t="s">
        <v>68</v>
      </c>
      <c r="M86" s="9" t="s">
        <v>520</v>
      </c>
      <c r="N86" s="11" t="s">
        <v>523</v>
      </c>
      <c r="O86" s="12" t="s">
        <v>526</v>
      </c>
      <c r="P86" s="13" t="n">
        <v>90</v>
      </c>
      <c r="Q86" s="13" t="n">
        <v>60</v>
      </c>
      <c r="R86" s="13" t="n">
        <v>25</v>
      </c>
      <c r="S86" s="13" t="n">
        <v>9</v>
      </c>
      <c r="T86" s="9" t="s">
        <v>4563</v>
      </c>
      <c r="U86" s="9"/>
      <c r="V86" s="9" t="s">
        <v>4565</v>
      </c>
      <c r="W86" s="9"/>
      <c r="X86" s="11"/>
      <c r="Y86" s="9"/>
    </row>
    <row r="87" customFormat="false" ht="15" hidden="false" customHeight="false" outlineLevel="0" collapsed="false">
      <c r="A87" s="9" t="s">
        <v>527</v>
      </c>
      <c r="B87" s="9" t="s">
        <v>518</v>
      </c>
      <c r="C87" s="11" t="s">
        <v>521</v>
      </c>
      <c r="D87" s="12" t="s">
        <v>524</v>
      </c>
      <c r="E87" s="9" t="s">
        <v>573</v>
      </c>
      <c r="F87" s="9" t="s">
        <v>570</v>
      </c>
      <c r="G87" s="11" t="s">
        <v>571</v>
      </c>
      <c r="H87" s="12" t="s">
        <v>572</v>
      </c>
      <c r="I87" s="9"/>
      <c r="J87" s="11"/>
      <c r="K87" s="9"/>
      <c r="L87" s="9" t="s">
        <v>68</v>
      </c>
      <c r="M87" s="9" t="s">
        <v>520</v>
      </c>
      <c r="N87" s="11" t="s">
        <v>523</v>
      </c>
      <c r="O87" s="12" t="s">
        <v>526</v>
      </c>
      <c r="P87" s="13" t="n">
        <v>40</v>
      </c>
      <c r="Q87" s="13" t="n">
        <v>25</v>
      </c>
      <c r="R87" s="13" t="n">
        <v>15</v>
      </c>
      <c r="S87" s="13" t="n">
        <v>3</v>
      </c>
      <c r="T87" s="9" t="s">
        <v>4563</v>
      </c>
      <c r="U87" s="9"/>
      <c r="V87" s="9" t="s">
        <v>4570</v>
      </c>
      <c r="W87" s="9" t="s">
        <v>4603</v>
      </c>
      <c r="X87" s="11"/>
      <c r="Y87" s="9"/>
    </row>
    <row r="88" customFormat="false" ht="15" hidden="false" customHeight="false" outlineLevel="0" collapsed="false">
      <c r="A88" s="9" t="s">
        <v>527</v>
      </c>
      <c r="B88" s="9" t="s">
        <v>518</v>
      </c>
      <c r="C88" s="11" t="s">
        <v>521</v>
      </c>
      <c r="D88" s="12" t="s">
        <v>524</v>
      </c>
      <c r="E88" s="9" t="s">
        <v>578</v>
      </c>
      <c r="F88" s="9" t="s">
        <v>575</v>
      </c>
      <c r="G88" s="11" t="s">
        <v>576</v>
      </c>
      <c r="H88" s="12" t="s">
        <v>577</v>
      </c>
      <c r="I88" s="9"/>
      <c r="J88" s="11"/>
      <c r="K88" s="9"/>
      <c r="L88" s="9" t="s">
        <v>68</v>
      </c>
      <c r="M88" s="9" t="s">
        <v>520</v>
      </c>
      <c r="N88" s="11" t="s">
        <v>523</v>
      </c>
      <c r="O88" s="12" t="s">
        <v>526</v>
      </c>
      <c r="P88" s="13" t="n">
        <v>10</v>
      </c>
      <c r="Q88" s="13" t="n">
        <v>8</v>
      </c>
      <c r="R88" s="13" t="n">
        <v>6</v>
      </c>
      <c r="S88" s="13" t="n">
        <v>0.1</v>
      </c>
      <c r="T88" s="9" t="s">
        <v>4563</v>
      </c>
      <c r="U88" s="9"/>
      <c r="V88" s="9" t="s">
        <v>4572</v>
      </c>
      <c r="W88" s="9"/>
      <c r="X88" s="11"/>
      <c r="Y88" s="9"/>
    </row>
    <row r="89" customFormat="false" ht="15" hidden="false" customHeight="false" outlineLevel="0" collapsed="false">
      <c r="A89" s="9" t="s">
        <v>527</v>
      </c>
      <c r="B89" s="9" t="s">
        <v>518</v>
      </c>
      <c r="C89" s="11" t="s">
        <v>521</v>
      </c>
      <c r="D89" s="12" t="s">
        <v>524</v>
      </c>
      <c r="E89" s="9" t="s">
        <v>583</v>
      </c>
      <c r="F89" s="9" t="s">
        <v>580</v>
      </c>
      <c r="G89" s="11" t="s">
        <v>581</v>
      </c>
      <c r="H89" s="12" t="s">
        <v>582</v>
      </c>
      <c r="I89" s="9"/>
      <c r="J89" s="11"/>
      <c r="K89" s="9"/>
      <c r="L89" s="9" t="s">
        <v>4604</v>
      </c>
      <c r="M89" s="9" t="s">
        <v>520</v>
      </c>
      <c r="N89" s="11" t="s">
        <v>523</v>
      </c>
      <c r="O89" s="12" t="s">
        <v>526</v>
      </c>
      <c r="P89" s="13" t="n">
        <v>25</v>
      </c>
      <c r="Q89" s="13" t="n">
        <v>15</v>
      </c>
      <c r="R89" s="13" t="n">
        <v>10</v>
      </c>
      <c r="S89" s="13" t="n">
        <v>0.9</v>
      </c>
      <c r="T89" s="9" t="s">
        <v>4563</v>
      </c>
      <c r="U89" s="9"/>
      <c r="V89" s="9" t="s">
        <v>4568</v>
      </c>
      <c r="W89" s="9"/>
      <c r="X89" s="11"/>
      <c r="Y89" s="9"/>
    </row>
    <row r="90" customFormat="false" ht="15" hidden="false" customHeight="false" outlineLevel="0" collapsed="false">
      <c r="A90" s="9" t="s">
        <v>527</v>
      </c>
      <c r="B90" s="9" t="s">
        <v>518</v>
      </c>
      <c r="C90" s="11" t="s">
        <v>521</v>
      </c>
      <c r="D90" s="12" t="s">
        <v>524</v>
      </c>
      <c r="E90" s="9" t="s">
        <v>589</v>
      </c>
      <c r="F90" s="9" t="s">
        <v>586</v>
      </c>
      <c r="G90" s="11" t="s">
        <v>587</v>
      </c>
      <c r="H90" s="12" t="s">
        <v>588</v>
      </c>
      <c r="I90" s="9"/>
      <c r="J90" s="11"/>
      <c r="K90" s="9"/>
      <c r="L90" s="9" t="s">
        <v>68</v>
      </c>
      <c r="M90" s="9" t="s">
        <v>520</v>
      </c>
      <c r="N90" s="11" t="s">
        <v>523</v>
      </c>
      <c r="O90" s="12" t="s">
        <v>526</v>
      </c>
      <c r="P90" s="13" t="n">
        <v>15</v>
      </c>
      <c r="Q90" s="13" t="n">
        <v>10</v>
      </c>
      <c r="R90" s="13" t="n">
        <v>8</v>
      </c>
      <c r="S90" s="13" t="n">
        <v>0.3</v>
      </c>
      <c r="T90" s="9" t="s">
        <v>4563</v>
      </c>
      <c r="U90" s="9"/>
      <c r="V90" s="9" t="s">
        <v>4571</v>
      </c>
      <c r="W90" s="9"/>
      <c r="X90" s="11"/>
      <c r="Y90" s="9"/>
    </row>
    <row r="91" customFormat="false" ht="15" hidden="false" customHeight="false" outlineLevel="0" collapsed="false">
      <c r="A91" s="9" t="s">
        <v>527</v>
      </c>
      <c r="B91" s="9" t="s">
        <v>518</v>
      </c>
      <c r="C91" s="11" t="s">
        <v>521</v>
      </c>
      <c r="D91" s="12" t="s">
        <v>524</v>
      </c>
      <c r="E91" s="9" t="s">
        <v>594</v>
      </c>
      <c r="F91" s="9" t="s">
        <v>591</v>
      </c>
      <c r="G91" s="11" t="s">
        <v>592</v>
      </c>
      <c r="H91" s="12" t="s">
        <v>593</v>
      </c>
      <c r="I91" s="9"/>
      <c r="J91" s="11"/>
      <c r="K91" s="9"/>
      <c r="L91" s="9" t="s">
        <v>68</v>
      </c>
      <c r="M91" s="9" t="s">
        <v>561</v>
      </c>
      <c r="N91" s="11" t="s">
        <v>563</v>
      </c>
      <c r="O91" s="12" t="s">
        <v>565</v>
      </c>
      <c r="P91" s="13" t="n">
        <v>25</v>
      </c>
      <c r="Q91" s="13" t="n">
        <v>15</v>
      </c>
      <c r="R91" s="13" t="n">
        <v>10</v>
      </c>
      <c r="S91" s="13" t="n">
        <v>0.9</v>
      </c>
      <c r="T91" s="9" t="s">
        <v>4563</v>
      </c>
      <c r="U91" s="9"/>
      <c r="V91" s="9" t="s">
        <v>4568</v>
      </c>
      <c r="W91" s="9"/>
      <c r="X91" s="11"/>
      <c r="Y91" s="9"/>
    </row>
    <row r="92" customFormat="false" ht="15" hidden="false" customHeight="false" outlineLevel="0" collapsed="false">
      <c r="A92" s="9" t="s">
        <v>527</v>
      </c>
      <c r="B92" s="9" t="s">
        <v>518</v>
      </c>
      <c r="C92" s="11" t="s">
        <v>521</v>
      </c>
      <c r="D92" s="12" t="s">
        <v>524</v>
      </c>
      <c r="E92" s="9" t="s">
        <v>599</v>
      </c>
      <c r="F92" s="9" t="s">
        <v>596</v>
      </c>
      <c r="G92" s="11" t="s">
        <v>597</v>
      </c>
      <c r="H92" s="12" t="s">
        <v>598</v>
      </c>
      <c r="I92" s="9"/>
      <c r="J92" s="11"/>
      <c r="K92" s="9"/>
      <c r="L92" s="9" t="s">
        <v>68</v>
      </c>
      <c r="M92" s="9" t="s">
        <v>561</v>
      </c>
      <c r="N92" s="11" t="s">
        <v>563</v>
      </c>
      <c r="O92" s="12" t="s">
        <v>565</v>
      </c>
      <c r="P92" s="13" t="n">
        <v>15</v>
      </c>
      <c r="Q92" s="13" t="n">
        <v>10</v>
      </c>
      <c r="R92" s="13" t="n">
        <v>8</v>
      </c>
      <c r="S92" s="13" t="n">
        <v>0.3</v>
      </c>
      <c r="T92" s="9" t="s">
        <v>4563</v>
      </c>
      <c r="U92" s="9"/>
      <c r="V92" s="9" t="s">
        <v>4571</v>
      </c>
      <c r="W92" s="9"/>
      <c r="X92" s="11"/>
      <c r="Y92" s="9"/>
    </row>
    <row r="93" customFormat="false" ht="15" hidden="false" customHeight="false" outlineLevel="0" collapsed="false">
      <c r="A93" s="9" t="s">
        <v>527</v>
      </c>
      <c r="B93" s="9" t="s">
        <v>518</v>
      </c>
      <c r="C93" s="11" t="s">
        <v>521</v>
      </c>
      <c r="D93" s="12" t="s">
        <v>524</v>
      </c>
      <c r="E93" s="9" t="s">
        <v>604</v>
      </c>
      <c r="F93" s="9" t="s">
        <v>601</v>
      </c>
      <c r="G93" s="11" t="s">
        <v>602</v>
      </c>
      <c r="H93" s="12" t="s">
        <v>603</v>
      </c>
      <c r="I93" s="9"/>
      <c r="J93" s="11"/>
      <c r="K93" s="9"/>
      <c r="L93" s="9" t="s">
        <v>68</v>
      </c>
      <c r="M93" s="9" t="s">
        <v>561</v>
      </c>
      <c r="N93" s="11" t="s">
        <v>563</v>
      </c>
      <c r="O93" s="12" t="s">
        <v>565</v>
      </c>
      <c r="P93" s="13" t="n">
        <v>10</v>
      </c>
      <c r="Q93" s="13" t="n">
        <v>8</v>
      </c>
      <c r="R93" s="13" t="n">
        <v>6</v>
      </c>
      <c r="S93" s="13" t="n">
        <v>0.1</v>
      </c>
      <c r="T93" s="9" t="s">
        <v>4563</v>
      </c>
      <c r="U93" s="9"/>
      <c r="V93" s="9" t="s">
        <v>4572</v>
      </c>
      <c r="W93" s="9" t="s">
        <v>4605</v>
      </c>
      <c r="X93" s="11"/>
      <c r="Y93" s="9"/>
    </row>
    <row r="94" customFormat="false" ht="15" hidden="false" customHeight="false" outlineLevel="0" collapsed="false">
      <c r="A94" s="9" t="s">
        <v>527</v>
      </c>
      <c r="B94" s="9" t="s">
        <v>518</v>
      </c>
      <c r="C94" s="11" t="s">
        <v>521</v>
      </c>
      <c r="D94" s="12" t="s">
        <v>524</v>
      </c>
      <c r="E94" s="9" t="s">
        <v>609</v>
      </c>
      <c r="F94" s="9" t="s">
        <v>606</v>
      </c>
      <c r="G94" s="11" t="s">
        <v>607</v>
      </c>
      <c r="H94" s="12" t="s">
        <v>608</v>
      </c>
      <c r="I94" s="9"/>
      <c r="J94" s="11"/>
      <c r="K94" s="9"/>
      <c r="L94" s="9" t="s">
        <v>68</v>
      </c>
      <c r="M94" s="9" t="s">
        <v>561</v>
      </c>
      <c r="N94" s="11" t="s">
        <v>563</v>
      </c>
      <c r="O94" s="12" t="s">
        <v>565</v>
      </c>
      <c r="P94" s="13" t="n">
        <v>40</v>
      </c>
      <c r="Q94" s="13" t="n">
        <v>25</v>
      </c>
      <c r="R94" s="13" t="n">
        <v>15</v>
      </c>
      <c r="S94" s="13" t="n">
        <v>3</v>
      </c>
      <c r="T94" s="9" t="s">
        <v>4563</v>
      </c>
      <c r="U94" s="9"/>
      <c r="V94" s="9" t="s">
        <v>4570</v>
      </c>
      <c r="W94" s="9"/>
      <c r="X94" s="11" t="s">
        <v>4606</v>
      </c>
      <c r="Y94" s="9"/>
    </row>
    <row r="95" customFormat="false" ht="15" hidden="false" customHeight="false" outlineLevel="0" collapsed="false">
      <c r="A95" s="9" t="s">
        <v>527</v>
      </c>
      <c r="B95" s="9" t="s">
        <v>518</v>
      </c>
      <c r="C95" s="11" t="s">
        <v>521</v>
      </c>
      <c r="D95" s="12" t="s">
        <v>524</v>
      </c>
      <c r="E95" s="9" t="s">
        <v>614</v>
      </c>
      <c r="F95" s="9" t="s">
        <v>611</v>
      </c>
      <c r="G95" s="11" t="s">
        <v>612</v>
      </c>
      <c r="H95" s="12" t="s">
        <v>613</v>
      </c>
      <c r="I95" s="9"/>
      <c r="J95" s="11"/>
      <c r="K95" s="9"/>
      <c r="L95" s="9" t="s">
        <v>68</v>
      </c>
      <c r="M95" s="9" t="s">
        <v>561</v>
      </c>
      <c r="N95" s="11" t="s">
        <v>563</v>
      </c>
      <c r="O95" s="12" t="s">
        <v>565</v>
      </c>
      <c r="P95" s="13" t="n">
        <v>10</v>
      </c>
      <c r="Q95" s="13" t="n">
        <v>8</v>
      </c>
      <c r="R95" s="13" t="n">
        <v>6</v>
      </c>
      <c r="S95" s="13" t="n">
        <v>0.1</v>
      </c>
      <c r="T95" s="9" t="s">
        <v>4563</v>
      </c>
      <c r="U95" s="9"/>
      <c r="V95" s="9" t="s">
        <v>4572</v>
      </c>
      <c r="W95" s="9"/>
      <c r="X95" s="11"/>
      <c r="Y95" s="9"/>
    </row>
    <row r="96" customFormat="false" ht="15" hidden="false" customHeight="false" outlineLevel="0" collapsed="false">
      <c r="A96" s="9" t="s">
        <v>527</v>
      </c>
      <c r="B96" s="9" t="s">
        <v>518</v>
      </c>
      <c r="C96" s="11" t="s">
        <v>521</v>
      </c>
      <c r="D96" s="12" t="s">
        <v>524</v>
      </c>
      <c r="E96" s="9" t="s">
        <v>619</v>
      </c>
      <c r="F96" s="9" t="s">
        <v>616</v>
      </c>
      <c r="G96" s="11" t="s">
        <v>617</v>
      </c>
      <c r="H96" s="12" t="s">
        <v>618</v>
      </c>
      <c r="I96" s="9"/>
      <c r="J96" s="11"/>
      <c r="K96" s="9"/>
      <c r="L96" s="9" t="s">
        <v>68</v>
      </c>
      <c r="M96" s="9" t="s">
        <v>369</v>
      </c>
      <c r="N96" s="11" t="s">
        <v>371</v>
      </c>
      <c r="O96" s="12" t="s">
        <v>373</v>
      </c>
      <c r="P96" s="13" t="n">
        <v>40</v>
      </c>
      <c r="Q96" s="13" t="n">
        <v>25</v>
      </c>
      <c r="R96" s="13" t="n">
        <v>15</v>
      </c>
      <c r="S96" s="13" t="n">
        <v>3</v>
      </c>
      <c r="T96" s="9" t="s">
        <v>4563</v>
      </c>
      <c r="U96" s="9"/>
      <c r="V96" s="9" t="s">
        <v>4570</v>
      </c>
      <c r="W96" s="9"/>
      <c r="X96" s="11"/>
      <c r="Y96" s="9"/>
    </row>
    <row r="97" customFormat="false" ht="15" hidden="false" customHeight="false" outlineLevel="0" collapsed="false">
      <c r="A97" s="9" t="s">
        <v>527</v>
      </c>
      <c r="B97" s="9" t="s">
        <v>518</v>
      </c>
      <c r="C97" s="11" t="s">
        <v>521</v>
      </c>
      <c r="D97" s="12" t="s">
        <v>524</v>
      </c>
      <c r="E97" s="9" t="s">
        <v>624</v>
      </c>
      <c r="F97" s="9" t="s">
        <v>621</v>
      </c>
      <c r="G97" s="11" t="s">
        <v>622</v>
      </c>
      <c r="H97" s="12" t="s">
        <v>623</v>
      </c>
      <c r="I97" s="9"/>
      <c r="J97" s="11"/>
      <c r="K97" s="9"/>
      <c r="L97" s="9" t="s">
        <v>68</v>
      </c>
      <c r="M97" s="9" t="s">
        <v>94</v>
      </c>
      <c r="N97" s="11" t="s">
        <v>95</v>
      </c>
      <c r="O97" s="12" t="s">
        <v>96</v>
      </c>
      <c r="P97" s="13" t="n">
        <v>10</v>
      </c>
      <c r="Q97" s="13" t="n">
        <v>8</v>
      </c>
      <c r="R97" s="13" t="n">
        <v>6</v>
      </c>
      <c r="S97" s="13" t="n">
        <v>0.1</v>
      </c>
      <c r="T97" s="9" t="s">
        <v>4563</v>
      </c>
      <c r="U97" s="9"/>
      <c r="V97" s="9" t="s">
        <v>4572</v>
      </c>
      <c r="W97" s="9"/>
      <c r="X97" s="11"/>
      <c r="Y97" s="9"/>
    </row>
    <row r="98" customFormat="false" ht="15" hidden="false" customHeight="false" outlineLevel="0" collapsed="false">
      <c r="A98" s="9" t="s">
        <v>527</v>
      </c>
      <c r="B98" s="9" t="s">
        <v>518</v>
      </c>
      <c r="C98" s="11" t="s">
        <v>521</v>
      </c>
      <c r="D98" s="12" t="s">
        <v>524</v>
      </c>
      <c r="E98" s="9" t="s">
        <v>629</v>
      </c>
      <c r="F98" s="9" t="s">
        <v>626</v>
      </c>
      <c r="G98" s="11" t="s">
        <v>627</v>
      </c>
      <c r="H98" s="12" t="s">
        <v>628</v>
      </c>
      <c r="I98" s="9"/>
      <c r="J98" s="11"/>
      <c r="K98" s="9"/>
      <c r="L98" s="9" t="s">
        <v>68</v>
      </c>
      <c r="M98" s="9" t="s">
        <v>403</v>
      </c>
      <c r="N98" s="11" t="s">
        <v>406</v>
      </c>
      <c r="O98" s="12" t="s">
        <v>409</v>
      </c>
      <c r="P98" s="13" t="n">
        <v>30</v>
      </c>
      <c r="Q98" s="13" t="n">
        <v>20</v>
      </c>
      <c r="R98" s="13" t="n">
        <v>15</v>
      </c>
      <c r="S98" s="13" t="n">
        <v>1.8</v>
      </c>
      <c r="T98" s="9" t="s">
        <v>4563</v>
      </c>
      <c r="U98" s="9"/>
      <c r="V98" s="9" t="s">
        <v>4581</v>
      </c>
      <c r="W98" s="9"/>
      <c r="X98" s="11"/>
      <c r="Y98" s="9"/>
    </row>
    <row r="99" customFormat="false" ht="15" hidden="false" customHeight="false" outlineLevel="0" collapsed="false">
      <c r="A99" s="9" t="s">
        <v>527</v>
      </c>
      <c r="B99" s="9" t="s">
        <v>518</v>
      </c>
      <c r="C99" s="11" t="s">
        <v>521</v>
      </c>
      <c r="D99" s="12" t="s">
        <v>524</v>
      </c>
      <c r="E99" s="9" t="s">
        <v>634</v>
      </c>
      <c r="F99" s="9" t="s">
        <v>631</v>
      </c>
      <c r="G99" s="11" t="s">
        <v>632</v>
      </c>
      <c r="H99" s="12" t="s">
        <v>633</v>
      </c>
      <c r="I99" s="9"/>
      <c r="J99" s="11"/>
      <c r="K99" s="9"/>
      <c r="L99" s="9" t="s">
        <v>68</v>
      </c>
      <c r="M99" s="9" t="s">
        <v>403</v>
      </c>
      <c r="N99" s="11" t="s">
        <v>406</v>
      </c>
      <c r="O99" s="12" t="s">
        <v>409</v>
      </c>
      <c r="P99" s="13" t="n">
        <v>15</v>
      </c>
      <c r="Q99" s="13" t="n">
        <v>10</v>
      </c>
      <c r="R99" s="13" t="n">
        <v>8</v>
      </c>
      <c r="S99" s="13" t="n">
        <v>0.3</v>
      </c>
      <c r="T99" s="9" t="s">
        <v>4563</v>
      </c>
      <c r="U99" s="9"/>
      <c r="V99" s="9" t="s">
        <v>4571</v>
      </c>
      <c r="W99" s="9"/>
      <c r="X99" s="11"/>
      <c r="Y99" s="9"/>
    </row>
    <row r="100" customFormat="false" ht="15" hidden="false" customHeight="false" outlineLevel="0" collapsed="false">
      <c r="A100" s="9" t="s">
        <v>642</v>
      </c>
      <c r="B100" s="9" t="s">
        <v>636</v>
      </c>
      <c r="C100" s="11" t="s">
        <v>638</v>
      </c>
      <c r="D100" s="12" t="s">
        <v>640</v>
      </c>
      <c r="E100" s="9" t="s">
        <v>643</v>
      </c>
      <c r="F100" s="9" t="s">
        <v>637</v>
      </c>
      <c r="G100" s="11" t="s">
        <v>639</v>
      </c>
      <c r="H100" s="12" t="s">
        <v>641</v>
      </c>
      <c r="I100" s="9"/>
      <c r="J100" s="11"/>
      <c r="K100" s="9"/>
      <c r="L100" s="9" t="s">
        <v>68</v>
      </c>
      <c r="M100" s="9" t="s">
        <v>369</v>
      </c>
      <c r="N100" s="11" t="s">
        <v>371</v>
      </c>
      <c r="O100" s="12" t="s">
        <v>373</v>
      </c>
      <c r="P100" s="13" t="n">
        <v>50</v>
      </c>
      <c r="Q100" s="13" t="n">
        <v>30</v>
      </c>
      <c r="R100" s="13" t="n">
        <v>20</v>
      </c>
      <c r="S100" s="13" t="n">
        <v>5</v>
      </c>
      <c r="T100" s="9" t="s">
        <v>4563</v>
      </c>
      <c r="U100" s="9"/>
      <c r="V100" s="9" t="s">
        <v>4589</v>
      </c>
      <c r="W100" s="9"/>
      <c r="X100" s="11"/>
      <c r="Y100" s="9"/>
    </row>
    <row r="101" customFormat="false" ht="15" hidden="false" customHeight="false" outlineLevel="0" collapsed="false">
      <c r="A101" s="9" t="s">
        <v>642</v>
      </c>
      <c r="B101" s="9" t="s">
        <v>636</v>
      </c>
      <c r="C101" s="11" t="s">
        <v>638</v>
      </c>
      <c r="D101" s="12" t="s">
        <v>640</v>
      </c>
      <c r="E101" s="9" t="s">
        <v>648</v>
      </c>
      <c r="F101" s="9" t="s">
        <v>645</v>
      </c>
      <c r="G101" s="11" t="s">
        <v>646</v>
      </c>
      <c r="H101" s="12" t="s">
        <v>647</v>
      </c>
      <c r="I101" s="9"/>
      <c r="J101" s="11"/>
      <c r="K101" s="9"/>
      <c r="L101" s="9" t="s">
        <v>68</v>
      </c>
      <c r="M101" s="9" t="s">
        <v>369</v>
      </c>
      <c r="N101" s="11" t="s">
        <v>371</v>
      </c>
      <c r="O101" s="12" t="s">
        <v>373</v>
      </c>
      <c r="P101" s="13" t="n">
        <v>15</v>
      </c>
      <c r="Q101" s="13" t="n">
        <v>10</v>
      </c>
      <c r="R101" s="13" t="n">
        <v>8</v>
      </c>
      <c r="S101" s="13" t="n">
        <v>0.3</v>
      </c>
      <c r="T101" s="9" t="s">
        <v>4563</v>
      </c>
      <c r="U101" s="9"/>
      <c r="V101" s="9" t="s">
        <v>4571</v>
      </c>
      <c r="W101" s="9"/>
      <c r="X101" s="11"/>
      <c r="Y101" s="9"/>
    </row>
    <row r="102" customFormat="false" ht="15" hidden="false" customHeight="false" outlineLevel="0" collapsed="false">
      <c r="A102" s="9" t="s">
        <v>642</v>
      </c>
      <c r="B102" s="9" t="s">
        <v>636</v>
      </c>
      <c r="C102" s="11" t="s">
        <v>638</v>
      </c>
      <c r="D102" s="12" t="s">
        <v>640</v>
      </c>
      <c r="E102" s="9" t="s">
        <v>656</v>
      </c>
      <c r="F102" s="9" t="s">
        <v>650</v>
      </c>
      <c r="G102" s="11" t="s">
        <v>652</v>
      </c>
      <c r="H102" s="12" t="s">
        <v>654</v>
      </c>
      <c r="I102" s="9"/>
      <c r="J102" s="11"/>
      <c r="K102" s="9"/>
      <c r="L102" s="9" t="s">
        <v>68</v>
      </c>
      <c r="M102" s="9" t="s">
        <v>651</v>
      </c>
      <c r="N102" s="11" t="s">
        <v>653</v>
      </c>
      <c r="O102" s="12" t="s">
        <v>655</v>
      </c>
      <c r="P102" s="13" t="n">
        <v>60</v>
      </c>
      <c r="Q102" s="13" t="n">
        <v>20</v>
      </c>
      <c r="R102" s="13" t="n">
        <v>20</v>
      </c>
      <c r="S102" s="13" t="n">
        <v>5</v>
      </c>
      <c r="T102" s="9" t="s">
        <v>4563</v>
      </c>
      <c r="U102" s="9"/>
      <c r="V102" s="9" t="s">
        <v>4565</v>
      </c>
      <c r="W102" s="9"/>
      <c r="X102" s="11" t="s">
        <v>4607</v>
      </c>
      <c r="Y102" s="9"/>
    </row>
    <row r="103" customFormat="false" ht="15" hidden="false" customHeight="false" outlineLevel="0" collapsed="false">
      <c r="A103" s="9" t="s">
        <v>642</v>
      </c>
      <c r="B103" s="9" t="s">
        <v>636</v>
      </c>
      <c r="C103" s="11" t="s">
        <v>638</v>
      </c>
      <c r="D103" s="12" t="s">
        <v>640</v>
      </c>
      <c r="E103" s="9" t="s">
        <v>661</v>
      </c>
      <c r="F103" s="9" t="s">
        <v>658</v>
      </c>
      <c r="G103" s="11" t="s">
        <v>659</v>
      </c>
      <c r="H103" s="12" t="s">
        <v>660</v>
      </c>
      <c r="I103" s="9"/>
      <c r="J103" s="11"/>
      <c r="K103" s="9"/>
      <c r="L103" s="9" t="s">
        <v>68</v>
      </c>
      <c r="M103" s="9" t="s">
        <v>651</v>
      </c>
      <c r="N103" s="11" t="s">
        <v>653</v>
      </c>
      <c r="O103" s="12" t="s">
        <v>655</v>
      </c>
      <c r="P103" s="13" t="n">
        <v>100</v>
      </c>
      <c r="Q103" s="13" t="n">
        <v>15</v>
      </c>
      <c r="R103" s="13" t="n">
        <v>15</v>
      </c>
      <c r="S103" s="13" t="n">
        <v>6</v>
      </c>
      <c r="T103" s="9" t="s">
        <v>4563</v>
      </c>
      <c r="U103" s="9"/>
      <c r="V103" s="9" t="s">
        <v>4565</v>
      </c>
      <c r="W103" s="9"/>
      <c r="X103" s="11"/>
      <c r="Y103" s="9"/>
    </row>
    <row r="104" customFormat="false" ht="15" hidden="false" customHeight="false" outlineLevel="0" collapsed="false">
      <c r="A104" s="9" t="s">
        <v>642</v>
      </c>
      <c r="B104" s="9" t="s">
        <v>636</v>
      </c>
      <c r="C104" s="11" t="s">
        <v>638</v>
      </c>
      <c r="D104" s="12" t="s">
        <v>640</v>
      </c>
      <c r="E104" s="9" t="s">
        <v>666</v>
      </c>
      <c r="F104" s="9" t="s">
        <v>663</v>
      </c>
      <c r="G104" s="11" t="s">
        <v>664</v>
      </c>
      <c r="H104" s="12" t="s">
        <v>665</v>
      </c>
      <c r="I104" s="9"/>
      <c r="J104" s="11"/>
      <c r="K104" s="9"/>
      <c r="L104" s="9" t="s">
        <v>68</v>
      </c>
      <c r="M104" s="9" t="s">
        <v>651</v>
      </c>
      <c r="N104" s="11" t="s">
        <v>653</v>
      </c>
      <c r="O104" s="12" t="s">
        <v>655</v>
      </c>
      <c r="P104" s="13" t="n">
        <v>70</v>
      </c>
      <c r="Q104" s="13" t="n">
        <v>15</v>
      </c>
      <c r="R104" s="13" t="n">
        <v>15</v>
      </c>
      <c r="S104" s="13" t="n">
        <v>3.5</v>
      </c>
      <c r="T104" s="9" t="s">
        <v>4563</v>
      </c>
      <c r="U104" s="9"/>
      <c r="V104" s="9" t="s">
        <v>4565</v>
      </c>
      <c r="W104" s="9"/>
      <c r="X104" s="11"/>
      <c r="Y104" s="9"/>
    </row>
    <row r="105" customFormat="false" ht="15" hidden="false" customHeight="false" outlineLevel="0" collapsed="false">
      <c r="A105" s="9" t="s">
        <v>642</v>
      </c>
      <c r="B105" s="9" t="s">
        <v>636</v>
      </c>
      <c r="C105" s="11" t="s">
        <v>638</v>
      </c>
      <c r="D105" s="12" t="s">
        <v>640</v>
      </c>
      <c r="E105" s="9" t="s">
        <v>671</v>
      </c>
      <c r="F105" s="9" t="s">
        <v>668</v>
      </c>
      <c r="G105" s="11" t="s">
        <v>669</v>
      </c>
      <c r="H105" s="12" t="s">
        <v>670</v>
      </c>
      <c r="I105" s="9"/>
      <c r="J105" s="11"/>
      <c r="K105" s="9"/>
      <c r="L105" s="9" t="s">
        <v>68</v>
      </c>
      <c r="M105" s="9" t="s">
        <v>651</v>
      </c>
      <c r="N105" s="11" t="s">
        <v>653</v>
      </c>
      <c r="O105" s="12" t="s">
        <v>655</v>
      </c>
      <c r="P105" s="13" t="n">
        <v>30</v>
      </c>
      <c r="Q105" s="13" t="n">
        <v>20</v>
      </c>
      <c r="R105" s="13" t="n">
        <v>15</v>
      </c>
      <c r="S105" s="13" t="n">
        <v>1.8</v>
      </c>
      <c r="T105" s="9" t="s">
        <v>4563</v>
      </c>
      <c r="U105" s="9"/>
      <c r="V105" s="9" t="s">
        <v>4581</v>
      </c>
      <c r="W105" s="9"/>
      <c r="X105" s="11"/>
      <c r="Y105" s="9"/>
    </row>
    <row r="106" customFormat="false" ht="15" hidden="false" customHeight="false" outlineLevel="0" collapsed="false">
      <c r="A106" s="9" t="s">
        <v>642</v>
      </c>
      <c r="B106" s="9" t="s">
        <v>636</v>
      </c>
      <c r="C106" s="11" t="s">
        <v>638</v>
      </c>
      <c r="D106" s="12" t="s">
        <v>640</v>
      </c>
      <c r="E106" s="9" t="s">
        <v>676</v>
      </c>
      <c r="F106" s="9" t="s">
        <v>673</v>
      </c>
      <c r="G106" s="11" t="s">
        <v>674</v>
      </c>
      <c r="H106" s="12" t="s">
        <v>675</v>
      </c>
      <c r="I106" s="9"/>
      <c r="J106" s="11"/>
      <c r="K106" s="9"/>
      <c r="L106" s="9" t="s">
        <v>68</v>
      </c>
      <c r="M106" s="9" t="s">
        <v>651</v>
      </c>
      <c r="N106" s="11" t="s">
        <v>653</v>
      </c>
      <c r="O106" s="12" t="s">
        <v>655</v>
      </c>
      <c r="P106" s="13" t="n">
        <v>80</v>
      </c>
      <c r="Q106" s="13" t="n">
        <v>35</v>
      </c>
      <c r="R106" s="13" t="n">
        <v>25</v>
      </c>
      <c r="S106" s="13" t="n">
        <v>8</v>
      </c>
      <c r="T106" s="9" t="s">
        <v>4563</v>
      </c>
      <c r="U106" s="9"/>
      <c r="V106" s="9" t="s">
        <v>4565</v>
      </c>
      <c r="W106" s="9"/>
      <c r="X106" s="11" t="s">
        <v>4608</v>
      </c>
      <c r="Y106" s="9"/>
    </row>
    <row r="107" customFormat="false" ht="15" hidden="false" customHeight="false" outlineLevel="0" collapsed="false">
      <c r="A107" s="9" t="s">
        <v>642</v>
      </c>
      <c r="B107" s="9" t="s">
        <v>636</v>
      </c>
      <c r="C107" s="11" t="s">
        <v>638</v>
      </c>
      <c r="D107" s="12" t="s">
        <v>640</v>
      </c>
      <c r="E107" s="9" t="s">
        <v>681</v>
      </c>
      <c r="F107" s="9" t="s">
        <v>678</v>
      </c>
      <c r="G107" s="11" t="s">
        <v>679</v>
      </c>
      <c r="H107" s="12" t="s">
        <v>680</v>
      </c>
      <c r="I107" s="9"/>
      <c r="J107" s="11"/>
      <c r="K107" s="9"/>
      <c r="L107" s="9" t="s">
        <v>68</v>
      </c>
      <c r="M107" s="9" t="s">
        <v>651</v>
      </c>
      <c r="N107" s="11" t="s">
        <v>653</v>
      </c>
      <c r="O107" s="12" t="s">
        <v>655</v>
      </c>
      <c r="P107" s="13" t="n">
        <v>50</v>
      </c>
      <c r="Q107" s="13" t="n">
        <v>20</v>
      </c>
      <c r="R107" s="13" t="n">
        <v>20</v>
      </c>
      <c r="S107" s="13" t="n">
        <v>4</v>
      </c>
      <c r="T107" s="9" t="s">
        <v>4563</v>
      </c>
      <c r="U107" s="9"/>
      <c r="V107" s="9" t="s">
        <v>4565</v>
      </c>
      <c r="W107" s="9"/>
      <c r="X107" s="11"/>
      <c r="Y107" s="9"/>
    </row>
    <row r="108" customFormat="false" ht="15" hidden="false" customHeight="false" outlineLevel="0" collapsed="false">
      <c r="A108" s="9" t="s">
        <v>642</v>
      </c>
      <c r="B108" s="9" t="s">
        <v>636</v>
      </c>
      <c r="C108" s="11" t="s">
        <v>638</v>
      </c>
      <c r="D108" s="12" t="s">
        <v>640</v>
      </c>
      <c r="E108" s="9" t="s">
        <v>686</v>
      </c>
      <c r="F108" s="9" t="s">
        <v>683</v>
      </c>
      <c r="G108" s="11" t="s">
        <v>684</v>
      </c>
      <c r="H108" s="12" t="s">
        <v>685</v>
      </c>
      <c r="I108" s="9"/>
      <c r="J108" s="11"/>
      <c r="K108" s="9"/>
      <c r="L108" s="9" t="s">
        <v>68</v>
      </c>
      <c r="M108" s="9" t="s">
        <v>651</v>
      </c>
      <c r="N108" s="11" t="s">
        <v>653</v>
      </c>
      <c r="O108" s="12" t="s">
        <v>655</v>
      </c>
      <c r="P108" s="13" t="n">
        <v>10</v>
      </c>
      <c r="Q108" s="13" t="n">
        <v>8</v>
      </c>
      <c r="R108" s="13" t="n">
        <v>6</v>
      </c>
      <c r="S108" s="13" t="n">
        <v>0.1</v>
      </c>
      <c r="T108" s="9" t="s">
        <v>4563</v>
      </c>
      <c r="U108" s="9"/>
      <c r="V108" s="9" t="s">
        <v>4572</v>
      </c>
      <c r="W108" s="9"/>
      <c r="X108" s="11"/>
      <c r="Y108" s="9"/>
    </row>
    <row r="109" customFormat="false" ht="15" hidden="false" customHeight="false" outlineLevel="0" collapsed="false">
      <c r="A109" s="9" t="s">
        <v>642</v>
      </c>
      <c r="B109" s="9" t="s">
        <v>636</v>
      </c>
      <c r="C109" s="11" t="s">
        <v>638</v>
      </c>
      <c r="D109" s="12" t="s">
        <v>640</v>
      </c>
      <c r="E109" s="9" t="s">
        <v>691</v>
      </c>
      <c r="F109" s="9" t="s">
        <v>688</v>
      </c>
      <c r="G109" s="11" t="s">
        <v>689</v>
      </c>
      <c r="H109" s="12" t="s">
        <v>690</v>
      </c>
      <c r="I109" s="9"/>
      <c r="J109" s="11"/>
      <c r="K109" s="9"/>
      <c r="L109" s="9" t="s">
        <v>68</v>
      </c>
      <c r="M109" s="9" t="s">
        <v>651</v>
      </c>
      <c r="N109" s="11" t="s">
        <v>653</v>
      </c>
      <c r="O109" s="12" t="s">
        <v>655</v>
      </c>
      <c r="P109" s="13" t="n">
        <v>10</v>
      </c>
      <c r="Q109" s="13" t="n">
        <v>8</v>
      </c>
      <c r="R109" s="13" t="n">
        <v>6</v>
      </c>
      <c r="S109" s="13" t="n">
        <v>0.1</v>
      </c>
      <c r="T109" s="9" t="s">
        <v>4563</v>
      </c>
      <c r="U109" s="9"/>
      <c r="V109" s="9" t="s">
        <v>4572</v>
      </c>
      <c r="W109" s="9"/>
      <c r="X109" s="11"/>
      <c r="Y109" s="9"/>
    </row>
    <row r="110" customFormat="false" ht="15" hidden="false" customHeight="false" outlineLevel="0" collapsed="false">
      <c r="A110" s="9" t="s">
        <v>642</v>
      </c>
      <c r="B110" s="9" t="s">
        <v>636</v>
      </c>
      <c r="C110" s="11" t="s">
        <v>638</v>
      </c>
      <c r="D110" s="12" t="s">
        <v>640</v>
      </c>
      <c r="E110" s="9" t="s">
        <v>696</v>
      </c>
      <c r="F110" s="9" t="s">
        <v>693</v>
      </c>
      <c r="G110" s="11" t="s">
        <v>694</v>
      </c>
      <c r="H110" s="12" t="s">
        <v>695</v>
      </c>
      <c r="I110" s="9"/>
      <c r="J110" s="11"/>
      <c r="K110" s="9"/>
      <c r="L110" s="9" t="s">
        <v>68</v>
      </c>
      <c r="M110" s="9" t="s">
        <v>651</v>
      </c>
      <c r="N110" s="11" t="s">
        <v>653</v>
      </c>
      <c r="O110" s="12" t="s">
        <v>655</v>
      </c>
      <c r="P110" s="13" t="n">
        <v>10</v>
      </c>
      <c r="Q110" s="13" t="n">
        <v>8</v>
      </c>
      <c r="R110" s="13" t="n">
        <v>6</v>
      </c>
      <c r="S110" s="13" t="n">
        <v>0.1</v>
      </c>
      <c r="T110" s="9" t="s">
        <v>4563</v>
      </c>
      <c r="U110" s="9"/>
      <c r="V110" s="9" t="s">
        <v>4572</v>
      </c>
      <c r="W110" s="9"/>
      <c r="X110" s="11"/>
      <c r="Y110" s="9"/>
    </row>
    <row r="111" customFormat="false" ht="15" hidden="false" customHeight="false" outlineLevel="0" collapsed="false">
      <c r="A111" s="9" t="s">
        <v>642</v>
      </c>
      <c r="B111" s="9" t="s">
        <v>636</v>
      </c>
      <c r="C111" s="11" t="s">
        <v>638</v>
      </c>
      <c r="D111" s="12" t="s">
        <v>640</v>
      </c>
      <c r="E111" s="9" t="s">
        <v>701</v>
      </c>
      <c r="F111" s="9" t="s">
        <v>698</v>
      </c>
      <c r="G111" s="11" t="s">
        <v>699</v>
      </c>
      <c r="H111" s="12" t="s">
        <v>700</v>
      </c>
      <c r="I111" s="9"/>
      <c r="J111" s="11"/>
      <c r="K111" s="9"/>
      <c r="L111" s="9" t="s">
        <v>68</v>
      </c>
      <c r="M111" s="9" t="s">
        <v>237</v>
      </c>
      <c r="N111" s="11" t="s">
        <v>239</v>
      </c>
      <c r="O111" s="12" t="s">
        <v>241</v>
      </c>
      <c r="P111" s="13" t="n">
        <v>40</v>
      </c>
      <c r="Q111" s="13" t="n">
        <v>25</v>
      </c>
      <c r="R111" s="13" t="n">
        <v>15</v>
      </c>
      <c r="S111" s="13" t="n">
        <v>3</v>
      </c>
      <c r="T111" s="9" t="s">
        <v>4563</v>
      </c>
      <c r="U111" s="9"/>
      <c r="V111" s="9" t="s">
        <v>4570</v>
      </c>
      <c r="W111" s="9"/>
      <c r="X111" s="11"/>
      <c r="Y111" s="9"/>
    </row>
    <row r="112" customFormat="false" ht="15" hidden="false" customHeight="false" outlineLevel="0" collapsed="false">
      <c r="A112" s="9" t="s">
        <v>642</v>
      </c>
      <c r="B112" s="9" t="s">
        <v>636</v>
      </c>
      <c r="C112" s="11" t="s">
        <v>638</v>
      </c>
      <c r="D112" s="12" t="s">
        <v>640</v>
      </c>
      <c r="E112" s="9" t="s">
        <v>709</v>
      </c>
      <c r="F112" s="9" t="s">
        <v>703</v>
      </c>
      <c r="G112" s="11" t="s">
        <v>705</v>
      </c>
      <c r="H112" s="12" t="s">
        <v>707</v>
      </c>
      <c r="I112" s="9"/>
      <c r="J112" s="11"/>
      <c r="K112" s="9"/>
      <c r="L112" s="9" t="s">
        <v>4604</v>
      </c>
      <c r="M112" s="9" t="s">
        <v>704</v>
      </c>
      <c r="N112" s="11" t="s">
        <v>706</v>
      </c>
      <c r="O112" s="12" t="s">
        <v>708</v>
      </c>
      <c r="P112" s="13" t="n">
        <v>25</v>
      </c>
      <c r="Q112" s="13" t="n">
        <v>15</v>
      </c>
      <c r="R112" s="13" t="n">
        <v>10</v>
      </c>
      <c r="S112" s="13" t="n">
        <v>0.9</v>
      </c>
      <c r="T112" s="9" t="s">
        <v>4563</v>
      </c>
      <c r="U112" s="9"/>
      <c r="V112" s="9" t="s">
        <v>4568</v>
      </c>
      <c r="W112" s="9"/>
      <c r="X112" s="11" t="s">
        <v>4609</v>
      </c>
      <c r="Y112" s="9"/>
    </row>
    <row r="113" customFormat="false" ht="15" hidden="false" customHeight="false" outlineLevel="0" collapsed="false">
      <c r="A113" s="9" t="s">
        <v>718</v>
      </c>
      <c r="B113" s="9" t="s">
        <v>712</v>
      </c>
      <c r="C113" s="11" t="s">
        <v>714</v>
      </c>
      <c r="D113" s="12" t="s">
        <v>716</v>
      </c>
      <c r="E113" s="9" t="s">
        <v>719</v>
      </c>
      <c r="F113" s="9" t="s">
        <v>713</v>
      </c>
      <c r="G113" s="11" t="s">
        <v>715</v>
      </c>
      <c r="H113" s="12" t="s">
        <v>717</v>
      </c>
      <c r="I113" s="9"/>
      <c r="J113" s="11"/>
      <c r="K113" s="9"/>
      <c r="L113" s="9" t="s">
        <v>68</v>
      </c>
      <c r="M113" s="9" t="s">
        <v>651</v>
      </c>
      <c r="N113" s="11" t="s">
        <v>653</v>
      </c>
      <c r="O113" s="12" t="s">
        <v>655</v>
      </c>
      <c r="P113" s="13" t="n">
        <v>55</v>
      </c>
      <c r="Q113" s="13" t="n">
        <v>25</v>
      </c>
      <c r="R113" s="13" t="n">
        <v>20</v>
      </c>
      <c r="S113" s="13" t="n">
        <v>8</v>
      </c>
      <c r="T113" s="9" t="s">
        <v>4563</v>
      </c>
      <c r="U113" s="9"/>
      <c r="V113" s="9" t="s">
        <v>4565</v>
      </c>
      <c r="W113" s="9"/>
      <c r="X113" s="11" t="s">
        <v>4610</v>
      </c>
      <c r="Y113" s="9"/>
    </row>
    <row r="114" customFormat="false" ht="15" hidden="false" customHeight="false" outlineLevel="0" collapsed="false">
      <c r="A114" s="9" t="s">
        <v>718</v>
      </c>
      <c r="B114" s="9" t="s">
        <v>712</v>
      </c>
      <c r="C114" s="11" t="s">
        <v>714</v>
      </c>
      <c r="D114" s="12" t="s">
        <v>716</v>
      </c>
      <c r="E114" s="9" t="s">
        <v>724</v>
      </c>
      <c r="F114" s="9" t="s">
        <v>721</v>
      </c>
      <c r="G114" s="11" t="s">
        <v>722</v>
      </c>
      <c r="H114" s="12" t="s">
        <v>723</v>
      </c>
      <c r="I114" s="9"/>
      <c r="J114" s="11"/>
      <c r="K114" s="9"/>
      <c r="L114" s="9" t="s">
        <v>68</v>
      </c>
      <c r="M114" s="9" t="s">
        <v>651</v>
      </c>
      <c r="N114" s="11" t="s">
        <v>653</v>
      </c>
      <c r="O114" s="12" t="s">
        <v>655</v>
      </c>
      <c r="P114" s="13" t="n">
        <v>60</v>
      </c>
      <c r="Q114" s="13" t="n">
        <v>30</v>
      </c>
      <c r="R114" s="13" t="n">
        <v>30</v>
      </c>
      <c r="S114" s="13" t="n">
        <v>12</v>
      </c>
      <c r="T114" s="9" t="s">
        <v>4563</v>
      </c>
      <c r="U114" s="9"/>
      <c r="V114" s="9" t="s">
        <v>4565</v>
      </c>
      <c r="W114" s="9" t="s">
        <v>4611</v>
      </c>
      <c r="X114" s="11" t="s">
        <v>4611</v>
      </c>
      <c r="Y114" s="9" t="s">
        <v>4611</v>
      </c>
    </row>
    <row r="115" customFormat="false" ht="15" hidden="false" customHeight="false" outlineLevel="0" collapsed="false">
      <c r="A115" s="9" t="s">
        <v>718</v>
      </c>
      <c r="B115" s="9" t="s">
        <v>712</v>
      </c>
      <c r="C115" s="11" t="s">
        <v>714</v>
      </c>
      <c r="D115" s="12" t="s">
        <v>716</v>
      </c>
      <c r="E115" s="9" t="s">
        <v>729</v>
      </c>
      <c r="F115" s="9" t="s">
        <v>726</v>
      </c>
      <c r="G115" s="11" t="s">
        <v>727</v>
      </c>
      <c r="H115" s="12" t="s">
        <v>728</v>
      </c>
      <c r="I115" s="9"/>
      <c r="J115" s="11"/>
      <c r="K115" s="9"/>
      <c r="L115" s="9" t="s">
        <v>68</v>
      </c>
      <c r="M115" s="9" t="s">
        <v>651</v>
      </c>
      <c r="N115" s="11" t="s">
        <v>653</v>
      </c>
      <c r="O115" s="12" t="s">
        <v>655</v>
      </c>
      <c r="P115" s="13" t="n">
        <v>50</v>
      </c>
      <c r="Q115" s="13" t="n">
        <v>28</v>
      </c>
      <c r="R115" s="13" t="n">
        <v>28</v>
      </c>
      <c r="S115" s="13" t="n">
        <v>9</v>
      </c>
      <c r="T115" s="9" t="s">
        <v>4563</v>
      </c>
      <c r="U115" s="9"/>
      <c r="V115" s="9" t="s">
        <v>4565</v>
      </c>
      <c r="W115" s="9" t="s">
        <v>4612</v>
      </c>
      <c r="X115" s="11" t="s">
        <v>4612</v>
      </c>
      <c r="Y115" s="9" t="s">
        <v>4612</v>
      </c>
    </row>
    <row r="116" customFormat="false" ht="15" hidden="false" customHeight="false" outlineLevel="0" collapsed="false">
      <c r="A116" s="9" t="s">
        <v>718</v>
      </c>
      <c r="B116" s="9" t="s">
        <v>712</v>
      </c>
      <c r="C116" s="11" t="s">
        <v>714</v>
      </c>
      <c r="D116" s="12" t="s">
        <v>716</v>
      </c>
      <c r="E116" s="9" t="s">
        <v>734</v>
      </c>
      <c r="F116" s="9" t="s">
        <v>731</v>
      </c>
      <c r="G116" s="11" t="s">
        <v>732</v>
      </c>
      <c r="H116" s="9" t="s">
        <v>733</v>
      </c>
      <c r="I116" s="9"/>
      <c r="J116" s="11"/>
      <c r="K116" s="9"/>
      <c r="L116" s="9" t="s">
        <v>68</v>
      </c>
      <c r="M116" s="9" t="s">
        <v>651</v>
      </c>
      <c r="N116" s="11" t="s">
        <v>653</v>
      </c>
      <c r="O116" s="12" t="s">
        <v>655</v>
      </c>
      <c r="P116" s="13" t="n">
        <v>60</v>
      </c>
      <c r="Q116" s="13" t="n">
        <v>30</v>
      </c>
      <c r="R116" s="13" t="n">
        <v>30</v>
      </c>
      <c r="S116" s="13" t="n">
        <v>14</v>
      </c>
      <c r="T116" s="9" t="s">
        <v>4563</v>
      </c>
      <c r="U116" s="9"/>
      <c r="V116" s="9" t="s">
        <v>4565</v>
      </c>
      <c r="W116" s="9"/>
      <c r="X116" s="11"/>
      <c r="Y116" s="9"/>
    </row>
    <row r="117" customFormat="false" ht="15" hidden="false" customHeight="false" outlineLevel="0" collapsed="false">
      <c r="A117" s="9" t="s">
        <v>718</v>
      </c>
      <c r="B117" s="9" t="s">
        <v>712</v>
      </c>
      <c r="C117" s="11" t="s">
        <v>714</v>
      </c>
      <c r="D117" s="12" t="s">
        <v>716</v>
      </c>
      <c r="E117" s="9" t="s">
        <v>739</v>
      </c>
      <c r="F117" s="9" t="s">
        <v>736</v>
      </c>
      <c r="G117" s="11" t="s">
        <v>737</v>
      </c>
      <c r="H117" s="12" t="s">
        <v>738</v>
      </c>
      <c r="I117" s="9"/>
      <c r="J117" s="11"/>
      <c r="K117" s="9"/>
      <c r="L117" s="9" t="s">
        <v>68</v>
      </c>
      <c r="M117" s="9" t="s">
        <v>237</v>
      </c>
      <c r="N117" s="11" t="s">
        <v>239</v>
      </c>
      <c r="O117" s="12" t="s">
        <v>241</v>
      </c>
      <c r="P117" s="13" t="n">
        <v>45</v>
      </c>
      <c r="Q117" s="13" t="n">
        <v>35</v>
      </c>
      <c r="R117" s="13" t="n">
        <v>30</v>
      </c>
      <c r="S117" s="13" t="n">
        <v>5</v>
      </c>
      <c r="T117" s="9" t="s">
        <v>4563</v>
      </c>
      <c r="U117" s="9"/>
      <c r="V117" s="9" t="s">
        <v>4565</v>
      </c>
      <c r="W117" s="9"/>
      <c r="X117" s="11"/>
      <c r="Y117" s="9"/>
    </row>
    <row r="118" customFormat="false" ht="15" hidden="false" customHeight="false" outlineLevel="0" collapsed="false">
      <c r="A118" s="9" t="s">
        <v>718</v>
      </c>
      <c r="B118" s="9" t="s">
        <v>712</v>
      </c>
      <c r="C118" s="11" t="s">
        <v>714</v>
      </c>
      <c r="D118" s="12" t="s">
        <v>716</v>
      </c>
      <c r="E118" s="9" t="s">
        <v>744</v>
      </c>
      <c r="F118" s="9" t="s">
        <v>741</v>
      </c>
      <c r="G118" s="11" t="s">
        <v>742</v>
      </c>
      <c r="H118" s="12" t="s">
        <v>743</v>
      </c>
      <c r="I118" s="9"/>
      <c r="J118" s="11"/>
      <c r="K118" s="9"/>
      <c r="L118" s="9" t="s">
        <v>68</v>
      </c>
      <c r="M118" s="9" t="s">
        <v>651</v>
      </c>
      <c r="N118" s="11" t="s">
        <v>653</v>
      </c>
      <c r="O118" s="12" t="s">
        <v>655</v>
      </c>
      <c r="P118" s="13" t="n">
        <v>15</v>
      </c>
      <c r="Q118" s="13" t="n">
        <v>10</v>
      </c>
      <c r="R118" s="13" t="n">
        <v>8</v>
      </c>
      <c r="S118" s="13" t="n">
        <v>0.3</v>
      </c>
      <c r="T118" s="9" t="s">
        <v>4563</v>
      </c>
      <c r="U118" s="9"/>
      <c r="V118" s="9" t="s">
        <v>4571</v>
      </c>
      <c r="W118" s="9"/>
      <c r="X118" s="11"/>
      <c r="Y118" s="9"/>
    </row>
    <row r="119" customFormat="false" ht="15" hidden="false" customHeight="false" outlineLevel="0" collapsed="false">
      <c r="A119" s="9" t="s">
        <v>718</v>
      </c>
      <c r="B119" s="9" t="s">
        <v>712</v>
      </c>
      <c r="C119" s="11" t="s">
        <v>714</v>
      </c>
      <c r="D119" s="12" t="s">
        <v>716</v>
      </c>
      <c r="E119" s="9" t="s">
        <v>749</v>
      </c>
      <c r="F119" s="9" t="s">
        <v>746</v>
      </c>
      <c r="G119" s="11" t="s">
        <v>747</v>
      </c>
      <c r="H119" s="9" t="s">
        <v>748</v>
      </c>
      <c r="I119" s="9"/>
      <c r="J119" s="11"/>
      <c r="K119" s="9"/>
      <c r="L119" s="9" t="s">
        <v>68</v>
      </c>
      <c r="M119" s="9" t="s">
        <v>369</v>
      </c>
      <c r="N119" s="11" t="s">
        <v>371</v>
      </c>
      <c r="O119" s="12" t="s">
        <v>373</v>
      </c>
      <c r="P119" s="13" t="n">
        <v>15</v>
      </c>
      <c r="Q119" s="13" t="n">
        <v>10</v>
      </c>
      <c r="R119" s="13" t="n">
        <v>8</v>
      </c>
      <c r="S119" s="13" t="n">
        <v>0.3</v>
      </c>
      <c r="T119" s="9" t="s">
        <v>4563</v>
      </c>
      <c r="U119" s="9"/>
      <c r="V119" s="9" t="s">
        <v>4571</v>
      </c>
      <c r="W119" s="9"/>
      <c r="X119" s="11" t="s">
        <v>4613</v>
      </c>
      <c r="Y119" s="9"/>
    </row>
    <row r="120" customFormat="false" ht="15" hidden="false" customHeight="false" outlineLevel="0" collapsed="false">
      <c r="A120" s="9" t="s">
        <v>718</v>
      </c>
      <c r="B120" s="9" t="s">
        <v>712</v>
      </c>
      <c r="C120" s="11" t="s">
        <v>714</v>
      </c>
      <c r="D120" s="12" t="s">
        <v>716</v>
      </c>
      <c r="E120" s="9" t="s">
        <v>754</v>
      </c>
      <c r="F120" s="9" t="s">
        <v>751</v>
      </c>
      <c r="G120" s="11" t="s">
        <v>752</v>
      </c>
      <c r="H120" s="9" t="s">
        <v>753</v>
      </c>
      <c r="I120" s="9"/>
      <c r="J120" s="11"/>
      <c r="K120" s="9"/>
      <c r="L120" s="9" t="s">
        <v>68</v>
      </c>
      <c r="M120" s="9" t="s">
        <v>369</v>
      </c>
      <c r="N120" s="11" t="s">
        <v>371</v>
      </c>
      <c r="O120" s="12" t="s">
        <v>373</v>
      </c>
      <c r="P120" s="13" t="n">
        <v>25</v>
      </c>
      <c r="Q120" s="13" t="n">
        <v>15</v>
      </c>
      <c r="R120" s="13" t="n">
        <v>10</v>
      </c>
      <c r="S120" s="13" t="n">
        <v>0.9</v>
      </c>
      <c r="T120" s="9" t="s">
        <v>4563</v>
      </c>
      <c r="U120" s="9"/>
      <c r="V120" s="9" t="s">
        <v>4568</v>
      </c>
      <c r="W120" s="9"/>
      <c r="X120" s="11"/>
      <c r="Y120" s="9"/>
    </row>
    <row r="121" customFormat="false" ht="15" hidden="false" customHeight="false" outlineLevel="0" collapsed="false">
      <c r="A121" s="9" t="s">
        <v>718</v>
      </c>
      <c r="B121" s="9" t="s">
        <v>712</v>
      </c>
      <c r="C121" s="11" t="s">
        <v>714</v>
      </c>
      <c r="D121" s="12" t="s">
        <v>716</v>
      </c>
      <c r="E121" s="9" t="s">
        <v>759</v>
      </c>
      <c r="F121" s="9" t="s">
        <v>756</v>
      </c>
      <c r="G121" s="11" t="s">
        <v>757</v>
      </c>
      <c r="H121" s="12" t="s">
        <v>758</v>
      </c>
      <c r="I121" s="9"/>
      <c r="J121" s="11"/>
      <c r="K121" s="9"/>
      <c r="L121" s="9" t="s">
        <v>68</v>
      </c>
      <c r="M121" s="9" t="s">
        <v>369</v>
      </c>
      <c r="N121" s="11" t="s">
        <v>371</v>
      </c>
      <c r="O121" s="12" t="s">
        <v>373</v>
      </c>
      <c r="P121" s="13" t="n">
        <v>25</v>
      </c>
      <c r="Q121" s="13" t="n">
        <v>15</v>
      </c>
      <c r="R121" s="13" t="n">
        <v>10</v>
      </c>
      <c r="S121" s="13" t="n">
        <v>0.9</v>
      </c>
      <c r="T121" s="9" t="s">
        <v>4563</v>
      </c>
      <c r="U121" s="9"/>
      <c r="V121" s="9" t="s">
        <v>4568</v>
      </c>
      <c r="W121" s="9" t="s">
        <v>4614</v>
      </c>
      <c r="X121" s="11"/>
      <c r="Y121" s="9"/>
    </row>
    <row r="122" customFormat="false" ht="15" hidden="false" customHeight="false" outlineLevel="0" collapsed="false">
      <c r="A122" s="9" t="s">
        <v>767</v>
      </c>
      <c r="B122" s="9" t="s">
        <v>761</v>
      </c>
      <c r="C122" s="11" t="s">
        <v>763</v>
      </c>
      <c r="D122" s="12" t="s">
        <v>765</v>
      </c>
      <c r="E122" s="9" t="s">
        <v>768</v>
      </c>
      <c r="F122" s="9" t="s">
        <v>762</v>
      </c>
      <c r="G122" s="11" t="s">
        <v>764</v>
      </c>
      <c r="H122" s="12" t="s">
        <v>766</v>
      </c>
      <c r="I122" s="9"/>
      <c r="J122" s="11"/>
      <c r="K122" s="9"/>
      <c r="L122" s="9" t="s">
        <v>68</v>
      </c>
      <c r="M122" s="9" t="s">
        <v>496</v>
      </c>
      <c r="N122" s="11" t="s">
        <v>498</v>
      </c>
      <c r="O122" s="12" t="s">
        <v>500</v>
      </c>
      <c r="P122" s="13" t="n">
        <v>60</v>
      </c>
      <c r="Q122" s="13" t="n">
        <v>40</v>
      </c>
      <c r="R122" s="13" t="n">
        <v>8</v>
      </c>
      <c r="S122" s="13" t="n">
        <v>6</v>
      </c>
      <c r="T122" s="9" t="s">
        <v>4563</v>
      </c>
      <c r="U122" s="9"/>
      <c r="V122" s="9" t="s">
        <v>4565</v>
      </c>
      <c r="W122" s="9"/>
      <c r="X122" s="11"/>
      <c r="Y122" s="9"/>
    </row>
    <row r="123" customFormat="false" ht="15" hidden="false" customHeight="false" outlineLevel="0" collapsed="false">
      <c r="A123" s="9" t="s">
        <v>767</v>
      </c>
      <c r="B123" s="9" t="s">
        <v>761</v>
      </c>
      <c r="C123" s="11" t="s">
        <v>763</v>
      </c>
      <c r="D123" s="12" t="s">
        <v>765</v>
      </c>
      <c r="E123" s="9" t="s">
        <v>773</v>
      </c>
      <c r="F123" s="9" t="s">
        <v>770</v>
      </c>
      <c r="G123" s="11" t="s">
        <v>771</v>
      </c>
      <c r="H123" s="12" t="s">
        <v>772</v>
      </c>
      <c r="I123" s="9"/>
      <c r="J123" s="11"/>
      <c r="K123" s="9"/>
      <c r="L123" s="9" t="s">
        <v>68</v>
      </c>
      <c r="M123" s="9" t="s">
        <v>496</v>
      </c>
      <c r="N123" s="11" t="s">
        <v>498</v>
      </c>
      <c r="O123" s="12" t="s">
        <v>500</v>
      </c>
      <c r="P123" s="13" t="n">
        <v>10</v>
      </c>
      <c r="Q123" s="13" t="n">
        <v>8</v>
      </c>
      <c r="R123" s="13" t="n">
        <v>6</v>
      </c>
      <c r="S123" s="13" t="n">
        <v>0.1</v>
      </c>
      <c r="T123" s="9" t="s">
        <v>4563</v>
      </c>
      <c r="U123" s="9"/>
      <c r="V123" s="9" t="s">
        <v>4572</v>
      </c>
      <c r="W123" s="9"/>
      <c r="X123" s="11"/>
      <c r="Y123" s="9"/>
    </row>
    <row r="124" customFormat="false" ht="15" hidden="false" customHeight="false" outlineLevel="0" collapsed="false">
      <c r="A124" s="9" t="s">
        <v>767</v>
      </c>
      <c r="B124" s="9" t="s">
        <v>761</v>
      </c>
      <c r="C124" s="11" t="s">
        <v>763</v>
      </c>
      <c r="D124" s="12" t="s">
        <v>765</v>
      </c>
      <c r="E124" s="9" t="s">
        <v>778</v>
      </c>
      <c r="F124" s="9" t="s">
        <v>775</v>
      </c>
      <c r="G124" s="11" t="s">
        <v>776</v>
      </c>
      <c r="H124" s="12" t="s">
        <v>777</v>
      </c>
      <c r="I124" s="9"/>
      <c r="J124" s="11"/>
      <c r="K124" s="9"/>
      <c r="L124" s="9" t="s">
        <v>68</v>
      </c>
      <c r="M124" s="9" t="s">
        <v>496</v>
      </c>
      <c r="N124" s="11" t="s">
        <v>498</v>
      </c>
      <c r="O124" s="12" t="s">
        <v>500</v>
      </c>
      <c r="P124" s="13" t="n">
        <v>25</v>
      </c>
      <c r="Q124" s="13" t="n">
        <v>15</v>
      </c>
      <c r="R124" s="13" t="n">
        <v>10</v>
      </c>
      <c r="S124" s="13" t="n">
        <v>0.9</v>
      </c>
      <c r="T124" s="9" t="s">
        <v>4563</v>
      </c>
      <c r="U124" s="9"/>
      <c r="V124" s="9" t="s">
        <v>4568</v>
      </c>
      <c r="W124" s="9"/>
      <c r="X124" s="11"/>
      <c r="Y124" s="9"/>
    </row>
    <row r="125" customFormat="false" ht="15" hidden="false" customHeight="false" outlineLevel="0" collapsed="false">
      <c r="A125" s="9" t="s">
        <v>767</v>
      </c>
      <c r="B125" s="9" t="s">
        <v>761</v>
      </c>
      <c r="C125" s="11" t="s">
        <v>763</v>
      </c>
      <c r="D125" s="12" t="s">
        <v>765</v>
      </c>
      <c r="E125" s="9" t="s">
        <v>783</v>
      </c>
      <c r="F125" s="9" t="s">
        <v>780</v>
      </c>
      <c r="G125" s="11" t="s">
        <v>781</v>
      </c>
      <c r="H125" s="12" t="s">
        <v>782</v>
      </c>
      <c r="I125" s="9"/>
      <c r="J125" s="11"/>
      <c r="K125" s="9"/>
      <c r="L125" s="9" t="s">
        <v>68</v>
      </c>
      <c r="M125" s="9" t="s">
        <v>496</v>
      </c>
      <c r="N125" s="11" t="s">
        <v>498</v>
      </c>
      <c r="O125" s="12" t="s">
        <v>500</v>
      </c>
      <c r="P125" s="13" t="n">
        <v>25</v>
      </c>
      <c r="Q125" s="13" t="n">
        <v>15</v>
      </c>
      <c r="R125" s="13" t="n">
        <v>10</v>
      </c>
      <c r="S125" s="13" t="n">
        <v>0.9</v>
      </c>
      <c r="T125" s="9" t="s">
        <v>4563</v>
      </c>
      <c r="U125" s="9"/>
      <c r="V125" s="9" t="s">
        <v>4568</v>
      </c>
      <c r="W125" s="9"/>
      <c r="X125" s="11"/>
      <c r="Y125" s="9"/>
    </row>
    <row r="126" customFormat="false" ht="15" hidden="false" customHeight="false" outlineLevel="0" collapsed="false">
      <c r="A126" s="9" t="s">
        <v>767</v>
      </c>
      <c r="B126" s="9" t="s">
        <v>761</v>
      </c>
      <c r="C126" s="11" t="s">
        <v>763</v>
      </c>
      <c r="D126" s="12" t="s">
        <v>765</v>
      </c>
      <c r="E126" s="9" t="s">
        <v>788</v>
      </c>
      <c r="F126" s="9" t="s">
        <v>785</v>
      </c>
      <c r="G126" s="11" t="s">
        <v>786</v>
      </c>
      <c r="H126" s="12" t="s">
        <v>787</v>
      </c>
      <c r="I126" s="9"/>
      <c r="J126" s="11"/>
      <c r="K126" s="9"/>
      <c r="L126" s="9" t="s">
        <v>68</v>
      </c>
      <c r="M126" s="9" t="s">
        <v>496</v>
      </c>
      <c r="N126" s="11" t="s">
        <v>498</v>
      </c>
      <c r="O126" s="12" t="s">
        <v>500</v>
      </c>
      <c r="P126" s="13" t="n">
        <v>10</v>
      </c>
      <c r="Q126" s="13" t="n">
        <v>8</v>
      </c>
      <c r="R126" s="13" t="n">
        <v>6</v>
      </c>
      <c r="S126" s="13" t="n">
        <v>0.1</v>
      </c>
      <c r="T126" s="9" t="s">
        <v>4563</v>
      </c>
      <c r="U126" s="9"/>
      <c r="V126" s="9" t="s">
        <v>4572</v>
      </c>
      <c r="W126" s="9"/>
      <c r="X126" s="11"/>
      <c r="Y126" s="9"/>
    </row>
    <row r="127" customFormat="false" ht="15" hidden="false" customHeight="false" outlineLevel="0" collapsed="false">
      <c r="A127" s="9" t="s">
        <v>767</v>
      </c>
      <c r="B127" s="9" t="s">
        <v>761</v>
      </c>
      <c r="C127" s="11" t="s">
        <v>763</v>
      </c>
      <c r="D127" s="12" t="s">
        <v>765</v>
      </c>
      <c r="E127" s="9" t="s">
        <v>793</v>
      </c>
      <c r="F127" s="9" t="s">
        <v>790</v>
      </c>
      <c r="G127" s="11" t="s">
        <v>791</v>
      </c>
      <c r="H127" s="12" t="s">
        <v>792</v>
      </c>
      <c r="I127" s="9"/>
      <c r="J127" s="11"/>
      <c r="K127" s="9"/>
      <c r="L127" s="9" t="s">
        <v>68</v>
      </c>
      <c r="M127" s="9" t="s">
        <v>69</v>
      </c>
      <c r="N127" s="11" t="s">
        <v>73</v>
      </c>
      <c r="O127" s="12" t="s">
        <v>77</v>
      </c>
      <c r="P127" s="13" t="n">
        <v>40</v>
      </c>
      <c r="Q127" s="13" t="n">
        <v>25</v>
      </c>
      <c r="R127" s="13" t="n">
        <v>15</v>
      </c>
      <c r="S127" s="13" t="n">
        <v>3</v>
      </c>
      <c r="T127" s="9" t="s">
        <v>4615</v>
      </c>
      <c r="U127" s="9"/>
      <c r="V127" s="9" t="s">
        <v>4570</v>
      </c>
      <c r="W127" s="9"/>
      <c r="X127" s="11"/>
      <c r="Y127" s="9"/>
    </row>
    <row r="128" customFormat="false" ht="15" hidden="false" customHeight="false" outlineLevel="0" collapsed="false">
      <c r="A128" s="9" t="s">
        <v>767</v>
      </c>
      <c r="B128" s="9" t="s">
        <v>761</v>
      </c>
      <c r="C128" s="11" t="s">
        <v>763</v>
      </c>
      <c r="D128" s="12" t="s">
        <v>765</v>
      </c>
      <c r="E128" s="9" t="s">
        <v>798</v>
      </c>
      <c r="F128" s="9" t="s">
        <v>795</v>
      </c>
      <c r="G128" s="11" t="s">
        <v>796</v>
      </c>
      <c r="H128" s="12" t="s">
        <v>797</v>
      </c>
      <c r="I128" s="9"/>
      <c r="J128" s="11"/>
      <c r="K128" s="9"/>
      <c r="L128" s="9" t="s">
        <v>68</v>
      </c>
      <c r="M128" s="9" t="s">
        <v>69</v>
      </c>
      <c r="N128" s="11" t="s">
        <v>73</v>
      </c>
      <c r="O128" s="12" t="s">
        <v>77</v>
      </c>
      <c r="P128" s="13" t="n">
        <v>10</v>
      </c>
      <c r="Q128" s="13" t="n">
        <v>8</v>
      </c>
      <c r="R128" s="13" t="n">
        <v>6</v>
      </c>
      <c r="S128" s="13" t="n">
        <v>0.1</v>
      </c>
      <c r="T128" s="9" t="s">
        <v>4615</v>
      </c>
      <c r="U128" s="9"/>
      <c r="V128" s="9" t="s">
        <v>4572</v>
      </c>
      <c r="W128" s="9" t="s">
        <v>4616</v>
      </c>
      <c r="X128" s="11"/>
      <c r="Y128" s="9"/>
    </row>
    <row r="129" customFormat="false" ht="15" hidden="false" customHeight="false" outlineLevel="0" collapsed="false">
      <c r="A129" s="9" t="s">
        <v>767</v>
      </c>
      <c r="B129" s="9" t="s">
        <v>761</v>
      </c>
      <c r="C129" s="11" t="s">
        <v>763</v>
      </c>
      <c r="D129" s="12" t="s">
        <v>765</v>
      </c>
      <c r="E129" s="9" t="s">
        <v>803</v>
      </c>
      <c r="F129" s="9" t="s">
        <v>800</v>
      </c>
      <c r="G129" s="11" t="s">
        <v>801</v>
      </c>
      <c r="H129" s="12" t="s">
        <v>802</v>
      </c>
      <c r="I129" s="9"/>
      <c r="J129" s="11"/>
      <c r="K129" s="9"/>
      <c r="L129" s="9" t="s">
        <v>68</v>
      </c>
      <c r="M129" s="9" t="s">
        <v>266</v>
      </c>
      <c r="N129" s="11" t="s">
        <v>269</v>
      </c>
      <c r="O129" s="12" t="s">
        <v>272</v>
      </c>
      <c r="P129" s="13" t="n">
        <v>30</v>
      </c>
      <c r="Q129" s="13" t="n">
        <v>20</v>
      </c>
      <c r="R129" s="13" t="n">
        <v>15</v>
      </c>
      <c r="S129" s="13" t="n">
        <v>1.8</v>
      </c>
      <c r="T129" s="9" t="s">
        <v>4563</v>
      </c>
      <c r="U129" s="9"/>
      <c r="V129" s="9" t="s">
        <v>4581</v>
      </c>
      <c r="W129" s="9"/>
      <c r="X129" s="11"/>
      <c r="Y129" s="9"/>
    </row>
    <row r="130" customFormat="false" ht="15" hidden="false" customHeight="false" outlineLevel="0" collapsed="false">
      <c r="A130" s="9" t="s">
        <v>767</v>
      </c>
      <c r="B130" s="9" t="s">
        <v>761</v>
      </c>
      <c r="C130" s="11" t="s">
        <v>763</v>
      </c>
      <c r="D130" s="12" t="s">
        <v>765</v>
      </c>
      <c r="E130" s="9" t="s">
        <v>808</v>
      </c>
      <c r="F130" s="9" t="s">
        <v>805</v>
      </c>
      <c r="G130" s="11" t="s">
        <v>806</v>
      </c>
      <c r="H130" s="12" t="s">
        <v>807</v>
      </c>
      <c r="I130" s="9"/>
      <c r="J130" s="11"/>
      <c r="K130" s="9"/>
      <c r="L130" s="9" t="s">
        <v>68</v>
      </c>
      <c r="M130" s="9" t="s">
        <v>69</v>
      </c>
      <c r="N130" s="11" t="s">
        <v>73</v>
      </c>
      <c r="O130" s="12" t="s">
        <v>77</v>
      </c>
      <c r="P130" s="13" t="n">
        <v>25</v>
      </c>
      <c r="Q130" s="13" t="n">
        <v>15</v>
      </c>
      <c r="R130" s="13" t="n">
        <v>10</v>
      </c>
      <c r="S130" s="13" t="n">
        <v>0.9</v>
      </c>
      <c r="T130" s="9" t="s">
        <v>4615</v>
      </c>
      <c r="U130" s="9"/>
      <c r="V130" s="9" t="s">
        <v>4568</v>
      </c>
      <c r="W130" s="9"/>
      <c r="X130" s="11"/>
      <c r="Y130" s="9"/>
    </row>
    <row r="131" customFormat="false" ht="15" hidden="false" customHeight="false" outlineLevel="0" collapsed="false">
      <c r="A131" s="9" t="s">
        <v>767</v>
      </c>
      <c r="B131" s="9" t="s">
        <v>761</v>
      </c>
      <c r="C131" s="11" t="s">
        <v>763</v>
      </c>
      <c r="D131" s="12" t="s">
        <v>765</v>
      </c>
      <c r="E131" s="9" t="s">
        <v>813</v>
      </c>
      <c r="F131" s="9" t="s">
        <v>810</v>
      </c>
      <c r="G131" s="11" t="s">
        <v>811</v>
      </c>
      <c r="H131" s="12" t="s">
        <v>812</v>
      </c>
      <c r="I131" s="9"/>
      <c r="J131" s="11"/>
      <c r="K131" s="9"/>
      <c r="L131" s="9" t="s">
        <v>68</v>
      </c>
      <c r="M131" s="9" t="s">
        <v>266</v>
      </c>
      <c r="N131" s="11" t="s">
        <v>269</v>
      </c>
      <c r="O131" s="12" t="s">
        <v>272</v>
      </c>
      <c r="P131" s="13" t="n">
        <v>15</v>
      </c>
      <c r="Q131" s="13" t="n">
        <v>10</v>
      </c>
      <c r="R131" s="13" t="n">
        <v>8</v>
      </c>
      <c r="S131" s="13" t="n">
        <v>0.3</v>
      </c>
      <c r="T131" s="9" t="s">
        <v>4563</v>
      </c>
      <c r="U131" s="9"/>
      <c r="V131" s="9" t="s">
        <v>4571</v>
      </c>
      <c r="W131" s="9"/>
      <c r="X131" s="11"/>
      <c r="Y131" s="9"/>
    </row>
    <row r="132" customFormat="false" ht="15" hidden="false" customHeight="false" outlineLevel="0" collapsed="false">
      <c r="A132" s="9" t="s">
        <v>767</v>
      </c>
      <c r="B132" s="9" t="s">
        <v>761</v>
      </c>
      <c r="C132" s="11" t="s">
        <v>763</v>
      </c>
      <c r="D132" s="12" t="s">
        <v>765</v>
      </c>
      <c r="E132" s="9" t="s">
        <v>818</v>
      </c>
      <c r="F132" s="9" t="s">
        <v>815</v>
      </c>
      <c r="G132" s="11" t="s">
        <v>816</v>
      </c>
      <c r="H132" s="12" t="s">
        <v>817</v>
      </c>
      <c r="I132" s="9"/>
      <c r="J132" s="11"/>
      <c r="K132" s="9"/>
      <c r="L132" s="9" t="s">
        <v>68</v>
      </c>
      <c r="M132" s="9" t="s">
        <v>266</v>
      </c>
      <c r="N132" s="11" t="s">
        <v>269</v>
      </c>
      <c r="O132" s="12" t="s">
        <v>272</v>
      </c>
      <c r="P132" s="13" t="n">
        <v>25</v>
      </c>
      <c r="Q132" s="13" t="n">
        <v>15</v>
      </c>
      <c r="R132" s="13" t="n">
        <v>10</v>
      </c>
      <c r="S132" s="13" t="n">
        <v>0.9</v>
      </c>
      <c r="T132" s="9" t="s">
        <v>4563</v>
      </c>
      <c r="U132" s="9"/>
      <c r="V132" s="9" t="s">
        <v>4568</v>
      </c>
      <c r="W132" s="9"/>
      <c r="X132" s="11"/>
      <c r="Y132" s="9"/>
    </row>
    <row r="133" customFormat="false" ht="15" hidden="false" customHeight="false" outlineLevel="0" collapsed="false">
      <c r="A133" s="9" t="s">
        <v>767</v>
      </c>
      <c r="B133" s="9" t="s">
        <v>761</v>
      </c>
      <c r="C133" s="11" t="s">
        <v>763</v>
      </c>
      <c r="D133" s="12" t="s">
        <v>765</v>
      </c>
      <c r="E133" s="9" t="s">
        <v>823</v>
      </c>
      <c r="F133" s="9" t="s">
        <v>820</v>
      </c>
      <c r="G133" s="11" t="s">
        <v>821</v>
      </c>
      <c r="H133" s="12" t="s">
        <v>822</v>
      </c>
      <c r="I133" s="9"/>
      <c r="J133" s="11"/>
      <c r="K133" s="9"/>
      <c r="L133" s="9" t="s">
        <v>68</v>
      </c>
      <c r="M133" s="9" t="s">
        <v>69</v>
      </c>
      <c r="N133" s="11" t="s">
        <v>73</v>
      </c>
      <c r="O133" s="12" t="s">
        <v>77</v>
      </c>
      <c r="P133" s="13" t="n">
        <v>25</v>
      </c>
      <c r="Q133" s="13" t="n">
        <v>15</v>
      </c>
      <c r="R133" s="13" t="n">
        <v>10</v>
      </c>
      <c r="S133" s="13" t="n">
        <v>0.9</v>
      </c>
      <c r="T133" s="9" t="s">
        <v>4615</v>
      </c>
      <c r="U133" s="9"/>
      <c r="V133" s="9" t="s">
        <v>4568</v>
      </c>
      <c r="W133" s="9"/>
      <c r="X133" s="11"/>
      <c r="Y133" s="9"/>
    </row>
    <row r="134" customFormat="false" ht="15" hidden="false" customHeight="false" outlineLevel="0" collapsed="false">
      <c r="A134" s="9" t="s">
        <v>767</v>
      </c>
      <c r="B134" s="9" t="s">
        <v>761</v>
      </c>
      <c r="C134" s="11" t="s">
        <v>763</v>
      </c>
      <c r="D134" s="12" t="s">
        <v>765</v>
      </c>
      <c r="E134" s="9" t="s">
        <v>828</v>
      </c>
      <c r="F134" s="9" t="s">
        <v>825</v>
      </c>
      <c r="G134" s="11" t="s">
        <v>826</v>
      </c>
      <c r="H134" s="12" t="s">
        <v>827</v>
      </c>
      <c r="I134" s="9"/>
      <c r="J134" s="11"/>
      <c r="K134" s="9"/>
      <c r="L134" s="9" t="s">
        <v>68</v>
      </c>
      <c r="M134" s="9" t="s">
        <v>69</v>
      </c>
      <c r="N134" s="11" t="s">
        <v>73</v>
      </c>
      <c r="O134" s="12" t="s">
        <v>77</v>
      </c>
      <c r="P134" s="13" t="n">
        <v>30</v>
      </c>
      <c r="Q134" s="13" t="n">
        <v>20</v>
      </c>
      <c r="R134" s="13" t="n">
        <v>15</v>
      </c>
      <c r="S134" s="13" t="n">
        <v>1.8</v>
      </c>
      <c r="T134" s="9" t="s">
        <v>4615</v>
      </c>
      <c r="U134" s="9"/>
      <c r="V134" s="9" t="s">
        <v>4581</v>
      </c>
      <c r="W134" s="9"/>
      <c r="X134" s="11"/>
      <c r="Y134" s="9"/>
    </row>
    <row r="135" customFormat="false" ht="15" hidden="false" customHeight="false" outlineLevel="0" collapsed="false">
      <c r="A135" s="9" t="s">
        <v>767</v>
      </c>
      <c r="B135" s="9" t="s">
        <v>761</v>
      </c>
      <c r="C135" s="11" t="s">
        <v>763</v>
      </c>
      <c r="D135" s="12" t="s">
        <v>765</v>
      </c>
      <c r="E135" s="9" t="s">
        <v>836</v>
      </c>
      <c r="F135" s="9" t="s">
        <v>830</v>
      </c>
      <c r="G135" s="11" t="s">
        <v>832</v>
      </c>
      <c r="H135" s="12" t="s">
        <v>834</v>
      </c>
      <c r="I135" s="9"/>
      <c r="J135" s="11"/>
      <c r="K135" s="9"/>
      <c r="L135" s="9" t="s">
        <v>68</v>
      </c>
      <c r="M135" s="9" t="s">
        <v>831</v>
      </c>
      <c r="N135" s="11" t="s">
        <v>833</v>
      </c>
      <c r="O135" s="12" t="s">
        <v>835</v>
      </c>
      <c r="P135" s="13" t="n">
        <v>25</v>
      </c>
      <c r="Q135" s="13" t="n">
        <v>15</v>
      </c>
      <c r="R135" s="13" t="n">
        <v>10</v>
      </c>
      <c r="S135" s="13" t="n">
        <v>0.9</v>
      </c>
      <c r="T135" s="9" t="s">
        <v>4615</v>
      </c>
      <c r="U135" s="9"/>
      <c r="V135" s="9" t="s">
        <v>4568</v>
      </c>
      <c r="W135" s="9"/>
      <c r="X135" s="11"/>
      <c r="Y135" s="9"/>
    </row>
    <row r="136" customFormat="false" ht="15" hidden="false" customHeight="false" outlineLevel="0" collapsed="false">
      <c r="A136" s="9" t="s">
        <v>767</v>
      </c>
      <c r="B136" s="9" t="s">
        <v>761</v>
      </c>
      <c r="C136" s="11" t="s">
        <v>763</v>
      </c>
      <c r="D136" s="12" t="s">
        <v>765</v>
      </c>
      <c r="E136" s="9" t="s">
        <v>841</v>
      </c>
      <c r="F136" s="9" t="s">
        <v>838</v>
      </c>
      <c r="G136" s="11" t="s">
        <v>839</v>
      </c>
      <c r="H136" s="12" t="s">
        <v>840</v>
      </c>
      <c r="I136" s="9"/>
      <c r="J136" s="11"/>
      <c r="K136" s="9"/>
      <c r="L136" s="9" t="s">
        <v>68</v>
      </c>
      <c r="M136" s="9" t="s">
        <v>831</v>
      </c>
      <c r="N136" s="11" t="s">
        <v>833</v>
      </c>
      <c r="O136" s="12" t="s">
        <v>835</v>
      </c>
      <c r="P136" s="13" t="n">
        <v>15</v>
      </c>
      <c r="Q136" s="13" t="n">
        <v>10</v>
      </c>
      <c r="R136" s="13" t="n">
        <v>8</v>
      </c>
      <c r="S136" s="13" t="n">
        <v>0.3</v>
      </c>
      <c r="T136" s="9" t="s">
        <v>4615</v>
      </c>
      <c r="U136" s="9"/>
      <c r="V136" s="9" t="s">
        <v>4571</v>
      </c>
      <c r="W136" s="9"/>
      <c r="X136" s="11"/>
      <c r="Y136" s="9"/>
    </row>
    <row r="137" customFormat="false" ht="15" hidden="false" customHeight="false" outlineLevel="0" collapsed="false">
      <c r="A137" s="9" t="s">
        <v>767</v>
      </c>
      <c r="B137" s="9" t="s">
        <v>761</v>
      </c>
      <c r="C137" s="11" t="s">
        <v>763</v>
      </c>
      <c r="D137" s="12" t="s">
        <v>765</v>
      </c>
      <c r="E137" s="9" t="s">
        <v>846</v>
      </c>
      <c r="F137" s="9" t="s">
        <v>843</v>
      </c>
      <c r="G137" s="11" t="s">
        <v>844</v>
      </c>
      <c r="H137" s="12" t="s">
        <v>845</v>
      </c>
      <c r="I137" s="9"/>
      <c r="J137" s="11"/>
      <c r="K137" s="9"/>
      <c r="L137" s="9" t="s">
        <v>68</v>
      </c>
      <c r="M137" s="9" t="s">
        <v>496</v>
      </c>
      <c r="N137" s="11" t="s">
        <v>498</v>
      </c>
      <c r="O137" s="12" t="s">
        <v>500</v>
      </c>
      <c r="P137" s="13" t="n">
        <v>50</v>
      </c>
      <c r="Q137" s="13" t="n">
        <v>50</v>
      </c>
      <c r="R137" s="13" t="n">
        <v>15</v>
      </c>
      <c r="S137" s="13" t="n">
        <v>3</v>
      </c>
      <c r="T137" s="9" t="s">
        <v>4615</v>
      </c>
      <c r="U137" s="9"/>
      <c r="V137" s="9" t="s">
        <v>4565</v>
      </c>
      <c r="W137" s="9"/>
      <c r="X137" s="11"/>
      <c r="Y137" s="9"/>
    </row>
    <row r="138" customFormat="false" ht="15" hidden="false" customHeight="false" outlineLevel="0" collapsed="false">
      <c r="A138" s="9" t="s">
        <v>767</v>
      </c>
      <c r="B138" s="9" t="s">
        <v>761</v>
      </c>
      <c r="C138" s="11" t="s">
        <v>763</v>
      </c>
      <c r="D138" s="12" t="s">
        <v>765</v>
      </c>
      <c r="E138" s="9" t="s">
        <v>851</v>
      </c>
      <c r="F138" s="9" t="s">
        <v>848</v>
      </c>
      <c r="G138" s="11" t="s">
        <v>849</v>
      </c>
      <c r="H138" s="12" t="s">
        <v>850</v>
      </c>
      <c r="I138" s="9"/>
      <c r="J138" s="11"/>
      <c r="K138" s="9"/>
      <c r="L138" s="9" t="s">
        <v>68</v>
      </c>
      <c r="M138" s="9" t="s">
        <v>496</v>
      </c>
      <c r="N138" s="11" t="s">
        <v>498</v>
      </c>
      <c r="O138" s="12" t="s">
        <v>500</v>
      </c>
      <c r="P138" s="13" t="n">
        <v>55</v>
      </c>
      <c r="Q138" s="13" t="n">
        <v>45</v>
      </c>
      <c r="R138" s="13" t="n">
        <v>10</v>
      </c>
      <c r="S138" s="13" t="n">
        <v>2.5</v>
      </c>
      <c r="T138" s="9" t="s">
        <v>4615</v>
      </c>
      <c r="U138" s="9"/>
      <c r="V138" s="9" t="s">
        <v>4565</v>
      </c>
      <c r="W138" s="9"/>
      <c r="X138" s="11"/>
      <c r="Y138" s="9"/>
    </row>
    <row r="139" customFormat="false" ht="15" hidden="false" customHeight="false" outlineLevel="0" collapsed="false">
      <c r="A139" s="9" t="s">
        <v>767</v>
      </c>
      <c r="B139" s="9" t="s">
        <v>761</v>
      </c>
      <c r="C139" s="11" t="s">
        <v>763</v>
      </c>
      <c r="D139" s="12" t="s">
        <v>765</v>
      </c>
      <c r="E139" s="9" t="s">
        <v>856</v>
      </c>
      <c r="F139" s="9" t="s">
        <v>853</v>
      </c>
      <c r="G139" s="11" t="s">
        <v>854</v>
      </c>
      <c r="H139" s="12" t="s">
        <v>855</v>
      </c>
      <c r="I139" s="9"/>
      <c r="J139" s="11"/>
      <c r="K139" s="9"/>
      <c r="L139" s="9" t="s">
        <v>68</v>
      </c>
      <c r="M139" s="9" t="s">
        <v>496</v>
      </c>
      <c r="N139" s="11" t="s">
        <v>498</v>
      </c>
      <c r="O139" s="12" t="s">
        <v>500</v>
      </c>
      <c r="P139" s="13" t="n">
        <v>30</v>
      </c>
      <c r="Q139" s="13" t="n">
        <v>20</v>
      </c>
      <c r="R139" s="13" t="n">
        <v>15</v>
      </c>
      <c r="S139" s="13" t="n">
        <v>1.8</v>
      </c>
      <c r="T139" s="9" t="s">
        <v>4615</v>
      </c>
      <c r="U139" s="9"/>
      <c r="V139" s="9" t="s">
        <v>4581</v>
      </c>
      <c r="W139" s="9"/>
      <c r="X139" s="11"/>
      <c r="Y139" s="9"/>
    </row>
    <row r="140" customFormat="false" ht="15" hidden="false" customHeight="false" outlineLevel="0" collapsed="false">
      <c r="A140" s="9" t="s">
        <v>767</v>
      </c>
      <c r="B140" s="9" t="s">
        <v>761</v>
      </c>
      <c r="C140" s="11" t="s">
        <v>763</v>
      </c>
      <c r="D140" s="12" t="s">
        <v>765</v>
      </c>
      <c r="E140" s="9" t="s">
        <v>861</v>
      </c>
      <c r="F140" s="9" t="s">
        <v>858</v>
      </c>
      <c r="G140" s="11" t="s">
        <v>859</v>
      </c>
      <c r="H140" s="12" t="s">
        <v>860</v>
      </c>
      <c r="I140" s="9"/>
      <c r="J140" s="11"/>
      <c r="K140" s="9"/>
      <c r="L140" s="9" t="s">
        <v>68</v>
      </c>
      <c r="M140" s="9" t="s">
        <v>266</v>
      </c>
      <c r="N140" s="11" t="s">
        <v>269</v>
      </c>
      <c r="O140" s="12" t="s">
        <v>272</v>
      </c>
      <c r="P140" s="13" t="n">
        <v>30</v>
      </c>
      <c r="Q140" s="13" t="n">
        <v>20</v>
      </c>
      <c r="R140" s="13" t="n">
        <v>15</v>
      </c>
      <c r="S140" s="13" t="n">
        <v>1.8</v>
      </c>
      <c r="T140" s="9" t="s">
        <v>4563</v>
      </c>
      <c r="U140" s="9"/>
      <c r="V140" s="9" t="s">
        <v>4581</v>
      </c>
      <c r="W140" s="9"/>
      <c r="X140" s="11"/>
      <c r="Y140" s="9"/>
    </row>
    <row r="141" customFormat="false" ht="15" hidden="false" customHeight="false" outlineLevel="0" collapsed="false">
      <c r="A141" s="9" t="s">
        <v>767</v>
      </c>
      <c r="B141" s="9" t="s">
        <v>761</v>
      </c>
      <c r="C141" s="11" t="s">
        <v>763</v>
      </c>
      <c r="D141" s="12" t="s">
        <v>765</v>
      </c>
      <c r="E141" s="9" t="s">
        <v>866</v>
      </c>
      <c r="F141" s="9" t="s">
        <v>863</v>
      </c>
      <c r="G141" s="11" t="s">
        <v>864</v>
      </c>
      <c r="H141" s="12" t="s">
        <v>865</v>
      </c>
      <c r="I141" s="9"/>
      <c r="J141" s="11"/>
      <c r="K141" s="9"/>
      <c r="L141" s="9" t="s">
        <v>68</v>
      </c>
      <c r="M141" s="9" t="s">
        <v>496</v>
      </c>
      <c r="N141" s="11" t="s">
        <v>498</v>
      </c>
      <c r="O141" s="12" t="s">
        <v>500</v>
      </c>
      <c r="P141" s="13" t="n">
        <v>30</v>
      </c>
      <c r="Q141" s="13" t="n">
        <v>20</v>
      </c>
      <c r="R141" s="13" t="n">
        <v>15</v>
      </c>
      <c r="S141" s="13" t="n">
        <v>1.8</v>
      </c>
      <c r="T141" s="9" t="s">
        <v>4615</v>
      </c>
      <c r="U141" s="9"/>
      <c r="V141" s="9" t="s">
        <v>4581</v>
      </c>
      <c r="W141" s="9"/>
      <c r="X141" s="11"/>
      <c r="Y141" s="9"/>
    </row>
    <row r="142" customFormat="false" ht="15" hidden="false" customHeight="false" outlineLevel="0" collapsed="false">
      <c r="A142" s="9" t="s">
        <v>767</v>
      </c>
      <c r="B142" s="9" t="s">
        <v>761</v>
      </c>
      <c r="C142" s="11" t="s">
        <v>763</v>
      </c>
      <c r="D142" s="12" t="s">
        <v>765</v>
      </c>
      <c r="E142" s="9" t="s">
        <v>871</v>
      </c>
      <c r="F142" s="9" t="s">
        <v>868</v>
      </c>
      <c r="G142" s="11" t="s">
        <v>869</v>
      </c>
      <c r="H142" s="12" t="s">
        <v>870</v>
      </c>
      <c r="I142" s="9"/>
      <c r="J142" s="11"/>
      <c r="K142" s="9"/>
      <c r="L142" s="9" t="s">
        <v>68</v>
      </c>
      <c r="M142" s="9" t="s">
        <v>496</v>
      </c>
      <c r="N142" s="11" t="s">
        <v>498</v>
      </c>
      <c r="O142" s="12" t="s">
        <v>500</v>
      </c>
      <c r="P142" s="13" t="n">
        <v>15</v>
      </c>
      <c r="Q142" s="13" t="n">
        <v>10</v>
      </c>
      <c r="R142" s="13" t="n">
        <v>8</v>
      </c>
      <c r="S142" s="13" t="n">
        <v>0.3</v>
      </c>
      <c r="T142" s="9" t="s">
        <v>4615</v>
      </c>
      <c r="U142" s="9"/>
      <c r="V142" s="9" t="s">
        <v>4571</v>
      </c>
      <c r="W142" s="9" t="s">
        <v>4617</v>
      </c>
      <c r="X142" s="11"/>
      <c r="Y142" s="9"/>
    </row>
    <row r="143" customFormat="false" ht="15" hidden="false" customHeight="false" outlineLevel="0" collapsed="false">
      <c r="A143" s="9" t="s">
        <v>879</v>
      </c>
      <c r="B143" s="9" t="s">
        <v>873</v>
      </c>
      <c r="C143" s="11" t="s">
        <v>875</v>
      </c>
      <c r="D143" s="12" t="s">
        <v>877</v>
      </c>
      <c r="E143" s="9" t="s">
        <v>880</v>
      </c>
      <c r="F143" s="9" t="s">
        <v>874</v>
      </c>
      <c r="G143" s="11" t="s">
        <v>876</v>
      </c>
      <c r="H143" s="12" t="s">
        <v>878</v>
      </c>
      <c r="I143" s="9"/>
      <c r="J143" s="11"/>
      <c r="K143" s="9"/>
      <c r="L143" s="9" t="s">
        <v>68</v>
      </c>
      <c r="M143" s="9" t="s">
        <v>369</v>
      </c>
      <c r="N143" s="11" t="s">
        <v>371</v>
      </c>
      <c r="O143" s="12" t="s">
        <v>373</v>
      </c>
      <c r="P143" s="13" t="n">
        <v>15</v>
      </c>
      <c r="Q143" s="13" t="n">
        <v>10</v>
      </c>
      <c r="R143" s="13" t="n">
        <v>8</v>
      </c>
      <c r="S143" s="13" t="n">
        <v>0.3</v>
      </c>
      <c r="T143" s="9" t="s">
        <v>4563</v>
      </c>
      <c r="U143" s="9"/>
      <c r="V143" s="9" t="s">
        <v>4571</v>
      </c>
      <c r="W143" s="9"/>
      <c r="X143" s="11"/>
      <c r="Y143" s="9"/>
    </row>
    <row r="144" customFormat="false" ht="15" hidden="false" customHeight="false" outlineLevel="0" collapsed="false">
      <c r="A144" s="9" t="s">
        <v>879</v>
      </c>
      <c r="B144" s="9" t="s">
        <v>873</v>
      </c>
      <c r="C144" s="11" t="s">
        <v>875</v>
      </c>
      <c r="D144" s="12" t="s">
        <v>877</v>
      </c>
      <c r="E144" s="9" t="s">
        <v>885</v>
      </c>
      <c r="F144" s="9" t="s">
        <v>882</v>
      </c>
      <c r="G144" s="11" t="s">
        <v>883</v>
      </c>
      <c r="H144" s="12" t="s">
        <v>884</v>
      </c>
      <c r="I144" s="9"/>
      <c r="J144" s="11"/>
      <c r="K144" s="9"/>
      <c r="L144" s="9" t="s">
        <v>68</v>
      </c>
      <c r="M144" s="9" t="s">
        <v>369</v>
      </c>
      <c r="N144" s="11" t="s">
        <v>371</v>
      </c>
      <c r="O144" s="12" t="s">
        <v>373</v>
      </c>
      <c r="P144" s="13" t="n">
        <v>15</v>
      </c>
      <c r="Q144" s="13" t="n">
        <v>10</v>
      </c>
      <c r="R144" s="13" t="n">
        <v>8</v>
      </c>
      <c r="S144" s="13" t="n">
        <v>0.3</v>
      </c>
      <c r="T144" s="9" t="s">
        <v>4563</v>
      </c>
      <c r="U144" s="9"/>
      <c r="V144" s="9" t="s">
        <v>4571</v>
      </c>
      <c r="W144" s="9" t="s">
        <v>4618</v>
      </c>
      <c r="X144" s="11" t="s">
        <v>4619</v>
      </c>
      <c r="Y144" s="9"/>
    </row>
    <row r="145" customFormat="false" ht="15" hidden="false" customHeight="false" outlineLevel="0" collapsed="false">
      <c r="A145" s="9" t="s">
        <v>879</v>
      </c>
      <c r="B145" s="9" t="s">
        <v>873</v>
      </c>
      <c r="C145" s="11" t="s">
        <v>875</v>
      </c>
      <c r="D145" s="12" t="s">
        <v>877</v>
      </c>
      <c r="E145" s="9" t="s">
        <v>890</v>
      </c>
      <c r="F145" s="9" t="s">
        <v>887</v>
      </c>
      <c r="G145" s="11" t="s">
        <v>888</v>
      </c>
      <c r="H145" s="12" t="s">
        <v>889</v>
      </c>
      <c r="I145" s="9"/>
      <c r="J145" s="11"/>
      <c r="K145" s="9"/>
      <c r="L145" s="9" t="s">
        <v>68</v>
      </c>
      <c r="M145" s="9" t="s">
        <v>403</v>
      </c>
      <c r="N145" s="11" t="s">
        <v>406</v>
      </c>
      <c r="O145" s="12" t="s">
        <v>409</v>
      </c>
      <c r="P145" s="13" t="n">
        <v>30</v>
      </c>
      <c r="Q145" s="13" t="n">
        <v>20</v>
      </c>
      <c r="R145" s="13" t="n">
        <v>15</v>
      </c>
      <c r="S145" s="13" t="n">
        <v>1.8</v>
      </c>
      <c r="T145" s="9" t="s">
        <v>4563</v>
      </c>
      <c r="U145" s="9"/>
      <c r="V145" s="9" t="s">
        <v>4581</v>
      </c>
      <c r="W145" s="9"/>
      <c r="X145" s="11"/>
      <c r="Y145" s="9"/>
    </row>
    <row r="146" customFormat="false" ht="15" hidden="false" customHeight="false" outlineLevel="0" collapsed="false">
      <c r="A146" s="9" t="s">
        <v>879</v>
      </c>
      <c r="B146" s="9" t="s">
        <v>873</v>
      </c>
      <c r="C146" s="11" t="s">
        <v>875</v>
      </c>
      <c r="D146" s="12" t="s">
        <v>877</v>
      </c>
      <c r="E146" s="9" t="s">
        <v>898</v>
      </c>
      <c r="F146" s="9" t="s">
        <v>892</v>
      </c>
      <c r="G146" s="11" t="s">
        <v>894</v>
      </c>
      <c r="H146" s="12" t="s">
        <v>896</v>
      </c>
      <c r="I146" s="9"/>
      <c r="J146" s="11"/>
      <c r="K146" s="9"/>
      <c r="L146" s="9" t="s">
        <v>68</v>
      </c>
      <c r="M146" s="9" t="s">
        <v>893</v>
      </c>
      <c r="N146" s="11" t="s">
        <v>895</v>
      </c>
      <c r="O146" s="12" t="s">
        <v>897</v>
      </c>
      <c r="P146" s="13" t="n">
        <v>15</v>
      </c>
      <c r="Q146" s="13" t="n">
        <v>10</v>
      </c>
      <c r="R146" s="13" t="n">
        <v>8</v>
      </c>
      <c r="S146" s="13" t="n">
        <v>0.3</v>
      </c>
      <c r="T146" s="9" t="s">
        <v>4615</v>
      </c>
      <c r="U146" s="9"/>
      <c r="V146" s="9" t="s">
        <v>4571</v>
      </c>
      <c r="W146" s="9"/>
      <c r="X146" s="11" t="s">
        <v>4620</v>
      </c>
      <c r="Y146" s="9"/>
    </row>
    <row r="147" customFormat="false" ht="15" hidden="false" customHeight="false" outlineLevel="0" collapsed="false">
      <c r="A147" s="9" t="s">
        <v>879</v>
      </c>
      <c r="B147" s="9" t="s">
        <v>873</v>
      </c>
      <c r="C147" s="11" t="s">
        <v>875</v>
      </c>
      <c r="D147" s="12" t="s">
        <v>877</v>
      </c>
      <c r="E147" s="9" t="s">
        <v>903</v>
      </c>
      <c r="F147" s="9" t="s">
        <v>900</v>
      </c>
      <c r="G147" s="11" t="s">
        <v>901</v>
      </c>
      <c r="H147" s="12" t="s">
        <v>902</v>
      </c>
      <c r="I147" s="9"/>
      <c r="J147" s="11"/>
      <c r="K147" s="9"/>
      <c r="L147" s="9" t="s">
        <v>68</v>
      </c>
      <c r="M147" s="9" t="s">
        <v>893</v>
      </c>
      <c r="N147" s="11" t="s">
        <v>895</v>
      </c>
      <c r="O147" s="12" t="s">
        <v>897</v>
      </c>
      <c r="P147" s="13" t="n">
        <v>15</v>
      </c>
      <c r="Q147" s="13" t="n">
        <v>10</v>
      </c>
      <c r="R147" s="13" t="n">
        <v>8</v>
      </c>
      <c r="S147" s="13" t="n">
        <v>0.3</v>
      </c>
      <c r="T147" s="9" t="s">
        <v>4615</v>
      </c>
      <c r="U147" s="9"/>
      <c r="V147" s="9" t="s">
        <v>4571</v>
      </c>
      <c r="W147" s="9" t="s">
        <v>4621</v>
      </c>
      <c r="X147" s="11"/>
      <c r="Y147" s="9"/>
    </row>
    <row r="148" customFormat="false" ht="15" hidden="false" customHeight="false" outlineLevel="0" collapsed="false">
      <c r="A148" s="9" t="s">
        <v>879</v>
      </c>
      <c r="B148" s="9" t="s">
        <v>873</v>
      </c>
      <c r="C148" s="11" t="s">
        <v>875</v>
      </c>
      <c r="D148" s="12" t="s">
        <v>877</v>
      </c>
      <c r="E148" s="9" t="s">
        <v>908</v>
      </c>
      <c r="F148" s="9" t="s">
        <v>905</v>
      </c>
      <c r="G148" s="11" t="s">
        <v>906</v>
      </c>
      <c r="H148" s="12" t="s">
        <v>907</v>
      </c>
      <c r="I148" s="9"/>
      <c r="J148" s="11"/>
      <c r="K148" s="9"/>
      <c r="L148" s="9" t="s">
        <v>68</v>
      </c>
      <c r="M148" s="9" t="s">
        <v>561</v>
      </c>
      <c r="N148" s="11" t="s">
        <v>563</v>
      </c>
      <c r="O148" s="12" t="s">
        <v>565</v>
      </c>
      <c r="P148" s="13" t="n">
        <v>15</v>
      </c>
      <c r="Q148" s="13" t="n">
        <v>10</v>
      </c>
      <c r="R148" s="13" t="n">
        <v>8</v>
      </c>
      <c r="S148" s="13" t="n">
        <v>0.3</v>
      </c>
      <c r="T148" s="9" t="s">
        <v>4563</v>
      </c>
      <c r="U148" s="9"/>
      <c r="V148" s="9" t="s">
        <v>4571</v>
      </c>
      <c r="W148" s="9"/>
      <c r="X148" s="11" t="s">
        <v>4622</v>
      </c>
      <c r="Y148" s="9"/>
    </row>
    <row r="149" customFormat="false" ht="15" hidden="false" customHeight="false" outlineLevel="0" collapsed="false">
      <c r="A149" s="9" t="s">
        <v>879</v>
      </c>
      <c r="B149" s="9" t="s">
        <v>873</v>
      </c>
      <c r="C149" s="11" t="s">
        <v>875</v>
      </c>
      <c r="D149" s="12" t="s">
        <v>877</v>
      </c>
      <c r="E149" s="9" t="s">
        <v>913</v>
      </c>
      <c r="F149" s="9" t="s">
        <v>910</v>
      </c>
      <c r="G149" s="11" t="s">
        <v>911</v>
      </c>
      <c r="H149" s="12" t="s">
        <v>912</v>
      </c>
      <c r="I149" s="9"/>
      <c r="J149" s="11"/>
      <c r="K149" s="9"/>
      <c r="L149" s="9" t="s">
        <v>68</v>
      </c>
      <c r="M149" s="9" t="s">
        <v>561</v>
      </c>
      <c r="N149" s="11" t="s">
        <v>563</v>
      </c>
      <c r="O149" s="12" t="s">
        <v>565</v>
      </c>
      <c r="P149" s="13" t="n">
        <v>25</v>
      </c>
      <c r="Q149" s="13" t="n">
        <v>15</v>
      </c>
      <c r="R149" s="13" t="n">
        <v>10</v>
      </c>
      <c r="S149" s="13" t="n">
        <v>0.9</v>
      </c>
      <c r="T149" s="9" t="s">
        <v>4563</v>
      </c>
      <c r="U149" s="9"/>
      <c r="V149" s="9" t="s">
        <v>4568</v>
      </c>
      <c r="W149" s="9"/>
      <c r="X149" s="11"/>
      <c r="Y149" s="9"/>
    </row>
    <row r="150" customFormat="false" ht="15" hidden="false" customHeight="false" outlineLevel="0" collapsed="false">
      <c r="A150" s="9" t="s">
        <v>879</v>
      </c>
      <c r="B150" s="9" t="s">
        <v>873</v>
      </c>
      <c r="C150" s="11" t="s">
        <v>875</v>
      </c>
      <c r="D150" s="12" t="s">
        <v>877</v>
      </c>
      <c r="E150" s="9" t="s">
        <v>918</v>
      </c>
      <c r="F150" s="9" t="s">
        <v>915</v>
      </c>
      <c r="G150" s="11" t="s">
        <v>916</v>
      </c>
      <c r="H150" s="12" t="s">
        <v>917</v>
      </c>
      <c r="I150" s="9"/>
      <c r="J150" s="11"/>
      <c r="K150" s="9"/>
      <c r="L150" s="9" t="s">
        <v>68</v>
      </c>
      <c r="M150" s="9" t="s">
        <v>561</v>
      </c>
      <c r="N150" s="11" t="s">
        <v>563</v>
      </c>
      <c r="O150" s="12" t="s">
        <v>565</v>
      </c>
      <c r="P150" s="13" t="n">
        <v>25</v>
      </c>
      <c r="Q150" s="13" t="n">
        <v>15</v>
      </c>
      <c r="R150" s="13" t="n">
        <v>10</v>
      </c>
      <c r="S150" s="13" t="n">
        <v>0.9</v>
      </c>
      <c r="T150" s="9" t="s">
        <v>4563</v>
      </c>
      <c r="U150" s="9"/>
      <c r="V150" s="9" t="s">
        <v>4568</v>
      </c>
      <c r="W150" s="9"/>
      <c r="X150" s="11"/>
      <c r="Y150" s="9"/>
    </row>
    <row r="151" customFormat="false" ht="15" hidden="false" customHeight="false" outlineLevel="0" collapsed="false">
      <c r="A151" s="9" t="s">
        <v>879</v>
      </c>
      <c r="B151" s="9" t="s">
        <v>873</v>
      </c>
      <c r="C151" s="11" t="s">
        <v>875</v>
      </c>
      <c r="D151" s="12" t="s">
        <v>877</v>
      </c>
      <c r="E151" s="9" t="s">
        <v>923</v>
      </c>
      <c r="F151" s="9" t="s">
        <v>920</v>
      </c>
      <c r="G151" s="11" t="s">
        <v>921</v>
      </c>
      <c r="H151" s="12" t="s">
        <v>922</v>
      </c>
      <c r="I151" s="9"/>
      <c r="J151" s="11"/>
      <c r="K151" s="9"/>
      <c r="L151" s="9" t="s">
        <v>68</v>
      </c>
      <c r="M151" s="9" t="s">
        <v>520</v>
      </c>
      <c r="N151" s="11" t="s">
        <v>523</v>
      </c>
      <c r="O151" s="12" t="s">
        <v>526</v>
      </c>
      <c r="P151" s="13" t="n">
        <v>10</v>
      </c>
      <c r="Q151" s="13" t="n">
        <v>8</v>
      </c>
      <c r="R151" s="13" t="n">
        <v>6</v>
      </c>
      <c r="S151" s="13" t="n">
        <v>0.1</v>
      </c>
      <c r="T151" s="9" t="s">
        <v>4563</v>
      </c>
      <c r="U151" s="9"/>
      <c r="V151" s="9" t="s">
        <v>4572</v>
      </c>
      <c r="W151" s="9"/>
      <c r="X151" s="11"/>
      <c r="Y151" s="9"/>
    </row>
    <row r="152" customFormat="false" ht="15" hidden="false" customHeight="false" outlineLevel="0" collapsed="false">
      <c r="A152" s="9" t="s">
        <v>879</v>
      </c>
      <c r="B152" s="9" t="s">
        <v>873</v>
      </c>
      <c r="C152" s="11" t="s">
        <v>875</v>
      </c>
      <c r="D152" s="12" t="s">
        <v>877</v>
      </c>
      <c r="E152" s="9" t="s">
        <v>931</v>
      </c>
      <c r="F152" s="9" t="s">
        <v>925</v>
      </c>
      <c r="G152" s="11" t="s">
        <v>927</v>
      </c>
      <c r="H152" s="12" t="s">
        <v>929</v>
      </c>
      <c r="I152" s="9"/>
      <c r="J152" s="11"/>
      <c r="K152" s="9"/>
      <c r="L152" s="9" t="s">
        <v>68</v>
      </c>
      <c r="M152" s="9" t="s">
        <v>926</v>
      </c>
      <c r="N152" s="11" t="s">
        <v>928</v>
      </c>
      <c r="O152" s="12" t="s">
        <v>930</v>
      </c>
      <c r="P152" s="13" t="n">
        <v>25</v>
      </c>
      <c r="Q152" s="13" t="n">
        <v>15</v>
      </c>
      <c r="R152" s="13" t="n">
        <v>10</v>
      </c>
      <c r="S152" s="13" t="n">
        <v>0.9</v>
      </c>
      <c r="T152" s="9" t="s">
        <v>4563</v>
      </c>
      <c r="U152" s="9"/>
      <c r="V152" s="9" t="s">
        <v>4568</v>
      </c>
      <c r="W152" s="9"/>
      <c r="X152" s="11"/>
      <c r="Y152" s="9"/>
    </row>
    <row r="153" customFormat="false" ht="15" hidden="false" customHeight="false" outlineLevel="0" collapsed="false">
      <c r="A153" s="9" t="s">
        <v>879</v>
      </c>
      <c r="B153" s="9" t="s">
        <v>873</v>
      </c>
      <c r="C153" s="11" t="s">
        <v>875</v>
      </c>
      <c r="D153" s="12" t="s">
        <v>877</v>
      </c>
      <c r="E153" s="9" t="s">
        <v>939</v>
      </c>
      <c r="F153" s="9" t="s">
        <v>933</v>
      </c>
      <c r="G153" s="11" t="s">
        <v>935</v>
      </c>
      <c r="H153" s="12" t="s">
        <v>937</v>
      </c>
      <c r="I153" s="9"/>
      <c r="J153" s="11"/>
      <c r="K153" s="9"/>
      <c r="L153" s="9" t="s">
        <v>68</v>
      </c>
      <c r="M153" s="9" t="s">
        <v>934</v>
      </c>
      <c r="N153" s="11" t="s">
        <v>936</v>
      </c>
      <c r="O153" s="12" t="s">
        <v>938</v>
      </c>
      <c r="P153" s="13" t="n">
        <v>10</v>
      </c>
      <c r="Q153" s="13" t="n">
        <v>8</v>
      </c>
      <c r="R153" s="13" t="n">
        <v>6</v>
      </c>
      <c r="S153" s="13" t="n">
        <v>0.1</v>
      </c>
      <c r="T153" s="9" t="s">
        <v>4615</v>
      </c>
      <c r="U153" s="9"/>
      <c r="V153" s="9" t="s">
        <v>4572</v>
      </c>
      <c r="W153" s="9" t="s">
        <v>4623</v>
      </c>
      <c r="X153" s="11"/>
      <c r="Y153" s="9"/>
    </row>
    <row r="154" customFormat="false" ht="15" hidden="false" customHeight="false" outlineLevel="0" collapsed="false">
      <c r="A154" s="9" t="s">
        <v>879</v>
      </c>
      <c r="B154" s="9" t="s">
        <v>873</v>
      </c>
      <c r="C154" s="11" t="s">
        <v>875</v>
      </c>
      <c r="D154" s="12" t="s">
        <v>877</v>
      </c>
      <c r="E154" s="9" t="s">
        <v>944</v>
      </c>
      <c r="F154" s="9" t="s">
        <v>941</v>
      </c>
      <c r="G154" s="11" t="s">
        <v>942</v>
      </c>
      <c r="H154" s="12" t="s">
        <v>943</v>
      </c>
      <c r="I154" s="9"/>
      <c r="J154" s="11"/>
      <c r="K154" s="9"/>
      <c r="L154" s="9" t="s">
        <v>68</v>
      </c>
      <c r="M154" s="9" t="s">
        <v>110</v>
      </c>
      <c r="N154" s="11" t="s">
        <v>112</v>
      </c>
      <c r="O154" s="12" t="s">
        <v>114</v>
      </c>
      <c r="P154" s="13" t="n">
        <v>10</v>
      </c>
      <c r="Q154" s="13" t="n">
        <v>8</v>
      </c>
      <c r="R154" s="13" t="n">
        <v>6</v>
      </c>
      <c r="S154" s="13" t="n">
        <v>0.1</v>
      </c>
      <c r="T154" s="9" t="s">
        <v>4563</v>
      </c>
      <c r="U154" s="9"/>
      <c r="V154" s="9" t="s">
        <v>4572</v>
      </c>
      <c r="W154" s="9"/>
      <c r="X154" s="11"/>
      <c r="Y154" s="9"/>
    </row>
    <row r="155" customFormat="false" ht="15" hidden="false" customHeight="false" outlineLevel="0" collapsed="false">
      <c r="A155" s="9" t="s">
        <v>879</v>
      </c>
      <c r="B155" s="9" t="s">
        <v>873</v>
      </c>
      <c r="C155" s="11" t="s">
        <v>875</v>
      </c>
      <c r="D155" s="12" t="s">
        <v>877</v>
      </c>
      <c r="E155" s="9" t="s">
        <v>952</v>
      </c>
      <c r="F155" s="9" t="s">
        <v>946</v>
      </c>
      <c r="G155" s="11" t="s">
        <v>948</v>
      </c>
      <c r="H155" s="12" t="s">
        <v>950</v>
      </c>
      <c r="I155" s="9"/>
      <c r="J155" s="11"/>
      <c r="K155" s="9"/>
      <c r="L155" s="9" t="s">
        <v>68</v>
      </c>
      <c r="M155" s="9" t="s">
        <v>947</v>
      </c>
      <c r="N155" s="11" t="s">
        <v>949</v>
      </c>
      <c r="O155" s="12" t="s">
        <v>951</v>
      </c>
      <c r="P155" s="13" t="n">
        <v>15</v>
      </c>
      <c r="Q155" s="13" t="n">
        <v>10</v>
      </c>
      <c r="R155" s="13" t="n">
        <v>8</v>
      </c>
      <c r="S155" s="13" t="n">
        <v>0.3</v>
      </c>
      <c r="T155" s="9" t="s">
        <v>4624</v>
      </c>
      <c r="U155" s="9"/>
      <c r="V155" s="9" t="s">
        <v>4571</v>
      </c>
      <c r="W155" s="9"/>
      <c r="X155" s="11"/>
      <c r="Y155" s="9"/>
    </row>
    <row r="156" customFormat="false" ht="15" hidden="false" customHeight="false" outlineLevel="0" collapsed="false">
      <c r="A156" s="9" t="s">
        <v>963</v>
      </c>
      <c r="B156" s="9" t="s">
        <v>954</v>
      </c>
      <c r="C156" s="11" t="s">
        <v>957</v>
      </c>
      <c r="D156" s="12" t="s">
        <v>960</v>
      </c>
      <c r="E156" s="9" t="s">
        <v>964</v>
      </c>
      <c r="F156" s="9" t="s">
        <v>955</v>
      </c>
      <c r="G156" s="11" t="s">
        <v>958</v>
      </c>
      <c r="H156" s="12" t="s">
        <v>961</v>
      </c>
      <c r="I156" s="9" t="s">
        <v>4625</v>
      </c>
      <c r="J156" s="11" t="s">
        <v>4626</v>
      </c>
      <c r="K156" s="9" t="s">
        <v>4627</v>
      </c>
      <c r="L156" s="9" t="s">
        <v>68</v>
      </c>
      <c r="M156" s="9" t="s">
        <v>956</v>
      </c>
      <c r="N156" s="11" t="s">
        <v>959</v>
      </c>
      <c r="O156" s="12" t="s">
        <v>962</v>
      </c>
      <c r="P156" s="13" t="n">
        <v>10</v>
      </c>
      <c r="Q156" s="13" t="n">
        <v>8</v>
      </c>
      <c r="R156" s="13" t="n">
        <v>24</v>
      </c>
      <c r="S156" s="13" t="n">
        <v>0.95</v>
      </c>
      <c r="T156" s="9" t="s">
        <v>4563</v>
      </c>
      <c r="U156" s="9" t="s">
        <v>4628</v>
      </c>
      <c r="V156" s="9" t="s">
        <v>4565</v>
      </c>
      <c r="W156" s="9"/>
      <c r="X156" s="11"/>
      <c r="Y156" s="9"/>
    </row>
    <row r="157" customFormat="false" ht="15" hidden="false" customHeight="false" outlineLevel="0" collapsed="false">
      <c r="A157" s="9" t="s">
        <v>963</v>
      </c>
      <c r="B157" s="9" t="s">
        <v>954</v>
      </c>
      <c r="C157" s="11" t="s">
        <v>957</v>
      </c>
      <c r="D157" s="12" t="s">
        <v>960</v>
      </c>
      <c r="E157" s="9" t="s">
        <v>966</v>
      </c>
      <c r="F157" s="9" t="s">
        <v>955</v>
      </c>
      <c r="G157" s="11" t="s">
        <v>958</v>
      </c>
      <c r="H157" s="12" t="s">
        <v>961</v>
      </c>
      <c r="I157" s="9" t="s">
        <v>4629</v>
      </c>
      <c r="J157" s="11" t="s">
        <v>4630</v>
      </c>
      <c r="K157" s="9" t="s">
        <v>4631</v>
      </c>
      <c r="L157" s="9" t="s">
        <v>68</v>
      </c>
      <c r="M157" s="9" t="s">
        <v>956</v>
      </c>
      <c r="N157" s="11" t="s">
        <v>959</v>
      </c>
      <c r="O157" s="12" t="s">
        <v>962</v>
      </c>
      <c r="P157" s="13" t="n">
        <v>20</v>
      </c>
      <c r="Q157" s="13" t="n">
        <v>12</v>
      </c>
      <c r="R157" s="13" t="n">
        <v>28</v>
      </c>
      <c r="S157" s="13" t="n">
        <v>3.7</v>
      </c>
      <c r="T157" s="9" t="s">
        <v>4563</v>
      </c>
      <c r="U157" s="9" t="s">
        <v>4628</v>
      </c>
      <c r="V157" s="9" t="s">
        <v>4565</v>
      </c>
      <c r="W157" s="9"/>
      <c r="X157" s="11"/>
      <c r="Y157" s="9"/>
    </row>
    <row r="158" customFormat="false" ht="15" hidden="false" customHeight="false" outlineLevel="0" collapsed="false">
      <c r="A158" s="9" t="s">
        <v>963</v>
      </c>
      <c r="B158" s="9" t="s">
        <v>954</v>
      </c>
      <c r="C158" s="11" t="s">
        <v>957</v>
      </c>
      <c r="D158" s="12" t="s">
        <v>960</v>
      </c>
      <c r="E158" s="9" t="s">
        <v>968</v>
      </c>
      <c r="F158" s="9" t="s">
        <v>955</v>
      </c>
      <c r="G158" s="11" t="s">
        <v>958</v>
      </c>
      <c r="H158" s="12" t="s">
        <v>961</v>
      </c>
      <c r="I158" s="9" t="s">
        <v>4632</v>
      </c>
      <c r="J158" s="11" t="s">
        <v>4633</v>
      </c>
      <c r="K158" s="9" t="s">
        <v>4634</v>
      </c>
      <c r="L158" s="9" t="s">
        <v>68</v>
      </c>
      <c r="M158" s="9" t="s">
        <v>956</v>
      </c>
      <c r="N158" s="11" t="s">
        <v>959</v>
      </c>
      <c r="O158" s="12" t="s">
        <v>962</v>
      </c>
      <c r="P158" s="13" t="n">
        <v>22</v>
      </c>
      <c r="Q158" s="13" t="n">
        <v>14</v>
      </c>
      <c r="R158" s="13" t="n">
        <v>28</v>
      </c>
      <c r="S158" s="13" t="n">
        <v>4.6</v>
      </c>
      <c r="T158" s="9" t="s">
        <v>4563</v>
      </c>
      <c r="U158" s="9" t="s">
        <v>4628</v>
      </c>
      <c r="V158" s="9" t="s">
        <v>4565</v>
      </c>
      <c r="W158" s="9"/>
      <c r="X158" s="11"/>
      <c r="Y158" s="9"/>
    </row>
    <row r="159" customFormat="false" ht="15" hidden="false" customHeight="false" outlineLevel="0" collapsed="false">
      <c r="A159" s="9" t="s">
        <v>963</v>
      </c>
      <c r="B159" s="9" t="s">
        <v>954</v>
      </c>
      <c r="C159" s="11" t="s">
        <v>957</v>
      </c>
      <c r="D159" s="12" t="s">
        <v>960</v>
      </c>
      <c r="E159" s="9" t="s">
        <v>973</v>
      </c>
      <c r="F159" s="9" t="s">
        <v>970</v>
      </c>
      <c r="G159" s="11" t="s">
        <v>971</v>
      </c>
      <c r="H159" s="12" t="s">
        <v>972</v>
      </c>
      <c r="I159" s="9" t="s">
        <v>4625</v>
      </c>
      <c r="J159" s="11" t="s">
        <v>4626</v>
      </c>
      <c r="K159" s="9" t="s">
        <v>4627</v>
      </c>
      <c r="L159" s="9" t="s">
        <v>68</v>
      </c>
      <c r="M159" s="9" t="s">
        <v>956</v>
      </c>
      <c r="N159" s="11" t="s">
        <v>959</v>
      </c>
      <c r="O159" s="12" t="s">
        <v>962</v>
      </c>
      <c r="P159" s="13" t="n">
        <v>10</v>
      </c>
      <c r="Q159" s="13" t="n">
        <v>8</v>
      </c>
      <c r="R159" s="13" t="n">
        <v>24</v>
      </c>
      <c r="S159" s="13" t="n">
        <v>0.95</v>
      </c>
      <c r="T159" s="9" t="s">
        <v>4563</v>
      </c>
      <c r="U159" s="9" t="s">
        <v>4628</v>
      </c>
      <c r="V159" s="9" t="s">
        <v>4565</v>
      </c>
      <c r="W159" s="9" t="s">
        <v>4635</v>
      </c>
      <c r="X159" s="11"/>
      <c r="Y159" s="9"/>
    </row>
    <row r="160" customFormat="false" ht="15" hidden="false" customHeight="false" outlineLevel="0" collapsed="false">
      <c r="A160" s="9" t="s">
        <v>963</v>
      </c>
      <c r="B160" s="9" t="s">
        <v>954</v>
      </c>
      <c r="C160" s="11" t="s">
        <v>957</v>
      </c>
      <c r="D160" s="12" t="s">
        <v>960</v>
      </c>
      <c r="E160" s="9" t="s">
        <v>975</v>
      </c>
      <c r="F160" s="9" t="s">
        <v>970</v>
      </c>
      <c r="G160" s="11" t="s">
        <v>971</v>
      </c>
      <c r="H160" s="12" t="s">
        <v>972</v>
      </c>
      <c r="I160" s="9" t="s">
        <v>4629</v>
      </c>
      <c r="J160" s="11" t="s">
        <v>4630</v>
      </c>
      <c r="K160" s="9" t="s">
        <v>4631</v>
      </c>
      <c r="L160" s="9" t="s">
        <v>68</v>
      </c>
      <c r="M160" s="9" t="s">
        <v>956</v>
      </c>
      <c r="N160" s="11" t="s">
        <v>959</v>
      </c>
      <c r="O160" s="12" t="s">
        <v>962</v>
      </c>
      <c r="P160" s="13" t="n">
        <v>20</v>
      </c>
      <c r="Q160" s="13" t="n">
        <v>12</v>
      </c>
      <c r="R160" s="13" t="n">
        <v>28</v>
      </c>
      <c r="S160" s="13" t="n">
        <v>3.7</v>
      </c>
      <c r="T160" s="9" t="s">
        <v>4563</v>
      </c>
      <c r="U160" s="9" t="s">
        <v>4628</v>
      </c>
      <c r="V160" s="9" t="s">
        <v>4565</v>
      </c>
      <c r="W160" s="9" t="s">
        <v>4635</v>
      </c>
      <c r="X160" s="11"/>
      <c r="Y160" s="9"/>
    </row>
    <row r="161" customFormat="false" ht="15" hidden="false" customHeight="false" outlineLevel="0" collapsed="false">
      <c r="A161" s="9" t="s">
        <v>963</v>
      </c>
      <c r="B161" s="9" t="s">
        <v>954</v>
      </c>
      <c r="C161" s="11" t="s">
        <v>957</v>
      </c>
      <c r="D161" s="12" t="s">
        <v>960</v>
      </c>
      <c r="E161" s="9" t="s">
        <v>980</v>
      </c>
      <c r="F161" s="9" t="s">
        <v>977</v>
      </c>
      <c r="G161" s="11" t="s">
        <v>978</v>
      </c>
      <c r="H161" s="9" t="s">
        <v>979</v>
      </c>
      <c r="I161" s="9" t="s">
        <v>4629</v>
      </c>
      <c r="J161" s="11" t="s">
        <v>4630</v>
      </c>
      <c r="K161" s="9" t="s">
        <v>4631</v>
      </c>
      <c r="L161" s="9" t="s">
        <v>68</v>
      </c>
      <c r="M161" s="9" t="s">
        <v>956</v>
      </c>
      <c r="N161" s="11" t="s">
        <v>959</v>
      </c>
      <c r="O161" s="12" t="s">
        <v>962</v>
      </c>
      <c r="P161" s="13" t="n">
        <v>20</v>
      </c>
      <c r="Q161" s="13" t="n">
        <v>12</v>
      </c>
      <c r="R161" s="13" t="n">
        <v>28</v>
      </c>
      <c r="S161" s="13" t="n">
        <v>3.7</v>
      </c>
      <c r="T161" s="9" t="s">
        <v>4563</v>
      </c>
      <c r="U161" s="9" t="s">
        <v>4628</v>
      </c>
      <c r="V161" s="9" t="s">
        <v>4565</v>
      </c>
      <c r="W161" s="9"/>
      <c r="X161" s="11"/>
      <c r="Y161" s="9"/>
    </row>
    <row r="162" customFormat="false" ht="15" hidden="false" customHeight="false" outlineLevel="0" collapsed="false">
      <c r="A162" s="9" t="s">
        <v>963</v>
      </c>
      <c r="B162" s="9" t="s">
        <v>954</v>
      </c>
      <c r="C162" s="11" t="s">
        <v>957</v>
      </c>
      <c r="D162" s="12" t="s">
        <v>960</v>
      </c>
      <c r="E162" s="9" t="s">
        <v>985</v>
      </c>
      <c r="F162" s="9" t="s">
        <v>982</v>
      </c>
      <c r="G162" s="11" t="s">
        <v>983</v>
      </c>
      <c r="H162" s="12" t="s">
        <v>984</v>
      </c>
      <c r="I162" s="9" t="s">
        <v>4625</v>
      </c>
      <c r="J162" s="11" t="s">
        <v>4626</v>
      </c>
      <c r="K162" s="9" t="s">
        <v>4627</v>
      </c>
      <c r="L162" s="9" t="s">
        <v>68</v>
      </c>
      <c r="M162" s="9" t="s">
        <v>956</v>
      </c>
      <c r="N162" s="11" t="s">
        <v>959</v>
      </c>
      <c r="O162" s="12" t="s">
        <v>962</v>
      </c>
      <c r="P162" s="13" t="n">
        <v>10</v>
      </c>
      <c r="Q162" s="13" t="n">
        <v>8</v>
      </c>
      <c r="R162" s="13" t="n">
        <v>24</v>
      </c>
      <c r="S162" s="13" t="n">
        <v>0.95</v>
      </c>
      <c r="T162" s="9" t="s">
        <v>4563</v>
      </c>
      <c r="U162" s="9" t="s">
        <v>4628</v>
      </c>
      <c r="V162" s="9" t="s">
        <v>4565</v>
      </c>
      <c r="W162" s="9"/>
      <c r="X162" s="11"/>
      <c r="Y162" s="9"/>
    </row>
    <row r="163" customFormat="false" ht="15" hidden="false" customHeight="false" outlineLevel="0" collapsed="false">
      <c r="A163" s="9" t="s">
        <v>963</v>
      </c>
      <c r="B163" s="9" t="s">
        <v>954</v>
      </c>
      <c r="C163" s="11" t="s">
        <v>957</v>
      </c>
      <c r="D163" s="12" t="s">
        <v>960</v>
      </c>
      <c r="E163" s="9" t="s">
        <v>990</v>
      </c>
      <c r="F163" s="9" t="s">
        <v>987</v>
      </c>
      <c r="G163" s="11" t="s">
        <v>988</v>
      </c>
      <c r="H163" s="12" t="s">
        <v>989</v>
      </c>
      <c r="I163" s="9" t="s">
        <v>4625</v>
      </c>
      <c r="J163" s="11" t="s">
        <v>4626</v>
      </c>
      <c r="K163" s="9" t="s">
        <v>4627</v>
      </c>
      <c r="L163" s="9" t="s">
        <v>68</v>
      </c>
      <c r="M163" s="9" t="s">
        <v>956</v>
      </c>
      <c r="N163" s="11" t="s">
        <v>959</v>
      </c>
      <c r="O163" s="12" t="s">
        <v>962</v>
      </c>
      <c r="P163" s="13" t="n">
        <v>10</v>
      </c>
      <c r="Q163" s="13" t="n">
        <v>8</v>
      </c>
      <c r="R163" s="13" t="n">
        <v>24</v>
      </c>
      <c r="S163" s="13" t="n">
        <v>0.95</v>
      </c>
      <c r="T163" s="9" t="s">
        <v>4615</v>
      </c>
      <c r="U163" s="9" t="s">
        <v>4628</v>
      </c>
      <c r="V163" s="9" t="s">
        <v>4565</v>
      </c>
      <c r="W163" s="9" t="s">
        <v>4636</v>
      </c>
      <c r="X163" s="11"/>
      <c r="Y163" s="9"/>
    </row>
    <row r="164" customFormat="false" ht="15" hidden="false" customHeight="false" outlineLevel="0" collapsed="false">
      <c r="A164" s="9" t="s">
        <v>963</v>
      </c>
      <c r="B164" s="9" t="s">
        <v>954</v>
      </c>
      <c r="C164" s="11" t="s">
        <v>957</v>
      </c>
      <c r="D164" s="12" t="s">
        <v>960</v>
      </c>
      <c r="E164" s="9" t="s">
        <v>995</v>
      </c>
      <c r="F164" s="9" t="s">
        <v>992</v>
      </c>
      <c r="G164" s="11" t="s">
        <v>993</v>
      </c>
      <c r="H164" s="12" t="s">
        <v>994</v>
      </c>
      <c r="I164" s="9" t="s">
        <v>4625</v>
      </c>
      <c r="J164" s="11" t="s">
        <v>4626</v>
      </c>
      <c r="K164" s="9" t="s">
        <v>4627</v>
      </c>
      <c r="L164" s="9" t="s">
        <v>68</v>
      </c>
      <c r="M164" s="9" t="s">
        <v>956</v>
      </c>
      <c r="N164" s="11" t="s">
        <v>959</v>
      </c>
      <c r="O164" s="12" t="s">
        <v>962</v>
      </c>
      <c r="P164" s="13" t="n">
        <v>10</v>
      </c>
      <c r="Q164" s="13" t="n">
        <v>8</v>
      </c>
      <c r="R164" s="13" t="n">
        <v>24</v>
      </c>
      <c r="S164" s="13" t="n">
        <v>0.95</v>
      </c>
      <c r="T164" s="9" t="s">
        <v>4624</v>
      </c>
      <c r="U164" s="9" t="s">
        <v>4628</v>
      </c>
      <c r="V164" s="9" t="s">
        <v>4565</v>
      </c>
      <c r="W164" s="9" t="s">
        <v>4637</v>
      </c>
      <c r="X164" s="11"/>
      <c r="Y164" s="9"/>
    </row>
    <row r="165" customFormat="false" ht="15" hidden="false" customHeight="false" outlineLevel="0" collapsed="false">
      <c r="A165" s="9" t="s">
        <v>963</v>
      </c>
      <c r="B165" s="9" t="s">
        <v>954</v>
      </c>
      <c r="C165" s="11" t="s">
        <v>957</v>
      </c>
      <c r="D165" s="12" t="s">
        <v>960</v>
      </c>
      <c r="E165" s="9" t="s">
        <v>1000</v>
      </c>
      <c r="F165" s="9" t="s">
        <v>997</v>
      </c>
      <c r="G165" s="11" t="s">
        <v>998</v>
      </c>
      <c r="H165" s="12" t="s">
        <v>999</v>
      </c>
      <c r="I165" s="9" t="s">
        <v>4638</v>
      </c>
      <c r="J165" s="11" t="s">
        <v>4639</v>
      </c>
      <c r="K165" s="9" t="s">
        <v>4640</v>
      </c>
      <c r="L165" s="9" t="s">
        <v>68</v>
      </c>
      <c r="M165" s="9" t="s">
        <v>956</v>
      </c>
      <c r="N165" s="11" t="s">
        <v>959</v>
      </c>
      <c r="O165" s="12" t="s">
        <v>962</v>
      </c>
      <c r="P165" s="13" t="n">
        <v>8</v>
      </c>
      <c r="Q165" s="13" t="n">
        <v>8</v>
      </c>
      <c r="R165" s="13" t="n">
        <v>20</v>
      </c>
      <c r="S165" s="13" t="n">
        <v>0.55</v>
      </c>
      <c r="T165" s="9" t="s">
        <v>4615</v>
      </c>
      <c r="U165" s="9" t="s">
        <v>4628</v>
      </c>
      <c r="V165" s="9" t="s">
        <v>4565</v>
      </c>
      <c r="W165" s="9" t="s">
        <v>4641</v>
      </c>
      <c r="X165" s="11"/>
      <c r="Y165" s="9"/>
    </row>
    <row r="166" customFormat="false" ht="15" hidden="false" customHeight="false" outlineLevel="0" collapsed="false">
      <c r="A166" s="9" t="s">
        <v>963</v>
      </c>
      <c r="B166" s="9" t="s">
        <v>954</v>
      </c>
      <c r="C166" s="11" t="s">
        <v>957</v>
      </c>
      <c r="D166" s="12" t="s">
        <v>960</v>
      </c>
      <c r="E166" s="9" t="s">
        <v>1005</v>
      </c>
      <c r="F166" s="9" t="s">
        <v>1002</v>
      </c>
      <c r="G166" s="11" t="s">
        <v>1003</v>
      </c>
      <c r="H166" s="12" t="s">
        <v>1004</v>
      </c>
      <c r="I166" s="9" t="s">
        <v>4642</v>
      </c>
      <c r="J166" s="11" t="s">
        <v>4643</v>
      </c>
      <c r="K166" s="12" t="s">
        <v>4644</v>
      </c>
      <c r="L166" s="9" t="s">
        <v>68</v>
      </c>
      <c r="M166" s="9" t="s">
        <v>956</v>
      </c>
      <c r="N166" s="11" t="s">
        <v>959</v>
      </c>
      <c r="O166" s="12" t="s">
        <v>962</v>
      </c>
      <c r="P166" s="13" t="n">
        <v>20</v>
      </c>
      <c r="Q166" s="13" t="n">
        <v>12</v>
      </c>
      <c r="R166" s="13" t="n">
        <v>28</v>
      </c>
      <c r="S166" s="13" t="n">
        <v>4.2</v>
      </c>
      <c r="T166" s="9" t="s">
        <v>4615</v>
      </c>
      <c r="U166" s="9" t="s">
        <v>4628</v>
      </c>
      <c r="V166" s="9" t="s">
        <v>4565</v>
      </c>
      <c r="W166" s="9" t="s">
        <v>4645</v>
      </c>
      <c r="X166" s="11"/>
      <c r="Y166" s="9"/>
    </row>
    <row r="167" customFormat="false" ht="15" hidden="false" customHeight="false" outlineLevel="0" collapsed="false">
      <c r="A167" s="9" t="s">
        <v>963</v>
      </c>
      <c r="B167" s="9" t="s">
        <v>954</v>
      </c>
      <c r="C167" s="11" t="s">
        <v>957</v>
      </c>
      <c r="D167" s="12" t="s">
        <v>960</v>
      </c>
      <c r="E167" s="9" t="s">
        <v>1007</v>
      </c>
      <c r="F167" s="9" t="s">
        <v>1002</v>
      </c>
      <c r="G167" s="11" t="s">
        <v>1003</v>
      </c>
      <c r="H167" s="12" t="s">
        <v>1004</v>
      </c>
      <c r="I167" s="9" t="s">
        <v>4646</v>
      </c>
      <c r="J167" s="11" t="s">
        <v>4647</v>
      </c>
      <c r="K167" s="12" t="s">
        <v>4648</v>
      </c>
      <c r="L167" s="9" t="s">
        <v>68</v>
      </c>
      <c r="M167" s="9" t="s">
        <v>956</v>
      </c>
      <c r="N167" s="11" t="s">
        <v>959</v>
      </c>
      <c r="O167" s="12" t="s">
        <v>962</v>
      </c>
      <c r="P167" s="13" t="n">
        <v>10</v>
      </c>
      <c r="Q167" s="13" t="n">
        <v>8</v>
      </c>
      <c r="R167" s="13" t="n">
        <v>24</v>
      </c>
      <c r="S167" s="13" t="n">
        <v>1.1</v>
      </c>
      <c r="T167" s="9" t="s">
        <v>4615</v>
      </c>
      <c r="U167" s="9" t="s">
        <v>4628</v>
      </c>
      <c r="V167" s="9" t="s">
        <v>4565</v>
      </c>
      <c r="W167" s="9" t="s">
        <v>4649</v>
      </c>
      <c r="X167" s="11"/>
      <c r="Y167" s="9"/>
    </row>
    <row r="168" customFormat="false" ht="15" hidden="false" customHeight="false" outlineLevel="0" collapsed="false">
      <c r="A168" s="9" t="s">
        <v>963</v>
      </c>
      <c r="B168" s="9" t="s">
        <v>954</v>
      </c>
      <c r="C168" s="11" t="s">
        <v>957</v>
      </c>
      <c r="D168" s="12" t="s">
        <v>960</v>
      </c>
      <c r="E168" s="9" t="s">
        <v>1012</v>
      </c>
      <c r="F168" s="9" t="s">
        <v>1009</v>
      </c>
      <c r="G168" s="11" t="s">
        <v>1010</v>
      </c>
      <c r="H168" s="12" t="s">
        <v>1011</v>
      </c>
      <c r="I168" s="9" t="s">
        <v>4629</v>
      </c>
      <c r="J168" s="11" t="s">
        <v>4630</v>
      </c>
      <c r="K168" s="9" t="s">
        <v>4631</v>
      </c>
      <c r="L168" s="9" t="s">
        <v>68</v>
      </c>
      <c r="M168" s="9" t="s">
        <v>956</v>
      </c>
      <c r="N168" s="11" t="s">
        <v>959</v>
      </c>
      <c r="O168" s="12" t="s">
        <v>962</v>
      </c>
      <c r="P168" s="13" t="n">
        <v>20</v>
      </c>
      <c r="Q168" s="13" t="n">
        <v>12</v>
      </c>
      <c r="R168" s="13" t="n">
        <v>28</v>
      </c>
      <c r="S168" s="13" t="n">
        <v>4.2</v>
      </c>
      <c r="T168" s="9" t="s">
        <v>4624</v>
      </c>
      <c r="U168" s="9" t="s">
        <v>4628</v>
      </c>
      <c r="V168" s="9" t="s">
        <v>4565</v>
      </c>
      <c r="W168" s="9" t="s">
        <v>4650</v>
      </c>
      <c r="X168" s="11"/>
      <c r="Y168" s="9"/>
    </row>
    <row r="169" customFormat="false" ht="15" hidden="false" customHeight="false" outlineLevel="0" collapsed="false">
      <c r="A169" s="9" t="s">
        <v>963</v>
      </c>
      <c r="B169" s="9" t="s">
        <v>954</v>
      </c>
      <c r="C169" s="11" t="s">
        <v>957</v>
      </c>
      <c r="D169" s="12" t="s">
        <v>960</v>
      </c>
      <c r="E169" s="9" t="s">
        <v>1017</v>
      </c>
      <c r="F169" s="9" t="s">
        <v>1014</v>
      </c>
      <c r="G169" s="11" t="s">
        <v>1015</v>
      </c>
      <c r="H169" s="12" t="s">
        <v>1016</v>
      </c>
      <c r="I169" s="9" t="s">
        <v>4625</v>
      </c>
      <c r="J169" s="11" t="s">
        <v>4626</v>
      </c>
      <c r="K169" s="9" t="s">
        <v>4627</v>
      </c>
      <c r="L169" s="9" t="s">
        <v>68</v>
      </c>
      <c r="M169" s="9" t="s">
        <v>956</v>
      </c>
      <c r="N169" s="11" t="s">
        <v>959</v>
      </c>
      <c r="O169" s="12" t="s">
        <v>962</v>
      </c>
      <c r="P169" s="13" t="n">
        <v>10</v>
      </c>
      <c r="Q169" s="13" t="n">
        <v>8</v>
      </c>
      <c r="R169" s="13" t="n">
        <v>24</v>
      </c>
      <c r="S169" s="13" t="n">
        <v>0.95</v>
      </c>
      <c r="T169" s="9" t="s">
        <v>4615</v>
      </c>
      <c r="U169" s="9" t="s">
        <v>4628</v>
      </c>
      <c r="V169" s="9" t="s">
        <v>4565</v>
      </c>
      <c r="W169" s="9" t="s">
        <v>4651</v>
      </c>
      <c r="X169" s="11"/>
      <c r="Y169" s="9"/>
    </row>
    <row r="170" customFormat="false" ht="15" hidden="false" customHeight="false" outlineLevel="0" collapsed="false">
      <c r="A170" s="9" t="s">
        <v>963</v>
      </c>
      <c r="B170" s="9" t="s">
        <v>954</v>
      </c>
      <c r="C170" s="11" t="s">
        <v>957</v>
      </c>
      <c r="D170" s="12" t="s">
        <v>960</v>
      </c>
      <c r="E170" s="9" t="s">
        <v>1022</v>
      </c>
      <c r="F170" s="9" t="s">
        <v>1019</v>
      </c>
      <c r="G170" s="11" t="s">
        <v>1020</v>
      </c>
      <c r="H170" s="12" t="s">
        <v>1021</v>
      </c>
      <c r="I170" s="9" t="s">
        <v>4629</v>
      </c>
      <c r="J170" s="11" t="s">
        <v>4630</v>
      </c>
      <c r="K170" s="9" t="s">
        <v>4631</v>
      </c>
      <c r="L170" s="9" t="s">
        <v>68</v>
      </c>
      <c r="M170" s="9" t="s">
        <v>956</v>
      </c>
      <c r="N170" s="11" t="s">
        <v>959</v>
      </c>
      <c r="O170" s="12" t="s">
        <v>962</v>
      </c>
      <c r="P170" s="13" t="n">
        <v>20</v>
      </c>
      <c r="Q170" s="13" t="n">
        <v>12</v>
      </c>
      <c r="R170" s="13" t="n">
        <v>28</v>
      </c>
      <c r="S170" s="13" t="n">
        <v>4.1</v>
      </c>
      <c r="T170" s="9" t="s">
        <v>4615</v>
      </c>
      <c r="U170" s="9" t="s">
        <v>4628</v>
      </c>
      <c r="V170" s="9" t="s">
        <v>4565</v>
      </c>
      <c r="W170" s="9" t="s">
        <v>4652</v>
      </c>
      <c r="X170" s="11"/>
      <c r="Y170" s="9"/>
    </row>
    <row r="171" customFormat="false" ht="15" hidden="false" customHeight="false" outlineLevel="0" collapsed="false">
      <c r="A171" s="9" t="s">
        <v>963</v>
      </c>
      <c r="B171" s="9" t="s">
        <v>954</v>
      </c>
      <c r="C171" s="11" t="s">
        <v>957</v>
      </c>
      <c r="D171" s="12" t="s">
        <v>960</v>
      </c>
      <c r="E171" s="9" t="s">
        <v>1027</v>
      </c>
      <c r="F171" s="9" t="s">
        <v>1024</v>
      </c>
      <c r="G171" s="11" t="s">
        <v>1025</v>
      </c>
      <c r="H171" s="12" t="s">
        <v>1026</v>
      </c>
      <c r="I171" s="9" t="s">
        <v>4653</v>
      </c>
      <c r="J171" s="11" t="s">
        <v>4654</v>
      </c>
      <c r="K171" s="9" t="s">
        <v>4655</v>
      </c>
      <c r="L171" s="9" t="s">
        <v>68</v>
      </c>
      <c r="M171" s="9" t="s">
        <v>956</v>
      </c>
      <c r="N171" s="11" t="s">
        <v>959</v>
      </c>
      <c r="O171" s="12" t="s">
        <v>962</v>
      </c>
      <c r="P171" s="13" t="n">
        <v>20</v>
      </c>
      <c r="Q171" s="13" t="n">
        <v>15</v>
      </c>
      <c r="R171" s="13" t="n">
        <v>30</v>
      </c>
      <c r="S171" s="13" t="n">
        <v>10.5</v>
      </c>
      <c r="T171" s="9" t="s">
        <v>4563</v>
      </c>
      <c r="U171" s="9" t="s">
        <v>4628</v>
      </c>
      <c r="V171" s="9" t="s">
        <v>4565</v>
      </c>
      <c r="W171" s="9" t="s">
        <v>4656</v>
      </c>
      <c r="X171" s="11"/>
      <c r="Y171" s="9"/>
    </row>
    <row r="172" customFormat="false" ht="15" hidden="false" customHeight="false" outlineLevel="0" collapsed="false">
      <c r="A172" s="9" t="s">
        <v>1035</v>
      </c>
      <c r="B172" s="9" t="s">
        <v>1029</v>
      </c>
      <c r="C172" s="11" t="s">
        <v>1031</v>
      </c>
      <c r="D172" s="12" t="s">
        <v>1033</v>
      </c>
      <c r="E172" s="9" t="s">
        <v>1036</v>
      </c>
      <c r="F172" s="9" t="s">
        <v>1030</v>
      </c>
      <c r="G172" s="11" t="s">
        <v>1032</v>
      </c>
      <c r="H172" s="12" t="s">
        <v>1034</v>
      </c>
      <c r="I172" s="9" t="s">
        <v>4657</v>
      </c>
      <c r="J172" s="11" t="s">
        <v>4658</v>
      </c>
      <c r="K172" s="9" t="s">
        <v>4659</v>
      </c>
      <c r="L172" s="9" t="s">
        <v>68</v>
      </c>
      <c r="M172" s="9" t="s">
        <v>956</v>
      </c>
      <c r="N172" s="11" t="s">
        <v>959</v>
      </c>
      <c r="O172" s="12" t="s">
        <v>962</v>
      </c>
      <c r="P172" s="13" t="n">
        <v>8</v>
      </c>
      <c r="Q172" s="13" t="n">
        <v>8</v>
      </c>
      <c r="R172" s="13" t="n">
        <v>12</v>
      </c>
      <c r="S172" s="13" t="n">
        <v>0.45</v>
      </c>
      <c r="T172" s="9" t="s">
        <v>4615</v>
      </c>
      <c r="U172" s="9" t="s">
        <v>4628</v>
      </c>
      <c r="V172" s="9" t="s">
        <v>4565</v>
      </c>
      <c r="W172" s="9"/>
      <c r="X172" s="11"/>
      <c r="Y172" s="9"/>
    </row>
    <row r="173" customFormat="false" ht="15" hidden="false" customHeight="false" outlineLevel="0" collapsed="false">
      <c r="A173" s="9" t="s">
        <v>1035</v>
      </c>
      <c r="B173" s="9" t="s">
        <v>1029</v>
      </c>
      <c r="C173" s="11" t="s">
        <v>1031</v>
      </c>
      <c r="D173" s="12" t="s">
        <v>1033</v>
      </c>
      <c r="E173" s="9" t="s">
        <v>1041</v>
      </c>
      <c r="F173" s="9" t="s">
        <v>1038</v>
      </c>
      <c r="G173" s="11" t="s">
        <v>1039</v>
      </c>
      <c r="H173" s="12" t="s">
        <v>1040</v>
      </c>
      <c r="I173" s="9" t="s">
        <v>4657</v>
      </c>
      <c r="J173" s="11" t="s">
        <v>4658</v>
      </c>
      <c r="K173" s="9" t="s">
        <v>4659</v>
      </c>
      <c r="L173" s="9" t="s">
        <v>68</v>
      </c>
      <c r="M173" s="9" t="s">
        <v>956</v>
      </c>
      <c r="N173" s="11" t="s">
        <v>959</v>
      </c>
      <c r="O173" s="12" t="s">
        <v>962</v>
      </c>
      <c r="P173" s="13" t="n">
        <v>8</v>
      </c>
      <c r="Q173" s="13" t="n">
        <v>8</v>
      </c>
      <c r="R173" s="13" t="n">
        <v>12</v>
      </c>
      <c r="S173" s="13" t="n">
        <v>0.45</v>
      </c>
      <c r="T173" s="9" t="s">
        <v>4615</v>
      </c>
      <c r="U173" s="9" t="s">
        <v>4628</v>
      </c>
      <c r="V173" s="9" t="s">
        <v>4565</v>
      </c>
      <c r="W173" s="9" t="s">
        <v>4660</v>
      </c>
      <c r="X173" s="11"/>
      <c r="Y173" s="9"/>
    </row>
    <row r="174" customFormat="false" ht="15" hidden="false" customHeight="false" outlineLevel="0" collapsed="false">
      <c r="A174" s="9" t="s">
        <v>1035</v>
      </c>
      <c r="B174" s="9" t="s">
        <v>1029</v>
      </c>
      <c r="C174" s="11" t="s">
        <v>1031</v>
      </c>
      <c r="D174" s="12" t="s">
        <v>1033</v>
      </c>
      <c r="E174" s="9" t="s">
        <v>1046</v>
      </c>
      <c r="F174" s="9" t="s">
        <v>1043</v>
      </c>
      <c r="G174" s="11" t="s">
        <v>1044</v>
      </c>
      <c r="H174" s="12" t="s">
        <v>1045</v>
      </c>
      <c r="I174" s="9" t="s">
        <v>4661</v>
      </c>
      <c r="J174" s="11" t="s">
        <v>4662</v>
      </c>
      <c r="K174" s="9" t="s">
        <v>4663</v>
      </c>
      <c r="L174" s="9" t="s">
        <v>68</v>
      </c>
      <c r="M174" s="9" t="s">
        <v>956</v>
      </c>
      <c r="N174" s="11" t="s">
        <v>959</v>
      </c>
      <c r="O174" s="12" t="s">
        <v>962</v>
      </c>
      <c r="P174" s="13" t="n">
        <v>7</v>
      </c>
      <c r="Q174" s="13" t="n">
        <v>7</v>
      </c>
      <c r="R174" s="13" t="n">
        <v>23</v>
      </c>
      <c r="S174" s="13" t="n">
        <v>0.45</v>
      </c>
      <c r="T174" s="9" t="s">
        <v>4615</v>
      </c>
      <c r="U174" s="9" t="s">
        <v>4664</v>
      </c>
      <c r="V174" s="9" t="s">
        <v>4565</v>
      </c>
      <c r="W174" s="9" t="s">
        <v>4665</v>
      </c>
      <c r="X174" s="11"/>
      <c r="Y174" s="9"/>
    </row>
    <row r="175" customFormat="false" ht="15" hidden="false" customHeight="false" outlineLevel="0" collapsed="false">
      <c r="A175" s="9" t="s">
        <v>1035</v>
      </c>
      <c r="B175" s="9" t="s">
        <v>1029</v>
      </c>
      <c r="C175" s="11" t="s">
        <v>1031</v>
      </c>
      <c r="D175" s="12" t="s">
        <v>1033</v>
      </c>
      <c r="E175" s="9" t="s">
        <v>1051</v>
      </c>
      <c r="F175" s="9" t="s">
        <v>1048</v>
      </c>
      <c r="G175" s="11" t="s">
        <v>1049</v>
      </c>
      <c r="H175" s="12" t="s">
        <v>1050</v>
      </c>
      <c r="I175" s="9" t="s">
        <v>4666</v>
      </c>
      <c r="J175" s="11" t="s">
        <v>4667</v>
      </c>
      <c r="K175" s="9" t="s">
        <v>4668</v>
      </c>
      <c r="L175" s="9" t="s">
        <v>68</v>
      </c>
      <c r="M175" s="9" t="s">
        <v>956</v>
      </c>
      <c r="N175" s="11" t="s">
        <v>959</v>
      </c>
      <c r="O175" s="12" t="s">
        <v>962</v>
      </c>
      <c r="P175" s="13" t="n">
        <v>7</v>
      </c>
      <c r="Q175" s="13" t="n">
        <v>7</v>
      </c>
      <c r="R175" s="13" t="n">
        <v>22</v>
      </c>
      <c r="S175" s="13" t="n">
        <v>0.4</v>
      </c>
      <c r="T175" s="9" t="s">
        <v>4563</v>
      </c>
      <c r="U175" s="9" t="s">
        <v>4664</v>
      </c>
      <c r="V175" s="9" t="s">
        <v>4565</v>
      </c>
      <c r="W175" s="9" t="s">
        <v>4669</v>
      </c>
      <c r="X175" s="11"/>
      <c r="Y175" s="9"/>
    </row>
    <row r="176" customFormat="false" ht="15" hidden="false" customHeight="false" outlineLevel="0" collapsed="false">
      <c r="A176" s="9" t="s">
        <v>1035</v>
      </c>
      <c r="B176" s="9" t="s">
        <v>1029</v>
      </c>
      <c r="C176" s="11" t="s">
        <v>1031</v>
      </c>
      <c r="D176" s="12" t="s">
        <v>1033</v>
      </c>
      <c r="E176" s="9" t="s">
        <v>1056</v>
      </c>
      <c r="F176" s="9" t="s">
        <v>1053</v>
      </c>
      <c r="G176" s="11" t="s">
        <v>1054</v>
      </c>
      <c r="H176" s="12" t="s">
        <v>1055</v>
      </c>
      <c r="I176" s="9" t="s">
        <v>4670</v>
      </c>
      <c r="J176" s="11" t="s">
        <v>4671</v>
      </c>
      <c r="K176" s="9" t="s">
        <v>4672</v>
      </c>
      <c r="L176" s="9" t="s">
        <v>68</v>
      </c>
      <c r="M176" s="9" t="s">
        <v>956</v>
      </c>
      <c r="N176" s="11" t="s">
        <v>959</v>
      </c>
      <c r="O176" s="12" t="s">
        <v>962</v>
      </c>
      <c r="P176" s="13" t="n">
        <v>6</v>
      </c>
      <c r="Q176" s="13" t="n">
        <v>6</v>
      </c>
      <c r="R176" s="13" t="n">
        <v>18</v>
      </c>
      <c r="S176" s="13" t="n">
        <v>0.35</v>
      </c>
      <c r="T176" s="9" t="s">
        <v>4563</v>
      </c>
      <c r="U176" s="9" t="s">
        <v>4628</v>
      </c>
      <c r="V176" s="9" t="s">
        <v>4565</v>
      </c>
      <c r="W176" s="9" t="s">
        <v>4673</v>
      </c>
      <c r="X176" s="11"/>
      <c r="Y176" s="9"/>
    </row>
    <row r="177" customFormat="false" ht="15" hidden="false" customHeight="false" outlineLevel="0" collapsed="false">
      <c r="A177" s="9" t="s">
        <v>1035</v>
      </c>
      <c r="B177" s="9" t="s">
        <v>1029</v>
      </c>
      <c r="C177" s="11" t="s">
        <v>1031</v>
      </c>
      <c r="D177" s="12" t="s">
        <v>1033</v>
      </c>
      <c r="E177" s="9" t="s">
        <v>1061</v>
      </c>
      <c r="F177" s="9" t="s">
        <v>1058</v>
      </c>
      <c r="G177" s="11" t="s">
        <v>1059</v>
      </c>
      <c r="H177" s="12" t="s">
        <v>1060</v>
      </c>
      <c r="I177" s="9" t="s">
        <v>4670</v>
      </c>
      <c r="J177" s="11" t="s">
        <v>4671</v>
      </c>
      <c r="K177" s="9" t="s">
        <v>4672</v>
      </c>
      <c r="L177" s="9" t="s">
        <v>68</v>
      </c>
      <c r="M177" s="9" t="s">
        <v>956</v>
      </c>
      <c r="N177" s="11" t="s">
        <v>959</v>
      </c>
      <c r="O177" s="12" t="s">
        <v>962</v>
      </c>
      <c r="P177" s="13" t="n">
        <v>6</v>
      </c>
      <c r="Q177" s="13" t="n">
        <v>6</v>
      </c>
      <c r="R177" s="13" t="n">
        <v>18</v>
      </c>
      <c r="S177" s="13" t="n">
        <v>0.35</v>
      </c>
      <c r="T177" s="9" t="s">
        <v>4563</v>
      </c>
      <c r="U177" s="9" t="s">
        <v>4628</v>
      </c>
      <c r="V177" s="9" t="s">
        <v>4565</v>
      </c>
      <c r="W177" s="9"/>
      <c r="X177" s="11"/>
      <c r="Y177" s="9"/>
    </row>
    <row r="178" customFormat="false" ht="15" hidden="false" customHeight="false" outlineLevel="0" collapsed="false">
      <c r="A178" s="9" t="s">
        <v>1035</v>
      </c>
      <c r="B178" s="9" t="s">
        <v>1029</v>
      </c>
      <c r="C178" s="11" t="s">
        <v>1031</v>
      </c>
      <c r="D178" s="12" t="s">
        <v>1033</v>
      </c>
      <c r="E178" s="9" t="s">
        <v>1066</v>
      </c>
      <c r="F178" s="9" t="s">
        <v>1063</v>
      </c>
      <c r="G178" s="11" t="s">
        <v>1064</v>
      </c>
      <c r="H178" s="12" t="s">
        <v>1065</v>
      </c>
      <c r="I178" s="9" t="s">
        <v>4674</v>
      </c>
      <c r="J178" s="11" t="s">
        <v>4675</v>
      </c>
      <c r="K178" s="9" t="s">
        <v>4676</v>
      </c>
      <c r="L178" s="9" t="s">
        <v>68</v>
      </c>
      <c r="M178" s="9" t="s">
        <v>956</v>
      </c>
      <c r="N178" s="11" t="s">
        <v>959</v>
      </c>
      <c r="O178" s="12" t="s">
        <v>962</v>
      </c>
      <c r="P178" s="13" t="n">
        <v>6</v>
      </c>
      <c r="Q178" s="13" t="n">
        <v>6</v>
      </c>
      <c r="R178" s="13" t="n">
        <v>16</v>
      </c>
      <c r="S178" s="13" t="n">
        <v>0.3</v>
      </c>
      <c r="T178" s="9" t="s">
        <v>4563</v>
      </c>
      <c r="U178" s="9" t="s">
        <v>4628</v>
      </c>
      <c r="V178" s="9" t="s">
        <v>4565</v>
      </c>
      <c r="W178" s="9"/>
      <c r="X178" s="11"/>
      <c r="Y178" s="9"/>
    </row>
    <row r="179" customFormat="false" ht="15" hidden="false" customHeight="false" outlineLevel="0" collapsed="false">
      <c r="A179" s="9" t="s">
        <v>1035</v>
      </c>
      <c r="B179" s="9" t="s">
        <v>1029</v>
      </c>
      <c r="C179" s="11" t="s">
        <v>1031</v>
      </c>
      <c r="D179" s="12" t="s">
        <v>1033</v>
      </c>
      <c r="E179" s="9" t="s">
        <v>1071</v>
      </c>
      <c r="F179" s="9" t="s">
        <v>1068</v>
      </c>
      <c r="G179" s="11" t="s">
        <v>1069</v>
      </c>
      <c r="H179" s="12" t="s">
        <v>1070</v>
      </c>
      <c r="I179" s="9" t="s">
        <v>4677</v>
      </c>
      <c r="J179" s="11" t="s">
        <v>4678</v>
      </c>
      <c r="K179" s="9" t="s">
        <v>4679</v>
      </c>
      <c r="L179" s="9" t="s">
        <v>68</v>
      </c>
      <c r="M179" s="9" t="s">
        <v>956</v>
      </c>
      <c r="N179" s="11" t="s">
        <v>959</v>
      </c>
      <c r="O179" s="12" t="s">
        <v>962</v>
      </c>
      <c r="P179" s="13" t="n">
        <v>6</v>
      </c>
      <c r="Q179" s="13" t="n">
        <v>4</v>
      </c>
      <c r="R179" s="13" t="n">
        <v>3</v>
      </c>
      <c r="S179" s="13" t="n">
        <v>0.02</v>
      </c>
      <c r="T179" s="9" t="s">
        <v>4615</v>
      </c>
      <c r="U179" s="9" t="s">
        <v>4628</v>
      </c>
      <c r="V179" s="9" t="s">
        <v>4680</v>
      </c>
      <c r="W179" s="9"/>
      <c r="X179" s="11"/>
      <c r="Y179" s="9"/>
    </row>
    <row r="180" customFormat="false" ht="15" hidden="false" customHeight="false" outlineLevel="0" collapsed="false">
      <c r="A180" s="9" t="s">
        <v>1035</v>
      </c>
      <c r="B180" s="9" t="s">
        <v>1029</v>
      </c>
      <c r="C180" s="11" t="s">
        <v>1031</v>
      </c>
      <c r="D180" s="12" t="s">
        <v>1033</v>
      </c>
      <c r="E180" s="9" t="s">
        <v>1076</v>
      </c>
      <c r="F180" s="9" t="s">
        <v>1073</v>
      </c>
      <c r="G180" s="11" t="s">
        <v>1074</v>
      </c>
      <c r="H180" s="12" t="s">
        <v>1075</v>
      </c>
      <c r="I180" s="9" t="s">
        <v>4681</v>
      </c>
      <c r="J180" s="11" t="s">
        <v>4682</v>
      </c>
      <c r="K180" s="9" t="s">
        <v>4683</v>
      </c>
      <c r="L180" s="9" t="s">
        <v>68</v>
      </c>
      <c r="M180" s="9" t="s">
        <v>956</v>
      </c>
      <c r="N180" s="11" t="s">
        <v>959</v>
      </c>
      <c r="O180" s="12" t="s">
        <v>962</v>
      </c>
      <c r="P180" s="13" t="n">
        <v>10</v>
      </c>
      <c r="Q180" s="13" t="n">
        <v>8</v>
      </c>
      <c r="R180" s="13" t="n">
        <v>6</v>
      </c>
      <c r="S180" s="13" t="n">
        <v>0.1</v>
      </c>
      <c r="T180" s="9" t="s">
        <v>4615</v>
      </c>
      <c r="U180" s="9" t="s">
        <v>4628</v>
      </c>
      <c r="V180" s="9" t="s">
        <v>4572</v>
      </c>
      <c r="W180" s="9" t="s">
        <v>4684</v>
      </c>
      <c r="X180" s="11"/>
      <c r="Y180" s="9"/>
    </row>
    <row r="181" customFormat="false" ht="15" hidden="false" customHeight="false" outlineLevel="0" collapsed="false">
      <c r="A181" s="9" t="s">
        <v>1035</v>
      </c>
      <c r="B181" s="9" t="s">
        <v>1029</v>
      </c>
      <c r="C181" s="11" t="s">
        <v>1031</v>
      </c>
      <c r="D181" s="12" t="s">
        <v>1033</v>
      </c>
      <c r="E181" s="9" t="s">
        <v>1081</v>
      </c>
      <c r="F181" s="9" t="s">
        <v>1078</v>
      </c>
      <c r="G181" s="11" t="s">
        <v>1079</v>
      </c>
      <c r="H181" s="12" t="s">
        <v>1080</v>
      </c>
      <c r="I181" s="9" t="s">
        <v>4685</v>
      </c>
      <c r="J181" s="11" t="s">
        <v>4686</v>
      </c>
      <c r="K181" s="9" t="s">
        <v>4687</v>
      </c>
      <c r="L181" s="9" t="s">
        <v>68</v>
      </c>
      <c r="M181" s="9" t="s">
        <v>956</v>
      </c>
      <c r="N181" s="11" t="s">
        <v>959</v>
      </c>
      <c r="O181" s="12" t="s">
        <v>962</v>
      </c>
      <c r="P181" s="13" t="n">
        <v>10</v>
      </c>
      <c r="Q181" s="13" t="n">
        <v>8</v>
      </c>
      <c r="R181" s="13" t="n">
        <v>6</v>
      </c>
      <c r="S181" s="13" t="n">
        <v>0.1</v>
      </c>
      <c r="T181" s="9" t="s">
        <v>4615</v>
      </c>
      <c r="U181" s="9" t="s">
        <v>4628</v>
      </c>
      <c r="V181" s="9" t="s">
        <v>4572</v>
      </c>
      <c r="W181" s="9"/>
      <c r="X181" s="11"/>
      <c r="Y181" s="9"/>
    </row>
    <row r="182" customFormat="false" ht="15" hidden="false" customHeight="false" outlineLevel="0" collapsed="false">
      <c r="A182" s="9" t="s">
        <v>1035</v>
      </c>
      <c r="B182" s="9" t="s">
        <v>1029</v>
      </c>
      <c r="C182" s="11" t="s">
        <v>1031</v>
      </c>
      <c r="D182" s="12" t="s">
        <v>1033</v>
      </c>
      <c r="E182" s="9" t="s">
        <v>1086</v>
      </c>
      <c r="F182" s="9" t="s">
        <v>1083</v>
      </c>
      <c r="G182" s="11" t="s">
        <v>1084</v>
      </c>
      <c r="H182" s="12" t="s">
        <v>1085</v>
      </c>
      <c r="I182" s="9"/>
      <c r="J182" s="11"/>
      <c r="K182" s="9"/>
      <c r="L182" s="9" t="s">
        <v>68</v>
      </c>
      <c r="M182" s="9" t="s">
        <v>956</v>
      </c>
      <c r="N182" s="11" t="s">
        <v>959</v>
      </c>
      <c r="O182" s="12" t="s">
        <v>962</v>
      </c>
      <c r="P182" s="13" t="n">
        <v>10</v>
      </c>
      <c r="Q182" s="13" t="n">
        <v>8</v>
      </c>
      <c r="R182" s="13" t="n">
        <v>6</v>
      </c>
      <c r="S182" s="13" t="n">
        <v>0.1</v>
      </c>
      <c r="T182" s="9" t="s">
        <v>4615</v>
      </c>
      <c r="U182" s="9" t="s">
        <v>4628</v>
      </c>
      <c r="V182" s="9" t="s">
        <v>4572</v>
      </c>
      <c r="W182" s="9"/>
      <c r="X182" s="11"/>
      <c r="Y182" s="9"/>
    </row>
    <row r="183" customFormat="false" ht="15" hidden="false" customHeight="false" outlineLevel="0" collapsed="false">
      <c r="A183" s="9" t="s">
        <v>1035</v>
      </c>
      <c r="B183" s="9" t="s">
        <v>1029</v>
      </c>
      <c r="C183" s="11" t="s">
        <v>1031</v>
      </c>
      <c r="D183" s="12" t="s">
        <v>1033</v>
      </c>
      <c r="E183" s="9" t="s">
        <v>1091</v>
      </c>
      <c r="F183" s="9" t="s">
        <v>1088</v>
      </c>
      <c r="G183" s="11" t="s">
        <v>1089</v>
      </c>
      <c r="H183" s="12" t="s">
        <v>1090</v>
      </c>
      <c r="I183" s="9" t="s">
        <v>4688</v>
      </c>
      <c r="J183" s="11" t="s">
        <v>4689</v>
      </c>
      <c r="K183" s="9" t="s">
        <v>4690</v>
      </c>
      <c r="L183" s="9" t="s">
        <v>68</v>
      </c>
      <c r="M183" s="9" t="s">
        <v>956</v>
      </c>
      <c r="N183" s="11" t="s">
        <v>959</v>
      </c>
      <c r="O183" s="12" t="s">
        <v>962</v>
      </c>
      <c r="P183" s="13" t="n">
        <v>7</v>
      </c>
      <c r="Q183" s="13" t="n">
        <v>7</v>
      </c>
      <c r="R183" s="13" t="n">
        <v>25</v>
      </c>
      <c r="S183" s="13" t="n">
        <v>0.6</v>
      </c>
      <c r="T183" s="9" t="s">
        <v>4615</v>
      </c>
      <c r="U183" s="9" t="s">
        <v>4664</v>
      </c>
      <c r="V183" s="9" t="s">
        <v>4565</v>
      </c>
      <c r="W183" s="9" t="s">
        <v>4691</v>
      </c>
      <c r="X183" s="11"/>
      <c r="Y183" s="9"/>
    </row>
    <row r="184" customFormat="false" ht="15" hidden="false" customHeight="false" outlineLevel="0" collapsed="false">
      <c r="A184" s="9" t="s">
        <v>1035</v>
      </c>
      <c r="B184" s="9" t="s">
        <v>1029</v>
      </c>
      <c r="C184" s="11" t="s">
        <v>1031</v>
      </c>
      <c r="D184" s="12" t="s">
        <v>1033</v>
      </c>
      <c r="E184" s="9" t="s">
        <v>1093</v>
      </c>
      <c r="F184" s="9" t="s">
        <v>1088</v>
      </c>
      <c r="G184" s="11" t="s">
        <v>1089</v>
      </c>
      <c r="H184" s="12" t="s">
        <v>1090</v>
      </c>
      <c r="I184" s="9" t="s">
        <v>4692</v>
      </c>
      <c r="J184" s="11" t="s">
        <v>4693</v>
      </c>
      <c r="K184" s="9" t="s">
        <v>4694</v>
      </c>
      <c r="L184" s="9" t="s">
        <v>68</v>
      </c>
      <c r="M184" s="9" t="s">
        <v>956</v>
      </c>
      <c r="N184" s="11" t="s">
        <v>959</v>
      </c>
      <c r="O184" s="12" t="s">
        <v>962</v>
      </c>
      <c r="P184" s="13" t="n">
        <v>7</v>
      </c>
      <c r="Q184" s="13" t="n">
        <v>7</v>
      </c>
      <c r="R184" s="13" t="n">
        <v>25</v>
      </c>
      <c r="S184" s="13" t="n">
        <v>0.6</v>
      </c>
      <c r="T184" s="9" t="s">
        <v>4615</v>
      </c>
      <c r="U184" s="9" t="s">
        <v>4664</v>
      </c>
      <c r="V184" s="9" t="s">
        <v>4565</v>
      </c>
      <c r="W184" s="9" t="s">
        <v>4695</v>
      </c>
      <c r="X184" s="11"/>
      <c r="Y184" s="9"/>
    </row>
    <row r="185" customFormat="false" ht="15" hidden="false" customHeight="false" outlineLevel="0" collapsed="false">
      <c r="A185" s="9" t="s">
        <v>1035</v>
      </c>
      <c r="B185" s="9" t="s">
        <v>1029</v>
      </c>
      <c r="C185" s="11" t="s">
        <v>1031</v>
      </c>
      <c r="D185" s="12" t="s">
        <v>1033</v>
      </c>
      <c r="E185" s="9" t="s">
        <v>1098</v>
      </c>
      <c r="F185" s="9" t="s">
        <v>1095</v>
      </c>
      <c r="G185" s="11" t="s">
        <v>1096</v>
      </c>
      <c r="H185" s="12" t="s">
        <v>1097</v>
      </c>
      <c r="I185" s="9" t="s">
        <v>4696</v>
      </c>
      <c r="J185" s="11" t="s">
        <v>4697</v>
      </c>
      <c r="K185" s="9" t="s">
        <v>4698</v>
      </c>
      <c r="L185" s="9" t="s">
        <v>68</v>
      </c>
      <c r="M185" s="9" t="s">
        <v>956</v>
      </c>
      <c r="N185" s="11" t="s">
        <v>959</v>
      </c>
      <c r="O185" s="12" t="s">
        <v>962</v>
      </c>
      <c r="P185" s="13" t="n">
        <v>6</v>
      </c>
      <c r="Q185" s="13" t="n">
        <v>6</v>
      </c>
      <c r="R185" s="13" t="n">
        <v>16</v>
      </c>
      <c r="S185" s="13" t="n">
        <v>0.3</v>
      </c>
      <c r="T185" s="9" t="s">
        <v>4615</v>
      </c>
      <c r="U185" s="9" t="s">
        <v>4628</v>
      </c>
      <c r="V185" s="9" t="s">
        <v>4565</v>
      </c>
      <c r="W185" s="9" t="s">
        <v>4699</v>
      </c>
      <c r="X185" s="11"/>
      <c r="Y185" s="9"/>
    </row>
    <row r="186" customFormat="false" ht="15" hidden="false" customHeight="false" outlineLevel="0" collapsed="false">
      <c r="A186" s="9" t="s">
        <v>1035</v>
      </c>
      <c r="B186" s="9" t="s">
        <v>1029</v>
      </c>
      <c r="C186" s="11" t="s">
        <v>1031</v>
      </c>
      <c r="D186" s="12" t="s">
        <v>1033</v>
      </c>
      <c r="E186" s="9" t="s">
        <v>1103</v>
      </c>
      <c r="F186" s="9" t="s">
        <v>1100</v>
      </c>
      <c r="G186" s="11" t="s">
        <v>1101</v>
      </c>
      <c r="H186" s="12" t="s">
        <v>1102</v>
      </c>
      <c r="I186" s="9" t="s">
        <v>4700</v>
      </c>
      <c r="J186" s="11" t="s">
        <v>4701</v>
      </c>
      <c r="K186" s="9" t="s">
        <v>4702</v>
      </c>
      <c r="L186" s="9" t="s">
        <v>68</v>
      </c>
      <c r="M186" s="9" t="s">
        <v>956</v>
      </c>
      <c r="N186" s="11" t="s">
        <v>959</v>
      </c>
      <c r="O186" s="12" t="s">
        <v>962</v>
      </c>
      <c r="P186" s="13" t="n">
        <v>7</v>
      </c>
      <c r="Q186" s="13" t="n">
        <v>7</v>
      </c>
      <c r="R186" s="13" t="n">
        <v>22</v>
      </c>
      <c r="S186" s="13" t="n">
        <v>0.5</v>
      </c>
      <c r="T186" s="9" t="s">
        <v>4615</v>
      </c>
      <c r="U186" s="9" t="s">
        <v>4664</v>
      </c>
      <c r="V186" s="9" t="s">
        <v>4565</v>
      </c>
      <c r="W186" s="9"/>
      <c r="X186" s="11"/>
      <c r="Y186" s="9"/>
    </row>
    <row r="187" customFormat="false" ht="15" hidden="false" customHeight="false" outlineLevel="0" collapsed="false">
      <c r="A187" s="9" t="s">
        <v>1108</v>
      </c>
      <c r="B187" s="9" t="s">
        <v>926</v>
      </c>
      <c r="C187" s="11" t="s">
        <v>928</v>
      </c>
      <c r="D187" s="12" t="s">
        <v>930</v>
      </c>
      <c r="E187" s="9" t="s">
        <v>1109</v>
      </c>
      <c r="F187" s="9" t="s">
        <v>1105</v>
      </c>
      <c r="G187" s="11" t="s">
        <v>1106</v>
      </c>
      <c r="H187" s="12" t="s">
        <v>1107</v>
      </c>
      <c r="I187" s="9"/>
      <c r="J187" s="11"/>
      <c r="K187" s="9"/>
      <c r="L187" s="9" t="s">
        <v>68</v>
      </c>
      <c r="M187" s="9" t="s">
        <v>926</v>
      </c>
      <c r="N187" s="11" t="s">
        <v>928</v>
      </c>
      <c r="O187" s="12" t="s">
        <v>930</v>
      </c>
      <c r="P187" s="13" t="n">
        <v>70</v>
      </c>
      <c r="Q187" s="13" t="n">
        <v>50</v>
      </c>
      <c r="R187" s="13" t="n">
        <v>50</v>
      </c>
      <c r="S187" s="13" t="n">
        <v>70</v>
      </c>
      <c r="T187" s="9" t="s">
        <v>4563</v>
      </c>
      <c r="U187" s="9" t="s">
        <v>4564</v>
      </c>
      <c r="V187" s="9" t="s">
        <v>4565</v>
      </c>
      <c r="W187" s="9"/>
      <c r="X187" s="11"/>
      <c r="Y187" s="9"/>
    </row>
    <row r="188" customFormat="false" ht="15" hidden="false" customHeight="false" outlineLevel="0" collapsed="false">
      <c r="A188" s="9" t="s">
        <v>1108</v>
      </c>
      <c r="B188" s="9" t="s">
        <v>926</v>
      </c>
      <c r="C188" s="11" t="s">
        <v>928</v>
      </c>
      <c r="D188" s="12" t="s">
        <v>930</v>
      </c>
      <c r="E188" s="9" t="s">
        <v>1114</v>
      </c>
      <c r="F188" s="9" t="s">
        <v>1111</v>
      </c>
      <c r="G188" s="11" t="s">
        <v>1112</v>
      </c>
      <c r="H188" s="12" t="s">
        <v>1113</v>
      </c>
      <c r="I188" s="9"/>
      <c r="J188" s="11"/>
      <c r="K188" s="9"/>
      <c r="L188" s="9" t="s">
        <v>68</v>
      </c>
      <c r="M188" s="9" t="s">
        <v>926</v>
      </c>
      <c r="N188" s="11" t="s">
        <v>928</v>
      </c>
      <c r="O188" s="12" t="s">
        <v>930</v>
      </c>
      <c r="P188" s="13" t="n">
        <v>60</v>
      </c>
      <c r="Q188" s="13" t="n">
        <v>45</v>
      </c>
      <c r="R188" s="13" t="n">
        <v>45</v>
      </c>
      <c r="S188" s="13" t="n">
        <v>45</v>
      </c>
      <c r="T188" s="9" t="s">
        <v>4563</v>
      </c>
      <c r="U188" s="9" t="s">
        <v>4564</v>
      </c>
      <c r="V188" s="9" t="s">
        <v>4565</v>
      </c>
      <c r="W188" s="9"/>
      <c r="X188" s="11"/>
      <c r="Y188" s="9"/>
    </row>
    <row r="189" customFormat="false" ht="15" hidden="false" customHeight="false" outlineLevel="0" collapsed="false">
      <c r="A189" s="9" t="s">
        <v>1108</v>
      </c>
      <c r="B189" s="9" t="s">
        <v>926</v>
      </c>
      <c r="C189" s="11" t="s">
        <v>928</v>
      </c>
      <c r="D189" s="12" t="s">
        <v>930</v>
      </c>
      <c r="E189" s="9" t="s">
        <v>1119</v>
      </c>
      <c r="F189" s="9" t="s">
        <v>1116</v>
      </c>
      <c r="G189" s="11" t="s">
        <v>1117</v>
      </c>
      <c r="H189" s="12" t="s">
        <v>1118</v>
      </c>
      <c r="I189" s="9"/>
      <c r="J189" s="11"/>
      <c r="K189" s="9"/>
      <c r="L189" s="9" t="s">
        <v>68</v>
      </c>
      <c r="M189" s="9" t="s">
        <v>926</v>
      </c>
      <c r="N189" s="11" t="s">
        <v>928</v>
      </c>
      <c r="O189" s="12" t="s">
        <v>930</v>
      </c>
      <c r="P189" s="13" t="n">
        <v>30</v>
      </c>
      <c r="Q189" s="13" t="n">
        <v>20</v>
      </c>
      <c r="R189" s="13" t="n">
        <v>15</v>
      </c>
      <c r="S189" s="13" t="n">
        <v>1.8</v>
      </c>
      <c r="T189" s="9" t="s">
        <v>4563</v>
      </c>
      <c r="U189" s="9"/>
      <c r="V189" s="9" t="s">
        <v>4581</v>
      </c>
      <c r="W189" s="9"/>
      <c r="X189" s="11"/>
      <c r="Y189" s="12" t="s">
        <v>4583</v>
      </c>
    </row>
    <row r="190" customFormat="false" ht="15" hidden="false" customHeight="false" outlineLevel="0" collapsed="false">
      <c r="A190" s="9" t="s">
        <v>1108</v>
      </c>
      <c r="B190" s="9" t="s">
        <v>926</v>
      </c>
      <c r="C190" s="11" t="s">
        <v>928</v>
      </c>
      <c r="D190" s="12" t="s">
        <v>930</v>
      </c>
      <c r="E190" s="9" t="s">
        <v>1124</v>
      </c>
      <c r="F190" s="9" t="s">
        <v>1121</v>
      </c>
      <c r="G190" s="11" t="s">
        <v>1122</v>
      </c>
      <c r="H190" s="12" t="s">
        <v>1123</v>
      </c>
      <c r="I190" s="9"/>
      <c r="J190" s="11"/>
      <c r="K190" s="9"/>
      <c r="L190" s="9" t="s">
        <v>68</v>
      </c>
      <c r="M190" s="9" t="s">
        <v>926</v>
      </c>
      <c r="N190" s="11" t="s">
        <v>928</v>
      </c>
      <c r="O190" s="12" t="s">
        <v>930</v>
      </c>
      <c r="P190" s="13" t="n">
        <v>40</v>
      </c>
      <c r="Q190" s="13" t="n">
        <v>25</v>
      </c>
      <c r="R190" s="13" t="n">
        <v>15</v>
      </c>
      <c r="S190" s="13" t="n">
        <v>3</v>
      </c>
      <c r="T190" s="9" t="s">
        <v>4563</v>
      </c>
      <c r="U190" s="9"/>
      <c r="V190" s="9" t="s">
        <v>4570</v>
      </c>
      <c r="W190" s="9"/>
      <c r="X190" s="11"/>
      <c r="Y190" s="9"/>
    </row>
    <row r="191" customFormat="false" ht="15" hidden="false" customHeight="false" outlineLevel="0" collapsed="false">
      <c r="A191" s="9" t="s">
        <v>1108</v>
      </c>
      <c r="B191" s="9" t="s">
        <v>926</v>
      </c>
      <c r="C191" s="11" t="s">
        <v>928</v>
      </c>
      <c r="D191" s="12" t="s">
        <v>930</v>
      </c>
      <c r="E191" s="9" t="s">
        <v>1129</v>
      </c>
      <c r="F191" s="9" t="s">
        <v>1126</v>
      </c>
      <c r="G191" s="11" t="s">
        <v>1127</v>
      </c>
      <c r="H191" s="12" t="s">
        <v>1128</v>
      </c>
      <c r="I191" s="9"/>
      <c r="J191" s="11"/>
      <c r="K191" s="9"/>
      <c r="L191" s="9" t="s">
        <v>68</v>
      </c>
      <c r="M191" s="9" t="s">
        <v>926</v>
      </c>
      <c r="N191" s="11" t="s">
        <v>928</v>
      </c>
      <c r="O191" s="12" t="s">
        <v>930</v>
      </c>
      <c r="P191" s="13" t="n">
        <v>15</v>
      </c>
      <c r="Q191" s="13" t="n">
        <v>10</v>
      </c>
      <c r="R191" s="13" t="n">
        <v>8</v>
      </c>
      <c r="S191" s="13" t="n">
        <v>0.3</v>
      </c>
      <c r="T191" s="9" t="s">
        <v>4563</v>
      </c>
      <c r="U191" s="9"/>
      <c r="V191" s="9" t="s">
        <v>4571</v>
      </c>
      <c r="W191" s="9"/>
      <c r="X191" s="11"/>
      <c r="Y191" s="9"/>
    </row>
    <row r="192" customFormat="false" ht="15" hidden="false" customHeight="false" outlineLevel="0" collapsed="false">
      <c r="A192" s="9" t="s">
        <v>1108</v>
      </c>
      <c r="B192" s="9" t="s">
        <v>926</v>
      </c>
      <c r="C192" s="11" t="s">
        <v>928</v>
      </c>
      <c r="D192" s="12" t="s">
        <v>930</v>
      </c>
      <c r="E192" s="9" t="s">
        <v>1134</v>
      </c>
      <c r="F192" s="9" t="s">
        <v>1131</v>
      </c>
      <c r="G192" s="11" t="s">
        <v>1132</v>
      </c>
      <c r="H192" s="12" t="s">
        <v>1133</v>
      </c>
      <c r="I192" s="9"/>
      <c r="J192" s="11"/>
      <c r="K192" s="9"/>
      <c r="L192" s="9" t="s">
        <v>68</v>
      </c>
      <c r="M192" s="9" t="s">
        <v>926</v>
      </c>
      <c r="N192" s="11" t="s">
        <v>928</v>
      </c>
      <c r="O192" s="12" t="s">
        <v>930</v>
      </c>
      <c r="P192" s="13" t="n">
        <v>35</v>
      </c>
      <c r="Q192" s="13" t="n">
        <v>25</v>
      </c>
      <c r="R192" s="13" t="n">
        <v>12</v>
      </c>
      <c r="S192" s="13" t="n">
        <v>6</v>
      </c>
      <c r="T192" s="9" t="s">
        <v>4563</v>
      </c>
      <c r="U192" s="9"/>
      <c r="V192" s="9" t="s">
        <v>4565</v>
      </c>
      <c r="W192" s="9"/>
      <c r="X192" s="11" t="s">
        <v>4703</v>
      </c>
      <c r="Y192" s="9"/>
    </row>
    <row r="193" customFormat="false" ht="15" hidden="false" customHeight="false" outlineLevel="0" collapsed="false">
      <c r="A193" s="9" t="s">
        <v>1108</v>
      </c>
      <c r="B193" s="9" t="s">
        <v>926</v>
      </c>
      <c r="C193" s="11" t="s">
        <v>928</v>
      </c>
      <c r="D193" s="12" t="s">
        <v>930</v>
      </c>
      <c r="E193" s="9" t="s">
        <v>1139</v>
      </c>
      <c r="F193" s="9" t="s">
        <v>1136</v>
      </c>
      <c r="G193" s="11" t="s">
        <v>1137</v>
      </c>
      <c r="H193" s="12" t="s">
        <v>1138</v>
      </c>
      <c r="I193" s="9"/>
      <c r="J193" s="11"/>
      <c r="K193" s="9"/>
      <c r="L193" s="9" t="s">
        <v>68</v>
      </c>
      <c r="M193" s="9" t="s">
        <v>926</v>
      </c>
      <c r="N193" s="11" t="s">
        <v>928</v>
      </c>
      <c r="O193" s="12" t="s">
        <v>930</v>
      </c>
      <c r="P193" s="13" t="n">
        <v>10</v>
      </c>
      <c r="Q193" s="13" t="n">
        <v>8</v>
      </c>
      <c r="R193" s="13" t="n">
        <v>6</v>
      </c>
      <c r="S193" s="13" t="n">
        <v>0.1</v>
      </c>
      <c r="T193" s="9" t="s">
        <v>4563</v>
      </c>
      <c r="U193" s="9"/>
      <c r="V193" s="9" t="s">
        <v>4572</v>
      </c>
      <c r="W193" s="9"/>
      <c r="X193" s="11"/>
      <c r="Y193" s="9"/>
    </row>
    <row r="194" customFormat="false" ht="15" hidden="false" customHeight="false" outlineLevel="0" collapsed="false">
      <c r="A194" s="9" t="s">
        <v>1108</v>
      </c>
      <c r="B194" s="9" t="s">
        <v>926</v>
      </c>
      <c r="C194" s="11" t="s">
        <v>928</v>
      </c>
      <c r="D194" s="12" t="s">
        <v>930</v>
      </c>
      <c r="E194" s="9" t="s">
        <v>1144</v>
      </c>
      <c r="F194" s="9" t="s">
        <v>1141</v>
      </c>
      <c r="G194" s="11" t="s">
        <v>1142</v>
      </c>
      <c r="H194" s="12" t="s">
        <v>1143</v>
      </c>
      <c r="I194" s="9"/>
      <c r="J194" s="11"/>
      <c r="K194" s="9"/>
      <c r="L194" s="9" t="s">
        <v>68</v>
      </c>
      <c r="M194" s="9" t="s">
        <v>926</v>
      </c>
      <c r="N194" s="11" t="s">
        <v>928</v>
      </c>
      <c r="O194" s="12" t="s">
        <v>930</v>
      </c>
      <c r="P194" s="13" t="n">
        <v>30</v>
      </c>
      <c r="Q194" s="13" t="n">
        <v>20</v>
      </c>
      <c r="R194" s="13" t="n">
        <v>15</v>
      </c>
      <c r="S194" s="13" t="n">
        <v>1.8</v>
      </c>
      <c r="T194" s="9" t="s">
        <v>4563</v>
      </c>
      <c r="U194" s="9"/>
      <c r="V194" s="9" t="s">
        <v>4581</v>
      </c>
      <c r="W194" s="9" t="s">
        <v>4704</v>
      </c>
      <c r="X194" s="11" t="s">
        <v>4704</v>
      </c>
      <c r="Y194" s="12" t="s">
        <v>4705</v>
      </c>
    </row>
    <row r="195" customFormat="false" ht="15" hidden="false" customHeight="false" outlineLevel="0" collapsed="false">
      <c r="A195" s="9" t="s">
        <v>1108</v>
      </c>
      <c r="B195" s="9" t="s">
        <v>926</v>
      </c>
      <c r="C195" s="11" t="s">
        <v>928</v>
      </c>
      <c r="D195" s="12" t="s">
        <v>930</v>
      </c>
      <c r="E195" s="9" t="s">
        <v>1149</v>
      </c>
      <c r="F195" s="9" t="s">
        <v>1146</v>
      </c>
      <c r="G195" s="11" t="s">
        <v>1147</v>
      </c>
      <c r="H195" s="9" t="s">
        <v>1148</v>
      </c>
      <c r="I195" s="9"/>
      <c r="J195" s="11"/>
      <c r="K195" s="9"/>
      <c r="L195" s="9" t="s">
        <v>68</v>
      </c>
      <c r="M195" s="9" t="s">
        <v>926</v>
      </c>
      <c r="N195" s="11" t="s">
        <v>928</v>
      </c>
      <c r="O195" s="12" t="s">
        <v>930</v>
      </c>
      <c r="P195" s="13" t="n">
        <v>25</v>
      </c>
      <c r="Q195" s="13" t="n">
        <v>15</v>
      </c>
      <c r="R195" s="13" t="n">
        <v>10</v>
      </c>
      <c r="S195" s="13" t="n">
        <v>0.9</v>
      </c>
      <c r="T195" s="9" t="s">
        <v>4563</v>
      </c>
      <c r="U195" s="9"/>
      <c r="V195" s="9" t="s">
        <v>4568</v>
      </c>
      <c r="W195" s="9" t="s">
        <v>4706</v>
      </c>
      <c r="X195" s="11" t="s">
        <v>4707</v>
      </c>
      <c r="Y195" s="9"/>
    </row>
    <row r="196" customFormat="false" ht="15" hidden="false" customHeight="false" outlineLevel="0" collapsed="false">
      <c r="A196" s="9" t="s">
        <v>1108</v>
      </c>
      <c r="B196" s="9" t="s">
        <v>926</v>
      </c>
      <c r="C196" s="11" t="s">
        <v>928</v>
      </c>
      <c r="D196" s="12" t="s">
        <v>930</v>
      </c>
      <c r="E196" s="9" t="s">
        <v>1154</v>
      </c>
      <c r="F196" s="9" t="s">
        <v>1151</v>
      </c>
      <c r="G196" s="11" t="s">
        <v>1152</v>
      </c>
      <c r="H196" s="9" t="s">
        <v>1153</v>
      </c>
      <c r="I196" s="9"/>
      <c r="J196" s="11"/>
      <c r="K196" s="9"/>
      <c r="L196" s="9" t="s">
        <v>68</v>
      </c>
      <c r="M196" s="9" t="s">
        <v>926</v>
      </c>
      <c r="N196" s="11" t="s">
        <v>928</v>
      </c>
      <c r="O196" s="12" t="s">
        <v>930</v>
      </c>
      <c r="P196" s="13" t="n">
        <v>30</v>
      </c>
      <c r="Q196" s="13" t="n">
        <v>25</v>
      </c>
      <c r="R196" s="13" t="n">
        <v>20</v>
      </c>
      <c r="S196" s="13" t="n">
        <v>10</v>
      </c>
      <c r="T196" s="9" t="s">
        <v>4563</v>
      </c>
      <c r="U196" s="9"/>
      <c r="V196" s="9" t="s">
        <v>4565</v>
      </c>
      <c r="W196" s="9"/>
      <c r="X196" s="11"/>
      <c r="Y196" s="9"/>
    </row>
    <row r="197" customFormat="false" ht="15" hidden="false" customHeight="false" outlineLevel="0" collapsed="false">
      <c r="A197" s="9" t="s">
        <v>1108</v>
      </c>
      <c r="B197" s="9" t="s">
        <v>926</v>
      </c>
      <c r="C197" s="11" t="s">
        <v>928</v>
      </c>
      <c r="D197" s="12" t="s">
        <v>930</v>
      </c>
      <c r="E197" s="9" t="s">
        <v>1159</v>
      </c>
      <c r="F197" s="9" t="s">
        <v>1156</v>
      </c>
      <c r="G197" s="11" t="s">
        <v>1157</v>
      </c>
      <c r="H197" s="12" t="s">
        <v>1158</v>
      </c>
      <c r="I197" s="9"/>
      <c r="J197" s="11"/>
      <c r="K197" s="9"/>
      <c r="L197" s="9" t="s">
        <v>68</v>
      </c>
      <c r="M197" s="9" t="s">
        <v>926</v>
      </c>
      <c r="N197" s="11" t="s">
        <v>928</v>
      </c>
      <c r="O197" s="12" t="s">
        <v>930</v>
      </c>
      <c r="P197" s="13" t="n">
        <v>25</v>
      </c>
      <c r="Q197" s="13" t="n">
        <v>15</v>
      </c>
      <c r="R197" s="13" t="n">
        <v>10</v>
      </c>
      <c r="S197" s="13" t="n">
        <v>0.9</v>
      </c>
      <c r="T197" s="9" t="s">
        <v>4563</v>
      </c>
      <c r="U197" s="9"/>
      <c r="V197" s="9" t="s">
        <v>4568</v>
      </c>
      <c r="W197" s="9"/>
      <c r="X197" s="11"/>
      <c r="Y197" s="9"/>
    </row>
    <row r="198" customFormat="false" ht="15" hidden="false" customHeight="false" outlineLevel="0" collapsed="false">
      <c r="A198" s="9" t="s">
        <v>1108</v>
      </c>
      <c r="B198" s="9" t="s">
        <v>926</v>
      </c>
      <c r="C198" s="11" t="s">
        <v>928</v>
      </c>
      <c r="D198" s="12" t="s">
        <v>930</v>
      </c>
      <c r="E198" s="9" t="s">
        <v>1167</v>
      </c>
      <c r="F198" s="9" t="s">
        <v>1161</v>
      </c>
      <c r="G198" s="11" t="s">
        <v>1163</v>
      </c>
      <c r="H198" s="12" t="s">
        <v>1165</v>
      </c>
      <c r="I198" s="9"/>
      <c r="J198" s="11"/>
      <c r="K198" s="9"/>
      <c r="L198" s="9" t="s">
        <v>68</v>
      </c>
      <c r="M198" s="9" t="s">
        <v>1162</v>
      </c>
      <c r="N198" s="11" t="s">
        <v>1164</v>
      </c>
      <c r="O198" s="12" t="s">
        <v>1166</v>
      </c>
      <c r="P198" s="13" t="n">
        <v>30</v>
      </c>
      <c r="Q198" s="13" t="n">
        <v>20</v>
      </c>
      <c r="R198" s="13" t="n">
        <v>15</v>
      </c>
      <c r="S198" s="13" t="n">
        <v>1.8</v>
      </c>
      <c r="T198" s="9" t="s">
        <v>4563</v>
      </c>
      <c r="U198" s="9"/>
      <c r="V198" s="9" t="s">
        <v>4581</v>
      </c>
      <c r="W198" s="9"/>
      <c r="X198" s="11"/>
      <c r="Y198" s="9"/>
    </row>
    <row r="199" customFormat="false" ht="15" hidden="false" customHeight="false" outlineLevel="0" collapsed="false">
      <c r="A199" s="9" t="s">
        <v>1108</v>
      </c>
      <c r="B199" s="9" t="s">
        <v>926</v>
      </c>
      <c r="C199" s="11" t="s">
        <v>928</v>
      </c>
      <c r="D199" s="12" t="s">
        <v>930</v>
      </c>
      <c r="E199" s="9" t="s">
        <v>1172</v>
      </c>
      <c r="F199" s="9" t="s">
        <v>1169</v>
      </c>
      <c r="G199" s="11" t="s">
        <v>1170</v>
      </c>
      <c r="H199" s="12" t="s">
        <v>1171</v>
      </c>
      <c r="I199" s="9"/>
      <c r="J199" s="11"/>
      <c r="K199" s="9"/>
      <c r="L199" s="9" t="s">
        <v>68</v>
      </c>
      <c r="M199" s="9" t="s">
        <v>1162</v>
      </c>
      <c r="N199" s="11" t="s">
        <v>1164</v>
      </c>
      <c r="O199" s="12" t="s">
        <v>1166</v>
      </c>
      <c r="P199" s="13" t="n">
        <v>40</v>
      </c>
      <c r="Q199" s="13" t="n">
        <v>25</v>
      </c>
      <c r="R199" s="13" t="n">
        <v>15</v>
      </c>
      <c r="S199" s="13" t="n">
        <v>3</v>
      </c>
      <c r="T199" s="9" t="s">
        <v>4563</v>
      </c>
      <c r="U199" s="9"/>
      <c r="V199" s="9" t="s">
        <v>4570</v>
      </c>
      <c r="W199" s="9" t="s">
        <v>4708</v>
      </c>
      <c r="X199" s="11" t="s">
        <v>4709</v>
      </c>
      <c r="Y199" s="9"/>
    </row>
    <row r="200" customFormat="false" ht="15" hidden="false" customHeight="false" outlineLevel="0" collapsed="false">
      <c r="A200" s="9" t="s">
        <v>1108</v>
      </c>
      <c r="B200" s="9" t="s">
        <v>926</v>
      </c>
      <c r="C200" s="11" t="s">
        <v>928</v>
      </c>
      <c r="D200" s="12" t="s">
        <v>930</v>
      </c>
      <c r="E200" s="9" t="s">
        <v>1177</v>
      </c>
      <c r="F200" s="9" t="s">
        <v>1174</v>
      </c>
      <c r="G200" s="11" t="s">
        <v>1175</v>
      </c>
      <c r="H200" s="12" t="s">
        <v>1176</v>
      </c>
      <c r="I200" s="9"/>
      <c r="J200" s="11"/>
      <c r="K200" s="9"/>
      <c r="L200" s="9" t="s">
        <v>4604</v>
      </c>
      <c r="M200" s="9" t="s">
        <v>926</v>
      </c>
      <c r="N200" s="11" t="s">
        <v>928</v>
      </c>
      <c r="O200" s="12" t="s">
        <v>930</v>
      </c>
      <c r="P200" s="13" t="n">
        <v>10</v>
      </c>
      <c r="Q200" s="13" t="n">
        <v>8</v>
      </c>
      <c r="R200" s="13" t="n">
        <v>6</v>
      </c>
      <c r="S200" s="13" t="n">
        <v>0.1</v>
      </c>
      <c r="T200" s="9" t="s">
        <v>4563</v>
      </c>
      <c r="U200" s="9"/>
      <c r="V200" s="9" t="s">
        <v>4572</v>
      </c>
      <c r="W200" s="9" t="s">
        <v>4710</v>
      </c>
      <c r="X200" s="11"/>
      <c r="Y200" s="9"/>
    </row>
    <row r="201" customFormat="false" ht="15" hidden="false" customHeight="false" outlineLevel="0" collapsed="false">
      <c r="A201" s="9" t="s">
        <v>1108</v>
      </c>
      <c r="B201" s="9" t="s">
        <v>926</v>
      </c>
      <c r="C201" s="11" t="s">
        <v>928</v>
      </c>
      <c r="D201" s="12" t="s">
        <v>930</v>
      </c>
      <c r="E201" s="9" t="s">
        <v>1183</v>
      </c>
      <c r="F201" s="9" t="s">
        <v>1180</v>
      </c>
      <c r="G201" s="11" t="s">
        <v>1181</v>
      </c>
      <c r="H201" s="12" t="s">
        <v>1182</v>
      </c>
      <c r="I201" s="9"/>
      <c r="J201" s="11"/>
      <c r="K201" s="9"/>
      <c r="L201" s="9" t="s">
        <v>68</v>
      </c>
      <c r="M201" s="9" t="s">
        <v>926</v>
      </c>
      <c r="N201" s="11" t="s">
        <v>928</v>
      </c>
      <c r="O201" s="12" t="s">
        <v>930</v>
      </c>
      <c r="P201" s="13" t="n">
        <v>10</v>
      </c>
      <c r="Q201" s="13" t="n">
        <v>8</v>
      </c>
      <c r="R201" s="13" t="n">
        <v>6</v>
      </c>
      <c r="S201" s="13" t="n">
        <v>0.1</v>
      </c>
      <c r="T201" s="9" t="s">
        <v>4563</v>
      </c>
      <c r="U201" s="9"/>
      <c r="V201" s="9" t="s">
        <v>4572</v>
      </c>
      <c r="W201" s="9" t="s">
        <v>4711</v>
      </c>
      <c r="X201" s="11"/>
      <c r="Y201" s="9"/>
    </row>
    <row r="202" customFormat="false" ht="15" hidden="false" customHeight="false" outlineLevel="0" collapsed="false">
      <c r="A202" s="9" t="s">
        <v>1108</v>
      </c>
      <c r="B202" s="9" t="s">
        <v>926</v>
      </c>
      <c r="C202" s="11" t="s">
        <v>928</v>
      </c>
      <c r="D202" s="12" t="s">
        <v>930</v>
      </c>
      <c r="E202" s="9" t="s">
        <v>1188</v>
      </c>
      <c r="F202" s="9" t="s">
        <v>1185</v>
      </c>
      <c r="G202" s="11" t="s">
        <v>1186</v>
      </c>
      <c r="H202" s="12" t="s">
        <v>1187</v>
      </c>
      <c r="I202" s="9"/>
      <c r="J202" s="11"/>
      <c r="K202" s="9"/>
      <c r="L202" s="9" t="s">
        <v>68</v>
      </c>
      <c r="M202" s="9" t="s">
        <v>926</v>
      </c>
      <c r="N202" s="11" t="s">
        <v>928</v>
      </c>
      <c r="O202" s="12" t="s">
        <v>930</v>
      </c>
      <c r="P202" s="13" t="n">
        <v>25</v>
      </c>
      <c r="Q202" s="13" t="n">
        <v>15</v>
      </c>
      <c r="R202" s="13" t="n">
        <v>10</v>
      </c>
      <c r="S202" s="13" t="n">
        <v>0.9</v>
      </c>
      <c r="T202" s="9" t="s">
        <v>4563</v>
      </c>
      <c r="U202" s="9"/>
      <c r="V202" s="9" t="s">
        <v>4568</v>
      </c>
      <c r="W202" s="9"/>
      <c r="X202" s="11"/>
      <c r="Y202" s="9"/>
    </row>
    <row r="203" customFormat="false" ht="15" hidden="false" customHeight="false" outlineLevel="0" collapsed="false">
      <c r="A203" s="9" t="s">
        <v>1108</v>
      </c>
      <c r="B203" s="9" t="s">
        <v>926</v>
      </c>
      <c r="C203" s="11" t="s">
        <v>928</v>
      </c>
      <c r="D203" s="12" t="s">
        <v>930</v>
      </c>
      <c r="E203" s="9" t="s">
        <v>1193</v>
      </c>
      <c r="F203" s="9" t="s">
        <v>1190</v>
      </c>
      <c r="G203" s="11" t="s">
        <v>1191</v>
      </c>
      <c r="H203" s="12" t="s">
        <v>1192</v>
      </c>
      <c r="I203" s="9"/>
      <c r="J203" s="11"/>
      <c r="K203" s="9"/>
      <c r="L203" s="9" t="s">
        <v>68</v>
      </c>
      <c r="M203" s="9" t="s">
        <v>926</v>
      </c>
      <c r="N203" s="11" t="s">
        <v>928</v>
      </c>
      <c r="O203" s="12" t="s">
        <v>930</v>
      </c>
      <c r="P203" s="13" t="n">
        <v>15</v>
      </c>
      <c r="Q203" s="13" t="n">
        <v>10</v>
      </c>
      <c r="R203" s="13" t="n">
        <v>8</v>
      </c>
      <c r="S203" s="13" t="n">
        <v>0.3</v>
      </c>
      <c r="T203" s="9" t="s">
        <v>4563</v>
      </c>
      <c r="U203" s="9"/>
      <c r="V203" s="9" t="s">
        <v>4571</v>
      </c>
      <c r="W203" s="9"/>
      <c r="X203" s="11" t="s">
        <v>4712</v>
      </c>
      <c r="Y203" s="9"/>
    </row>
    <row r="204" customFormat="false" ht="15" hidden="false" customHeight="false" outlineLevel="0" collapsed="false">
      <c r="A204" s="9" t="s">
        <v>1108</v>
      </c>
      <c r="B204" s="9" t="s">
        <v>926</v>
      </c>
      <c r="C204" s="11" t="s">
        <v>928</v>
      </c>
      <c r="D204" s="12" t="s">
        <v>930</v>
      </c>
      <c r="E204" s="9" t="s">
        <v>1198</v>
      </c>
      <c r="F204" s="9" t="s">
        <v>1195</v>
      </c>
      <c r="G204" s="11" t="s">
        <v>1196</v>
      </c>
      <c r="H204" s="12" t="s">
        <v>1197</v>
      </c>
      <c r="I204" s="9"/>
      <c r="J204" s="11"/>
      <c r="K204" s="9"/>
      <c r="L204" s="9" t="s">
        <v>68</v>
      </c>
      <c r="M204" s="9" t="s">
        <v>926</v>
      </c>
      <c r="N204" s="11" t="s">
        <v>928</v>
      </c>
      <c r="O204" s="12" t="s">
        <v>930</v>
      </c>
      <c r="P204" s="13" t="n">
        <v>10</v>
      </c>
      <c r="Q204" s="13" t="n">
        <v>8</v>
      </c>
      <c r="R204" s="13" t="n">
        <v>6</v>
      </c>
      <c r="S204" s="13" t="n">
        <v>0.1</v>
      </c>
      <c r="T204" s="9" t="s">
        <v>4563</v>
      </c>
      <c r="U204" s="9"/>
      <c r="V204" s="9" t="s">
        <v>4572</v>
      </c>
      <c r="W204" s="9"/>
      <c r="X204" s="11"/>
      <c r="Y204" s="9"/>
    </row>
    <row r="205" customFormat="false" ht="15" hidden="false" customHeight="false" outlineLevel="0" collapsed="false">
      <c r="A205" s="9" t="s">
        <v>1108</v>
      </c>
      <c r="B205" s="9" t="s">
        <v>926</v>
      </c>
      <c r="C205" s="11" t="s">
        <v>928</v>
      </c>
      <c r="D205" s="12" t="s">
        <v>930</v>
      </c>
      <c r="E205" s="9" t="s">
        <v>1203</v>
      </c>
      <c r="F205" s="9" t="s">
        <v>1200</v>
      </c>
      <c r="G205" s="11" t="s">
        <v>1201</v>
      </c>
      <c r="H205" s="12" t="s">
        <v>1202</v>
      </c>
      <c r="I205" s="9"/>
      <c r="J205" s="11"/>
      <c r="K205" s="9"/>
      <c r="L205" s="9" t="s">
        <v>68</v>
      </c>
      <c r="M205" s="9" t="s">
        <v>926</v>
      </c>
      <c r="N205" s="11" t="s">
        <v>928</v>
      </c>
      <c r="O205" s="12" t="s">
        <v>930</v>
      </c>
      <c r="P205" s="13" t="n">
        <v>30</v>
      </c>
      <c r="Q205" s="13" t="n">
        <v>20</v>
      </c>
      <c r="R205" s="13" t="n">
        <v>15</v>
      </c>
      <c r="S205" s="13" t="n">
        <v>1.8</v>
      </c>
      <c r="T205" s="9" t="s">
        <v>4563</v>
      </c>
      <c r="U205" s="9"/>
      <c r="V205" s="9" t="s">
        <v>4581</v>
      </c>
      <c r="W205" s="9" t="s">
        <v>4713</v>
      </c>
      <c r="X205" s="11"/>
      <c r="Y205" s="9"/>
    </row>
    <row r="206" customFormat="false" ht="15" hidden="false" customHeight="false" outlineLevel="0" collapsed="false">
      <c r="A206" s="9" t="s">
        <v>1214</v>
      </c>
      <c r="B206" s="9" t="s">
        <v>1205</v>
      </c>
      <c r="C206" s="11" t="s">
        <v>1208</v>
      </c>
      <c r="D206" s="12" t="s">
        <v>1211</v>
      </c>
      <c r="E206" s="9" t="s">
        <v>1215</v>
      </c>
      <c r="F206" s="9" t="s">
        <v>1206</v>
      </c>
      <c r="G206" s="11" t="s">
        <v>1209</v>
      </c>
      <c r="H206" s="12" t="s">
        <v>1212</v>
      </c>
      <c r="I206" s="9"/>
      <c r="J206" s="11"/>
      <c r="K206" s="9"/>
      <c r="L206" s="9" t="s">
        <v>68</v>
      </c>
      <c r="M206" s="9" t="s">
        <v>1207</v>
      </c>
      <c r="N206" s="11" t="s">
        <v>1210</v>
      </c>
      <c r="O206" s="12" t="s">
        <v>1213</v>
      </c>
      <c r="P206" s="13" t="n">
        <v>30</v>
      </c>
      <c r="Q206" s="13" t="n">
        <v>30</v>
      </c>
      <c r="R206" s="13" t="n">
        <v>15</v>
      </c>
      <c r="S206" s="13" t="n">
        <v>6</v>
      </c>
      <c r="T206" s="9" t="s">
        <v>4563</v>
      </c>
      <c r="U206" s="9"/>
      <c r="V206" s="9" t="s">
        <v>4565</v>
      </c>
      <c r="W206" s="9"/>
      <c r="X206" s="11" t="s">
        <v>4714</v>
      </c>
      <c r="Y206" s="9"/>
    </row>
    <row r="207" customFormat="false" ht="15" hidden="false" customHeight="false" outlineLevel="0" collapsed="false">
      <c r="A207" s="9" t="s">
        <v>1214</v>
      </c>
      <c r="B207" s="9" t="s">
        <v>1205</v>
      </c>
      <c r="C207" s="11" t="s">
        <v>1208</v>
      </c>
      <c r="D207" s="12" t="s">
        <v>1211</v>
      </c>
      <c r="E207" s="9" t="s">
        <v>1220</v>
      </c>
      <c r="F207" s="9" t="s">
        <v>1217</v>
      </c>
      <c r="G207" s="11" t="s">
        <v>1218</v>
      </c>
      <c r="H207" s="12" t="s">
        <v>1219</v>
      </c>
      <c r="I207" s="9"/>
      <c r="J207" s="11"/>
      <c r="K207" s="9"/>
      <c r="L207" s="9" t="s">
        <v>68</v>
      </c>
      <c r="M207" s="9" t="s">
        <v>1207</v>
      </c>
      <c r="N207" s="11" t="s">
        <v>1210</v>
      </c>
      <c r="O207" s="12" t="s">
        <v>1213</v>
      </c>
      <c r="P207" s="13" t="n">
        <v>26</v>
      </c>
      <c r="Q207" s="13" t="n">
        <v>26</v>
      </c>
      <c r="R207" s="13" t="n">
        <v>5</v>
      </c>
      <c r="S207" s="13" t="n">
        <v>1.2</v>
      </c>
      <c r="T207" s="9" t="s">
        <v>4563</v>
      </c>
      <c r="U207" s="9"/>
      <c r="V207" s="9" t="s">
        <v>4565</v>
      </c>
      <c r="W207" s="9"/>
      <c r="X207" s="11"/>
      <c r="Y207" s="9"/>
    </row>
    <row r="208" customFormat="false" ht="15" hidden="false" customHeight="false" outlineLevel="0" collapsed="false">
      <c r="A208" s="9" t="s">
        <v>1214</v>
      </c>
      <c r="B208" s="9" t="s">
        <v>1205</v>
      </c>
      <c r="C208" s="11" t="s">
        <v>1208</v>
      </c>
      <c r="D208" s="12" t="s">
        <v>1211</v>
      </c>
      <c r="E208" s="9" t="s">
        <v>1225</v>
      </c>
      <c r="F208" s="9" t="s">
        <v>1222</v>
      </c>
      <c r="G208" s="11" t="s">
        <v>1223</v>
      </c>
      <c r="H208" s="12" t="s">
        <v>1224</v>
      </c>
      <c r="I208" s="9"/>
      <c r="J208" s="11"/>
      <c r="K208" s="9"/>
      <c r="L208" s="9" t="s">
        <v>68</v>
      </c>
      <c r="M208" s="9" t="s">
        <v>1207</v>
      </c>
      <c r="N208" s="11" t="s">
        <v>1210</v>
      </c>
      <c r="O208" s="12" t="s">
        <v>1213</v>
      </c>
      <c r="P208" s="13" t="n">
        <v>26</v>
      </c>
      <c r="Q208" s="13" t="n">
        <v>26</v>
      </c>
      <c r="R208" s="13" t="n">
        <v>10</v>
      </c>
      <c r="S208" s="13" t="n">
        <v>4</v>
      </c>
      <c r="T208" s="9" t="s">
        <v>4563</v>
      </c>
      <c r="U208" s="9"/>
      <c r="V208" s="9" t="s">
        <v>4565</v>
      </c>
      <c r="W208" s="9"/>
      <c r="X208" s="11" t="s">
        <v>4715</v>
      </c>
      <c r="Y208" s="9"/>
    </row>
    <row r="209" customFormat="false" ht="15" hidden="false" customHeight="false" outlineLevel="0" collapsed="false">
      <c r="A209" s="9" t="s">
        <v>1214</v>
      </c>
      <c r="B209" s="9" t="s">
        <v>1205</v>
      </c>
      <c r="C209" s="11" t="s">
        <v>1208</v>
      </c>
      <c r="D209" s="12" t="s">
        <v>1211</v>
      </c>
      <c r="E209" s="9" t="s">
        <v>1230</v>
      </c>
      <c r="F209" s="9" t="s">
        <v>1227</v>
      </c>
      <c r="G209" s="11" t="s">
        <v>1228</v>
      </c>
      <c r="H209" s="12" t="s">
        <v>1229</v>
      </c>
      <c r="I209" s="9"/>
      <c r="J209" s="11"/>
      <c r="K209" s="9"/>
      <c r="L209" s="9" t="s">
        <v>68</v>
      </c>
      <c r="M209" s="9" t="s">
        <v>1207</v>
      </c>
      <c r="N209" s="11" t="s">
        <v>1210</v>
      </c>
      <c r="O209" s="12" t="s">
        <v>1213</v>
      </c>
      <c r="P209" s="13" t="n">
        <v>15</v>
      </c>
      <c r="Q209" s="13" t="n">
        <v>10</v>
      </c>
      <c r="R209" s="13" t="n">
        <v>8</v>
      </c>
      <c r="S209" s="13" t="n">
        <v>0.3</v>
      </c>
      <c r="T209" s="9" t="s">
        <v>4563</v>
      </c>
      <c r="U209" s="9"/>
      <c r="V209" s="9" t="s">
        <v>4571</v>
      </c>
      <c r="W209" s="9"/>
      <c r="X209" s="11"/>
      <c r="Y209" s="9"/>
    </row>
    <row r="210" customFormat="false" ht="15" hidden="false" customHeight="false" outlineLevel="0" collapsed="false">
      <c r="A210" s="9" t="s">
        <v>1214</v>
      </c>
      <c r="B210" s="9" t="s">
        <v>1205</v>
      </c>
      <c r="C210" s="11" t="s">
        <v>1208</v>
      </c>
      <c r="D210" s="12" t="s">
        <v>1211</v>
      </c>
      <c r="E210" s="9" t="s">
        <v>1235</v>
      </c>
      <c r="F210" s="9" t="s">
        <v>1232</v>
      </c>
      <c r="G210" s="11" t="s">
        <v>1233</v>
      </c>
      <c r="H210" s="12" t="s">
        <v>1234</v>
      </c>
      <c r="I210" s="9"/>
      <c r="J210" s="11"/>
      <c r="K210" s="9"/>
      <c r="L210" s="9" t="s">
        <v>68</v>
      </c>
      <c r="M210" s="9" t="s">
        <v>831</v>
      </c>
      <c r="N210" s="11" t="s">
        <v>833</v>
      </c>
      <c r="O210" s="12" t="s">
        <v>835</v>
      </c>
      <c r="P210" s="13" t="n">
        <v>25</v>
      </c>
      <c r="Q210" s="13" t="n">
        <v>15</v>
      </c>
      <c r="R210" s="13" t="n">
        <v>10</v>
      </c>
      <c r="S210" s="13" t="n">
        <v>0.9</v>
      </c>
      <c r="T210" s="9" t="s">
        <v>4563</v>
      </c>
      <c r="U210" s="9"/>
      <c r="V210" s="9" t="s">
        <v>4568</v>
      </c>
      <c r="W210" s="9"/>
      <c r="X210" s="11"/>
      <c r="Y210" s="9"/>
    </row>
    <row r="211" customFormat="false" ht="15" hidden="false" customHeight="false" outlineLevel="0" collapsed="false">
      <c r="A211" s="9" t="s">
        <v>1214</v>
      </c>
      <c r="B211" s="9" t="s">
        <v>1205</v>
      </c>
      <c r="C211" s="11" t="s">
        <v>1208</v>
      </c>
      <c r="D211" s="12" t="s">
        <v>1211</v>
      </c>
      <c r="E211" s="9" t="s">
        <v>1240</v>
      </c>
      <c r="F211" s="9" t="s">
        <v>1237</v>
      </c>
      <c r="G211" s="11" t="s">
        <v>1238</v>
      </c>
      <c r="H211" s="12" t="s">
        <v>1239</v>
      </c>
      <c r="I211" s="9"/>
      <c r="J211" s="11"/>
      <c r="K211" s="9"/>
      <c r="L211" s="9" t="s">
        <v>68</v>
      </c>
      <c r="M211" s="9" t="s">
        <v>1207</v>
      </c>
      <c r="N211" s="11" t="s">
        <v>1210</v>
      </c>
      <c r="O211" s="12" t="s">
        <v>1213</v>
      </c>
      <c r="P211" s="13" t="n">
        <v>25</v>
      </c>
      <c r="Q211" s="13" t="n">
        <v>15</v>
      </c>
      <c r="R211" s="13" t="n">
        <v>10</v>
      </c>
      <c r="S211" s="13" t="n">
        <v>0.9</v>
      </c>
      <c r="T211" s="9" t="s">
        <v>4563</v>
      </c>
      <c r="U211" s="9"/>
      <c r="V211" s="9" t="s">
        <v>4568</v>
      </c>
      <c r="W211" s="9"/>
      <c r="X211" s="11"/>
      <c r="Y211" s="9"/>
    </row>
    <row r="212" customFormat="false" ht="15" hidden="false" customHeight="false" outlineLevel="0" collapsed="false">
      <c r="A212" s="9" t="s">
        <v>1214</v>
      </c>
      <c r="B212" s="9" t="s">
        <v>1205</v>
      </c>
      <c r="C212" s="11" t="s">
        <v>1208</v>
      </c>
      <c r="D212" s="12" t="s">
        <v>1211</v>
      </c>
      <c r="E212" s="9" t="s">
        <v>1245</v>
      </c>
      <c r="F212" s="9" t="s">
        <v>1242</v>
      </c>
      <c r="G212" s="11" t="s">
        <v>1243</v>
      </c>
      <c r="H212" s="12" t="s">
        <v>1244</v>
      </c>
      <c r="I212" s="9"/>
      <c r="J212" s="11"/>
      <c r="K212" s="9"/>
      <c r="L212" s="9" t="s">
        <v>68</v>
      </c>
      <c r="M212" s="9" t="s">
        <v>1207</v>
      </c>
      <c r="N212" s="11" t="s">
        <v>1210</v>
      </c>
      <c r="O212" s="12" t="s">
        <v>1213</v>
      </c>
      <c r="P212" s="13" t="n">
        <v>15</v>
      </c>
      <c r="Q212" s="13" t="n">
        <v>10</v>
      </c>
      <c r="R212" s="13" t="n">
        <v>8</v>
      </c>
      <c r="S212" s="13" t="n">
        <v>0.3</v>
      </c>
      <c r="T212" s="9" t="s">
        <v>4563</v>
      </c>
      <c r="U212" s="9"/>
      <c r="V212" s="9" t="s">
        <v>4571</v>
      </c>
      <c r="W212" s="9"/>
      <c r="X212" s="11"/>
      <c r="Y212" s="9"/>
    </row>
    <row r="213" customFormat="false" ht="15" hidden="false" customHeight="false" outlineLevel="0" collapsed="false">
      <c r="A213" s="9" t="s">
        <v>1214</v>
      </c>
      <c r="B213" s="9" t="s">
        <v>1205</v>
      </c>
      <c r="C213" s="11" t="s">
        <v>1208</v>
      </c>
      <c r="D213" s="12" t="s">
        <v>1211</v>
      </c>
      <c r="E213" s="9" t="s">
        <v>1250</v>
      </c>
      <c r="F213" s="9" t="s">
        <v>1247</v>
      </c>
      <c r="G213" s="11" t="s">
        <v>1248</v>
      </c>
      <c r="H213" s="12" t="s">
        <v>1249</v>
      </c>
      <c r="I213" s="9"/>
      <c r="J213" s="11"/>
      <c r="K213" s="9"/>
      <c r="L213" s="9" t="s">
        <v>68</v>
      </c>
      <c r="M213" s="9" t="s">
        <v>1207</v>
      </c>
      <c r="N213" s="11" t="s">
        <v>1210</v>
      </c>
      <c r="O213" s="12" t="s">
        <v>1213</v>
      </c>
      <c r="P213" s="13" t="n">
        <v>25</v>
      </c>
      <c r="Q213" s="13" t="n">
        <v>15</v>
      </c>
      <c r="R213" s="13" t="n">
        <v>10</v>
      </c>
      <c r="S213" s="13" t="n">
        <v>0.9</v>
      </c>
      <c r="T213" s="9" t="s">
        <v>4563</v>
      </c>
      <c r="U213" s="9"/>
      <c r="V213" s="9" t="s">
        <v>4568</v>
      </c>
      <c r="W213" s="9"/>
      <c r="X213" s="11"/>
      <c r="Y213" s="9"/>
    </row>
    <row r="214" customFormat="false" ht="15" hidden="false" customHeight="false" outlineLevel="0" collapsed="false">
      <c r="A214" s="9" t="s">
        <v>1214</v>
      </c>
      <c r="B214" s="9" t="s">
        <v>1205</v>
      </c>
      <c r="C214" s="11" t="s">
        <v>1208</v>
      </c>
      <c r="D214" s="12" t="s">
        <v>1211</v>
      </c>
      <c r="E214" s="9" t="s">
        <v>1255</v>
      </c>
      <c r="F214" s="9" t="s">
        <v>1252</v>
      </c>
      <c r="G214" s="11" t="s">
        <v>1253</v>
      </c>
      <c r="H214" s="12" t="s">
        <v>1254</v>
      </c>
      <c r="I214" s="9"/>
      <c r="J214" s="11"/>
      <c r="K214" s="9"/>
      <c r="L214" s="9" t="s">
        <v>68</v>
      </c>
      <c r="M214" s="9" t="s">
        <v>1207</v>
      </c>
      <c r="N214" s="11" t="s">
        <v>1210</v>
      </c>
      <c r="O214" s="12" t="s">
        <v>1213</v>
      </c>
      <c r="P214" s="13" t="n">
        <v>40</v>
      </c>
      <c r="Q214" s="13" t="n">
        <v>40</v>
      </c>
      <c r="R214" s="13" t="n">
        <v>12</v>
      </c>
      <c r="S214" s="13" t="n">
        <v>9</v>
      </c>
      <c r="T214" s="9" t="s">
        <v>4563</v>
      </c>
      <c r="U214" s="9"/>
      <c r="V214" s="9" t="s">
        <v>4565</v>
      </c>
      <c r="W214" s="9"/>
      <c r="X214" s="11" t="s">
        <v>4716</v>
      </c>
      <c r="Y214" s="9"/>
    </row>
    <row r="215" customFormat="false" ht="15" hidden="false" customHeight="false" outlineLevel="0" collapsed="false">
      <c r="A215" s="9" t="s">
        <v>1214</v>
      </c>
      <c r="B215" s="9" t="s">
        <v>1205</v>
      </c>
      <c r="C215" s="11" t="s">
        <v>1208</v>
      </c>
      <c r="D215" s="12" t="s">
        <v>1211</v>
      </c>
      <c r="E215" s="9" t="s">
        <v>1260</v>
      </c>
      <c r="F215" s="9" t="s">
        <v>1257</v>
      </c>
      <c r="G215" s="11" t="s">
        <v>1258</v>
      </c>
      <c r="H215" s="12" t="s">
        <v>1259</v>
      </c>
      <c r="I215" s="9"/>
      <c r="J215" s="11"/>
      <c r="K215" s="9"/>
      <c r="L215" s="9" t="s">
        <v>68</v>
      </c>
      <c r="M215" s="9" t="s">
        <v>1207</v>
      </c>
      <c r="N215" s="11" t="s">
        <v>1210</v>
      </c>
      <c r="O215" s="12" t="s">
        <v>1213</v>
      </c>
      <c r="P215" s="13" t="n">
        <v>40</v>
      </c>
      <c r="Q215" s="13" t="n">
        <v>40</v>
      </c>
      <c r="R215" s="13" t="n">
        <v>15</v>
      </c>
      <c r="S215" s="13" t="n">
        <v>12</v>
      </c>
      <c r="T215" s="9" t="s">
        <v>4563</v>
      </c>
      <c r="U215" s="9"/>
      <c r="V215" s="9" t="s">
        <v>4565</v>
      </c>
      <c r="W215" s="9"/>
      <c r="X215" s="11"/>
      <c r="Y215" s="9"/>
    </row>
    <row r="216" customFormat="false" ht="15" hidden="false" customHeight="false" outlineLevel="0" collapsed="false">
      <c r="A216" s="9" t="s">
        <v>1214</v>
      </c>
      <c r="B216" s="9" t="s">
        <v>1205</v>
      </c>
      <c r="C216" s="11" t="s">
        <v>1208</v>
      </c>
      <c r="D216" s="12" t="s">
        <v>1211</v>
      </c>
      <c r="E216" s="9" t="s">
        <v>1265</v>
      </c>
      <c r="F216" s="9" t="s">
        <v>1262</v>
      </c>
      <c r="G216" s="11" t="s">
        <v>1263</v>
      </c>
      <c r="H216" s="12" t="s">
        <v>1264</v>
      </c>
      <c r="I216" s="9"/>
      <c r="J216" s="11"/>
      <c r="K216" s="9"/>
      <c r="L216" s="9" t="s">
        <v>68</v>
      </c>
      <c r="M216" s="9" t="s">
        <v>1207</v>
      </c>
      <c r="N216" s="11" t="s">
        <v>1210</v>
      </c>
      <c r="O216" s="12" t="s">
        <v>1213</v>
      </c>
      <c r="P216" s="13" t="n">
        <v>40</v>
      </c>
      <c r="Q216" s="13" t="n">
        <v>40</v>
      </c>
      <c r="R216" s="13" t="n">
        <v>6</v>
      </c>
      <c r="S216" s="13" t="n">
        <v>3</v>
      </c>
      <c r="T216" s="9" t="s">
        <v>4563</v>
      </c>
      <c r="U216" s="9"/>
      <c r="V216" s="9" t="s">
        <v>4565</v>
      </c>
      <c r="W216" s="9"/>
      <c r="X216" s="11" t="s">
        <v>4717</v>
      </c>
      <c r="Y216" s="9"/>
    </row>
    <row r="217" customFormat="false" ht="15" hidden="false" customHeight="false" outlineLevel="0" collapsed="false">
      <c r="A217" s="9" t="s">
        <v>1214</v>
      </c>
      <c r="B217" s="9" t="s">
        <v>1205</v>
      </c>
      <c r="C217" s="11" t="s">
        <v>1208</v>
      </c>
      <c r="D217" s="12" t="s">
        <v>1211</v>
      </c>
      <c r="E217" s="9" t="s">
        <v>1270</v>
      </c>
      <c r="F217" s="9" t="s">
        <v>1267</v>
      </c>
      <c r="G217" s="11" t="s">
        <v>1268</v>
      </c>
      <c r="H217" s="12" t="s">
        <v>1269</v>
      </c>
      <c r="I217" s="9"/>
      <c r="J217" s="11"/>
      <c r="K217" s="9"/>
      <c r="L217" s="9" t="s">
        <v>68</v>
      </c>
      <c r="M217" s="9" t="s">
        <v>926</v>
      </c>
      <c r="N217" s="11" t="s">
        <v>928</v>
      </c>
      <c r="O217" s="12" t="s">
        <v>930</v>
      </c>
      <c r="P217" s="13" t="n">
        <v>40</v>
      </c>
      <c r="Q217" s="13" t="n">
        <v>40</v>
      </c>
      <c r="R217" s="13" t="n">
        <v>25</v>
      </c>
      <c r="S217" s="13" t="n">
        <v>14</v>
      </c>
      <c r="T217" s="9" t="s">
        <v>4563</v>
      </c>
      <c r="U217" s="9"/>
      <c r="V217" s="9" t="s">
        <v>4565</v>
      </c>
      <c r="W217" s="9"/>
      <c r="X217" s="11"/>
      <c r="Y217" s="9"/>
    </row>
    <row r="218" customFormat="false" ht="15" hidden="false" customHeight="false" outlineLevel="0" collapsed="false">
      <c r="A218" s="9" t="s">
        <v>1214</v>
      </c>
      <c r="B218" s="9" t="s">
        <v>1205</v>
      </c>
      <c r="C218" s="11" t="s">
        <v>1208</v>
      </c>
      <c r="D218" s="12" t="s">
        <v>1211</v>
      </c>
      <c r="E218" s="9" t="s">
        <v>1275</v>
      </c>
      <c r="F218" s="9" t="s">
        <v>1272</v>
      </c>
      <c r="G218" s="11" t="s">
        <v>1273</v>
      </c>
      <c r="H218" s="12" t="s">
        <v>1274</v>
      </c>
      <c r="I218" s="9"/>
      <c r="J218" s="11"/>
      <c r="K218" s="9"/>
      <c r="L218" s="9" t="s">
        <v>68</v>
      </c>
      <c r="M218" s="9" t="s">
        <v>1207</v>
      </c>
      <c r="N218" s="11" t="s">
        <v>1210</v>
      </c>
      <c r="O218" s="12" t="s">
        <v>1213</v>
      </c>
      <c r="P218" s="13" t="n">
        <v>30</v>
      </c>
      <c r="Q218" s="13" t="n">
        <v>30</v>
      </c>
      <c r="R218" s="13" t="n">
        <v>15</v>
      </c>
      <c r="S218" s="13" t="n">
        <v>8</v>
      </c>
      <c r="T218" s="9" t="s">
        <v>4563</v>
      </c>
      <c r="U218" s="9"/>
      <c r="V218" s="9" t="s">
        <v>4565</v>
      </c>
      <c r="W218" s="9" t="s">
        <v>4718</v>
      </c>
      <c r="X218" s="11"/>
      <c r="Y218" s="9"/>
    </row>
    <row r="219" customFormat="false" ht="15" hidden="false" customHeight="false" outlineLevel="0" collapsed="false">
      <c r="A219" s="9" t="s">
        <v>1285</v>
      </c>
      <c r="B219" s="9" t="s">
        <v>1277</v>
      </c>
      <c r="C219" s="11" t="s">
        <v>1279</v>
      </c>
      <c r="D219" s="12" t="s">
        <v>1282</v>
      </c>
      <c r="E219" s="9" t="s">
        <v>1286</v>
      </c>
      <c r="F219" s="9" t="s">
        <v>1278</v>
      </c>
      <c r="G219" s="11" t="s">
        <v>1280</v>
      </c>
      <c r="H219" s="12" t="s">
        <v>1283</v>
      </c>
      <c r="I219" s="9"/>
      <c r="J219" s="11"/>
      <c r="K219" s="9"/>
      <c r="L219" s="9" t="s">
        <v>68</v>
      </c>
      <c r="M219" s="9" t="s">
        <v>1277</v>
      </c>
      <c r="N219" s="11" t="s">
        <v>1281</v>
      </c>
      <c r="O219" s="12" t="s">
        <v>1284</v>
      </c>
      <c r="P219" s="13" t="n">
        <v>150</v>
      </c>
      <c r="Q219" s="13" t="n">
        <v>15</v>
      </c>
      <c r="R219" s="13" t="n">
        <v>15</v>
      </c>
      <c r="S219" s="13" t="n">
        <v>12</v>
      </c>
      <c r="T219" s="9" t="s">
        <v>4563</v>
      </c>
      <c r="U219" s="9" t="s">
        <v>4719</v>
      </c>
      <c r="V219" s="9" t="s">
        <v>4565</v>
      </c>
      <c r="W219" s="9" t="s">
        <v>4720</v>
      </c>
      <c r="X219" s="11"/>
      <c r="Y219" s="9"/>
    </row>
    <row r="220" customFormat="false" ht="15" hidden="false" customHeight="false" outlineLevel="0" collapsed="false">
      <c r="A220" s="9" t="s">
        <v>1285</v>
      </c>
      <c r="B220" s="9" t="s">
        <v>1277</v>
      </c>
      <c r="C220" s="11" t="s">
        <v>1279</v>
      </c>
      <c r="D220" s="12" t="s">
        <v>1282</v>
      </c>
      <c r="E220" s="9" t="s">
        <v>1291</v>
      </c>
      <c r="F220" s="9" t="s">
        <v>1288</v>
      </c>
      <c r="G220" s="11" t="s">
        <v>1289</v>
      </c>
      <c r="H220" s="12" t="s">
        <v>1290</v>
      </c>
      <c r="I220" s="9"/>
      <c r="J220" s="11"/>
      <c r="K220" s="9"/>
      <c r="L220" s="9" t="s">
        <v>68</v>
      </c>
      <c r="M220" s="9" t="s">
        <v>1277</v>
      </c>
      <c r="N220" s="11" t="s">
        <v>1281</v>
      </c>
      <c r="O220" s="12" t="s">
        <v>1284</v>
      </c>
      <c r="P220" s="13" t="n">
        <v>25</v>
      </c>
      <c r="Q220" s="13" t="n">
        <v>15</v>
      </c>
      <c r="R220" s="13" t="n">
        <v>10</v>
      </c>
      <c r="S220" s="13" t="n">
        <v>0.9</v>
      </c>
      <c r="T220" s="9" t="s">
        <v>4563</v>
      </c>
      <c r="U220" s="9"/>
      <c r="V220" s="9" t="s">
        <v>4568</v>
      </c>
      <c r="W220" s="9" t="s">
        <v>4721</v>
      </c>
      <c r="X220" s="11"/>
      <c r="Y220" s="9"/>
    </row>
    <row r="221" customFormat="false" ht="15" hidden="false" customHeight="false" outlineLevel="0" collapsed="false">
      <c r="A221" s="9" t="s">
        <v>1285</v>
      </c>
      <c r="B221" s="9" t="s">
        <v>1277</v>
      </c>
      <c r="C221" s="11" t="s">
        <v>1279</v>
      </c>
      <c r="D221" s="12" t="s">
        <v>1282</v>
      </c>
      <c r="E221" s="9" t="s">
        <v>1296</v>
      </c>
      <c r="F221" s="9" t="s">
        <v>1293</v>
      </c>
      <c r="G221" s="11" t="s">
        <v>1294</v>
      </c>
      <c r="H221" s="12" t="s">
        <v>1295</v>
      </c>
      <c r="I221" s="9"/>
      <c r="J221" s="11"/>
      <c r="K221" s="9"/>
      <c r="L221" s="9" t="s">
        <v>68</v>
      </c>
      <c r="M221" s="9" t="s">
        <v>1277</v>
      </c>
      <c r="N221" s="11" t="s">
        <v>1281</v>
      </c>
      <c r="O221" s="12" t="s">
        <v>1284</v>
      </c>
      <c r="P221" s="13" t="n">
        <v>15</v>
      </c>
      <c r="Q221" s="13" t="n">
        <v>10</v>
      </c>
      <c r="R221" s="13" t="n">
        <v>8</v>
      </c>
      <c r="S221" s="13" t="n">
        <v>0.3</v>
      </c>
      <c r="T221" s="9" t="s">
        <v>4563</v>
      </c>
      <c r="U221" s="9"/>
      <c r="V221" s="9" t="s">
        <v>4571</v>
      </c>
      <c r="W221" s="9" t="s">
        <v>4722</v>
      </c>
      <c r="X221" s="11" t="s">
        <v>4723</v>
      </c>
      <c r="Y221" s="12" t="s">
        <v>4724</v>
      </c>
    </row>
    <row r="222" customFormat="false" ht="15" hidden="false" customHeight="false" outlineLevel="0" collapsed="false">
      <c r="A222" s="9" t="s">
        <v>1285</v>
      </c>
      <c r="B222" s="9" t="s">
        <v>1277</v>
      </c>
      <c r="C222" s="11" t="s">
        <v>1279</v>
      </c>
      <c r="D222" s="12" t="s">
        <v>1282</v>
      </c>
      <c r="E222" s="9" t="s">
        <v>1301</v>
      </c>
      <c r="F222" s="9" t="s">
        <v>1298</v>
      </c>
      <c r="G222" s="11" t="s">
        <v>1299</v>
      </c>
      <c r="H222" s="12" t="s">
        <v>1300</v>
      </c>
      <c r="I222" s="9"/>
      <c r="J222" s="11"/>
      <c r="K222" s="9"/>
      <c r="L222" s="9" t="s">
        <v>4578</v>
      </c>
      <c r="M222" s="9" t="s">
        <v>1277</v>
      </c>
      <c r="N222" s="11" t="s">
        <v>1281</v>
      </c>
      <c r="O222" s="12" t="s">
        <v>1284</v>
      </c>
      <c r="P222" s="13" t="n">
        <v>40</v>
      </c>
      <c r="Q222" s="13" t="n">
        <v>35</v>
      </c>
      <c r="R222" s="13" t="n">
        <v>30</v>
      </c>
      <c r="S222" s="13" t="n">
        <v>25</v>
      </c>
      <c r="T222" s="9" t="s">
        <v>4615</v>
      </c>
      <c r="U222" s="9"/>
      <c r="V222" s="9" t="s">
        <v>4565</v>
      </c>
      <c r="W222" s="9"/>
      <c r="X222" s="11"/>
      <c r="Y222" s="9"/>
    </row>
    <row r="223" customFormat="false" ht="15" hidden="false" customHeight="false" outlineLevel="0" collapsed="false">
      <c r="A223" s="9" t="s">
        <v>1285</v>
      </c>
      <c r="B223" s="9" t="s">
        <v>1277</v>
      </c>
      <c r="C223" s="11" t="s">
        <v>1279</v>
      </c>
      <c r="D223" s="12" t="s">
        <v>1282</v>
      </c>
      <c r="E223" s="9" t="s">
        <v>1307</v>
      </c>
      <c r="F223" s="9" t="s">
        <v>1304</v>
      </c>
      <c r="G223" s="11" t="s">
        <v>1305</v>
      </c>
      <c r="H223" s="12" t="s">
        <v>1306</v>
      </c>
      <c r="I223" s="9"/>
      <c r="J223" s="11"/>
      <c r="K223" s="9"/>
      <c r="L223" s="9" t="s">
        <v>4578</v>
      </c>
      <c r="M223" s="9" t="s">
        <v>1277</v>
      </c>
      <c r="N223" s="11" t="s">
        <v>1281</v>
      </c>
      <c r="O223" s="12" t="s">
        <v>1284</v>
      </c>
      <c r="P223" s="13" t="n">
        <v>10</v>
      </c>
      <c r="Q223" s="13" t="n">
        <v>8</v>
      </c>
      <c r="R223" s="13" t="n">
        <v>6</v>
      </c>
      <c r="S223" s="13" t="n">
        <v>0.1</v>
      </c>
      <c r="T223" s="9" t="s">
        <v>4615</v>
      </c>
      <c r="U223" s="9"/>
      <c r="V223" s="9" t="s">
        <v>4572</v>
      </c>
      <c r="W223" s="9"/>
      <c r="X223" s="11"/>
      <c r="Y223" s="9"/>
    </row>
    <row r="224" customFormat="false" ht="15" hidden="false" customHeight="false" outlineLevel="0" collapsed="false">
      <c r="A224" s="9" t="s">
        <v>1285</v>
      </c>
      <c r="B224" s="9" t="s">
        <v>1277</v>
      </c>
      <c r="C224" s="11" t="s">
        <v>1279</v>
      </c>
      <c r="D224" s="12" t="s">
        <v>1282</v>
      </c>
      <c r="E224" s="9" t="s">
        <v>1313</v>
      </c>
      <c r="F224" s="9" t="s">
        <v>1310</v>
      </c>
      <c r="G224" s="11" t="s">
        <v>1311</v>
      </c>
      <c r="H224" s="12" t="s">
        <v>1312</v>
      </c>
      <c r="I224" s="9"/>
      <c r="J224" s="11"/>
      <c r="K224" s="9"/>
      <c r="L224" s="9" t="s">
        <v>4578</v>
      </c>
      <c r="M224" s="9" t="s">
        <v>1277</v>
      </c>
      <c r="N224" s="11" t="s">
        <v>1281</v>
      </c>
      <c r="O224" s="12" t="s">
        <v>1284</v>
      </c>
      <c r="P224" s="13" t="n">
        <v>25</v>
      </c>
      <c r="Q224" s="13" t="n">
        <v>25</v>
      </c>
      <c r="R224" s="13" t="n">
        <v>15</v>
      </c>
      <c r="S224" s="13" t="n">
        <v>9</v>
      </c>
      <c r="T224" s="9" t="s">
        <v>4615</v>
      </c>
      <c r="U224" s="9"/>
      <c r="V224" s="9" t="s">
        <v>4565</v>
      </c>
      <c r="W224" s="9" t="s">
        <v>4725</v>
      </c>
      <c r="X224" s="11" t="s">
        <v>4726</v>
      </c>
      <c r="Y224" s="9"/>
    </row>
    <row r="225" customFormat="false" ht="15" hidden="false" customHeight="false" outlineLevel="0" collapsed="false">
      <c r="A225" s="9" t="s">
        <v>1285</v>
      </c>
      <c r="B225" s="9" t="s">
        <v>1277</v>
      </c>
      <c r="C225" s="11" t="s">
        <v>1279</v>
      </c>
      <c r="D225" s="12" t="s">
        <v>1282</v>
      </c>
      <c r="E225" s="9" t="s">
        <v>1319</v>
      </c>
      <c r="F225" s="9" t="s">
        <v>1316</v>
      </c>
      <c r="G225" s="11" t="s">
        <v>1317</v>
      </c>
      <c r="H225" s="12" t="s">
        <v>1318</v>
      </c>
      <c r="I225" s="9"/>
      <c r="J225" s="11"/>
      <c r="K225" s="9"/>
      <c r="L225" s="9" t="s">
        <v>4578</v>
      </c>
      <c r="M225" s="9" t="s">
        <v>1277</v>
      </c>
      <c r="N225" s="11" t="s">
        <v>1281</v>
      </c>
      <c r="O225" s="12" t="s">
        <v>1284</v>
      </c>
      <c r="P225" s="13" t="n">
        <v>15</v>
      </c>
      <c r="Q225" s="13" t="n">
        <v>10</v>
      </c>
      <c r="R225" s="13" t="n">
        <v>8</v>
      </c>
      <c r="S225" s="13" t="n">
        <v>0.3</v>
      </c>
      <c r="T225" s="9" t="s">
        <v>4615</v>
      </c>
      <c r="U225" s="9"/>
      <c r="V225" s="9" t="s">
        <v>4571</v>
      </c>
      <c r="W225" s="9"/>
      <c r="X225" s="11"/>
      <c r="Y225" s="9"/>
    </row>
    <row r="226" customFormat="false" ht="15" hidden="false" customHeight="false" outlineLevel="0" collapsed="false">
      <c r="A226" s="9" t="s">
        <v>1285</v>
      </c>
      <c r="B226" s="9" t="s">
        <v>1277</v>
      </c>
      <c r="C226" s="11" t="s">
        <v>1279</v>
      </c>
      <c r="D226" s="12" t="s">
        <v>1282</v>
      </c>
      <c r="E226" s="9" t="s">
        <v>1325</v>
      </c>
      <c r="F226" s="9" t="s">
        <v>1322</v>
      </c>
      <c r="G226" s="11" t="s">
        <v>1323</v>
      </c>
      <c r="H226" s="12" t="s">
        <v>1324</v>
      </c>
      <c r="I226" s="9"/>
      <c r="J226" s="11"/>
      <c r="K226" s="9"/>
      <c r="L226" s="9" t="s">
        <v>4578</v>
      </c>
      <c r="M226" s="9" t="s">
        <v>1277</v>
      </c>
      <c r="N226" s="11" t="s">
        <v>1281</v>
      </c>
      <c r="O226" s="12" t="s">
        <v>1284</v>
      </c>
      <c r="P226" s="13" t="n">
        <v>25</v>
      </c>
      <c r="Q226" s="13" t="n">
        <v>15</v>
      </c>
      <c r="R226" s="13" t="n">
        <v>10</v>
      </c>
      <c r="S226" s="13" t="n">
        <v>0.9</v>
      </c>
      <c r="T226" s="9" t="s">
        <v>4615</v>
      </c>
      <c r="U226" s="9"/>
      <c r="V226" s="9" t="s">
        <v>4568</v>
      </c>
      <c r="W226" s="9"/>
      <c r="X226" s="11"/>
      <c r="Y226" s="9"/>
    </row>
    <row r="227" customFormat="false" ht="15" hidden="false" customHeight="false" outlineLevel="0" collapsed="false">
      <c r="A227" s="9" t="s">
        <v>1285</v>
      </c>
      <c r="B227" s="9" t="s">
        <v>1277</v>
      </c>
      <c r="C227" s="11" t="s">
        <v>1279</v>
      </c>
      <c r="D227" s="12" t="s">
        <v>1282</v>
      </c>
      <c r="E227" s="9" t="s">
        <v>1331</v>
      </c>
      <c r="F227" s="9" t="s">
        <v>1328</v>
      </c>
      <c r="G227" s="11" t="s">
        <v>1329</v>
      </c>
      <c r="H227" s="12" t="s">
        <v>1330</v>
      </c>
      <c r="I227" s="9"/>
      <c r="J227" s="11"/>
      <c r="K227" s="9"/>
      <c r="L227" s="9" t="s">
        <v>68</v>
      </c>
      <c r="M227" s="9" t="s">
        <v>1277</v>
      </c>
      <c r="N227" s="11" t="s">
        <v>1281</v>
      </c>
      <c r="O227" s="12" t="s">
        <v>1284</v>
      </c>
      <c r="P227" s="13" t="n">
        <v>50</v>
      </c>
      <c r="Q227" s="13" t="n">
        <v>40</v>
      </c>
      <c r="R227" s="13" t="n">
        <v>35</v>
      </c>
      <c r="S227" s="13" t="n">
        <v>40</v>
      </c>
      <c r="T227" s="9" t="s">
        <v>4563</v>
      </c>
      <c r="U227" s="9" t="s">
        <v>4564</v>
      </c>
      <c r="V227" s="9" t="s">
        <v>4565</v>
      </c>
      <c r="W227" s="9"/>
      <c r="X227" s="11" t="s">
        <v>4727</v>
      </c>
      <c r="Y227" s="9"/>
    </row>
    <row r="228" customFormat="false" ht="15" hidden="false" customHeight="false" outlineLevel="0" collapsed="false">
      <c r="A228" s="9" t="s">
        <v>1285</v>
      </c>
      <c r="B228" s="9" t="s">
        <v>1277</v>
      </c>
      <c r="C228" s="11" t="s">
        <v>1279</v>
      </c>
      <c r="D228" s="12" t="s">
        <v>1282</v>
      </c>
      <c r="E228" s="9" t="s">
        <v>1336</v>
      </c>
      <c r="F228" s="9" t="s">
        <v>1333</v>
      </c>
      <c r="G228" s="11" t="s">
        <v>1334</v>
      </c>
      <c r="H228" s="12" t="s">
        <v>1335</v>
      </c>
      <c r="I228" s="9"/>
      <c r="J228" s="11"/>
      <c r="K228" s="9"/>
      <c r="L228" s="9" t="s">
        <v>4578</v>
      </c>
      <c r="M228" s="9" t="s">
        <v>1277</v>
      </c>
      <c r="N228" s="11" t="s">
        <v>1281</v>
      </c>
      <c r="O228" s="12" t="s">
        <v>1284</v>
      </c>
      <c r="P228" s="13" t="n">
        <v>10</v>
      </c>
      <c r="Q228" s="13" t="n">
        <v>8</v>
      </c>
      <c r="R228" s="13" t="n">
        <v>6</v>
      </c>
      <c r="S228" s="13" t="n">
        <v>0.1</v>
      </c>
      <c r="T228" s="9" t="s">
        <v>4563</v>
      </c>
      <c r="U228" s="9"/>
      <c r="V228" s="9" t="s">
        <v>4572</v>
      </c>
      <c r="W228" s="9" t="s">
        <v>4728</v>
      </c>
      <c r="X228" s="11"/>
      <c r="Y228" s="9"/>
    </row>
    <row r="229" customFormat="false" ht="15" hidden="false" customHeight="false" outlineLevel="0" collapsed="false">
      <c r="A229" s="9" t="s">
        <v>1285</v>
      </c>
      <c r="B229" s="9" t="s">
        <v>1277</v>
      </c>
      <c r="C229" s="11" t="s">
        <v>1279</v>
      </c>
      <c r="D229" s="12" t="s">
        <v>1282</v>
      </c>
      <c r="E229" s="9" t="s">
        <v>1342</v>
      </c>
      <c r="F229" s="9" t="s">
        <v>1339</v>
      </c>
      <c r="G229" s="11" t="s">
        <v>1340</v>
      </c>
      <c r="H229" s="12" t="s">
        <v>1341</v>
      </c>
      <c r="I229" s="9"/>
      <c r="J229" s="11"/>
      <c r="K229" s="9"/>
      <c r="L229" s="9" t="s">
        <v>68</v>
      </c>
      <c r="M229" s="9" t="s">
        <v>1277</v>
      </c>
      <c r="N229" s="11" t="s">
        <v>1281</v>
      </c>
      <c r="O229" s="12" t="s">
        <v>1284</v>
      </c>
      <c r="P229" s="13" t="n">
        <v>25</v>
      </c>
      <c r="Q229" s="13" t="n">
        <v>15</v>
      </c>
      <c r="R229" s="13" t="n">
        <v>10</v>
      </c>
      <c r="S229" s="13" t="n">
        <v>0.9</v>
      </c>
      <c r="T229" s="9" t="s">
        <v>4563</v>
      </c>
      <c r="U229" s="9"/>
      <c r="V229" s="9" t="s">
        <v>4568</v>
      </c>
      <c r="W229" s="9" t="s">
        <v>4729</v>
      </c>
      <c r="X229" s="11"/>
      <c r="Y229" s="9"/>
    </row>
    <row r="230" customFormat="false" ht="15" hidden="false" customHeight="false" outlineLevel="0" collapsed="false">
      <c r="A230" s="9" t="s">
        <v>1353</v>
      </c>
      <c r="B230" s="9" t="s">
        <v>1344</v>
      </c>
      <c r="C230" s="11" t="s">
        <v>1347</v>
      </c>
      <c r="D230" s="12" t="s">
        <v>1350</v>
      </c>
      <c r="E230" s="9" t="s">
        <v>1354</v>
      </c>
      <c r="F230" s="9" t="s">
        <v>1345</v>
      </c>
      <c r="G230" s="11" t="s">
        <v>1348</v>
      </c>
      <c r="H230" s="12" t="s">
        <v>1351</v>
      </c>
      <c r="I230" s="9"/>
      <c r="J230" s="11"/>
      <c r="K230" s="9"/>
      <c r="L230" s="9" t="s">
        <v>4730</v>
      </c>
      <c r="M230" s="9" t="s">
        <v>1277</v>
      </c>
      <c r="N230" s="11" t="s">
        <v>1281</v>
      </c>
      <c r="O230" s="12" t="s">
        <v>1284</v>
      </c>
      <c r="P230" s="13" t="n">
        <v>70</v>
      </c>
      <c r="Q230" s="13" t="n">
        <v>15</v>
      </c>
      <c r="R230" s="13" t="n">
        <v>15</v>
      </c>
      <c r="S230" s="13" t="n">
        <v>6</v>
      </c>
      <c r="T230" s="9" t="s">
        <v>4615</v>
      </c>
      <c r="U230" s="9"/>
      <c r="V230" s="9" t="s">
        <v>4565</v>
      </c>
      <c r="W230" s="9" t="s">
        <v>4731</v>
      </c>
      <c r="X230" s="11" t="s">
        <v>4732</v>
      </c>
      <c r="Y230" s="9"/>
    </row>
    <row r="231" customFormat="false" ht="15" hidden="false" customHeight="false" outlineLevel="0" collapsed="false">
      <c r="A231" s="9" t="s">
        <v>1353</v>
      </c>
      <c r="B231" s="9" t="s">
        <v>1344</v>
      </c>
      <c r="C231" s="11" t="s">
        <v>1347</v>
      </c>
      <c r="D231" s="12" t="s">
        <v>1350</v>
      </c>
      <c r="E231" s="9" t="s">
        <v>1371</v>
      </c>
      <c r="F231" s="9" t="s">
        <v>1368</v>
      </c>
      <c r="G231" s="11" t="s">
        <v>1369</v>
      </c>
      <c r="H231" s="12" t="s">
        <v>1370</v>
      </c>
      <c r="I231" s="9"/>
      <c r="J231" s="11"/>
      <c r="K231" s="9"/>
      <c r="L231" s="9" t="s">
        <v>4730</v>
      </c>
      <c r="M231" s="9" t="s">
        <v>1277</v>
      </c>
      <c r="N231" s="11" t="s">
        <v>1281</v>
      </c>
      <c r="O231" s="12" t="s">
        <v>1284</v>
      </c>
      <c r="P231" s="13" t="n">
        <v>30</v>
      </c>
      <c r="Q231" s="13" t="n">
        <v>20</v>
      </c>
      <c r="R231" s="13" t="n">
        <v>15</v>
      </c>
      <c r="S231" s="13" t="n">
        <v>1.8</v>
      </c>
      <c r="T231" s="9" t="s">
        <v>4615</v>
      </c>
      <c r="U231" s="9"/>
      <c r="V231" s="9" t="s">
        <v>4581</v>
      </c>
      <c r="W231" s="9"/>
      <c r="X231" s="11" t="s">
        <v>4733</v>
      </c>
      <c r="Y231" s="9"/>
    </row>
    <row r="232" customFormat="false" ht="15" hidden="false" customHeight="false" outlineLevel="0" collapsed="false">
      <c r="A232" s="9" t="s">
        <v>1353</v>
      </c>
      <c r="B232" s="9" t="s">
        <v>1344</v>
      </c>
      <c r="C232" s="11" t="s">
        <v>1347</v>
      </c>
      <c r="D232" s="12" t="s">
        <v>1350</v>
      </c>
      <c r="E232" s="9" t="s">
        <v>1379</v>
      </c>
      <c r="F232" s="9" t="s">
        <v>1376</v>
      </c>
      <c r="G232" s="11" t="s">
        <v>1377</v>
      </c>
      <c r="H232" s="12" t="s">
        <v>1378</v>
      </c>
      <c r="I232" s="9"/>
      <c r="J232" s="11"/>
      <c r="K232" s="9"/>
      <c r="L232" s="9" t="s">
        <v>4730</v>
      </c>
      <c r="M232" s="9" t="s">
        <v>1277</v>
      </c>
      <c r="N232" s="11" t="s">
        <v>1281</v>
      </c>
      <c r="O232" s="12" t="s">
        <v>1284</v>
      </c>
      <c r="P232" s="13" t="n">
        <v>15</v>
      </c>
      <c r="Q232" s="13" t="n">
        <v>10</v>
      </c>
      <c r="R232" s="13" t="n">
        <v>8</v>
      </c>
      <c r="S232" s="13" t="n">
        <v>0.3</v>
      </c>
      <c r="T232" s="9" t="s">
        <v>4615</v>
      </c>
      <c r="U232" s="9"/>
      <c r="V232" s="9" t="s">
        <v>4571</v>
      </c>
      <c r="W232" s="9"/>
      <c r="X232" s="11"/>
      <c r="Y232" s="9"/>
    </row>
    <row r="233" customFormat="false" ht="15" hidden="false" customHeight="false" outlineLevel="0" collapsed="false">
      <c r="A233" s="9" t="s">
        <v>1353</v>
      </c>
      <c r="B233" s="9" t="s">
        <v>1344</v>
      </c>
      <c r="C233" s="11" t="s">
        <v>1347</v>
      </c>
      <c r="D233" s="12" t="s">
        <v>1350</v>
      </c>
      <c r="E233" s="9" t="s">
        <v>1390</v>
      </c>
      <c r="F233" s="9" t="s">
        <v>1384</v>
      </c>
      <c r="G233" s="11" t="s">
        <v>1386</v>
      </c>
      <c r="H233" s="12" t="s">
        <v>1388</v>
      </c>
      <c r="I233" s="9"/>
      <c r="J233" s="11"/>
      <c r="K233" s="9"/>
      <c r="L233" s="9" t="s">
        <v>4730</v>
      </c>
      <c r="M233" s="9" t="s">
        <v>1385</v>
      </c>
      <c r="N233" s="11" t="s">
        <v>1387</v>
      </c>
      <c r="O233" s="12" t="s">
        <v>1389</v>
      </c>
      <c r="P233" s="13" t="n">
        <v>10</v>
      </c>
      <c r="Q233" s="13" t="n">
        <v>8</v>
      </c>
      <c r="R233" s="13" t="n">
        <v>6</v>
      </c>
      <c r="S233" s="13" t="n">
        <v>0.1</v>
      </c>
      <c r="T233" s="9" t="s">
        <v>4615</v>
      </c>
      <c r="U233" s="9"/>
      <c r="V233" s="9" t="s">
        <v>4572</v>
      </c>
      <c r="W233" s="9"/>
      <c r="X233" s="11"/>
      <c r="Y233" s="9"/>
    </row>
    <row r="234" customFormat="false" ht="15" hidden="false" customHeight="false" outlineLevel="0" collapsed="false">
      <c r="A234" s="9" t="s">
        <v>1353</v>
      </c>
      <c r="B234" s="9" t="s">
        <v>1344</v>
      </c>
      <c r="C234" s="11" t="s">
        <v>1347</v>
      </c>
      <c r="D234" s="12" t="s">
        <v>1350</v>
      </c>
      <c r="E234" s="9" t="s">
        <v>1398</v>
      </c>
      <c r="F234" s="9" t="s">
        <v>1395</v>
      </c>
      <c r="G234" s="11" t="s">
        <v>1396</v>
      </c>
      <c r="H234" s="12" t="s">
        <v>1397</v>
      </c>
      <c r="I234" s="9"/>
      <c r="J234" s="11"/>
      <c r="K234" s="9"/>
      <c r="L234" s="9" t="s">
        <v>4730</v>
      </c>
      <c r="M234" s="9" t="s">
        <v>1277</v>
      </c>
      <c r="N234" s="11" t="s">
        <v>1281</v>
      </c>
      <c r="O234" s="12" t="s">
        <v>1284</v>
      </c>
      <c r="P234" s="13" t="n">
        <v>10</v>
      </c>
      <c r="Q234" s="13" t="n">
        <v>8</v>
      </c>
      <c r="R234" s="13" t="n">
        <v>6</v>
      </c>
      <c r="S234" s="13" t="n">
        <v>0.1</v>
      </c>
      <c r="T234" s="9" t="s">
        <v>4615</v>
      </c>
      <c r="U234" s="9"/>
      <c r="V234" s="9" t="s">
        <v>4572</v>
      </c>
      <c r="W234" s="9"/>
      <c r="X234" s="11"/>
      <c r="Y234" s="9"/>
    </row>
    <row r="235" customFormat="false" ht="15" hidden="false" customHeight="false" outlineLevel="0" collapsed="false">
      <c r="A235" s="9" t="s">
        <v>1353</v>
      </c>
      <c r="B235" s="9" t="s">
        <v>1344</v>
      </c>
      <c r="C235" s="11" t="s">
        <v>1347</v>
      </c>
      <c r="D235" s="12" t="s">
        <v>1350</v>
      </c>
      <c r="E235" s="9" t="s">
        <v>1406</v>
      </c>
      <c r="F235" s="9" t="s">
        <v>1403</v>
      </c>
      <c r="G235" s="11" t="s">
        <v>1404</v>
      </c>
      <c r="H235" s="12" t="s">
        <v>1405</v>
      </c>
      <c r="I235" s="9"/>
      <c r="J235" s="11"/>
      <c r="K235" s="9"/>
      <c r="L235" s="9" t="s">
        <v>4578</v>
      </c>
      <c r="M235" s="9" t="s">
        <v>1277</v>
      </c>
      <c r="N235" s="11" t="s">
        <v>1281</v>
      </c>
      <c r="O235" s="12" t="s">
        <v>1284</v>
      </c>
      <c r="P235" s="13" t="n">
        <v>120</v>
      </c>
      <c r="Q235" s="13" t="n">
        <v>25</v>
      </c>
      <c r="R235" s="13" t="n">
        <v>25</v>
      </c>
      <c r="S235" s="13" t="n">
        <v>30</v>
      </c>
      <c r="T235" s="9" t="s">
        <v>4615</v>
      </c>
      <c r="U235" s="9"/>
      <c r="V235" s="9" t="s">
        <v>4565</v>
      </c>
      <c r="W235" s="9"/>
      <c r="X235" s="11"/>
      <c r="Y235" s="9"/>
    </row>
    <row r="236" customFormat="false" ht="15" hidden="false" customHeight="false" outlineLevel="0" collapsed="false">
      <c r="A236" s="9" t="s">
        <v>1418</v>
      </c>
      <c r="B236" s="9" t="s">
        <v>1409</v>
      </c>
      <c r="C236" s="11" t="s">
        <v>1412</v>
      </c>
      <c r="D236" s="12" t="s">
        <v>1415</v>
      </c>
      <c r="E236" s="9" t="s">
        <v>1419</v>
      </c>
      <c r="F236" s="9" t="s">
        <v>1410</v>
      </c>
      <c r="G236" s="11" t="s">
        <v>1413</v>
      </c>
      <c r="H236" s="12" t="s">
        <v>1416</v>
      </c>
      <c r="I236" s="9"/>
      <c r="J236" s="11"/>
      <c r="K236" s="9"/>
      <c r="L236" s="9" t="s">
        <v>4578</v>
      </c>
      <c r="M236" s="9" t="s">
        <v>1411</v>
      </c>
      <c r="N236" s="11" t="s">
        <v>1414</v>
      </c>
      <c r="O236" s="12" t="s">
        <v>1417</v>
      </c>
      <c r="P236" s="13" t="n">
        <v>25</v>
      </c>
      <c r="Q236" s="13" t="n">
        <v>15</v>
      </c>
      <c r="R236" s="13" t="n">
        <v>10</v>
      </c>
      <c r="S236" s="13" t="n">
        <v>0.9</v>
      </c>
      <c r="T236" s="9" t="s">
        <v>4615</v>
      </c>
      <c r="U236" s="9"/>
      <c r="V236" s="9" t="s">
        <v>4568</v>
      </c>
      <c r="W236" s="9"/>
      <c r="X236" s="11"/>
      <c r="Y236" s="9"/>
    </row>
    <row r="237" customFormat="false" ht="15" hidden="false" customHeight="false" outlineLevel="0" collapsed="false">
      <c r="A237" s="9" t="s">
        <v>1418</v>
      </c>
      <c r="B237" s="9" t="s">
        <v>1409</v>
      </c>
      <c r="C237" s="11" t="s">
        <v>1412</v>
      </c>
      <c r="D237" s="12" t="s">
        <v>1415</v>
      </c>
      <c r="E237" s="9" t="s">
        <v>1425</v>
      </c>
      <c r="F237" s="9" t="s">
        <v>1422</v>
      </c>
      <c r="G237" s="11" t="s">
        <v>1423</v>
      </c>
      <c r="H237" s="12" t="s">
        <v>1424</v>
      </c>
      <c r="I237" s="9"/>
      <c r="J237" s="11"/>
      <c r="K237" s="9"/>
      <c r="L237" s="9" t="s">
        <v>4578</v>
      </c>
      <c r="M237" s="9" t="s">
        <v>1411</v>
      </c>
      <c r="N237" s="11" t="s">
        <v>1414</v>
      </c>
      <c r="O237" s="12" t="s">
        <v>1417</v>
      </c>
      <c r="P237" s="13" t="n">
        <v>32</v>
      </c>
      <c r="Q237" s="13" t="n">
        <v>32</v>
      </c>
      <c r="R237" s="13" t="n">
        <v>10</v>
      </c>
      <c r="S237" s="13" t="n">
        <v>7</v>
      </c>
      <c r="T237" s="9" t="s">
        <v>4615</v>
      </c>
      <c r="U237" s="9"/>
      <c r="V237" s="9" t="s">
        <v>4565</v>
      </c>
      <c r="W237" s="9" t="s">
        <v>4734</v>
      </c>
      <c r="X237" s="11"/>
      <c r="Y237" s="9"/>
    </row>
    <row r="238" customFormat="false" ht="15" hidden="false" customHeight="false" outlineLevel="0" collapsed="false">
      <c r="A238" s="9" t="s">
        <v>1418</v>
      </c>
      <c r="B238" s="9" t="s">
        <v>1409</v>
      </c>
      <c r="C238" s="11" t="s">
        <v>1412</v>
      </c>
      <c r="D238" s="12" t="s">
        <v>1415</v>
      </c>
      <c r="E238" s="9" t="s">
        <v>1431</v>
      </c>
      <c r="F238" s="9" t="s">
        <v>1428</v>
      </c>
      <c r="G238" s="11" t="s">
        <v>1429</v>
      </c>
      <c r="H238" s="12" t="s">
        <v>1430</v>
      </c>
      <c r="I238" s="9"/>
      <c r="J238" s="11"/>
      <c r="K238" s="9"/>
      <c r="L238" s="9" t="s">
        <v>4578</v>
      </c>
      <c r="M238" s="9" t="s">
        <v>1411</v>
      </c>
      <c r="N238" s="11" t="s">
        <v>1414</v>
      </c>
      <c r="O238" s="12" t="s">
        <v>1417</v>
      </c>
      <c r="P238" s="13" t="n">
        <v>34</v>
      </c>
      <c r="Q238" s="13" t="n">
        <v>34</v>
      </c>
      <c r="R238" s="13" t="n">
        <v>12</v>
      </c>
      <c r="S238" s="13" t="n">
        <v>9</v>
      </c>
      <c r="T238" s="9" t="s">
        <v>4615</v>
      </c>
      <c r="U238" s="9"/>
      <c r="V238" s="9" t="s">
        <v>4565</v>
      </c>
      <c r="W238" s="9" t="s">
        <v>4735</v>
      </c>
      <c r="X238" s="11"/>
      <c r="Y238" s="9"/>
    </row>
    <row r="239" customFormat="false" ht="15" hidden="false" customHeight="false" outlineLevel="0" collapsed="false">
      <c r="A239" s="9" t="s">
        <v>1418</v>
      </c>
      <c r="B239" s="9" t="s">
        <v>1409</v>
      </c>
      <c r="C239" s="11" t="s">
        <v>1412</v>
      </c>
      <c r="D239" s="12" t="s">
        <v>1415</v>
      </c>
      <c r="E239" s="9" t="s">
        <v>1440</v>
      </c>
      <c r="F239" s="9" t="s">
        <v>1434</v>
      </c>
      <c r="G239" s="11" t="s">
        <v>1436</v>
      </c>
      <c r="H239" s="12" t="s">
        <v>1438</v>
      </c>
      <c r="I239" s="9"/>
      <c r="J239" s="11"/>
      <c r="K239" s="9"/>
      <c r="L239" s="9" t="s">
        <v>168</v>
      </c>
      <c r="M239" s="9" t="s">
        <v>1435</v>
      </c>
      <c r="N239" s="11" t="s">
        <v>1437</v>
      </c>
      <c r="O239" s="12" t="s">
        <v>1439</v>
      </c>
      <c r="P239" s="13" t="n">
        <v>30</v>
      </c>
      <c r="Q239" s="13" t="n">
        <v>30</v>
      </c>
      <c r="R239" s="13" t="n">
        <v>15</v>
      </c>
      <c r="S239" s="13" t="n">
        <v>6</v>
      </c>
      <c r="T239" s="9" t="s">
        <v>4615</v>
      </c>
      <c r="U239" s="9"/>
      <c r="V239" s="9" t="s">
        <v>4565</v>
      </c>
      <c r="W239" s="9"/>
      <c r="X239" s="11"/>
      <c r="Y239" s="9"/>
    </row>
    <row r="240" customFormat="false" ht="15" hidden="false" customHeight="false" outlineLevel="0" collapsed="false">
      <c r="A240" s="9" t="s">
        <v>1418</v>
      </c>
      <c r="B240" s="9" t="s">
        <v>1409</v>
      </c>
      <c r="C240" s="11" t="s">
        <v>1412</v>
      </c>
      <c r="D240" s="12" t="s">
        <v>1415</v>
      </c>
      <c r="E240" s="9" t="s">
        <v>1445</v>
      </c>
      <c r="F240" s="9" t="s">
        <v>1442</v>
      </c>
      <c r="G240" s="11" t="s">
        <v>1443</v>
      </c>
      <c r="H240" s="12" t="s">
        <v>1444</v>
      </c>
      <c r="I240" s="9"/>
      <c r="J240" s="11"/>
      <c r="K240" s="9"/>
      <c r="L240" s="9" t="s">
        <v>168</v>
      </c>
      <c r="M240" s="9" t="s">
        <v>1435</v>
      </c>
      <c r="N240" s="11" t="s">
        <v>1437</v>
      </c>
      <c r="O240" s="12" t="s">
        <v>1439</v>
      </c>
      <c r="P240" s="13" t="n">
        <v>25</v>
      </c>
      <c r="Q240" s="13" t="n">
        <v>15</v>
      </c>
      <c r="R240" s="13" t="n">
        <v>10</v>
      </c>
      <c r="S240" s="13" t="n">
        <v>0.9</v>
      </c>
      <c r="T240" s="9" t="s">
        <v>4615</v>
      </c>
      <c r="U240" s="9"/>
      <c r="V240" s="9" t="s">
        <v>4568</v>
      </c>
      <c r="W240" s="9" t="s">
        <v>4736</v>
      </c>
      <c r="X240" s="11" t="s">
        <v>4737</v>
      </c>
      <c r="Y240" s="12" t="s">
        <v>4738</v>
      </c>
    </row>
    <row r="241" customFormat="false" ht="15" hidden="false" customHeight="false" outlineLevel="0" collapsed="false">
      <c r="A241" s="9" t="s">
        <v>1418</v>
      </c>
      <c r="B241" s="9" t="s">
        <v>1409</v>
      </c>
      <c r="C241" s="11" t="s">
        <v>1412</v>
      </c>
      <c r="D241" s="12" t="s">
        <v>1415</v>
      </c>
      <c r="E241" s="9" t="s">
        <v>1450</v>
      </c>
      <c r="F241" s="9" t="s">
        <v>1447</v>
      </c>
      <c r="G241" s="11" t="s">
        <v>1448</v>
      </c>
      <c r="H241" s="12" t="s">
        <v>1449</v>
      </c>
      <c r="I241" s="9"/>
      <c r="J241" s="11"/>
      <c r="K241" s="9"/>
      <c r="L241" s="9" t="s">
        <v>4730</v>
      </c>
      <c r="M241" s="9" t="s">
        <v>1411</v>
      </c>
      <c r="N241" s="11" t="s">
        <v>1414</v>
      </c>
      <c r="O241" s="12" t="s">
        <v>1417</v>
      </c>
      <c r="P241" s="13" t="n">
        <v>30</v>
      </c>
      <c r="Q241" s="13" t="n">
        <v>20</v>
      </c>
      <c r="R241" s="13" t="n">
        <v>15</v>
      </c>
      <c r="S241" s="13" t="n">
        <v>5</v>
      </c>
      <c r="T241" s="9" t="s">
        <v>4615</v>
      </c>
      <c r="U241" s="9"/>
      <c r="V241" s="9" t="s">
        <v>4565</v>
      </c>
      <c r="W241" s="9"/>
      <c r="X241" s="11"/>
      <c r="Y241" s="9"/>
    </row>
    <row r="242" customFormat="false" ht="15" hidden="false" customHeight="false" outlineLevel="0" collapsed="false">
      <c r="A242" s="9" t="s">
        <v>1418</v>
      </c>
      <c r="B242" s="9" t="s">
        <v>1409</v>
      </c>
      <c r="C242" s="11" t="s">
        <v>1412</v>
      </c>
      <c r="D242" s="12" t="s">
        <v>1415</v>
      </c>
      <c r="E242" s="9" t="s">
        <v>1458</v>
      </c>
      <c r="F242" s="9" t="s">
        <v>1455</v>
      </c>
      <c r="G242" s="11" t="s">
        <v>1456</v>
      </c>
      <c r="H242" s="12" t="s">
        <v>1457</v>
      </c>
      <c r="I242" s="9"/>
      <c r="J242" s="11"/>
      <c r="K242" s="9"/>
      <c r="L242" s="9" t="s">
        <v>4730</v>
      </c>
      <c r="M242" s="9" t="s">
        <v>1411</v>
      </c>
      <c r="N242" s="11" t="s">
        <v>1414</v>
      </c>
      <c r="O242" s="12" t="s">
        <v>1417</v>
      </c>
      <c r="P242" s="13" t="n">
        <v>30</v>
      </c>
      <c r="Q242" s="13" t="n">
        <v>20</v>
      </c>
      <c r="R242" s="13" t="n">
        <v>15</v>
      </c>
      <c r="S242" s="13" t="n">
        <v>1.8</v>
      </c>
      <c r="T242" s="9" t="s">
        <v>4615</v>
      </c>
      <c r="U242" s="9"/>
      <c r="V242" s="9" t="s">
        <v>4581</v>
      </c>
      <c r="W242" s="9"/>
      <c r="X242" s="11"/>
      <c r="Y242" s="9"/>
    </row>
    <row r="243" customFormat="false" ht="15" hidden="false" customHeight="false" outlineLevel="0" collapsed="false">
      <c r="A243" s="9" t="s">
        <v>1418</v>
      </c>
      <c r="B243" s="9" t="s">
        <v>1409</v>
      </c>
      <c r="C243" s="11" t="s">
        <v>1412</v>
      </c>
      <c r="D243" s="12" t="s">
        <v>1415</v>
      </c>
      <c r="E243" s="9" t="s">
        <v>1466</v>
      </c>
      <c r="F243" s="9" t="s">
        <v>1463</v>
      </c>
      <c r="G243" s="11" t="s">
        <v>1464</v>
      </c>
      <c r="H243" s="12" t="s">
        <v>1465</v>
      </c>
      <c r="I243" s="9"/>
      <c r="J243" s="11"/>
      <c r="K243" s="9"/>
      <c r="L243" s="9" t="s">
        <v>4578</v>
      </c>
      <c r="M243" s="9" t="s">
        <v>1411</v>
      </c>
      <c r="N243" s="11" t="s">
        <v>1414</v>
      </c>
      <c r="O243" s="12" t="s">
        <v>1417</v>
      </c>
      <c r="P243" s="13" t="n">
        <v>15</v>
      </c>
      <c r="Q243" s="13" t="n">
        <v>10</v>
      </c>
      <c r="R243" s="13" t="n">
        <v>8</v>
      </c>
      <c r="S243" s="13" t="n">
        <v>0.3</v>
      </c>
      <c r="T243" s="9" t="s">
        <v>4615</v>
      </c>
      <c r="U243" s="9"/>
      <c r="V243" s="9" t="s">
        <v>4571</v>
      </c>
      <c r="W243" s="9" t="s">
        <v>4739</v>
      </c>
      <c r="X243" s="11"/>
      <c r="Y243" s="9"/>
    </row>
    <row r="244" customFormat="false" ht="15" hidden="false" customHeight="false" outlineLevel="0" collapsed="false">
      <c r="A244" s="9" t="s">
        <v>1418</v>
      </c>
      <c r="B244" s="9" t="s">
        <v>1409</v>
      </c>
      <c r="C244" s="11" t="s">
        <v>1412</v>
      </c>
      <c r="D244" s="12" t="s">
        <v>1415</v>
      </c>
      <c r="E244" s="9" t="s">
        <v>1472</v>
      </c>
      <c r="F244" s="9" t="s">
        <v>1469</v>
      </c>
      <c r="G244" s="11" t="s">
        <v>1470</v>
      </c>
      <c r="H244" s="12" t="s">
        <v>1471</v>
      </c>
      <c r="I244" s="9"/>
      <c r="J244" s="11"/>
      <c r="K244" s="9"/>
      <c r="L244" s="9" t="s">
        <v>4578</v>
      </c>
      <c r="M244" s="9" t="s">
        <v>1411</v>
      </c>
      <c r="N244" s="11" t="s">
        <v>1414</v>
      </c>
      <c r="O244" s="12" t="s">
        <v>1417</v>
      </c>
      <c r="P244" s="13" t="n">
        <v>15</v>
      </c>
      <c r="Q244" s="13" t="n">
        <v>10</v>
      </c>
      <c r="R244" s="13" t="n">
        <v>8</v>
      </c>
      <c r="S244" s="13" t="n">
        <v>0.3</v>
      </c>
      <c r="T244" s="9" t="s">
        <v>4615</v>
      </c>
      <c r="U244" s="9"/>
      <c r="V244" s="9" t="s">
        <v>4571</v>
      </c>
      <c r="W244" s="9" t="s">
        <v>4740</v>
      </c>
      <c r="X244" s="11"/>
      <c r="Y244" s="9"/>
    </row>
    <row r="245" customFormat="false" ht="15" hidden="false" customHeight="false" outlineLevel="0" collapsed="false">
      <c r="A245" s="9" t="s">
        <v>1418</v>
      </c>
      <c r="B245" s="9" t="s">
        <v>1409</v>
      </c>
      <c r="C245" s="11" t="s">
        <v>1412</v>
      </c>
      <c r="D245" s="12" t="s">
        <v>1415</v>
      </c>
      <c r="E245" s="9" t="s">
        <v>1478</v>
      </c>
      <c r="F245" s="9" t="s">
        <v>1475</v>
      </c>
      <c r="G245" s="11" t="s">
        <v>1476</v>
      </c>
      <c r="H245" s="12" t="s">
        <v>1477</v>
      </c>
      <c r="I245" s="9"/>
      <c r="J245" s="11"/>
      <c r="K245" s="9"/>
      <c r="L245" s="9" t="s">
        <v>4578</v>
      </c>
      <c r="M245" s="9" t="s">
        <v>1411</v>
      </c>
      <c r="N245" s="11" t="s">
        <v>1414</v>
      </c>
      <c r="O245" s="12" t="s">
        <v>1417</v>
      </c>
      <c r="P245" s="13" t="n">
        <v>15</v>
      </c>
      <c r="Q245" s="13" t="n">
        <v>10</v>
      </c>
      <c r="R245" s="13" t="n">
        <v>8</v>
      </c>
      <c r="S245" s="13" t="n">
        <v>0.3</v>
      </c>
      <c r="T245" s="9" t="s">
        <v>4615</v>
      </c>
      <c r="U245" s="9"/>
      <c r="V245" s="9" t="s">
        <v>4571</v>
      </c>
      <c r="W245" s="9"/>
      <c r="X245" s="11"/>
      <c r="Y245" s="9"/>
    </row>
    <row r="246" customFormat="false" ht="15" hidden="false" customHeight="false" outlineLevel="0" collapsed="false">
      <c r="A246" s="9" t="s">
        <v>1418</v>
      </c>
      <c r="B246" s="9" t="s">
        <v>1409</v>
      </c>
      <c r="C246" s="11" t="s">
        <v>1412</v>
      </c>
      <c r="D246" s="12" t="s">
        <v>1415</v>
      </c>
      <c r="E246" s="9" t="s">
        <v>1484</v>
      </c>
      <c r="F246" s="9" t="s">
        <v>1481</v>
      </c>
      <c r="G246" s="11" t="s">
        <v>1482</v>
      </c>
      <c r="H246" s="12" t="s">
        <v>1483</v>
      </c>
      <c r="I246" s="9"/>
      <c r="J246" s="11"/>
      <c r="K246" s="9"/>
      <c r="L246" s="9" t="s">
        <v>4578</v>
      </c>
      <c r="M246" s="9" t="s">
        <v>1411</v>
      </c>
      <c r="N246" s="11" t="s">
        <v>1414</v>
      </c>
      <c r="O246" s="12" t="s">
        <v>1417</v>
      </c>
      <c r="P246" s="13" t="n">
        <v>10</v>
      </c>
      <c r="Q246" s="13" t="n">
        <v>8</v>
      </c>
      <c r="R246" s="13" t="n">
        <v>6</v>
      </c>
      <c r="S246" s="13" t="n">
        <v>0.1</v>
      </c>
      <c r="T246" s="9" t="s">
        <v>4615</v>
      </c>
      <c r="U246" s="9"/>
      <c r="V246" s="9" t="s">
        <v>4572</v>
      </c>
      <c r="W246" s="9" t="s">
        <v>4741</v>
      </c>
      <c r="X246" s="11"/>
      <c r="Y246" s="9"/>
    </row>
    <row r="247" customFormat="false" ht="15" hidden="false" customHeight="false" outlineLevel="0" collapsed="false">
      <c r="A247" s="9" t="s">
        <v>1418</v>
      </c>
      <c r="B247" s="9" t="s">
        <v>1409</v>
      </c>
      <c r="C247" s="11" t="s">
        <v>1412</v>
      </c>
      <c r="D247" s="12" t="s">
        <v>1415</v>
      </c>
      <c r="E247" s="9" t="s">
        <v>1490</v>
      </c>
      <c r="F247" s="9" t="s">
        <v>1487</v>
      </c>
      <c r="G247" s="11" t="s">
        <v>1488</v>
      </c>
      <c r="H247" s="12" t="s">
        <v>1489</v>
      </c>
      <c r="I247" s="9"/>
      <c r="J247" s="11"/>
      <c r="K247" s="9"/>
      <c r="L247" s="9" t="s">
        <v>4604</v>
      </c>
      <c r="M247" s="9" t="s">
        <v>237</v>
      </c>
      <c r="N247" s="11" t="s">
        <v>239</v>
      </c>
      <c r="O247" s="12" t="s">
        <v>241</v>
      </c>
      <c r="P247" s="13" t="n">
        <v>25</v>
      </c>
      <c r="Q247" s="13" t="n">
        <v>15</v>
      </c>
      <c r="R247" s="13" t="n">
        <v>10</v>
      </c>
      <c r="S247" s="13" t="n">
        <v>0.9</v>
      </c>
      <c r="T247" s="9" t="s">
        <v>4615</v>
      </c>
      <c r="U247" s="9"/>
      <c r="V247" s="9" t="s">
        <v>4568</v>
      </c>
      <c r="W247" s="9"/>
      <c r="X247" s="11"/>
      <c r="Y247" s="9"/>
    </row>
    <row r="248" customFormat="false" ht="15" hidden="false" customHeight="false" outlineLevel="0" collapsed="false">
      <c r="A248" s="9" t="s">
        <v>1418</v>
      </c>
      <c r="B248" s="9" t="s">
        <v>1409</v>
      </c>
      <c r="C248" s="11" t="s">
        <v>1412</v>
      </c>
      <c r="D248" s="12" t="s">
        <v>1415</v>
      </c>
      <c r="E248" s="9" t="s">
        <v>1496</v>
      </c>
      <c r="F248" s="9" t="s">
        <v>1493</v>
      </c>
      <c r="G248" s="11" t="s">
        <v>1494</v>
      </c>
      <c r="H248" s="12" t="s">
        <v>1495</v>
      </c>
      <c r="I248" s="9"/>
      <c r="J248" s="11"/>
      <c r="K248" s="9"/>
      <c r="L248" s="9" t="s">
        <v>68</v>
      </c>
      <c r="M248" s="9" t="s">
        <v>1162</v>
      </c>
      <c r="N248" s="11" t="s">
        <v>1164</v>
      </c>
      <c r="O248" s="12" t="s">
        <v>1166</v>
      </c>
      <c r="P248" s="13" t="n">
        <v>30</v>
      </c>
      <c r="Q248" s="13" t="n">
        <v>20</v>
      </c>
      <c r="R248" s="13" t="n">
        <v>15</v>
      </c>
      <c r="S248" s="13" t="n">
        <v>1.8</v>
      </c>
      <c r="T248" s="9" t="s">
        <v>4615</v>
      </c>
      <c r="U248" s="9"/>
      <c r="V248" s="9" t="s">
        <v>4581</v>
      </c>
      <c r="W248" s="9"/>
      <c r="X248" s="11"/>
      <c r="Y248" s="9"/>
    </row>
    <row r="249" customFormat="false" ht="15" hidden="false" customHeight="false" outlineLevel="0" collapsed="false">
      <c r="A249" s="9" t="s">
        <v>1418</v>
      </c>
      <c r="B249" s="9" t="s">
        <v>1409</v>
      </c>
      <c r="C249" s="11" t="s">
        <v>1412</v>
      </c>
      <c r="D249" s="12" t="s">
        <v>1415</v>
      </c>
      <c r="E249" s="9" t="s">
        <v>1501</v>
      </c>
      <c r="F249" s="9" t="s">
        <v>1498</v>
      </c>
      <c r="G249" s="11" t="s">
        <v>1499</v>
      </c>
      <c r="H249" s="12" t="s">
        <v>1500</v>
      </c>
      <c r="I249" s="9"/>
      <c r="J249" s="11"/>
      <c r="K249" s="9"/>
      <c r="L249" s="9" t="s">
        <v>4604</v>
      </c>
      <c r="M249" s="9" t="s">
        <v>1435</v>
      </c>
      <c r="N249" s="11" t="s">
        <v>1437</v>
      </c>
      <c r="O249" s="12" t="s">
        <v>1439</v>
      </c>
      <c r="P249" s="13" t="n">
        <v>25</v>
      </c>
      <c r="Q249" s="13" t="n">
        <v>15</v>
      </c>
      <c r="R249" s="13" t="n">
        <v>10</v>
      </c>
      <c r="S249" s="13" t="n">
        <v>0.9</v>
      </c>
      <c r="T249" s="9" t="s">
        <v>4615</v>
      </c>
      <c r="U249" s="9"/>
      <c r="V249" s="9" t="s">
        <v>4568</v>
      </c>
      <c r="W249" s="9" t="s">
        <v>4742</v>
      </c>
      <c r="X249" s="11"/>
      <c r="Y249" s="9"/>
    </row>
    <row r="250" customFormat="false" ht="15" hidden="false" customHeight="false" outlineLevel="0" collapsed="false">
      <c r="A250" s="9" t="s">
        <v>1418</v>
      </c>
      <c r="B250" s="9" t="s">
        <v>1409</v>
      </c>
      <c r="C250" s="11" t="s">
        <v>1412</v>
      </c>
      <c r="D250" s="12" t="s">
        <v>1415</v>
      </c>
      <c r="E250" s="9" t="s">
        <v>1507</v>
      </c>
      <c r="F250" s="9" t="s">
        <v>1504</v>
      </c>
      <c r="G250" s="11" t="s">
        <v>1505</v>
      </c>
      <c r="H250" s="12" t="s">
        <v>1506</v>
      </c>
      <c r="I250" s="9"/>
      <c r="J250" s="11"/>
      <c r="K250" s="9"/>
      <c r="L250" s="9" t="s">
        <v>68</v>
      </c>
      <c r="M250" s="9" t="s">
        <v>1162</v>
      </c>
      <c r="N250" s="11" t="s">
        <v>1164</v>
      </c>
      <c r="O250" s="12" t="s">
        <v>1166</v>
      </c>
      <c r="P250" s="13" t="n">
        <v>10</v>
      </c>
      <c r="Q250" s="13" t="n">
        <v>8</v>
      </c>
      <c r="R250" s="13" t="n">
        <v>6</v>
      </c>
      <c r="S250" s="13" t="n">
        <v>0.1</v>
      </c>
      <c r="T250" s="9" t="s">
        <v>4615</v>
      </c>
      <c r="U250" s="9"/>
      <c r="V250" s="9" t="s">
        <v>4572</v>
      </c>
      <c r="W250" s="9" t="s">
        <v>4743</v>
      </c>
      <c r="X250" s="11"/>
      <c r="Y250" s="9"/>
    </row>
    <row r="251" customFormat="false" ht="15" hidden="false" customHeight="false" outlineLevel="0" collapsed="false">
      <c r="A251" s="9" t="s">
        <v>1418</v>
      </c>
      <c r="B251" s="9" t="s">
        <v>1409</v>
      </c>
      <c r="C251" s="11" t="s">
        <v>1412</v>
      </c>
      <c r="D251" s="12" t="s">
        <v>1415</v>
      </c>
      <c r="E251" s="9" t="s">
        <v>1515</v>
      </c>
      <c r="F251" s="9" t="s">
        <v>1509</v>
      </c>
      <c r="G251" s="11" t="s">
        <v>1511</v>
      </c>
      <c r="H251" s="12" t="s">
        <v>1513</v>
      </c>
      <c r="I251" s="9"/>
      <c r="J251" s="11"/>
      <c r="K251" s="9"/>
      <c r="L251" s="9" t="s">
        <v>4730</v>
      </c>
      <c r="M251" s="9" t="s">
        <v>1510</v>
      </c>
      <c r="N251" s="11" t="s">
        <v>1512</v>
      </c>
      <c r="O251" s="12" t="s">
        <v>1514</v>
      </c>
      <c r="P251" s="13" t="n">
        <v>30</v>
      </c>
      <c r="Q251" s="13" t="n">
        <v>20</v>
      </c>
      <c r="R251" s="13" t="n">
        <v>15</v>
      </c>
      <c r="S251" s="13" t="n">
        <v>1.8</v>
      </c>
      <c r="T251" s="9" t="s">
        <v>4615</v>
      </c>
      <c r="U251" s="9"/>
      <c r="V251" s="9" t="s">
        <v>4581</v>
      </c>
      <c r="W251" s="9"/>
      <c r="X251" s="11"/>
      <c r="Y251" s="9"/>
    </row>
    <row r="252" customFormat="false" ht="15" hidden="false" customHeight="false" outlineLevel="0" collapsed="false">
      <c r="A252" s="9" t="s">
        <v>1418</v>
      </c>
      <c r="B252" s="9" t="s">
        <v>1409</v>
      </c>
      <c r="C252" s="11" t="s">
        <v>1412</v>
      </c>
      <c r="D252" s="12" t="s">
        <v>1415</v>
      </c>
      <c r="E252" s="9" t="s">
        <v>1523</v>
      </c>
      <c r="F252" s="9" t="s">
        <v>1520</v>
      </c>
      <c r="G252" s="11" t="s">
        <v>1521</v>
      </c>
      <c r="H252" s="12" t="s">
        <v>1522</v>
      </c>
      <c r="I252" s="9"/>
      <c r="J252" s="11"/>
      <c r="K252" s="9"/>
      <c r="L252" s="9" t="s">
        <v>4730</v>
      </c>
      <c r="M252" s="9" t="s">
        <v>1510</v>
      </c>
      <c r="N252" s="11" t="s">
        <v>1512</v>
      </c>
      <c r="O252" s="12" t="s">
        <v>1514</v>
      </c>
      <c r="P252" s="13" t="n">
        <v>25</v>
      </c>
      <c r="Q252" s="13" t="n">
        <v>15</v>
      </c>
      <c r="R252" s="13" t="n">
        <v>10</v>
      </c>
      <c r="S252" s="13" t="n">
        <v>0.9</v>
      </c>
      <c r="T252" s="9" t="s">
        <v>4615</v>
      </c>
      <c r="U252" s="9"/>
      <c r="V252" s="9" t="s">
        <v>4568</v>
      </c>
      <c r="W252" s="9"/>
      <c r="X252" s="11"/>
      <c r="Y252" s="9"/>
    </row>
    <row r="253" customFormat="false" ht="15" hidden="false" customHeight="false" outlineLevel="0" collapsed="false">
      <c r="A253" s="9" t="s">
        <v>1534</v>
      </c>
      <c r="B253" s="9" t="s">
        <v>1528</v>
      </c>
      <c r="C253" s="11" t="s">
        <v>1530</v>
      </c>
      <c r="D253" s="12" t="s">
        <v>1532</v>
      </c>
      <c r="E253" s="9" t="s">
        <v>1535</v>
      </c>
      <c r="F253" s="9" t="s">
        <v>1529</v>
      </c>
      <c r="G253" s="11" t="s">
        <v>1531</v>
      </c>
      <c r="H253" s="12" t="s">
        <v>1533</v>
      </c>
      <c r="I253" s="9"/>
      <c r="J253" s="11"/>
      <c r="K253" s="9"/>
      <c r="L253" s="9" t="s">
        <v>68</v>
      </c>
      <c r="M253" s="9" t="s">
        <v>831</v>
      </c>
      <c r="N253" s="11" t="s">
        <v>833</v>
      </c>
      <c r="O253" s="12" t="s">
        <v>835</v>
      </c>
      <c r="P253" s="13" t="n">
        <v>30</v>
      </c>
      <c r="Q253" s="13" t="n">
        <v>20</v>
      </c>
      <c r="R253" s="13" t="n">
        <v>15</v>
      </c>
      <c r="S253" s="13" t="n">
        <v>1.8</v>
      </c>
      <c r="T253" s="9" t="s">
        <v>4615</v>
      </c>
      <c r="U253" s="9"/>
      <c r="V253" s="9" t="s">
        <v>4581</v>
      </c>
      <c r="W253" s="9"/>
      <c r="X253" s="11"/>
      <c r="Y253" s="9"/>
    </row>
    <row r="254" customFormat="false" ht="15" hidden="false" customHeight="false" outlineLevel="0" collapsed="false">
      <c r="A254" s="9" t="s">
        <v>1534</v>
      </c>
      <c r="B254" s="9" t="s">
        <v>1528</v>
      </c>
      <c r="C254" s="11" t="s">
        <v>1530</v>
      </c>
      <c r="D254" s="12" t="s">
        <v>1532</v>
      </c>
      <c r="E254" s="9" t="s">
        <v>1540</v>
      </c>
      <c r="F254" s="9" t="s">
        <v>1537</v>
      </c>
      <c r="G254" s="11" t="s">
        <v>1538</v>
      </c>
      <c r="H254" s="12" t="s">
        <v>1539</v>
      </c>
      <c r="I254" s="9"/>
      <c r="J254" s="11"/>
      <c r="K254" s="9"/>
      <c r="L254" s="9" t="s">
        <v>68</v>
      </c>
      <c r="M254" s="9" t="s">
        <v>831</v>
      </c>
      <c r="N254" s="11" t="s">
        <v>833</v>
      </c>
      <c r="O254" s="12" t="s">
        <v>835</v>
      </c>
      <c r="P254" s="13" t="n">
        <v>30</v>
      </c>
      <c r="Q254" s="13" t="n">
        <v>30</v>
      </c>
      <c r="R254" s="13" t="n">
        <v>20</v>
      </c>
      <c r="S254" s="13" t="n">
        <v>4</v>
      </c>
      <c r="T254" s="9" t="s">
        <v>4615</v>
      </c>
      <c r="U254" s="9"/>
      <c r="V254" s="9" t="s">
        <v>4565</v>
      </c>
      <c r="W254" s="9"/>
      <c r="X254" s="11" t="s">
        <v>4744</v>
      </c>
      <c r="Y254" s="9"/>
    </row>
    <row r="255" customFormat="false" ht="15" hidden="false" customHeight="false" outlineLevel="0" collapsed="false">
      <c r="A255" s="9" t="s">
        <v>1534</v>
      </c>
      <c r="B255" s="9" t="s">
        <v>1528</v>
      </c>
      <c r="C255" s="11" t="s">
        <v>1530</v>
      </c>
      <c r="D255" s="12" t="s">
        <v>1532</v>
      </c>
      <c r="E255" s="9" t="s">
        <v>1545</v>
      </c>
      <c r="F255" s="9" t="s">
        <v>1542</v>
      </c>
      <c r="G255" s="11" t="s">
        <v>1543</v>
      </c>
      <c r="H255" s="12" t="s">
        <v>1544</v>
      </c>
      <c r="I255" s="9"/>
      <c r="J255" s="11"/>
      <c r="K255" s="9"/>
      <c r="L255" s="9" t="s">
        <v>68</v>
      </c>
      <c r="M255" s="9" t="s">
        <v>831</v>
      </c>
      <c r="N255" s="11" t="s">
        <v>833</v>
      </c>
      <c r="O255" s="12" t="s">
        <v>835</v>
      </c>
      <c r="P255" s="13" t="n">
        <v>10</v>
      </c>
      <c r="Q255" s="13" t="n">
        <v>8</v>
      </c>
      <c r="R255" s="13" t="n">
        <v>6</v>
      </c>
      <c r="S255" s="13" t="n">
        <v>0.1</v>
      </c>
      <c r="T255" s="9" t="s">
        <v>4563</v>
      </c>
      <c r="U255" s="9"/>
      <c r="V255" s="9" t="s">
        <v>4572</v>
      </c>
      <c r="W255" s="9" t="s">
        <v>4745</v>
      </c>
      <c r="X255" s="11"/>
      <c r="Y255" s="9"/>
    </row>
    <row r="256" customFormat="false" ht="15" hidden="false" customHeight="false" outlineLevel="0" collapsed="false">
      <c r="A256" s="9" t="s">
        <v>1534</v>
      </c>
      <c r="B256" s="9" t="s">
        <v>1528</v>
      </c>
      <c r="C256" s="11" t="s">
        <v>1530</v>
      </c>
      <c r="D256" s="12" t="s">
        <v>1532</v>
      </c>
      <c r="E256" s="9" t="s">
        <v>1550</v>
      </c>
      <c r="F256" s="9" t="s">
        <v>1547</v>
      </c>
      <c r="G256" s="11" t="s">
        <v>1548</v>
      </c>
      <c r="H256" s="12" t="s">
        <v>1549</v>
      </c>
      <c r="I256" s="9"/>
      <c r="J256" s="11"/>
      <c r="K256" s="9"/>
      <c r="L256" s="9" t="s">
        <v>68</v>
      </c>
      <c r="M256" s="9" t="s">
        <v>831</v>
      </c>
      <c r="N256" s="11" t="s">
        <v>833</v>
      </c>
      <c r="O256" s="12" t="s">
        <v>835</v>
      </c>
      <c r="P256" s="13" t="n">
        <v>15</v>
      </c>
      <c r="Q256" s="13" t="n">
        <v>10</v>
      </c>
      <c r="R256" s="13" t="n">
        <v>8</v>
      </c>
      <c r="S256" s="13" t="n">
        <v>0.3</v>
      </c>
      <c r="T256" s="9" t="s">
        <v>4563</v>
      </c>
      <c r="U256" s="9"/>
      <c r="V256" s="9" t="s">
        <v>4571</v>
      </c>
      <c r="W256" s="9"/>
      <c r="X256" s="11"/>
      <c r="Y256" s="9"/>
    </row>
    <row r="257" customFormat="false" ht="15" hidden="false" customHeight="false" outlineLevel="0" collapsed="false">
      <c r="A257" s="9" t="s">
        <v>1534</v>
      </c>
      <c r="B257" s="9" t="s">
        <v>1528</v>
      </c>
      <c r="C257" s="11" t="s">
        <v>1530</v>
      </c>
      <c r="D257" s="12" t="s">
        <v>1532</v>
      </c>
      <c r="E257" s="9" t="s">
        <v>1555</v>
      </c>
      <c r="F257" s="9" t="s">
        <v>1552</v>
      </c>
      <c r="G257" s="11" t="s">
        <v>1553</v>
      </c>
      <c r="H257" s="12" t="s">
        <v>1554</v>
      </c>
      <c r="I257" s="9"/>
      <c r="J257" s="11"/>
      <c r="K257" s="9"/>
      <c r="L257" s="9" t="s">
        <v>68</v>
      </c>
      <c r="M257" s="9" t="s">
        <v>69</v>
      </c>
      <c r="N257" s="11" t="s">
        <v>73</v>
      </c>
      <c r="O257" s="12" t="s">
        <v>77</v>
      </c>
      <c r="P257" s="13" t="n">
        <v>25</v>
      </c>
      <c r="Q257" s="13" t="n">
        <v>15</v>
      </c>
      <c r="R257" s="13" t="n">
        <v>10</v>
      </c>
      <c r="S257" s="13" t="n">
        <v>0.9</v>
      </c>
      <c r="T257" s="9" t="s">
        <v>4615</v>
      </c>
      <c r="U257" s="9"/>
      <c r="V257" s="9" t="s">
        <v>4568</v>
      </c>
      <c r="W257" s="9"/>
      <c r="X257" s="11"/>
      <c r="Y257" s="9"/>
    </row>
    <row r="258" customFormat="false" ht="15" hidden="false" customHeight="false" outlineLevel="0" collapsed="false">
      <c r="A258" s="9" t="s">
        <v>1534</v>
      </c>
      <c r="B258" s="9" t="s">
        <v>1528</v>
      </c>
      <c r="C258" s="11" t="s">
        <v>1530</v>
      </c>
      <c r="D258" s="12" t="s">
        <v>1532</v>
      </c>
      <c r="E258" s="9" t="s">
        <v>1560</v>
      </c>
      <c r="F258" s="9" t="s">
        <v>1557</v>
      </c>
      <c r="G258" s="11" t="s">
        <v>1558</v>
      </c>
      <c r="H258" s="12" t="s">
        <v>1559</v>
      </c>
      <c r="I258" s="9"/>
      <c r="J258" s="11"/>
      <c r="K258" s="9"/>
      <c r="L258" s="9" t="s">
        <v>68</v>
      </c>
      <c r="M258" s="9" t="s">
        <v>69</v>
      </c>
      <c r="N258" s="11" t="s">
        <v>73</v>
      </c>
      <c r="O258" s="12" t="s">
        <v>77</v>
      </c>
      <c r="P258" s="13" t="n">
        <v>10</v>
      </c>
      <c r="Q258" s="13" t="n">
        <v>8</v>
      </c>
      <c r="R258" s="13" t="n">
        <v>6</v>
      </c>
      <c r="S258" s="13" t="n">
        <v>0.1</v>
      </c>
      <c r="T258" s="9" t="s">
        <v>4615</v>
      </c>
      <c r="U258" s="9"/>
      <c r="V258" s="9" t="s">
        <v>4572</v>
      </c>
      <c r="W258" s="9" t="s">
        <v>4746</v>
      </c>
      <c r="X258" s="11"/>
      <c r="Y258" s="9"/>
    </row>
    <row r="259" customFormat="false" ht="15" hidden="false" customHeight="false" outlineLevel="0" collapsed="false">
      <c r="A259" s="9" t="s">
        <v>1534</v>
      </c>
      <c r="B259" s="9" t="s">
        <v>1528</v>
      </c>
      <c r="C259" s="11" t="s">
        <v>1530</v>
      </c>
      <c r="D259" s="12" t="s">
        <v>1532</v>
      </c>
      <c r="E259" s="9" t="s">
        <v>1565</v>
      </c>
      <c r="F259" s="9" t="s">
        <v>1562</v>
      </c>
      <c r="G259" s="11" t="s">
        <v>1563</v>
      </c>
      <c r="H259" s="12" t="s">
        <v>1564</v>
      </c>
      <c r="I259" s="9"/>
      <c r="J259" s="11"/>
      <c r="K259" s="9"/>
      <c r="L259" s="9" t="s">
        <v>4730</v>
      </c>
      <c r="M259" s="9" t="s">
        <v>1411</v>
      </c>
      <c r="N259" s="11" t="s">
        <v>1414</v>
      </c>
      <c r="O259" s="12" t="s">
        <v>1417</v>
      </c>
      <c r="P259" s="13" t="n">
        <v>15</v>
      </c>
      <c r="Q259" s="13" t="n">
        <v>10</v>
      </c>
      <c r="R259" s="13" t="n">
        <v>8</v>
      </c>
      <c r="S259" s="13" t="n">
        <v>0.3</v>
      </c>
      <c r="T259" s="9" t="s">
        <v>4615</v>
      </c>
      <c r="U259" s="9"/>
      <c r="V259" s="9" t="s">
        <v>4571</v>
      </c>
      <c r="W259" s="9"/>
      <c r="X259" s="11"/>
      <c r="Y259" s="9"/>
    </row>
    <row r="260" customFormat="false" ht="15" hidden="false" customHeight="false" outlineLevel="0" collapsed="false">
      <c r="A260" s="9" t="s">
        <v>1534</v>
      </c>
      <c r="B260" s="9" t="s">
        <v>1528</v>
      </c>
      <c r="C260" s="11" t="s">
        <v>1530</v>
      </c>
      <c r="D260" s="12" t="s">
        <v>1532</v>
      </c>
      <c r="E260" s="9" t="s">
        <v>1573</v>
      </c>
      <c r="F260" s="9" t="s">
        <v>1570</v>
      </c>
      <c r="G260" s="11" t="s">
        <v>1571</v>
      </c>
      <c r="H260" s="12" t="s">
        <v>1572</v>
      </c>
      <c r="I260" s="9"/>
      <c r="J260" s="11"/>
      <c r="K260" s="9"/>
      <c r="L260" s="9" t="s">
        <v>4578</v>
      </c>
      <c r="M260" s="9" t="s">
        <v>237</v>
      </c>
      <c r="N260" s="11" t="s">
        <v>239</v>
      </c>
      <c r="O260" s="12" t="s">
        <v>241</v>
      </c>
      <c r="P260" s="13" t="n">
        <v>25</v>
      </c>
      <c r="Q260" s="13" t="n">
        <v>15</v>
      </c>
      <c r="R260" s="13" t="n">
        <v>10</v>
      </c>
      <c r="S260" s="13" t="n">
        <v>0.9</v>
      </c>
      <c r="T260" s="9" t="s">
        <v>4615</v>
      </c>
      <c r="U260" s="9"/>
      <c r="V260" s="9" t="s">
        <v>4568</v>
      </c>
      <c r="W260" s="9" t="s">
        <v>4747</v>
      </c>
      <c r="X260" s="11"/>
      <c r="Y260" s="9"/>
    </row>
    <row r="261" customFormat="false" ht="15" hidden="false" customHeight="false" outlineLevel="0" collapsed="false">
      <c r="A261" s="9" t="s">
        <v>1534</v>
      </c>
      <c r="B261" s="9" t="s">
        <v>1528</v>
      </c>
      <c r="C261" s="11" t="s">
        <v>1530</v>
      </c>
      <c r="D261" s="12" t="s">
        <v>1532</v>
      </c>
      <c r="E261" s="9" t="s">
        <v>1579</v>
      </c>
      <c r="F261" s="9" t="s">
        <v>1576</v>
      </c>
      <c r="G261" s="11" t="s">
        <v>1577</v>
      </c>
      <c r="H261" s="12" t="s">
        <v>1578</v>
      </c>
      <c r="I261" s="9"/>
      <c r="J261" s="11"/>
      <c r="K261" s="9"/>
      <c r="L261" s="9" t="s">
        <v>68</v>
      </c>
      <c r="M261" s="9" t="s">
        <v>1411</v>
      </c>
      <c r="N261" s="11" t="s">
        <v>1414</v>
      </c>
      <c r="O261" s="12" t="s">
        <v>1417</v>
      </c>
      <c r="P261" s="13" t="n">
        <v>15</v>
      </c>
      <c r="Q261" s="13" t="n">
        <v>10</v>
      </c>
      <c r="R261" s="13" t="n">
        <v>8</v>
      </c>
      <c r="S261" s="13" t="n">
        <v>0.3</v>
      </c>
      <c r="T261" s="9" t="s">
        <v>4615</v>
      </c>
      <c r="U261" s="9"/>
      <c r="V261" s="9" t="s">
        <v>4571</v>
      </c>
      <c r="W261" s="9"/>
      <c r="X261" s="11"/>
      <c r="Y261" s="9"/>
    </row>
    <row r="262" customFormat="false" ht="15" hidden="false" customHeight="false" outlineLevel="0" collapsed="false">
      <c r="A262" s="9" t="s">
        <v>1534</v>
      </c>
      <c r="B262" s="9" t="s">
        <v>1528</v>
      </c>
      <c r="C262" s="11" t="s">
        <v>1530</v>
      </c>
      <c r="D262" s="12" t="s">
        <v>1532</v>
      </c>
      <c r="E262" s="9" t="s">
        <v>1584</v>
      </c>
      <c r="F262" s="9" t="s">
        <v>1581</v>
      </c>
      <c r="G262" s="11" t="s">
        <v>1582</v>
      </c>
      <c r="H262" s="9" t="s">
        <v>1583</v>
      </c>
      <c r="I262" s="9"/>
      <c r="J262" s="11"/>
      <c r="K262" s="9"/>
      <c r="L262" s="9" t="s">
        <v>68</v>
      </c>
      <c r="M262" s="9" t="s">
        <v>69</v>
      </c>
      <c r="N262" s="11" t="s">
        <v>73</v>
      </c>
      <c r="O262" s="12" t="s">
        <v>77</v>
      </c>
      <c r="P262" s="13" t="n">
        <v>20</v>
      </c>
      <c r="Q262" s="13" t="n">
        <v>15</v>
      </c>
      <c r="R262" s="13" t="n">
        <v>15</v>
      </c>
      <c r="S262" s="13" t="n">
        <v>3</v>
      </c>
      <c r="T262" s="9" t="s">
        <v>4615</v>
      </c>
      <c r="U262" s="9"/>
      <c r="V262" s="9" t="s">
        <v>4565</v>
      </c>
      <c r="W262" s="9"/>
      <c r="X262" s="11"/>
      <c r="Y262" s="9"/>
    </row>
    <row r="263" customFormat="false" ht="15" hidden="false" customHeight="false" outlineLevel="0" collapsed="false">
      <c r="A263" s="9" t="s">
        <v>1534</v>
      </c>
      <c r="B263" s="9" t="s">
        <v>1528</v>
      </c>
      <c r="C263" s="11" t="s">
        <v>1530</v>
      </c>
      <c r="D263" s="12" t="s">
        <v>1532</v>
      </c>
      <c r="E263" s="9" t="s">
        <v>1589</v>
      </c>
      <c r="F263" s="9" t="s">
        <v>1586</v>
      </c>
      <c r="G263" s="11" t="s">
        <v>1587</v>
      </c>
      <c r="H263" s="9" t="s">
        <v>1588</v>
      </c>
      <c r="I263" s="9"/>
      <c r="J263" s="11"/>
      <c r="K263" s="9"/>
      <c r="L263" s="9" t="s">
        <v>4730</v>
      </c>
      <c r="M263" s="9" t="s">
        <v>1510</v>
      </c>
      <c r="N263" s="11" t="s">
        <v>1512</v>
      </c>
      <c r="O263" s="12" t="s">
        <v>1514</v>
      </c>
      <c r="P263" s="13" t="n">
        <v>10</v>
      </c>
      <c r="Q263" s="13" t="n">
        <v>8</v>
      </c>
      <c r="R263" s="13" t="n">
        <v>6</v>
      </c>
      <c r="S263" s="13" t="n">
        <v>0.1</v>
      </c>
      <c r="T263" s="9" t="s">
        <v>4615</v>
      </c>
      <c r="U263" s="9"/>
      <c r="V263" s="9" t="s">
        <v>4572</v>
      </c>
      <c r="W263" s="9" t="s">
        <v>4748</v>
      </c>
      <c r="X263" s="11" t="s">
        <v>4749</v>
      </c>
      <c r="Y263" s="9"/>
    </row>
    <row r="264" customFormat="false" ht="15" hidden="false" customHeight="false" outlineLevel="0" collapsed="false">
      <c r="A264" s="9" t="s">
        <v>1534</v>
      </c>
      <c r="B264" s="9" t="s">
        <v>1528</v>
      </c>
      <c r="C264" s="11" t="s">
        <v>1530</v>
      </c>
      <c r="D264" s="12" t="s">
        <v>1532</v>
      </c>
      <c r="E264" s="9" t="s">
        <v>1597</v>
      </c>
      <c r="F264" s="9" t="s">
        <v>1594</v>
      </c>
      <c r="G264" s="11" t="s">
        <v>1595</v>
      </c>
      <c r="H264" s="9" t="s">
        <v>1596</v>
      </c>
      <c r="I264" s="9"/>
      <c r="J264" s="11"/>
      <c r="K264" s="9"/>
      <c r="L264" s="9" t="s">
        <v>4730</v>
      </c>
      <c r="M264" s="9" t="s">
        <v>1510</v>
      </c>
      <c r="N264" s="11" t="s">
        <v>1512</v>
      </c>
      <c r="O264" s="12" t="s">
        <v>1514</v>
      </c>
      <c r="P264" s="13" t="n">
        <v>15</v>
      </c>
      <c r="Q264" s="13" t="n">
        <v>10</v>
      </c>
      <c r="R264" s="13" t="n">
        <v>8</v>
      </c>
      <c r="S264" s="13" t="n">
        <v>0.3</v>
      </c>
      <c r="T264" s="9" t="s">
        <v>4615</v>
      </c>
      <c r="U264" s="9"/>
      <c r="V264" s="9" t="s">
        <v>4571</v>
      </c>
      <c r="W264" s="9"/>
      <c r="X264" s="11"/>
      <c r="Y264" s="9"/>
    </row>
    <row r="265" customFormat="false" ht="15" hidden="false" customHeight="false" outlineLevel="0" collapsed="false">
      <c r="A265" s="9" t="s">
        <v>1534</v>
      </c>
      <c r="B265" s="9" t="s">
        <v>1528</v>
      </c>
      <c r="C265" s="11" t="s">
        <v>1530</v>
      </c>
      <c r="D265" s="12" t="s">
        <v>1532</v>
      </c>
      <c r="E265" s="9" t="s">
        <v>1605</v>
      </c>
      <c r="F265" s="9" t="s">
        <v>1602</v>
      </c>
      <c r="G265" s="11" t="s">
        <v>1603</v>
      </c>
      <c r="H265" s="12" t="s">
        <v>1604</v>
      </c>
      <c r="I265" s="9"/>
      <c r="J265" s="11"/>
      <c r="K265" s="9"/>
      <c r="L265" s="9" t="s">
        <v>4730</v>
      </c>
      <c r="M265" s="9" t="s">
        <v>1411</v>
      </c>
      <c r="N265" s="11" t="s">
        <v>1414</v>
      </c>
      <c r="O265" s="12" t="s">
        <v>1417</v>
      </c>
      <c r="P265" s="13" t="n">
        <v>6</v>
      </c>
      <c r="Q265" s="13" t="n">
        <v>4</v>
      </c>
      <c r="R265" s="13" t="n">
        <v>3</v>
      </c>
      <c r="S265" s="13" t="n">
        <v>0.02</v>
      </c>
      <c r="T265" s="9" t="s">
        <v>4615</v>
      </c>
      <c r="U265" s="9"/>
      <c r="V265" s="9" t="s">
        <v>4680</v>
      </c>
      <c r="W265" s="9"/>
      <c r="X265" s="11"/>
      <c r="Y265" s="9"/>
    </row>
    <row r="266" customFormat="false" ht="15" hidden="false" customHeight="false" outlineLevel="0" collapsed="false">
      <c r="A266" s="9" t="s">
        <v>1619</v>
      </c>
      <c r="B266" s="9" t="s">
        <v>1610</v>
      </c>
      <c r="C266" s="11" t="s">
        <v>1613</v>
      </c>
      <c r="D266" s="12" t="s">
        <v>1616</v>
      </c>
      <c r="E266" s="9" t="s">
        <v>1620</v>
      </c>
      <c r="F266" s="9" t="s">
        <v>1611</v>
      </c>
      <c r="G266" s="11" t="s">
        <v>1614</v>
      </c>
      <c r="H266" s="12" t="s">
        <v>1617</v>
      </c>
      <c r="I266" s="9"/>
      <c r="J266" s="11"/>
      <c r="K266" s="9"/>
      <c r="L266" s="9" t="s">
        <v>4730</v>
      </c>
      <c r="M266" s="9" t="s">
        <v>1612</v>
      </c>
      <c r="N266" s="11" t="s">
        <v>1615</v>
      </c>
      <c r="O266" s="12" t="s">
        <v>1618</v>
      </c>
      <c r="P266" s="13" t="n">
        <v>60</v>
      </c>
      <c r="Q266" s="13" t="n">
        <v>12</v>
      </c>
      <c r="R266" s="13" t="n">
        <v>12</v>
      </c>
      <c r="S266" s="13" t="n">
        <v>3.5</v>
      </c>
      <c r="T266" s="9" t="s">
        <v>4615</v>
      </c>
      <c r="U266" s="9"/>
      <c r="V266" s="9" t="s">
        <v>4565</v>
      </c>
      <c r="W266" s="9"/>
      <c r="X266" s="11" t="s">
        <v>4750</v>
      </c>
      <c r="Y266" s="9"/>
    </row>
    <row r="267" customFormat="false" ht="15" hidden="false" customHeight="false" outlineLevel="0" collapsed="false">
      <c r="A267" s="9" t="s">
        <v>1619</v>
      </c>
      <c r="B267" s="9" t="s">
        <v>1610</v>
      </c>
      <c r="C267" s="11" t="s">
        <v>1613</v>
      </c>
      <c r="D267" s="12" t="s">
        <v>1616</v>
      </c>
      <c r="E267" s="9" t="s">
        <v>1628</v>
      </c>
      <c r="F267" s="9" t="s">
        <v>1625</v>
      </c>
      <c r="G267" s="11" t="s">
        <v>1626</v>
      </c>
      <c r="H267" s="12" t="s">
        <v>1627</v>
      </c>
      <c r="I267" s="9"/>
      <c r="J267" s="11"/>
      <c r="K267" s="9"/>
      <c r="L267" s="9" t="s">
        <v>4730</v>
      </c>
      <c r="M267" s="9" t="s">
        <v>1612</v>
      </c>
      <c r="N267" s="11" t="s">
        <v>1615</v>
      </c>
      <c r="O267" s="12" t="s">
        <v>1618</v>
      </c>
      <c r="P267" s="13" t="n">
        <v>70</v>
      </c>
      <c r="Q267" s="13" t="n">
        <v>20</v>
      </c>
      <c r="R267" s="13" t="n">
        <v>20</v>
      </c>
      <c r="S267" s="13" t="n">
        <v>7</v>
      </c>
      <c r="T267" s="9" t="s">
        <v>4615</v>
      </c>
      <c r="U267" s="9"/>
      <c r="V267" s="9" t="s">
        <v>4565</v>
      </c>
      <c r="W267" s="9"/>
      <c r="X267" s="11"/>
      <c r="Y267" s="9"/>
    </row>
    <row r="268" customFormat="false" ht="15" hidden="false" customHeight="false" outlineLevel="0" collapsed="false">
      <c r="A268" s="9" t="s">
        <v>1619</v>
      </c>
      <c r="B268" s="9" t="s">
        <v>1610</v>
      </c>
      <c r="C268" s="11" t="s">
        <v>1613</v>
      </c>
      <c r="D268" s="12" t="s">
        <v>1616</v>
      </c>
      <c r="E268" s="9" t="s">
        <v>1636</v>
      </c>
      <c r="F268" s="9" t="s">
        <v>1633</v>
      </c>
      <c r="G268" s="11" t="s">
        <v>1634</v>
      </c>
      <c r="H268" s="12" t="s">
        <v>1635</v>
      </c>
      <c r="I268" s="9"/>
      <c r="J268" s="11"/>
      <c r="K268" s="9"/>
      <c r="L268" s="9" t="s">
        <v>4730</v>
      </c>
      <c r="M268" s="9" t="s">
        <v>1612</v>
      </c>
      <c r="N268" s="11" t="s">
        <v>1615</v>
      </c>
      <c r="O268" s="12" t="s">
        <v>1618</v>
      </c>
      <c r="P268" s="13" t="n">
        <v>40</v>
      </c>
      <c r="Q268" s="13" t="n">
        <v>15</v>
      </c>
      <c r="R268" s="13" t="n">
        <v>15</v>
      </c>
      <c r="S268" s="13" t="n">
        <v>3</v>
      </c>
      <c r="T268" s="9" t="s">
        <v>4615</v>
      </c>
      <c r="U268" s="9"/>
      <c r="V268" s="9" t="s">
        <v>4565</v>
      </c>
      <c r="W268" s="9"/>
      <c r="X268" s="11" t="s">
        <v>4751</v>
      </c>
      <c r="Y268" s="9"/>
    </row>
    <row r="269" customFormat="false" ht="15" hidden="false" customHeight="false" outlineLevel="0" collapsed="false">
      <c r="A269" s="9" t="s">
        <v>1619</v>
      </c>
      <c r="B269" s="9" t="s">
        <v>1610</v>
      </c>
      <c r="C269" s="11" t="s">
        <v>1613</v>
      </c>
      <c r="D269" s="12" t="s">
        <v>1616</v>
      </c>
      <c r="E269" s="9" t="s">
        <v>1647</v>
      </c>
      <c r="F269" s="9" t="s">
        <v>1641</v>
      </c>
      <c r="G269" s="11" t="s">
        <v>1643</v>
      </c>
      <c r="H269" s="12" t="s">
        <v>1645</v>
      </c>
      <c r="I269" s="9"/>
      <c r="J269" s="11"/>
      <c r="K269" s="9"/>
      <c r="L269" s="9" t="s">
        <v>4604</v>
      </c>
      <c r="M269" s="9" t="s">
        <v>1642</v>
      </c>
      <c r="N269" s="11" t="s">
        <v>1644</v>
      </c>
      <c r="O269" s="12" t="s">
        <v>1646</v>
      </c>
      <c r="P269" s="13" t="n">
        <v>110</v>
      </c>
      <c r="Q269" s="13" t="n">
        <v>10</v>
      </c>
      <c r="R269" s="13" t="n">
        <v>10</v>
      </c>
      <c r="S269" s="13" t="n">
        <v>16</v>
      </c>
      <c r="T269" s="9" t="s">
        <v>4615</v>
      </c>
      <c r="U269" s="9"/>
      <c r="V269" s="9" t="s">
        <v>4565</v>
      </c>
      <c r="W269" s="9"/>
      <c r="X269" s="11"/>
      <c r="Y269" s="9"/>
    </row>
    <row r="270" customFormat="false" ht="15" hidden="false" customHeight="false" outlineLevel="0" collapsed="false">
      <c r="A270" s="9" t="s">
        <v>1619</v>
      </c>
      <c r="B270" s="9" t="s">
        <v>1610</v>
      </c>
      <c r="C270" s="11" t="s">
        <v>1613</v>
      </c>
      <c r="D270" s="12" t="s">
        <v>1616</v>
      </c>
      <c r="E270" s="9" t="s">
        <v>1653</v>
      </c>
      <c r="F270" s="9" t="s">
        <v>1650</v>
      </c>
      <c r="G270" s="11" t="s">
        <v>1651</v>
      </c>
      <c r="H270" s="12" t="s">
        <v>1652</v>
      </c>
      <c r="I270" s="9"/>
      <c r="J270" s="11"/>
      <c r="K270" s="9"/>
      <c r="L270" s="9" t="s">
        <v>4730</v>
      </c>
      <c r="M270" s="9" t="s">
        <v>1612</v>
      </c>
      <c r="N270" s="11" t="s">
        <v>1615</v>
      </c>
      <c r="O270" s="12" t="s">
        <v>1618</v>
      </c>
      <c r="P270" s="13" t="n">
        <v>25</v>
      </c>
      <c r="Q270" s="13" t="n">
        <v>15</v>
      </c>
      <c r="R270" s="13" t="n">
        <v>10</v>
      </c>
      <c r="S270" s="13" t="n">
        <v>0.9</v>
      </c>
      <c r="T270" s="9" t="s">
        <v>4615</v>
      </c>
      <c r="U270" s="9"/>
      <c r="V270" s="9" t="s">
        <v>4568</v>
      </c>
      <c r="W270" s="9"/>
      <c r="X270" s="11"/>
      <c r="Y270" s="9"/>
    </row>
    <row r="271" customFormat="false" ht="15" hidden="false" customHeight="false" outlineLevel="0" collapsed="false">
      <c r="A271" s="9" t="s">
        <v>1619</v>
      </c>
      <c r="B271" s="9" t="s">
        <v>1610</v>
      </c>
      <c r="C271" s="11" t="s">
        <v>1613</v>
      </c>
      <c r="D271" s="12" t="s">
        <v>1616</v>
      </c>
      <c r="E271" s="9" t="s">
        <v>1664</v>
      </c>
      <c r="F271" s="9" t="s">
        <v>1658</v>
      </c>
      <c r="G271" s="11" t="s">
        <v>1660</v>
      </c>
      <c r="H271" s="12" t="s">
        <v>1662</v>
      </c>
      <c r="I271" s="9"/>
      <c r="J271" s="11"/>
      <c r="K271" s="9"/>
      <c r="L271" s="9" t="s">
        <v>4752</v>
      </c>
      <c r="M271" s="9" t="s">
        <v>1659</v>
      </c>
      <c r="N271" s="11" t="s">
        <v>1661</v>
      </c>
      <c r="O271" s="12" t="s">
        <v>1663</v>
      </c>
      <c r="P271" s="13" t="n">
        <v>15</v>
      </c>
      <c r="Q271" s="13" t="n">
        <v>10</v>
      </c>
      <c r="R271" s="13" t="n">
        <v>8</v>
      </c>
      <c r="S271" s="13" t="n">
        <v>0.3</v>
      </c>
      <c r="T271" s="9" t="s">
        <v>4615</v>
      </c>
      <c r="U271" s="9"/>
      <c r="V271" s="9" t="s">
        <v>4571</v>
      </c>
      <c r="W271" s="9"/>
      <c r="X271" s="11"/>
      <c r="Y271" s="9"/>
    </row>
    <row r="272" customFormat="false" ht="15" hidden="false" customHeight="false" outlineLevel="0" collapsed="false">
      <c r="A272" s="9" t="s">
        <v>1619</v>
      </c>
      <c r="B272" s="9" t="s">
        <v>1610</v>
      </c>
      <c r="C272" s="11" t="s">
        <v>1613</v>
      </c>
      <c r="D272" s="12" t="s">
        <v>1616</v>
      </c>
      <c r="E272" s="9" t="s">
        <v>1670</v>
      </c>
      <c r="F272" s="9" t="s">
        <v>1667</v>
      </c>
      <c r="G272" s="11" t="s">
        <v>1668</v>
      </c>
      <c r="H272" s="12" t="s">
        <v>1669</v>
      </c>
      <c r="I272" s="9"/>
      <c r="J272" s="11"/>
      <c r="K272" s="9"/>
      <c r="L272" s="9" t="s">
        <v>4730</v>
      </c>
      <c r="M272" s="9" t="s">
        <v>1612</v>
      </c>
      <c r="N272" s="11" t="s">
        <v>1615</v>
      </c>
      <c r="O272" s="12" t="s">
        <v>1618</v>
      </c>
      <c r="P272" s="13" t="n">
        <v>15</v>
      </c>
      <c r="Q272" s="13" t="n">
        <v>10</v>
      </c>
      <c r="R272" s="13" t="n">
        <v>8</v>
      </c>
      <c r="S272" s="13" t="n">
        <v>0.3</v>
      </c>
      <c r="T272" s="9" t="s">
        <v>4615</v>
      </c>
      <c r="U272" s="9"/>
      <c r="V272" s="9" t="s">
        <v>4571</v>
      </c>
      <c r="W272" s="9" t="s">
        <v>4753</v>
      </c>
      <c r="X272" s="11"/>
      <c r="Y272" s="9"/>
    </row>
    <row r="273" customFormat="false" ht="15" hidden="false" customHeight="false" outlineLevel="0" collapsed="false">
      <c r="A273" s="9" t="s">
        <v>1619</v>
      </c>
      <c r="B273" s="9" t="s">
        <v>1610</v>
      </c>
      <c r="C273" s="11" t="s">
        <v>1613</v>
      </c>
      <c r="D273" s="12" t="s">
        <v>1616</v>
      </c>
      <c r="E273" s="9" t="s">
        <v>1678</v>
      </c>
      <c r="F273" s="9" t="s">
        <v>1675</v>
      </c>
      <c r="G273" s="11" t="s">
        <v>1676</v>
      </c>
      <c r="H273" s="12" t="s">
        <v>1677</v>
      </c>
      <c r="I273" s="9"/>
      <c r="J273" s="11"/>
      <c r="K273" s="9"/>
      <c r="L273" s="9" t="s">
        <v>4730</v>
      </c>
      <c r="M273" s="9" t="s">
        <v>1612</v>
      </c>
      <c r="N273" s="11" t="s">
        <v>1615</v>
      </c>
      <c r="O273" s="12" t="s">
        <v>1618</v>
      </c>
      <c r="P273" s="13" t="n">
        <v>15</v>
      </c>
      <c r="Q273" s="13" t="n">
        <v>10</v>
      </c>
      <c r="R273" s="13" t="n">
        <v>8</v>
      </c>
      <c r="S273" s="13" t="n">
        <v>0.3</v>
      </c>
      <c r="T273" s="9" t="s">
        <v>4615</v>
      </c>
      <c r="U273" s="9"/>
      <c r="V273" s="9" t="s">
        <v>4571</v>
      </c>
      <c r="W273" s="9"/>
      <c r="X273" s="11"/>
      <c r="Y273" s="9"/>
    </row>
    <row r="274" customFormat="false" ht="15" hidden="false" customHeight="false" outlineLevel="0" collapsed="false">
      <c r="A274" s="9" t="s">
        <v>1619</v>
      </c>
      <c r="B274" s="9" t="s">
        <v>1610</v>
      </c>
      <c r="C274" s="11" t="s">
        <v>1613</v>
      </c>
      <c r="D274" s="12" t="s">
        <v>1616</v>
      </c>
      <c r="E274" s="9" t="s">
        <v>1686</v>
      </c>
      <c r="F274" s="9" t="s">
        <v>1683</v>
      </c>
      <c r="G274" s="11" t="s">
        <v>1684</v>
      </c>
      <c r="H274" s="12" t="s">
        <v>1685</v>
      </c>
      <c r="I274" s="9"/>
      <c r="J274" s="11"/>
      <c r="K274" s="9"/>
      <c r="L274" s="9" t="s">
        <v>4730</v>
      </c>
      <c r="M274" s="9" t="s">
        <v>1612</v>
      </c>
      <c r="N274" s="11" t="s">
        <v>1615</v>
      </c>
      <c r="O274" s="12" t="s">
        <v>1618</v>
      </c>
      <c r="P274" s="13" t="n">
        <v>60</v>
      </c>
      <c r="Q274" s="13" t="n">
        <v>20</v>
      </c>
      <c r="R274" s="13" t="n">
        <v>20</v>
      </c>
      <c r="S274" s="13" t="n">
        <v>6</v>
      </c>
      <c r="T274" s="9" t="s">
        <v>4615</v>
      </c>
      <c r="U274" s="9"/>
      <c r="V274" s="9" t="s">
        <v>4565</v>
      </c>
      <c r="W274" s="9"/>
      <c r="X274" s="11" t="s">
        <v>4754</v>
      </c>
      <c r="Y274" s="9"/>
    </row>
    <row r="275" customFormat="false" ht="15" hidden="false" customHeight="false" outlineLevel="0" collapsed="false">
      <c r="A275" s="9" t="s">
        <v>1619</v>
      </c>
      <c r="B275" s="9" t="s">
        <v>1610</v>
      </c>
      <c r="C275" s="11" t="s">
        <v>1613</v>
      </c>
      <c r="D275" s="12" t="s">
        <v>1616</v>
      </c>
      <c r="E275" s="9" t="s">
        <v>1694</v>
      </c>
      <c r="F275" s="9" t="s">
        <v>1691</v>
      </c>
      <c r="G275" s="11" t="s">
        <v>1692</v>
      </c>
      <c r="H275" s="12" t="s">
        <v>1693</v>
      </c>
      <c r="I275" s="9"/>
      <c r="J275" s="11"/>
      <c r="K275" s="9"/>
      <c r="L275" s="9" t="s">
        <v>68</v>
      </c>
      <c r="M275" s="9" t="s">
        <v>1612</v>
      </c>
      <c r="N275" s="11" t="s">
        <v>1615</v>
      </c>
      <c r="O275" s="12" t="s">
        <v>1618</v>
      </c>
      <c r="P275" s="13" t="n">
        <v>25</v>
      </c>
      <c r="Q275" s="13" t="n">
        <v>15</v>
      </c>
      <c r="R275" s="13" t="n">
        <v>15</v>
      </c>
      <c r="S275" s="13" t="n">
        <v>4</v>
      </c>
      <c r="T275" s="9" t="s">
        <v>4615</v>
      </c>
      <c r="U275" s="9"/>
      <c r="V275" s="9" t="s">
        <v>4565</v>
      </c>
      <c r="W275" s="9"/>
      <c r="X275" s="11"/>
      <c r="Y275" s="9"/>
    </row>
    <row r="276" customFormat="false" ht="15" hidden="false" customHeight="false" outlineLevel="0" collapsed="false">
      <c r="A276" s="9" t="s">
        <v>1619</v>
      </c>
      <c r="B276" s="9" t="s">
        <v>1610</v>
      </c>
      <c r="C276" s="11" t="s">
        <v>1613</v>
      </c>
      <c r="D276" s="12" t="s">
        <v>1616</v>
      </c>
      <c r="E276" s="9" t="s">
        <v>1699</v>
      </c>
      <c r="F276" s="9" t="s">
        <v>1696</v>
      </c>
      <c r="G276" s="11" t="s">
        <v>1697</v>
      </c>
      <c r="H276" s="12" t="s">
        <v>1698</v>
      </c>
      <c r="I276" s="9"/>
      <c r="J276" s="11"/>
      <c r="K276" s="9"/>
      <c r="L276" s="9" t="s">
        <v>4730</v>
      </c>
      <c r="M276" s="9" t="s">
        <v>1612</v>
      </c>
      <c r="N276" s="11" t="s">
        <v>1615</v>
      </c>
      <c r="O276" s="12" t="s">
        <v>1618</v>
      </c>
      <c r="P276" s="13" t="n">
        <v>30</v>
      </c>
      <c r="Q276" s="13" t="n">
        <v>20</v>
      </c>
      <c r="R276" s="13" t="n">
        <v>15</v>
      </c>
      <c r="S276" s="13" t="n">
        <v>1.8</v>
      </c>
      <c r="T276" s="9" t="s">
        <v>4615</v>
      </c>
      <c r="U276" s="9"/>
      <c r="V276" s="9" t="s">
        <v>4581</v>
      </c>
      <c r="W276" s="9"/>
      <c r="X276" s="11"/>
      <c r="Y276" s="12" t="s">
        <v>4755</v>
      </c>
    </row>
    <row r="277" customFormat="false" ht="15" hidden="false" customHeight="false" outlineLevel="0" collapsed="false">
      <c r="A277" s="9" t="s">
        <v>1619</v>
      </c>
      <c r="B277" s="9" t="s">
        <v>1610</v>
      </c>
      <c r="C277" s="11" t="s">
        <v>1613</v>
      </c>
      <c r="D277" s="12" t="s">
        <v>1616</v>
      </c>
      <c r="E277" s="9" t="s">
        <v>1707</v>
      </c>
      <c r="F277" s="9" t="s">
        <v>1704</v>
      </c>
      <c r="G277" s="11" t="s">
        <v>1705</v>
      </c>
      <c r="H277" s="12" t="s">
        <v>1706</v>
      </c>
      <c r="I277" s="9"/>
      <c r="J277" s="11"/>
      <c r="K277" s="9"/>
      <c r="L277" s="9" t="s">
        <v>4730</v>
      </c>
      <c r="M277" s="9" t="s">
        <v>1612</v>
      </c>
      <c r="N277" s="11" t="s">
        <v>1615</v>
      </c>
      <c r="O277" s="12" t="s">
        <v>1618</v>
      </c>
      <c r="P277" s="13" t="n">
        <v>10</v>
      </c>
      <c r="Q277" s="13" t="n">
        <v>8</v>
      </c>
      <c r="R277" s="13" t="n">
        <v>6</v>
      </c>
      <c r="S277" s="13" t="n">
        <v>0.1</v>
      </c>
      <c r="T277" s="9" t="s">
        <v>4615</v>
      </c>
      <c r="U277" s="9"/>
      <c r="V277" s="9" t="s">
        <v>4572</v>
      </c>
      <c r="W277" s="9"/>
      <c r="X277" s="11"/>
      <c r="Y277" s="9"/>
    </row>
    <row r="278" customFormat="false" ht="15" hidden="false" customHeight="false" outlineLevel="0" collapsed="false">
      <c r="A278" s="9" t="s">
        <v>1619</v>
      </c>
      <c r="B278" s="9" t="s">
        <v>1610</v>
      </c>
      <c r="C278" s="11" t="s">
        <v>1613</v>
      </c>
      <c r="D278" s="12" t="s">
        <v>1616</v>
      </c>
      <c r="E278" s="9" t="s">
        <v>1715</v>
      </c>
      <c r="F278" s="9" t="s">
        <v>1712</v>
      </c>
      <c r="G278" s="11" t="s">
        <v>1713</v>
      </c>
      <c r="H278" s="12" t="s">
        <v>1714</v>
      </c>
      <c r="I278" s="9"/>
      <c r="J278" s="11"/>
      <c r="K278" s="9"/>
      <c r="L278" s="9" t="s">
        <v>4730</v>
      </c>
      <c r="M278" s="9" t="s">
        <v>1612</v>
      </c>
      <c r="N278" s="11" t="s">
        <v>1615</v>
      </c>
      <c r="O278" s="12" t="s">
        <v>1618</v>
      </c>
      <c r="P278" s="13" t="n">
        <v>10</v>
      </c>
      <c r="Q278" s="13" t="n">
        <v>8</v>
      </c>
      <c r="R278" s="13" t="n">
        <v>6</v>
      </c>
      <c r="S278" s="13" t="n">
        <v>0.1</v>
      </c>
      <c r="T278" s="9" t="s">
        <v>4615</v>
      </c>
      <c r="U278" s="9"/>
      <c r="V278" s="9" t="s">
        <v>4572</v>
      </c>
      <c r="W278" s="9"/>
      <c r="X278" s="11"/>
      <c r="Y278" s="9"/>
    </row>
    <row r="279" customFormat="false" ht="15" hidden="false" customHeight="false" outlineLevel="0" collapsed="false">
      <c r="A279" s="9" t="s">
        <v>1726</v>
      </c>
      <c r="B279" s="9" t="s">
        <v>1720</v>
      </c>
      <c r="C279" s="11" t="s">
        <v>1722</v>
      </c>
      <c r="D279" s="12" t="s">
        <v>1724</v>
      </c>
      <c r="E279" s="9" t="s">
        <v>1727</v>
      </c>
      <c r="F279" s="9" t="s">
        <v>1721</v>
      </c>
      <c r="G279" s="11" t="s">
        <v>1723</v>
      </c>
      <c r="H279" s="12" t="s">
        <v>1725</v>
      </c>
      <c r="I279" s="9"/>
      <c r="J279" s="11"/>
      <c r="K279" s="9"/>
      <c r="L279" s="9" t="s">
        <v>4730</v>
      </c>
      <c r="M279" s="9" t="s">
        <v>1612</v>
      </c>
      <c r="N279" s="11" t="s">
        <v>1615</v>
      </c>
      <c r="O279" s="12" t="s">
        <v>1618</v>
      </c>
      <c r="P279" s="13" t="n">
        <v>50</v>
      </c>
      <c r="Q279" s="13" t="n">
        <v>25</v>
      </c>
      <c r="R279" s="13" t="n">
        <v>10</v>
      </c>
      <c r="S279" s="13" t="n">
        <v>4.5</v>
      </c>
      <c r="T279" s="9" t="s">
        <v>4615</v>
      </c>
      <c r="U279" s="9"/>
      <c r="V279" s="9" t="s">
        <v>4565</v>
      </c>
      <c r="W279" s="9"/>
      <c r="X279" s="11"/>
      <c r="Y279" s="9"/>
    </row>
    <row r="280" customFormat="false" ht="15" hidden="false" customHeight="false" outlineLevel="0" collapsed="false">
      <c r="A280" s="9" t="s">
        <v>1726</v>
      </c>
      <c r="B280" s="9" t="s">
        <v>1720</v>
      </c>
      <c r="C280" s="11" t="s">
        <v>1722</v>
      </c>
      <c r="D280" s="12" t="s">
        <v>1724</v>
      </c>
      <c r="E280" s="9" t="s">
        <v>1735</v>
      </c>
      <c r="F280" s="9" t="s">
        <v>1732</v>
      </c>
      <c r="G280" s="11" t="s">
        <v>1733</v>
      </c>
      <c r="H280" s="12" t="s">
        <v>1734</v>
      </c>
      <c r="I280" s="9"/>
      <c r="J280" s="11"/>
      <c r="K280" s="9"/>
      <c r="L280" s="9" t="s">
        <v>4730</v>
      </c>
      <c r="M280" s="9" t="s">
        <v>1612</v>
      </c>
      <c r="N280" s="11" t="s">
        <v>1615</v>
      </c>
      <c r="O280" s="12" t="s">
        <v>1618</v>
      </c>
      <c r="P280" s="13" t="n">
        <v>40</v>
      </c>
      <c r="Q280" s="13" t="n">
        <v>20</v>
      </c>
      <c r="R280" s="13" t="n">
        <v>8</v>
      </c>
      <c r="S280" s="13" t="n">
        <v>3</v>
      </c>
      <c r="T280" s="9" t="s">
        <v>4615</v>
      </c>
      <c r="U280" s="9"/>
      <c r="V280" s="9" t="s">
        <v>4565</v>
      </c>
      <c r="W280" s="9"/>
      <c r="X280" s="11"/>
      <c r="Y280" s="9"/>
    </row>
    <row r="281" customFormat="false" ht="15" hidden="false" customHeight="false" outlineLevel="0" collapsed="false">
      <c r="A281" s="9" t="s">
        <v>1726</v>
      </c>
      <c r="B281" s="9" t="s">
        <v>1720</v>
      </c>
      <c r="C281" s="11" t="s">
        <v>1722</v>
      </c>
      <c r="D281" s="12" t="s">
        <v>1724</v>
      </c>
      <c r="E281" s="9" t="s">
        <v>1743</v>
      </c>
      <c r="F281" s="9" t="s">
        <v>1740</v>
      </c>
      <c r="G281" s="11" t="s">
        <v>1741</v>
      </c>
      <c r="H281" s="12" t="s">
        <v>1742</v>
      </c>
      <c r="I281" s="9"/>
      <c r="J281" s="11"/>
      <c r="K281" s="9"/>
      <c r="L281" s="9" t="s">
        <v>4756</v>
      </c>
      <c r="M281" s="9" t="s">
        <v>1642</v>
      </c>
      <c r="N281" s="11" t="s">
        <v>1644</v>
      </c>
      <c r="O281" s="12" t="s">
        <v>1646</v>
      </c>
      <c r="P281" s="13" t="n">
        <v>60</v>
      </c>
      <c r="Q281" s="13" t="n">
        <v>15</v>
      </c>
      <c r="R281" s="13" t="n">
        <v>12</v>
      </c>
      <c r="S281" s="13" t="n">
        <v>5</v>
      </c>
      <c r="T281" s="9" t="s">
        <v>4615</v>
      </c>
      <c r="U281" s="9"/>
      <c r="V281" s="9" t="s">
        <v>4565</v>
      </c>
      <c r="W281" s="9"/>
      <c r="X281" s="11"/>
      <c r="Y281" s="9"/>
    </row>
    <row r="282" customFormat="false" ht="15" hidden="false" customHeight="false" outlineLevel="0" collapsed="false">
      <c r="A282" s="9" t="s">
        <v>1726</v>
      </c>
      <c r="B282" s="9" t="s">
        <v>1720</v>
      </c>
      <c r="C282" s="11" t="s">
        <v>1722</v>
      </c>
      <c r="D282" s="12" t="s">
        <v>1724</v>
      </c>
      <c r="E282" s="9" t="s">
        <v>1749</v>
      </c>
      <c r="F282" s="9" t="s">
        <v>1746</v>
      </c>
      <c r="G282" s="11" t="s">
        <v>1747</v>
      </c>
      <c r="H282" s="12" t="s">
        <v>1748</v>
      </c>
      <c r="I282" s="9"/>
      <c r="J282" s="11"/>
      <c r="K282" s="9"/>
      <c r="L282" s="9" t="s">
        <v>4756</v>
      </c>
      <c r="M282" s="9" t="s">
        <v>1642</v>
      </c>
      <c r="N282" s="11" t="s">
        <v>1644</v>
      </c>
      <c r="O282" s="12" t="s">
        <v>1646</v>
      </c>
      <c r="P282" s="13" t="n">
        <v>45</v>
      </c>
      <c r="Q282" s="13" t="n">
        <v>10</v>
      </c>
      <c r="R282" s="13" t="n">
        <v>8</v>
      </c>
      <c r="S282" s="13" t="n">
        <v>2.5</v>
      </c>
      <c r="T282" s="9" t="s">
        <v>4615</v>
      </c>
      <c r="U282" s="9"/>
      <c r="V282" s="9" t="s">
        <v>4565</v>
      </c>
      <c r="W282" s="9" t="s">
        <v>4757</v>
      </c>
      <c r="X282" s="11"/>
      <c r="Y282" s="12" t="s">
        <v>4758</v>
      </c>
    </row>
    <row r="283" customFormat="false" ht="15" hidden="false" customHeight="false" outlineLevel="0" collapsed="false">
      <c r="A283" s="9" t="s">
        <v>1726</v>
      </c>
      <c r="B283" s="9" t="s">
        <v>1720</v>
      </c>
      <c r="C283" s="11" t="s">
        <v>1722</v>
      </c>
      <c r="D283" s="12" t="s">
        <v>1724</v>
      </c>
      <c r="E283" s="9" t="s">
        <v>1755</v>
      </c>
      <c r="F283" s="9" t="s">
        <v>1752</v>
      </c>
      <c r="G283" s="11" t="s">
        <v>1753</v>
      </c>
      <c r="H283" s="12" t="s">
        <v>1754</v>
      </c>
      <c r="I283" s="9"/>
      <c r="J283" s="11"/>
      <c r="K283" s="9"/>
      <c r="L283" s="9" t="s">
        <v>4730</v>
      </c>
      <c r="M283" s="9" t="s">
        <v>1612</v>
      </c>
      <c r="N283" s="11" t="s">
        <v>1615</v>
      </c>
      <c r="O283" s="12" t="s">
        <v>1618</v>
      </c>
      <c r="P283" s="13" t="n">
        <v>15</v>
      </c>
      <c r="Q283" s="13" t="n">
        <v>10</v>
      </c>
      <c r="R283" s="13" t="n">
        <v>8</v>
      </c>
      <c r="S283" s="13" t="n">
        <v>0.3</v>
      </c>
      <c r="T283" s="9" t="s">
        <v>4615</v>
      </c>
      <c r="U283" s="9"/>
      <c r="V283" s="9" t="s">
        <v>4571</v>
      </c>
      <c r="W283" s="9"/>
      <c r="X283" s="11" t="s">
        <v>4759</v>
      </c>
      <c r="Y283" s="9"/>
    </row>
    <row r="284" customFormat="false" ht="15" hidden="false" customHeight="false" outlineLevel="0" collapsed="false">
      <c r="A284" s="9" t="s">
        <v>1726</v>
      </c>
      <c r="B284" s="9" t="s">
        <v>1720</v>
      </c>
      <c r="C284" s="11" t="s">
        <v>1722</v>
      </c>
      <c r="D284" s="12" t="s">
        <v>1724</v>
      </c>
      <c r="E284" s="9" t="s">
        <v>1763</v>
      </c>
      <c r="F284" s="9" t="s">
        <v>1760</v>
      </c>
      <c r="G284" s="11" t="s">
        <v>1761</v>
      </c>
      <c r="H284" s="12" t="s">
        <v>1762</v>
      </c>
      <c r="I284" s="9"/>
      <c r="J284" s="11"/>
      <c r="K284" s="9"/>
      <c r="L284" s="9" t="s">
        <v>4730</v>
      </c>
      <c r="M284" s="9" t="s">
        <v>1612</v>
      </c>
      <c r="N284" s="11" t="s">
        <v>1615</v>
      </c>
      <c r="O284" s="12" t="s">
        <v>1618</v>
      </c>
      <c r="P284" s="13" t="n">
        <v>15</v>
      </c>
      <c r="Q284" s="13" t="n">
        <v>10</v>
      </c>
      <c r="R284" s="13" t="n">
        <v>8</v>
      </c>
      <c r="S284" s="13" t="n">
        <v>0.3</v>
      </c>
      <c r="T284" s="9" t="s">
        <v>4615</v>
      </c>
      <c r="U284" s="9"/>
      <c r="V284" s="9" t="s">
        <v>4571</v>
      </c>
      <c r="W284" s="9"/>
      <c r="X284" s="11" t="s">
        <v>4760</v>
      </c>
      <c r="Y284" s="9"/>
    </row>
    <row r="285" customFormat="false" ht="15" hidden="false" customHeight="false" outlineLevel="0" collapsed="false">
      <c r="A285" s="9" t="s">
        <v>1726</v>
      </c>
      <c r="B285" s="9" t="s">
        <v>1720</v>
      </c>
      <c r="C285" s="11" t="s">
        <v>1722</v>
      </c>
      <c r="D285" s="12" t="s">
        <v>1724</v>
      </c>
      <c r="E285" s="9" t="s">
        <v>1771</v>
      </c>
      <c r="F285" s="9" t="s">
        <v>1768</v>
      </c>
      <c r="G285" s="11" t="s">
        <v>1769</v>
      </c>
      <c r="H285" s="12" t="s">
        <v>1770</v>
      </c>
      <c r="I285" s="9"/>
      <c r="J285" s="11"/>
      <c r="K285" s="9"/>
      <c r="L285" s="9" t="s">
        <v>4578</v>
      </c>
      <c r="M285" s="9" t="s">
        <v>1612</v>
      </c>
      <c r="N285" s="11" t="s">
        <v>1615</v>
      </c>
      <c r="O285" s="12" t="s">
        <v>1618</v>
      </c>
      <c r="P285" s="13" t="n">
        <v>90</v>
      </c>
      <c r="Q285" s="13" t="n">
        <v>15</v>
      </c>
      <c r="R285" s="13" t="n">
        <v>10</v>
      </c>
      <c r="S285" s="13" t="n">
        <v>4</v>
      </c>
      <c r="T285" s="9" t="s">
        <v>4615</v>
      </c>
      <c r="U285" s="9"/>
      <c r="V285" s="9" t="s">
        <v>4565</v>
      </c>
      <c r="W285" s="9" t="s">
        <v>4761</v>
      </c>
      <c r="X285" s="11" t="s">
        <v>4762</v>
      </c>
      <c r="Y285" s="9"/>
    </row>
    <row r="286" customFormat="false" ht="15" hidden="false" customHeight="false" outlineLevel="0" collapsed="false">
      <c r="A286" s="9" t="s">
        <v>1726</v>
      </c>
      <c r="B286" s="9" t="s">
        <v>1720</v>
      </c>
      <c r="C286" s="11" t="s">
        <v>1722</v>
      </c>
      <c r="D286" s="12" t="s">
        <v>1724</v>
      </c>
      <c r="E286" s="9" t="s">
        <v>1777</v>
      </c>
      <c r="F286" s="9" t="s">
        <v>1774</v>
      </c>
      <c r="G286" s="11" t="s">
        <v>1775</v>
      </c>
      <c r="H286" s="12" t="s">
        <v>1776</v>
      </c>
      <c r="I286" s="9"/>
      <c r="J286" s="11"/>
      <c r="K286" s="9"/>
      <c r="L286" s="9" t="s">
        <v>4730</v>
      </c>
      <c r="M286" s="9" t="s">
        <v>1612</v>
      </c>
      <c r="N286" s="11" t="s">
        <v>1615</v>
      </c>
      <c r="O286" s="12" t="s">
        <v>1618</v>
      </c>
      <c r="P286" s="13" t="n">
        <v>15</v>
      </c>
      <c r="Q286" s="13" t="n">
        <v>10</v>
      </c>
      <c r="R286" s="13" t="n">
        <v>8</v>
      </c>
      <c r="S286" s="13" t="n">
        <v>0.3</v>
      </c>
      <c r="T286" s="9" t="s">
        <v>4615</v>
      </c>
      <c r="U286" s="9"/>
      <c r="V286" s="9" t="s">
        <v>4571</v>
      </c>
      <c r="W286" s="9"/>
      <c r="X286" s="11" t="s">
        <v>4763</v>
      </c>
      <c r="Y286" s="9"/>
    </row>
    <row r="287" customFormat="false" ht="15" hidden="false" customHeight="false" outlineLevel="0" collapsed="false">
      <c r="A287" s="9" t="s">
        <v>1726</v>
      </c>
      <c r="B287" s="9" t="s">
        <v>1720</v>
      </c>
      <c r="C287" s="11" t="s">
        <v>1722</v>
      </c>
      <c r="D287" s="12" t="s">
        <v>1724</v>
      </c>
      <c r="E287" s="9" t="s">
        <v>1785</v>
      </c>
      <c r="F287" s="9" t="s">
        <v>1782</v>
      </c>
      <c r="G287" s="11" t="s">
        <v>1783</v>
      </c>
      <c r="H287" s="12" t="s">
        <v>1784</v>
      </c>
      <c r="I287" s="9"/>
      <c r="J287" s="11"/>
      <c r="K287" s="9"/>
      <c r="L287" s="9" t="s">
        <v>4578</v>
      </c>
      <c r="M287" s="9" t="s">
        <v>1612</v>
      </c>
      <c r="N287" s="11" t="s">
        <v>1615</v>
      </c>
      <c r="O287" s="12" t="s">
        <v>1618</v>
      </c>
      <c r="P287" s="13" t="n">
        <v>10</v>
      </c>
      <c r="Q287" s="13" t="n">
        <v>8</v>
      </c>
      <c r="R287" s="13" t="n">
        <v>6</v>
      </c>
      <c r="S287" s="13" t="n">
        <v>0.1</v>
      </c>
      <c r="T287" s="9" t="s">
        <v>4615</v>
      </c>
      <c r="U287" s="9"/>
      <c r="V287" s="9" t="s">
        <v>4572</v>
      </c>
      <c r="W287" s="9"/>
      <c r="X287" s="11"/>
      <c r="Y287" s="9"/>
    </row>
    <row r="288" customFormat="false" ht="15" hidden="false" customHeight="false" outlineLevel="0" collapsed="false">
      <c r="A288" s="9" t="s">
        <v>1726</v>
      </c>
      <c r="B288" s="9" t="s">
        <v>1720</v>
      </c>
      <c r="C288" s="11" t="s">
        <v>1722</v>
      </c>
      <c r="D288" s="12" t="s">
        <v>1724</v>
      </c>
      <c r="E288" s="9" t="s">
        <v>1791</v>
      </c>
      <c r="F288" s="9" t="s">
        <v>1788</v>
      </c>
      <c r="G288" s="11" t="s">
        <v>1789</v>
      </c>
      <c r="H288" s="12" t="s">
        <v>1790</v>
      </c>
      <c r="I288" s="9"/>
      <c r="J288" s="11"/>
      <c r="K288" s="9"/>
      <c r="L288" s="9" t="s">
        <v>4578</v>
      </c>
      <c r="M288" s="9" t="s">
        <v>237</v>
      </c>
      <c r="N288" s="11" t="s">
        <v>239</v>
      </c>
      <c r="O288" s="12" t="s">
        <v>241</v>
      </c>
      <c r="P288" s="13" t="n">
        <v>100</v>
      </c>
      <c r="Q288" s="13" t="n">
        <v>60</v>
      </c>
      <c r="R288" s="13" t="n">
        <v>20</v>
      </c>
      <c r="S288" s="13" t="n">
        <v>20</v>
      </c>
      <c r="T288" s="9" t="s">
        <v>4615</v>
      </c>
      <c r="U288" s="9"/>
      <c r="V288" s="9" t="s">
        <v>4565</v>
      </c>
      <c r="W288" s="9" t="s">
        <v>4764</v>
      </c>
      <c r="X288" s="11" t="s">
        <v>4582</v>
      </c>
      <c r="Y288" s="9"/>
    </row>
    <row r="289" customFormat="false" ht="15" hidden="false" customHeight="false" outlineLevel="0" collapsed="false">
      <c r="A289" s="9" t="s">
        <v>1726</v>
      </c>
      <c r="B289" s="9" t="s">
        <v>1720</v>
      </c>
      <c r="C289" s="11" t="s">
        <v>1722</v>
      </c>
      <c r="D289" s="12" t="s">
        <v>1724</v>
      </c>
      <c r="E289" s="9" t="s">
        <v>1797</v>
      </c>
      <c r="F289" s="9" t="s">
        <v>1794</v>
      </c>
      <c r="G289" s="11" t="s">
        <v>1795</v>
      </c>
      <c r="H289" s="12" t="s">
        <v>1796</v>
      </c>
      <c r="I289" s="9"/>
      <c r="J289" s="11"/>
      <c r="K289" s="9"/>
      <c r="L289" s="9" t="s">
        <v>4578</v>
      </c>
      <c r="M289" s="9" t="s">
        <v>237</v>
      </c>
      <c r="N289" s="11" t="s">
        <v>239</v>
      </c>
      <c r="O289" s="12" t="s">
        <v>241</v>
      </c>
      <c r="P289" s="13" t="n">
        <v>15</v>
      </c>
      <c r="Q289" s="13" t="n">
        <v>10</v>
      </c>
      <c r="R289" s="13" t="n">
        <v>8</v>
      </c>
      <c r="S289" s="13" t="n">
        <v>0.3</v>
      </c>
      <c r="T289" s="9" t="s">
        <v>4615</v>
      </c>
      <c r="U289" s="9"/>
      <c r="V289" s="9" t="s">
        <v>4571</v>
      </c>
      <c r="W289" s="9"/>
      <c r="X289" s="11"/>
      <c r="Y289" s="9"/>
    </row>
    <row r="290" customFormat="false" ht="15" hidden="false" customHeight="false" outlineLevel="0" collapsed="false">
      <c r="A290" s="9" t="s">
        <v>1726</v>
      </c>
      <c r="B290" s="9" t="s">
        <v>1720</v>
      </c>
      <c r="C290" s="11" t="s">
        <v>1722</v>
      </c>
      <c r="D290" s="12" t="s">
        <v>1724</v>
      </c>
      <c r="E290" s="9" t="s">
        <v>1803</v>
      </c>
      <c r="F290" s="9" t="s">
        <v>1800</v>
      </c>
      <c r="G290" s="11" t="s">
        <v>1801</v>
      </c>
      <c r="H290" s="12" t="s">
        <v>1802</v>
      </c>
      <c r="I290" s="9"/>
      <c r="J290" s="11"/>
      <c r="K290" s="9"/>
      <c r="L290" s="9" t="s">
        <v>168</v>
      </c>
      <c r="M290" s="9" t="s">
        <v>1642</v>
      </c>
      <c r="N290" s="11" t="s">
        <v>1644</v>
      </c>
      <c r="O290" s="12" t="s">
        <v>1646</v>
      </c>
      <c r="P290" s="13" t="n">
        <v>90</v>
      </c>
      <c r="Q290" s="13" t="n">
        <v>8</v>
      </c>
      <c r="R290" s="13" t="n">
        <v>8</v>
      </c>
      <c r="S290" s="13" t="n">
        <v>4</v>
      </c>
      <c r="T290" s="9" t="s">
        <v>4615</v>
      </c>
      <c r="U290" s="9"/>
      <c r="V290" s="9" t="s">
        <v>4565</v>
      </c>
      <c r="W290" s="9"/>
      <c r="X290" s="11"/>
      <c r="Y290" s="9"/>
    </row>
    <row r="291" customFormat="false" ht="15" hidden="false" customHeight="false" outlineLevel="0" collapsed="false">
      <c r="A291" s="9" t="s">
        <v>1726</v>
      </c>
      <c r="B291" s="9" t="s">
        <v>1720</v>
      </c>
      <c r="C291" s="11" t="s">
        <v>1722</v>
      </c>
      <c r="D291" s="12" t="s">
        <v>1724</v>
      </c>
      <c r="E291" s="9" t="s">
        <v>1808</v>
      </c>
      <c r="F291" s="9" t="s">
        <v>1805</v>
      </c>
      <c r="G291" s="11" t="s">
        <v>1806</v>
      </c>
      <c r="H291" s="12" t="s">
        <v>1807</v>
      </c>
      <c r="I291" s="9"/>
      <c r="J291" s="11"/>
      <c r="K291" s="9"/>
      <c r="L291" s="9" t="s">
        <v>4604</v>
      </c>
      <c r="M291" s="9" t="s">
        <v>1659</v>
      </c>
      <c r="N291" s="11" t="s">
        <v>1661</v>
      </c>
      <c r="O291" s="12" t="s">
        <v>1663</v>
      </c>
      <c r="P291" s="13" t="n">
        <v>100</v>
      </c>
      <c r="Q291" s="13" t="n">
        <v>4</v>
      </c>
      <c r="R291" s="13" t="n">
        <v>4</v>
      </c>
      <c r="S291" s="13" t="n">
        <v>6</v>
      </c>
      <c r="T291" s="9" t="s">
        <v>4615</v>
      </c>
      <c r="U291" s="9"/>
      <c r="V291" s="9" t="s">
        <v>4565</v>
      </c>
      <c r="W291" s="9"/>
      <c r="X291" s="11"/>
      <c r="Y291" s="9"/>
    </row>
    <row r="292" customFormat="false" ht="15" hidden="false" customHeight="false" outlineLevel="0" collapsed="false">
      <c r="A292" s="9" t="s">
        <v>1726</v>
      </c>
      <c r="B292" s="9" t="s">
        <v>1720</v>
      </c>
      <c r="C292" s="11" t="s">
        <v>1722</v>
      </c>
      <c r="D292" s="12" t="s">
        <v>1724</v>
      </c>
      <c r="E292" s="9" t="s">
        <v>1814</v>
      </c>
      <c r="F292" s="9" t="s">
        <v>1811</v>
      </c>
      <c r="G292" s="11" t="s">
        <v>1812</v>
      </c>
      <c r="H292" s="12" t="s">
        <v>1813</v>
      </c>
      <c r="I292" s="9"/>
      <c r="J292" s="11"/>
      <c r="K292" s="9"/>
      <c r="L292" s="9" t="s">
        <v>168</v>
      </c>
      <c r="M292" s="9" t="s">
        <v>1642</v>
      </c>
      <c r="N292" s="11" t="s">
        <v>1644</v>
      </c>
      <c r="O292" s="12" t="s">
        <v>1646</v>
      </c>
      <c r="P292" s="13" t="n">
        <v>110</v>
      </c>
      <c r="Q292" s="13" t="n">
        <v>30</v>
      </c>
      <c r="R292" s="13" t="n">
        <v>20</v>
      </c>
      <c r="S292" s="13" t="n">
        <v>18</v>
      </c>
      <c r="T292" s="9" t="s">
        <v>4615</v>
      </c>
      <c r="U292" s="9"/>
      <c r="V292" s="9" t="s">
        <v>4565</v>
      </c>
      <c r="W292" s="9" t="s">
        <v>4765</v>
      </c>
      <c r="X292" s="11"/>
      <c r="Y292" s="9"/>
    </row>
    <row r="293" customFormat="false" ht="15" hidden="false" customHeight="false" outlineLevel="0" collapsed="false">
      <c r="A293" s="9" t="s">
        <v>1726</v>
      </c>
      <c r="B293" s="9" t="s">
        <v>1720</v>
      </c>
      <c r="C293" s="11" t="s">
        <v>1722</v>
      </c>
      <c r="D293" s="12" t="s">
        <v>1724</v>
      </c>
      <c r="E293" s="9" t="s">
        <v>1819</v>
      </c>
      <c r="F293" s="9" t="s">
        <v>1816</v>
      </c>
      <c r="G293" s="11" t="s">
        <v>1817</v>
      </c>
      <c r="H293" s="12" t="s">
        <v>1818</v>
      </c>
      <c r="I293" s="9"/>
      <c r="J293" s="11"/>
      <c r="K293" s="9"/>
      <c r="L293" s="9" t="s">
        <v>68</v>
      </c>
      <c r="M293" s="9" t="s">
        <v>69</v>
      </c>
      <c r="N293" s="11" t="s">
        <v>73</v>
      </c>
      <c r="O293" s="12" t="s">
        <v>77</v>
      </c>
      <c r="P293" s="13" t="n">
        <v>80</v>
      </c>
      <c r="Q293" s="13" t="n">
        <v>10</v>
      </c>
      <c r="R293" s="13" t="n">
        <v>8</v>
      </c>
      <c r="S293" s="13" t="n">
        <v>3</v>
      </c>
      <c r="T293" s="9" t="s">
        <v>4615</v>
      </c>
      <c r="U293" s="9"/>
      <c r="V293" s="9" t="s">
        <v>4565</v>
      </c>
      <c r="W293" s="9"/>
      <c r="X293" s="11"/>
      <c r="Y293" s="9"/>
    </row>
    <row r="294" customFormat="false" ht="15" hidden="false" customHeight="false" outlineLevel="0" collapsed="false">
      <c r="A294" s="9" t="s">
        <v>1827</v>
      </c>
      <c r="B294" s="9" t="s">
        <v>1821</v>
      </c>
      <c r="C294" s="11" t="s">
        <v>1823</v>
      </c>
      <c r="D294" s="12" t="s">
        <v>1825</v>
      </c>
      <c r="E294" s="9" t="s">
        <v>1828</v>
      </c>
      <c r="F294" s="9" t="s">
        <v>1822</v>
      </c>
      <c r="G294" s="11" t="s">
        <v>1824</v>
      </c>
      <c r="H294" s="12" t="s">
        <v>1826</v>
      </c>
      <c r="I294" s="9"/>
      <c r="J294" s="11"/>
      <c r="K294" s="9"/>
      <c r="L294" s="9" t="s">
        <v>68</v>
      </c>
      <c r="M294" s="9" t="s">
        <v>934</v>
      </c>
      <c r="N294" s="11" t="s">
        <v>936</v>
      </c>
      <c r="O294" s="12" t="s">
        <v>938</v>
      </c>
      <c r="P294" s="13" t="n">
        <v>80</v>
      </c>
      <c r="Q294" s="13" t="n">
        <v>20</v>
      </c>
      <c r="R294" s="13" t="n">
        <v>20</v>
      </c>
      <c r="S294" s="13" t="n">
        <v>10</v>
      </c>
      <c r="T294" s="9" t="s">
        <v>4615</v>
      </c>
      <c r="U294" s="9"/>
      <c r="V294" s="9" t="s">
        <v>4565</v>
      </c>
      <c r="W294" s="9"/>
      <c r="X294" s="11" t="s">
        <v>4766</v>
      </c>
      <c r="Y294" s="12" t="s">
        <v>4767</v>
      </c>
    </row>
    <row r="295" customFormat="false" ht="15" hidden="false" customHeight="false" outlineLevel="0" collapsed="false">
      <c r="A295" s="9" t="s">
        <v>1827</v>
      </c>
      <c r="B295" s="9" t="s">
        <v>1821</v>
      </c>
      <c r="C295" s="11" t="s">
        <v>1823</v>
      </c>
      <c r="D295" s="12" t="s">
        <v>1825</v>
      </c>
      <c r="E295" s="9" t="s">
        <v>1833</v>
      </c>
      <c r="F295" s="9" t="s">
        <v>1830</v>
      </c>
      <c r="G295" s="11" t="s">
        <v>1831</v>
      </c>
      <c r="H295" s="12" t="s">
        <v>1832</v>
      </c>
      <c r="I295" s="9"/>
      <c r="J295" s="11"/>
      <c r="K295" s="9"/>
      <c r="L295" s="9" t="s">
        <v>68</v>
      </c>
      <c r="M295" s="9" t="s">
        <v>934</v>
      </c>
      <c r="N295" s="11" t="s">
        <v>936</v>
      </c>
      <c r="O295" s="12" t="s">
        <v>938</v>
      </c>
      <c r="P295" s="13" t="n">
        <v>40</v>
      </c>
      <c r="Q295" s="13" t="n">
        <v>25</v>
      </c>
      <c r="R295" s="13" t="n">
        <v>25</v>
      </c>
      <c r="S295" s="13" t="n">
        <v>12</v>
      </c>
      <c r="T295" s="9" t="s">
        <v>4615</v>
      </c>
      <c r="U295" s="9"/>
      <c r="V295" s="9" t="s">
        <v>4565</v>
      </c>
      <c r="W295" s="9" t="s">
        <v>4768</v>
      </c>
      <c r="X295" s="11" t="s">
        <v>4769</v>
      </c>
      <c r="Y295" s="9"/>
    </row>
    <row r="296" customFormat="false" ht="15" hidden="false" customHeight="false" outlineLevel="0" collapsed="false">
      <c r="A296" s="9" t="s">
        <v>1827</v>
      </c>
      <c r="B296" s="9" t="s">
        <v>1821</v>
      </c>
      <c r="C296" s="11" t="s">
        <v>1823</v>
      </c>
      <c r="D296" s="12" t="s">
        <v>1825</v>
      </c>
      <c r="E296" s="9" t="s">
        <v>1838</v>
      </c>
      <c r="F296" s="9" t="s">
        <v>1835</v>
      </c>
      <c r="G296" s="11" t="s">
        <v>1836</v>
      </c>
      <c r="H296" s="12" t="s">
        <v>1837</v>
      </c>
      <c r="I296" s="9"/>
      <c r="J296" s="11"/>
      <c r="K296" s="9"/>
      <c r="L296" s="9" t="s">
        <v>68</v>
      </c>
      <c r="M296" s="9" t="s">
        <v>266</v>
      </c>
      <c r="N296" s="11" t="s">
        <v>269</v>
      </c>
      <c r="O296" s="12" t="s">
        <v>272</v>
      </c>
      <c r="P296" s="13" t="n">
        <v>30</v>
      </c>
      <c r="Q296" s="13" t="n">
        <v>20</v>
      </c>
      <c r="R296" s="13" t="n">
        <v>15</v>
      </c>
      <c r="S296" s="13" t="n">
        <v>1.8</v>
      </c>
      <c r="T296" s="9" t="s">
        <v>4563</v>
      </c>
      <c r="U296" s="9"/>
      <c r="V296" s="9" t="s">
        <v>4581</v>
      </c>
      <c r="W296" s="9"/>
      <c r="X296" s="11"/>
      <c r="Y296" s="9"/>
    </row>
    <row r="297" customFormat="false" ht="15" hidden="false" customHeight="false" outlineLevel="0" collapsed="false">
      <c r="A297" s="9" t="s">
        <v>1827</v>
      </c>
      <c r="B297" s="9" t="s">
        <v>1821</v>
      </c>
      <c r="C297" s="11" t="s">
        <v>1823</v>
      </c>
      <c r="D297" s="12" t="s">
        <v>1825</v>
      </c>
      <c r="E297" s="9" t="s">
        <v>1843</v>
      </c>
      <c r="F297" s="9" t="s">
        <v>1840</v>
      </c>
      <c r="G297" s="11" t="s">
        <v>1841</v>
      </c>
      <c r="H297" s="12" t="s">
        <v>1842</v>
      </c>
      <c r="I297" s="9"/>
      <c r="J297" s="11"/>
      <c r="K297" s="9"/>
      <c r="L297" s="9" t="s">
        <v>68</v>
      </c>
      <c r="M297" s="9" t="s">
        <v>934</v>
      </c>
      <c r="N297" s="11" t="s">
        <v>936</v>
      </c>
      <c r="O297" s="12" t="s">
        <v>938</v>
      </c>
      <c r="P297" s="13" t="n">
        <v>30</v>
      </c>
      <c r="Q297" s="13" t="n">
        <v>20</v>
      </c>
      <c r="R297" s="13" t="n">
        <v>15</v>
      </c>
      <c r="S297" s="13" t="n">
        <v>1.8</v>
      </c>
      <c r="T297" s="9" t="s">
        <v>4615</v>
      </c>
      <c r="U297" s="9"/>
      <c r="V297" s="9" t="s">
        <v>4581</v>
      </c>
      <c r="W297" s="9" t="s">
        <v>4770</v>
      </c>
      <c r="X297" s="11" t="s">
        <v>4771</v>
      </c>
      <c r="Y297" s="9"/>
    </row>
    <row r="298" customFormat="false" ht="15" hidden="false" customHeight="false" outlineLevel="0" collapsed="false">
      <c r="A298" s="9" t="s">
        <v>1827</v>
      </c>
      <c r="B298" s="9" t="s">
        <v>1821</v>
      </c>
      <c r="C298" s="11" t="s">
        <v>1823</v>
      </c>
      <c r="D298" s="12" t="s">
        <v>1825</v>
      </c>
      <c r="E298" s="9" t="s">
        <v>1848</v>
      </c>
      <c r="F298" s="9" t="s">
        <v>1845</v>
      </c>
      <c r="G298" s="11" t="s">
        <v>1846</v>
      </c>
      <c r="H298" s="12" t="s">
        <v>1847</v>
      </c>
      <c r="I298" s="9"/>
      <c r="J298" s="11"/>
      <c r="K298" s="9"/>
      <c r="L298" s="9" t="s">
        <v>4604</v>
      </c>
      <c r="M298" s="9" t="s">
        <v>934</v>
      </c>
      <c r="N298" s="11" t="s">
        <v>936</v>
      </c>
      <c r="O298" s="12" t="s">
        <v>938</v>
      </c>
      <c r="P298" s="13" t="n">
        <v>15</v>
      </c>
      <c r="Q298" s="13" t="n">
        <v>10</v>
      </c>
      <c r="R298" s="13" t="n">
        <v>8</v>
      </c>
      <c r="S298" s="13" t="n">
        <v>0.3</v>
      </c>
      <c r="T298" s="9" t="s">
        <v>4615</v>
      </c>
      <c r="U298" s="9"/>
      <c r="V298" s="9" t="s">
        <v>4571</v>
      </c>
      <c r="W298" s="9" t="s">
        <v>4772</v>
      </c>
      <c r="X298" s="11"/>
      <c r="Y298" s="9"/>
    </row>
    <row r="299" customFormat="false" ht="15" hidden="false" customHeight="false" outlineLevel="0" collapsed="false">
      <c r="A299" s="9" t="s">
        <v>1827</v>
      </c>
      <c r="B299" s="9" t="s">
        <v>1821</v>
      </c>
      <c r="C299" s="11" t="s">
        <v>1823</v>
      </c>
      <c r="D299" s="12" t="s">
        <v>1825</v>
      </c>
      <c r="E299" s="9" t="s">
        <v>1854</v>
      </c>
      <c r="F299" s="9" t="s">
        <v>1851</v>
      </c>
      <c r="G299" s="11" t="s">
        <v>1852</v>
      </c>
      <c r="H299" s="12" t="s">
        <v>1853</v>
      </c>
      <c r="I299" s="9"/>
      <c r="J299" s="11"/>
      <c r="K299" s="9"/>
      <c r="L299" s="9" t="s">
        <v>4604</v>
      </c>
      <c r="M299" s="9" t="s">
        <v>934</v>
      </c>
      <c r="N299" s="11" t="s">
        <v>936</v>
      </c>
      <c r="O299" s="12" t="s">
        <v>938</v>
      </c>
      <c r="P299" s="13" t="n">
        <v>15</v>
      </c>
      <c r="Q299" s="13" t="n">
        <v>10</v>
      </c>
      <c r="R299" s="13" t="n">
        <v>8</v>
      </c>
      <c r="S299" s="13" t="n">
        <v>0.3</v>
      </c>
      <c r="T299" s="9" t="s">
        <v>4615</v>
      </c>
      <c r="U299" s="9"/>
      <c r="V299" s="9" t="s">
        <v>4571</v>
      </c>
      <c r="W299" s="9" t="s">
        <v>4773</v>
      </c>
      <c r="X299" s="11"/>
      <c r="Y299" s="9"/>
    </row>
    <row r="300" customFormat="false" ht="15" hidden="false" customHeight="false" outlineLevel="0" collapsed="false">
      <c r="A300" s="9" t="s">
        <v>1827</v>
      </c>
      <c r="B300" s="9" t="s">
        <v>1821</v>
      </c>
      <c r="C300" s="11" t="s">
        <v>1823</v>
      </c>
      <c r="D300" s="12" t="s">
        <v>1825</v>
      </c>
      <c r="E300" s="9" t="s">
        <v>1860</v>
      </c>
      <c r="F300" s="9" t="s">
        <v>1857</v>
      </c>
      <c r="G300" s="11" t="s">
        <v>1858</v>
      </c>
      <c r="H300" s="12" t="s">
        <v>1859</v>
      </c>
      <c r="I300" s="9"/>
      <c r="J300" s="11"/>
      <c r="K300" s="9"/>
      <c r="L300" s="9" t="s">
        <v>4604</v>
      </c>
      <c r="M300" s="9" t="s">
        <v>934</v>
      </c>
      <c r="N300" s="11" t="s">
        <v>936</v>
      </c>
      <c r="O300" s="12" t="s">
        <v>938</v>
      </c>
      <c r="P300" s="13" t="n">
        <v>15</v>
      </c>
      <c r="Q300" s="13" t="n">
        <v>10</v>
      </c>
      <c r="R300" s="13" t="n">
        <v>8</v>
      </c>
      <c r="S300" s="13" t="n">
        <v>0.3</v>
      </c>
      <c r="T300" s="9" t="s">
        <v>4615</v>
      </c>
      <c r="U300" s="9"/>
      <c r="V300" s="9" t="s">
        <v>4571</v>
      </c>
      <c r="W300" s="9"/>
      <c r="X300" s="11"/>
      <c r="Y300" s="9"/>
    </row>
    <row r="301" customFormat="false" ht="15" hidden="false" customHeight="false" outlineLevel="0" collapsed="false">
      <c r="A301" s="9" t="s">
        <v>1827</v>
      </c>
      <c r="B301" s="9" t="s">
        <v>1821</v>
      </c>
      <c r="C301" s="11" t="s">
        <v>1823</v>
      </c>
      <c r="D301" s="12" t="s">
        <v>1825</v>
      </c>
      <c r="E301" s="9" t="s">
        <v>1866</v>
      </c>
      <c r="F301" s="9" t="s">
        <v>1863</v>
      </c>
      <c r="G301" s="11" t="s">
        <v>1864</v>
      </c>
      <c r="H301" s="12" t="s">
        <v>1865</v>
      </c>
      <c r="I301" s="9"/>
      <c r="J301" s="11"/>
      <c r="K301" s="9"/>
      <c r="L301" s="9" t="s">
        <v>68</v>
      </c>
      <c r="M301" s="9" t="s">
        <v>1863</v>
      </c>
      <c r="N301" s="11" t="s">
        <v>1864</v>
      </c>
      <c r="O301" s="12" t="s">
        <v>1865</v>
      </c>
      <c r="P301" s="13" t="n">
        <v>60</v>
      </c>
      <c r="Q301" s="13" t="n">
        <v>20</v>
      </c>
      <c r="R301" s="13" t="n">
        <v>20</v>
      </c>
      <c r="S301" s="13" t="n">
        <v>6</v>
      </c>
      <c r="T301" s="9" t="s">
        <v>4615</v>
      </c>
      <c r="U301" s="9"/>
      <c r="V301" s="9" t="s">
        <v>4565</v>
      </c>
      <c r="W301" s="9"/>
      <c r="X301" s="11"/>
      <c r="Y301" s="9"/>
    </row>
    <row r="302" customFormat="false" ht="15" hidden="false" customHeight="false" outlineLevel="0" collapsed="false">
      <c r="A302" s="9" t="s">
        <v>1827</v>
      </c>
      <c r="B302" s="9" t="s">
        <v>1821</v>
      </c>
      <c r="C302" s="11" t="s">
        <v>1823</v>
      </c>
      <c r="D302" s="12" t="s">
        <v>1825</v>
      </c>
      <c r="E302" s="9" t="s">
        <v>1871</v>
      </c>
      <c r="F302" s="9" t="s">
        <v>1868</v>
      </c>
      <c r="G302" s="11" t="s">
        <v>1869</v>
      </c>
      <c r="H302" s="12" t="s">
        <v>1870</v>
      </c>
      <c r="I302" s="9"/>
      <c r="J302" s="11"/>
      <c r="K302" s="9"/>
      <c r="L302" s="9" t="s">
        <v>68</v>
      </c>
      <c r="M302" s="9" t="s">
        <v>1863</v>
      </c>
      <c r="N302" s="11" t="s">
        <v>1864</v>
      </c>
      <c r="O302" s="12" t="s">
        <v>1865</v>
      </c>
      <c r="P302" s="13" t="n">
        <v>30</v>
      </c>
      <c r="Q302" s="13" t="n">
        <v>20</v>
      </c>
      <c r="R302" s="13" t="n">
        <v>15</v>
      </c>
      <c r="S302" s="13" t="n">
        <v>1.8</v>
      </c>
      <c r="T302" s="9" t="s">
        <v>4615</v>
      </c>
      <c r="U302" s="9"/>
      <c r="V302" s="9" t="s">
        <v>4581</v>
      </c>
      <c r="W302" s="9"/>
      <c r="X302" s="11"/>
      <c r="Y302" s="9"/>
    </row>
    <row r="303" customFormat="false" ht="15" hidden="false" customHeight="false" outlineLevel="0" collapsed="false">
      <c r="A303" s="9" t="s">
        <v>1827</v>
      </c>
      <c r="B303" s="9" t="s">
        <v>1821</v>
      </c>
      <c r="C303" s="11" t="s">
        <v>1823</v>
      </c>
      <c r="D303" s="12" t="s">
        <v>1825</v>
      </c>
      <c r="E303" s="9" t="s">
        <v>1876</v>
      </c>
      <c r="F303" s="9" t="s">
        <v>1873</v>
      </c>
      <c r="G303" s="11" t="s">
        <v>1874</v>
      </c>
      <c r="H303" s="12" t="s">
        <v>1875</v>
      </c>
      <c r="I303" s="9"/>
      <c r="J303" s="11"/>
      <c r="K303" s="9"/>
      <c r="L303" s="9" t="s">
        <v>68</v>
      </c>
      <c r="M303" s="9" t="s">
        <v>1863</v>
      </c>
      <c r="N303" s="11" t="s">
        <v>1864</v>
      </c>
      <c r="O303" s="12" t="s">
        <v>1865</v>
      </c>
      <c r="P303" s="13" t="n">
        <v>40</v>
      </c>
      <c r="Q303" s="13" t="n">
        <v>40</v>
      </c>
      <c r="R303" s="13" t="n">
        <v>15</v>
      </c>
      <c r="S303" s="13" t="n">
        <v>1.8</v>
      </c>
      <c r="T303" s="9" t="s">
        <v>4615</v>
      </c>
      <c r="U303" s="9"/>
      <c r="V303" s="9" t="s">
        <v>4565</v>
      </c>
      <c r="W303" s="9"/>
      <c r="X303" s="11" t="s">
        <v>4766</v>
      </c>
      <c r="Y303" s="9"/>
    </row>
    <row r="304" customFormat="false" ht="15" hidden="false" customHeight="false" outlineLevel="0" collapsed="false">
      <c r="A304" s="9" t="s">
        <v>1827</v>
      </c>
      <c r="B304" s="9" t="s">
        <v>1821</v>
      </c>
      <c r="C304" s="11" t="s">
        <v>1823</v>
      </c>
      <c r="D304" s="12" t="s">
        <v>1825</v>
      </c>
      <c r="E304" s="9" t="s">
        <v>1881</v>
      </c>
      <c r="F304" s="9" t="s">
        <v>1878</v>
      </c>
      <c r="G304" s="11" t="s">
        <v>1879</v>
      </c>
      <c r="H304" s="12" t="s">
        <v>1880</v>
      </c>
      <c r="I304" s="9"/>
      <c r="J304" s="11"/>
      <c r="K304" s="9"/>
      <c r="L304" s="9" t="s">
        <v>4604</v>
      </c>
      <c r="M304" s="9" t="s">
        <v>1863</v>
      </c>
      <c r="N304" s="11" t="s">
        <v>1864</v>
      </c>
      <c r="O304" s="12" t="s">
        <v>1865</v>
      </c>
      <c r="P304" s="13" t="n">
        <v>10</v>
      </c>
      <c r="Q304" s="13" t="n">
        <v>8</v>
      </c>
      <c r="R304" s="13" t="n">
        <v>6</v>
      </c>
      <c r="S304" s="13" t="n">
        <v>0.1</v>
      </c>
      <c r="T304" s="9" t="s">
        <v>4615</v>
      </c>
      <c r="U304" s="9"/>
      <c r="V304" s="9" t="s">
        <v>4572</v>
      </c>
      <c r="W304" s="9"/>
      <c r="X304" s="11"/>
      <c r="Y304" s="9"/>
    </row>
    <row r="305" customFormat="false" ht="15" hidden="false" customHeight="false" outlineLevel="0" collapsed="false">
      <c r="A305" s="9" t="s">
        <v>1827</v>
      </c>
      <c r="B305" s="9" t="s">
        <v>1821</v>
      </c>
      <c r="C305" s="11" t="s">
        <v>1823</v>
      </c>
      <c r="D305" s="12" t="s">
        <v>1825</v>
      </c>
      <c r="E305" s="9" t="s">
        <v>1887</v>
      </c>
      <c r="F305" s="9" t="s">
        <v>1884</v>
      </c>
      <c r="G305" s="11" t="s">
        <v>1885</v>
      </c>
      <c r="H305" s="12" t="s">
        <v>1886</v>
      </c>
      <c r="I305" s="9"/>
      <c r="J305" s="11"/>
      <c r="K305" s="9"/>
      <c r="L305" s="9" t="s">
        <v>68</v>
      </c>
      <c r="M305" s="9" t="s">
        <v>1863</v>
      </c>
      <c r="N305" s="11" t="s">
        <v>1864</v>
      </c>
      <c r="O305" s="12" t="s">
        <v>1865</v>
      </c>
      <c r="P305" s="13" t="n">
        <v>15</v>
      </c>
      <c r="Q305" s="13" t="n">
        <v>10</v>
      </c>
      <c r="R305" s="13" t="n">
        <v>8</v>
      </c>
      <c r="S305" s="13" t="n">
        <v>0.3</v>
      </c>
      <c r="T305" s="9" t="s">
        <v>4615</v>
      </c>
      <c r="U305" s="9"/>
      <c r="V305" s="9" t="s">
        <v>4571</v>
      </c>
      <c r="W305" s="9"/>
      <c r="X305" s="11" t="s">
        <v>4774</v>
      </c>
      <c r="Y305" s="12" t="s">
        <v>4775</v>
      </c>
    </row>
    <row r="306" customFormat="false" ht="15" hidden="false" customHeight="false" outlineLevel="0" collapsed="false">
      <c r="A306" s="9" t="s">
        <v>1827</v>
      </c>
      <c r="B306" s="9" t="s">
        <v>1821</v>
      </c>
      <c r="C306" s="11" t="s">
        <v>1823</v>
      </c>
      <c r="D306" s="12" t="s">
        <v>1825</v>
      </c>
      <c r="E306" s="9" t="s">
        <v>1892</v>
      </c>
      <c r="F306" s="9" t="s">
        <v>1889</v>
      </c>
      <c r="G306" s="11" t="s">
        <v>1890</v>
      </c>
      <c r="H306" s="12" t="s">
        <v>1891</v>
      </c>
      <c r="I306" s="9"/>
      <c r="J306" s="11"/>
      <c r="K306" s="9"/>
      <c r="L306" s="9" t="s">
        <v>68</v>
      </c>
      <c r="M306" s="9" t="s">
        <v>1863</v>
      </c>
      <c r="N306" s="11" t="s">
        <v>1864</v>
      </c>
      <c r="O306" s="12" t="s">
        <v>1865</v>
      </c>
      <c r="P306" s="13" t="n">
        <v>25</v>
      </c>
      <c r="Q306" s="13" t="n">
        <v>15</v>
      </c>
      <c r="R306" s="13" t="n">
        <v>10</v>
      </c>
      <c r="S306" s="13" t="n">
        <v>0.9</v>
      </c>
      <c r="T306" s="9" t="s">
        <v>4615</v>
      </c>
      <c r="U306" s="9"/>
      <c r="V306" s="9" t="s">
        <v>4568</v>
      </c>
      <c r="W306" s="9"/>
      <c r="X306" s="11"/>
      <c r="Y306" s="9"/>
    </row>
    <row r="307" customFormat="false" ht="15" hidden="false" customHeight="false" outlineLevel="0" collapsed="false">
      <c r="A307" s="9" t="s">
        <v>1827</v>
      </c>
      <c r="B307" s="9" t="s">
        <v>1821</v>
      </c>
      <c r="C307" s="11" t="s">
        <v>1823</v>
      </c>
      <c r="D307" s="12" t="s">
        <v>1825</v>
      </c>
      <c r="E307" s="9" t="s">
        <v>1897</v>
      </c>
      <c r="F307" s="9" t="s">
        <v>1894</v>
      </c>
      <c r="G307" s="11" t="s">
        <v>1895</v>
      </c>
      <c r="H307" s="12" t="s">
        <v>1896</v>
      </c>
      <c r="I307" s="9"/>
      <c r="J307" s="11"/>
      <c r="K307" s="9"/>
      <c r="L307" s="9" t="s">
        <v>68</v>
      </c>
      <c r="M307" s="9" t="s">
        <v>1863</v>
      </c>
      <c r="N307" s="11" t="s">
        <v>1864</v>
      </c>
      <c r="O307" s="12" t="s">
        <v>1865</v>
      </c>
      <c r="P307" s="13" t="n">
        <v>15</v>
      </c>
      <c r="Q307" s="13" t="n">
        <v>10</v>
      </c>
      <c r="R307" s="13" t="n">
        <v>8</v>
      </c>
      <c r="S307" s="13" t="n">
        <v>0.3</v>
      </c>
      <c r="T307" s="9" t="s">
        <v>4615</v>
      </c>
      <c r="U307" s="9"/>
      <c r="V307" s="9" t="s">
        <v>4571</v>
      </c>
      <c r="W307" s="9"/>
      <c r="X307" s="11"/>
      <c r="Y307" s="9"/>
    </row>
    <row r="308" customFormat="false" ht="15" hidden="false" customHeight="false" outlineLevel="0" collapsed="false">
      <c r="A308" s="9" t="s">
        <v>1827</v>
      </c>
      <c r="B308" s="9" t="s">
        <v>1821</v>
      </c>
      <c r="C308" s="11" t="s">
        <v>1823</v>
      </c>
      <c r="D308" s="12" t="s">
        <v>1825</v>
      </c>
      <c r="E308" s="9" t="s">
        <v>1902</v>
      </c>
      <c r="F308" s="9" t="s">
        <v>1899</v>
      </c>
      <c r="G308" s="11" t="s">
        <v>1900</v>
      </c>
      <c r="H308" s="12" t="s">
        <v>1901</v>
      </c>
      <c r="I308" s="9"/>
      <c r="J308" s="11"/>
      <c r="K308" s="9"/>
      <c r="L308" s="9" t="s">
        <v>68</v>
      </c>
      <c r="M308" s="9" t="s">
        <v>934</v>
      </c>
      <c r="N308" s="11" t="s">
        <v>936</v>
      </c>
      <c r="O308" s="12" t="s">
        <v>938</v>
      </c>
      <c r="P308" s="13" t="n">
        <v>25</v>
      </c>
      <c r="Q308" s="13" t="n">
        <v>15</v>
      </c>
      <c r="R308" s="13" t="n">
        <v>10</v>
      </c>
      <c r="S308" s="13" t="n">
        <v>0.9</v>
      </c>
      <c r="T308" s="9" t="s">
        <v>4563</v>
      </c>
      <c r="U308" s="9"/>
      <c r="V308" s="9" t="s">
        <v>4568</v>
      </c>
      <c r="W308" s="9" t="s">
        <v>4776</v>
      </c>
      <c r="X308" s="11"/>
      <c r="Y308" s="9"/>
    </row>
    <row r="309" customFormat="false" ht="15" hidden="false" customHeight="false" outlineLevel="0" collapsed="false">
      <c r="A309" s="9" t="s">
        <v>1827</v>
      </c>
      <c r="B309" s="9" t="s">
        <v>1821</v>
      </c>
      <c r="C309" s="11" t="s">
        <v>1823</v>
      </c>
      <c r="D309" s="12" t="s">
        <v>1825</v>
      </c>
      <c r="E309" s="9" t="s">
        <v>1907</v>
      </c>
      <c r="F309" s="9" t="s">
        <v>1904</v>
      </c>
      <c r="G309" s="11" t="s">
        <v>1905</v>
      </c>
      <c r="H309" s="12" t="s">
        <v>1906</v>
      </c>
      <c r="I309" s="9"/>
      <c r="J309" s="11"/>
      <c r="K309" s="9"/>
      <c r="L309" s="9" t="s">
        <v>68</v>
      </c>
      <c r="M309" s="9" t="s">
        <v>934</v>
      </c>
      <c r="N309" s="11" t="s">
        <v>936</v>
      </c>
      <c r="O309" s="12" t="s">
        <v>938</v>
      </c>
      <c r="P309" s="13" t="n">
        <v>15</v>
      </c>
      <c r="Q309" s="13" t="n">
        <v>10</v>
      </c>
      <c r="R309" s="13" t="n">
        <v>8</v>
      </c>
      <c r="S309" s="13" t="n">
        <v>0.3</v>
      </c>
      <c r="T309" s="9" t="s">
        <v>4563</v>
      </c>
      <c r="U309" s="9"/>
      <c r="V309" s="9" t="s">
        <v>4571</v>
      </c>
      <c r="W309" s="9" t="s">
        <v>4777</v>
      </c>
      <c r="X309" s="11"/>
      <c r="Y309" s="9"/>
    </row>
    <row r="310" customFormat="false" ht="15" hidden="false" customHeight="false" outlineLevel="0" collapsed="false">
      <c r="A310" s="9" t="s">
        <v>1827</v>
      </c>
      <c r="B310" s="9" t="s">
        <v>1821</v>
      </c>
      <c r="C310" s="11" t="s">
        <v>1823</v>
      </c>
      <c r="D310" s="12" t="s">
        <v>1825</v>
      </c>
      <c r="E310" s="9" t="s">
        <v>1912</v>
      </c>
      <c r="F310" s="9" t="s">
        <v>1909</v>
      </c>
      <c r="G310" s="11" t="s">
        <v>1910</v>
      </c>
      <c r="H310" s="12" t="s">
        <v>1911</v>
      </c>
      <c r="I310" s="9"/>
      <c r="J310" s="11"/>
      <c r="K310" s="9"/>
      <c r="L310" s="9" t="s">
        <v>68</v>
      </c>
      <c r="M310" s="9" t="s">
        <v>69</v>
      </c>
      <c r="N310" s="11" t="s">
        <v>73</v>
      </c>
      <c r="O310" s="12" t="s">
        <v>77</v>
      </c>
      <c r="P310" s="13" t="n">
        <v>25</v>
      </c>
      <c r="Q310" s="13" t="n">
        <v>15</v>
      </c>
      <c r="R310" s="13" t="n">
        <v>10</v>
      </c>
      <c r="S310" s="13" t="n">
        <v>0.9</v>
      </c>
      <c r="T310" s="9" t="s">
        <v>4563</v>
      </c>
      <c r="U310" s="9"/>
      <c r="V310" s="9" t="s">
        <v>4568</v>
      </c>
      <c r="W310" s="9"/>
      <c r="X310" s="11"/>
      <c r="Y310" s="9"/>
    </row>
    <row r="311" customFormat="false" ht="15" hidden="false" customHeight="false" outlineLevel="0" collapsed="false">
      <c r="A311" s="9" t="s">
        <v>1827</v>
      </c>
      <c r="B311" s="9" t="s">
        <v>1821</v>
      </c>
      <c r="C311" s="11" t="s">
        <v>1823</v>
      </c>
      <c r="D311" s="12" t="s">
        <v>1825</v>
      </c>
      <c r="E311" s="9" t="s">
        <v>1917</v>
      </c>
      <c r="F311" s="9" t="s">
        <v>1914</v>
      </c>
      <c r="G311" s="11" t="s">
        <v>1915</v>
      </c>
      <c r="H311" s="12" t="s">
        <v>1916</v>
      </c>
      <c r="I311" s="9"/>
      <c r="J311" s="11"/>
      <c r="K311" s="9"/>
      <c r="L311" s="9" t="s">
        <v>68</v>
      </c>
      <c r="M311" s="9" t="s">
        <v>69</v>
      </c>
      <c r="N311" s="11" t="s">
        <v>73</v>
      </c>
      <c r="O311" s="12" t="s">
        <v>77</v>
      </c>
      <c r="P311" s="13" t="n">
        <v>10</v>
      </c>
      <c r="Q311" s="13" t="n">
        <v>8</v>
      </c>
      <c r="R311" s="13" t="n">
        <v>6</v>
      </c>
      <c r="S311" s="13" t="n">
        <v>0.1</v>
      </c>
      <c r="T311" s="9" t="s">
        <v>4563</v>
      </c>
      <c r="U311" s="9"/>
      <c r="V311" s="9" t="s">
        <v>4572</v>
      </c>
      <c r="W311" s="9" t="s">
        <v>4778</v>
      </c>
      <c r="X311" s="11"/>
      <c r="Y311" s="9"/>
    </row>
    <row r="312" customFormat="false" ht="15" hidden="false" customHeight="false" outlineLevel="0" collapsed="false">
      <c r="A312" s="9" t="s">
        <v>1827</v>
      </c>
      <c r="B312" s="9" t="s">
        <v>1821</v>
      </c>
      <c r="C312" s="11" t="s">
        <v>1823</v>
      </c>
      <c r="D312" s="12" t="s">
        <v>1825</v>
      </c>
      <c r="E312" s="9" t="s">
        <v>1922</v>
      </c>
      <c r="F312" s="9" t="s">
        <v>1919</v>
      </c>
      <c r="G312" s="11" t="s">
        <v>1920</v>
      </c>
      <c r="H312" s="12" t="s">
        <v>1921</v>
      </c>
      <c r="I312" s="9"/>
      <c r="J312" s="11"/>
      <c r="K312" s="9"/>
      <c r="L312" s="9" t="s">
        <v>68</v>
      </c>
      <c r="M312" s="9" t="s">
        <v>934</v>
      </c>
      <c r="N312" s="11" t="s">
        <v>936</v>
      </c>
      <c r="O312" s="12" t="s">
        <v>938</v>
      </c>
      <c r="P312" s="13" t="n">
        <v>25</v>
      </c>
      <c r="Q312" s="13" t="n">
        <v>15</v>
      </c>
      <c r="R312" s="13" t="n">
        <v>10</v>
      </c>
      <c r="S312" s="13" t="n">
        <v>0.9</v>
      </c>
      <c r="T312" s="9" t="s">
        <v>4615</v>
      </c>
      <c r="U312" s="9"/>
      <c r="V312" s="9" t="s">
        <v>4568</v>
      </c>
      <c r="W312" s="9"/>
      <c r="X312" s="11"/>
      <c r="Y312" s="9"/>
    </row>
    <row r="313" customFormat="false" ht="15" hidden="false" customHeight="false" outlineLevel="0" collapsed="false">
      <c r="A313" s="9" t="s">
        <v>1827</v>
      </c>
      <c r="B313" s="9" t="s">
        <v>1821</v>
      </c>
      <c r="C313" s="11" t="s">
        <v>1823</v>
      </c>
      <c r="D313" s="12" t="s">
        <v>1825</v>
      </c>
      <c r="E313" s="9" t="s">
        <v>1927</v>
      </c>
      <c r="F313" s="9" t="s">
        <v>1924</v>
      </c>
      <c r="G313" s="11" t="s">
        <v>1925</v>
      </c>
      <c r="H313" s="12" t="s">
        <v>1926</v>
      </c>
      <c r="I313" s="9"/>
      <c r="J313" s="11"/>
      <c r="K313" s="9"/>
      <c r="L313" s="9" t="s">
        <v>68</v>
      </c>
      <c r="M313" s="9" t="s">
        <v>934</v>
      </c>
      <c r="N313" s="11" t="s">
        <v>936</v>
      </c>
      <c r="O313" s="12" t="s">
        <v>938</v>
      </c>
      <c r="P313" s="13" t="n">
        <v>25</v>
      </c>
      <c r="Q313" s="13" t="n">
        <v>15</v>
      </c>
      <c r="R313" s="13" t="n">
        <v>10</v>
      </c>
      <c r="S313" s="13" t="n">
        <v>0.9</v>
      </c>
      <c r="T313" s="9" t="s">
        <v>4615</v>
      </c>
      <c r="U313" s="9"/>
      <c r="V313" s="9" t="s">
        <v>4568</v>
      </c>
      <c r="W313" s="9"/>
      <c r="X313" s="11"/>
      <c r="Y313" s="9"/>
    </row>
    <row r="314" customFormat="false" ht="15" hidden="false" customHeight="false" outlineLevel="0" collapsed="false">
      <c r="A314" s="9" t="s">
        <v>1827</v>
      </c>
      <c r="B314" s="9" t="s">
        <v>1821</v>
      </c>
      <c r="C314" s="11" t="s">
        <v>1823</v>
      </c>
      <c r="D314" s="12" t="s">
        <v>1825</v>
      </c>
      <c r="E314" s="9" t="s">
        <v>1932</v>
      </c>
      <c r="F314" s="9" t="s">
        <v>1929</v>
      </c>
      <c r="G314" s="11" t="s">
        <v>1930</v>
      </c>
      <c r="H314" s="12" t="s">
        <v>1931</v>
      </c>
      <c r="I314" s="9"/>
      <c r="J314" s="11"/>
      <c r="K314" s="9"/>
      <c r="L314" s="9" t="s">
        <v>68</v>
      </c>
      <c r="M314" s="9" t="s">
        <v>934</v>
      </c>
      <c r="N314" s="11" t="s">
        <v>936</v>
      </c>
      <c r="O314" s="12" t="s">
        <v>938</v>
      </c>
      <c r="P314" s="13" t="n">
        <v>25</v>
      </c>
      <c r="Q314" s="13" t="n">
        <v>15</v>
      </c>
      <c r="R314" s="13" t="n">
        <v>10</v>
      </c>
      <c r="S314" s="13" t="n">
        <v>0.9</v>
      </c>
      <c r="T314" s="9" t="s">
        <v>4615</v>
      </c>
      <c r="U314" s="9"/>
      <c r="V314" s="9" t="s">
        <v>4568</v>
      </c>
      <c r="W314" s="9"/>
      <c r="X314" s="11" t="s">
        <v>4779</v>
      </c>
      <c r="Y314" s="9"/>
    </row>
    <row r="315" customFormat="false" ht="15" hidden="false" customHeight="false" outlineLevel="0" collapsed="false">
      <c r="A315" s="9" t="s">
        <v>1827</v>
      </c>
      <c r="B315" s="9" t="s">
        <v>1821</v>
      </c>
      <c r="C315" s="11" t="s">
        <v>1823</v>
      </c>
      <c r="D315" s="12" t="s">
        <v>1825</v>
      </c>
      <c r="E315" s="9" t="s">
        <v>1937</v>
      </c>
      <c r="F315" s="9" t="s">
        <v>1934</v>
      </c>
      <c r="G315" s="11" t="s">
        <v>1935</v>
      </c>
      <c r="H315" s="12" t="s">
        <v>1936</v>
      </c>
      <c r="I315" s="9"/>
      <c r="J315" s="11"/>
      <c r="K315" s="9"/>
      <c r="L315" s="9" t="s">
        <v>68</v>
      </c>
      <c r="M315" s="9" t="s">
        <v>934</v>
      </c>
      <c r="N315" s="11" t="s">
        <v>936</v>
      </c>
      <c r="O315" s="12" t="s">
        <v>938</v>
      </c>
      <c r="P315" s="13" t="n">
        <v>30</v>
      </c>
      <c r="Q315" s="13" t="n">
        <v>20</v>
      </c>
      <c r="R315" s="13" t="n">
        <v>15</v>
      </c>
      <c r="S315" s="13" t="n">
        <v>1.8</v>
      </c>
      <c r="T315" s="9" t="s">
        <v>4615</v>
      </c>
      <c r="U315" s="9"/>
      <c r="V315" s="9" t="s">
        <v>4581</v>
      </c>
      <c r="W315" s="9"/>
      <c r="X315" s="11" t="s">
        <v>4780</v>
      </c>
      <c r="Y315" s="9"/>
    </row>
    <row r="316" customFormat="false" ht="15" hidden="false" customHeight="false" outlineLevel="0" collapsed="false">
      <c r="A316" s="9" t="s">
        <v>1945</v>
      </c>
      <c r="B316" s="9" t="s">
        <v>1939</v>
      </c>
      <c r="C316" s="11" t="s">
        <v>1941</v>
      </c>
      <c r="D316" s="12" t="s">
        <v>1943</v>
      </c>
      <c r="E316" s="9" t="s">
        <v>1946</v>
      </c>
      <c r="F316" s="9" t="s">
        <v>1940</v>
      </c>
      <c r="G316" s="11" t="s">
        <v>1942</v>
      </c>
      <c r="H316" s="12" t="s">
        <v>1944</v>
      </c>
      <c r="I316" s="9"/>
      <c r="J316" s="11"/>
      <c r="K316" s="9"/>
      <c r="L316" s="9" t="s">
        <v>4730</v>
      </c>
      <c r="M316" s="9" t="s">
        <v>1385</v>
      </c>
      <c r="N316" s="11" t="s">
        <v>1387</v>
      </c>
      <c r="O316" s="12" t="s">
        <v>1389</v>
      </c>
      <c r="P316" s="13" t="n">
        <v>15</v>
      </c>
      <c r="Q316" s="13" t="n">
        <v>15</v>
      </c>
      <c r="R316" s="13" t="n">
        <v>12</v>
      </c>
      <c r="S316" s="13" t="n">
        <v>2.5</v>
      </c>
      <c r="T316" s="9" t="s">
        <v>4615</v>
      </c>
      <c r="U316" s="9"/>
      <c r="V316" s="9" t="s">
        <v>4565</v>
      </c>
      <c r="W316" s="9" t="s">
        <v>4781</v>
      </c>
      <c r="X316" s="11"/>
      <c r="Y316" s="9"/>
    </row>
    <row r="317" customFormat="false" ht="15" hidden="false" customHeight="false" outlineLevel="0" collapsed="false">
      <c r="A317" s="9" t="s">
        <v>1945</v>
      </c>
      <c r="B317" s="9" t="s">
        <v>1939</v>
      </c>
      <c r="C317" s="11" t="s">
        <v>1941</v>
      </c>
      <c r="D317" s="12" t="s">
        <v>1943</v>
      </c>
      <c r="E317" s="9" t="s">
        <v>1954</v>
      </c>
      <c r="F317" s="9" t="s">
        <v>1951</v>
      </c>
      <c r="G317" s="11" t="s">
        <v>1952</v>
      </c>
      <c r="H317" s="12" t="s">
        <v>1953</v>
      </c>
      <c r="I317" s="9"/>
      <c r="J317" s="11"/>
      <c r="K317" s="9"/>
      <c r="L317" s="9" t="s">
        <v>4730</v>
      </c>
      <c r="M317" s="9" t="s">
        <v>1385</v>
      </c>
      <c r="N317" s="11" t="s">
        <v>1387</v>
      </c>
      <c r="O317" s="12" t="s">
        <v>1389</v>
      </c>
      <c r="P317" s="13" t="n">
        <v>15</v>
      </c>
      <c r="Q317" s="13" t="n">
        <v>10</v>
      </c>
      <c r="R317" s="13" t="n">
        <v>8</v>
      </c>
      <c r="S317" s="13" t="n">
        <v>0.3</v>
      </c>
      <c r="T317" s="9" t="s">
        <v>4615</v>
      </c>
      <c r="U317" s="9"/>
      <c r="V317" s="9" t="s">
        <v>4571</v>
      </c>
      <c r="W317" s="9"/>
      <c r="X317" s="11"/>
      <c r="Y317" s="9"/>
    </row>
    <row r="318" customFormat="false" ht="15" hidden="false" customHeight="false" outlineLevel="0" collapsed="false">
      <c r="A318" s="9" t="s">
        <v>1945</v>
      </c>
      <c r="B318" s="9" t="s">
        <v>1939</v>
      </c>
      <c r="C318" s="11" t="s">
        <v>1941</v>
      </c>
      <c r="D318" s="12" t="s">
        <v>1943</v>
      </c>
      <c r="E318" s="9" t="s">
        <v>1962</v>
      </c>
      <c r="F318" s="9" t="s">
        <v>1959</v>
      </c>
      <c r="G318" s="11" t="s">
        <v>1960</v>
      </c>
      <c r="H318" s="12" t="s">
        <v>1961</v>
      </c>
      <c r="I318" s="9"/>
      <c r="J318" s="11"/>
      <c r="K318" s="9"/>
      <c r="L318" s="9" t="s">
        <v>4730</v>
      </c>
      <c r="M318" s="9" t="s">
        <v>1510</v>
      </c>
      <c r="N318" s="11" t="s">
        <v>1512</v>
      </c>
      <c r="O318" s="12" t="s">
        <v>1514</v>
      </c>
      <c r="P318" s="13" t="n">
        <v>30</v>
      </c>
      <c r="Q318" s="13" t="n">
        <v>25</v>
      </c>
      <c r="R318" s="13" t="n">
        <v>20</v>
      </c>
      <c r="S318" s="13" t="n">
        <v>6</v>
      </c>
      <c r="T318" s="9" t="s">
        <v>4615</v>
      </c>
      <c r="U318" s="9"/>
      <c r="V318" s="9" t="s">
        <v>4565</v>
      </c>
      <c r="W318" s="9"/>
      <c r="X318" s="11" t="s">
        <v>4782</v>
      </c>
      <c r="Y318" s="9"/>
    </row>
    <row r="319" customFormat="false" ht="15" hidden="false" customHeight="false" outlineLevel="0" collapsed="false">
      <c r="A319" s="9" t="s">
        <v>1945</v>
      </c>
      <c r="B319" s="9" t="s">
        <v>1939</v>
      </c>
      <c r="C319" s="11" t="s">
        <v>1941</v>
      </c>
      <c r="D319" s="12" t="s">
        <v>1943</v>
      </c>
      <c r="E319" s="9" t="s">
        <v>1972</v>
      </c>
      <c r="F319" s="9" t="s">
        <v>1967</v>
      </c>
      <c r="G319" s="11" t="s">
        <v>1969</v>
      </c>
      <c r="H319" s="12" t="s">
        <v>1971</v>
      </c>
      <c r="I319" s="9"/>
      <c r="J319" s="11"/>
      <c r="K319" s="9"/>
      <c r="L319" s="9" t="s">
        <v>4730</v>
      </c>
      <c r="M319" s="9" t="s">
        <v>1968</v>
      </c>
      <c r="N319" s="11" t="s">
        <v>1970</v>
      </c>
      <c r="O319" s="12" t="s">
        <v>1943</v>
      </c>
      <c r="P319" s="13" t="n">
        <v>70</v>
      </c>
      <c r="Q319" s="13" t="n">
        <v>70</v>
      </c>
      <c r="R319" s="13" t="n">
        <v>25</v>
      </c>
      <c r="S319" s="13" t="n">
        <v>10</v>
      </c>
      <c r="T319" s="9" t="s">
        <v>4615</v>
      </c>
      <c r="U319" s="9"/>
      <c r="V319" s="9" t="s">
        <v>4565</v>
      </c>
      <c r="W319" s="9"/>
      <c r="X319" s="11"/>
      <c r="Y319" s="9"/>
    </row>
    <row r="320" customFormat="false" ht="15" hidden="false" customHeight="false" outlineLevel="0" collapsed="false">
      <c r="A320" s="9" t="s">
        <v>1945</v>
      </c>
      <c r="B320" s="9" t="s">
        <v>1939</v>
      </c>
      <c r="C320" s="11" t="s">
        <v>1941</v>
      </c>
      <c r="D320" s="12" t="s">
        <v>1943</v>
      </c>
      <c r="E320" s="9" t="s">
        <v>1980</v>
      </c>
      <c r="F320" s="9" t="s">
        <v>1977</v>
      </c>
      <c r="G320" s="11" t="s">
        <v>1978</v>
      </c>
      <c r="H320" s="12" t="s">
        <v>1979</v>
      </c>
      <c r="I320" s="9"/>
      <c r="J320" s="11"/>
      <c r="K320" s="9"/>
      <c r="L320" s="9" t="s">
        <v>4730</v>
      </c>
      <c r="M320" s="9" t="s">
        <v>1968</v>
      </c>
      <c r="N320" s="11" t="s">
        <v>1970</v>
      </c>
      <c r="O320" s="12" t="s">
        <v>1943</v>
      </c>
      <c r="P320" s="13" t="n">
        <v>65</v>
      </c>
      <c r="Q320" s="13" t="n">
        <v>65</v>
      </c>
      <c r="R320" s="13" t="n">
        <v>22</v>
      </c>
      <c r="S320" s="13" t="n">
        <v>9</v>
      </c>
      <c r="T320" s="9" t="s">
        <v>4615</v>
      </c>
      <c r="U320" s="9"/>
      <c r="V320" s="9" t="s">
        <v>4565</v>
      </c>
      <c r="W320" s="9"/>
      <c r="X320" s="11"/>
      <c r="Y320" s="9"/>
    </row>
    <row r="321" customFormat="false" ht="15" hidden="false" customHeight="false" outlineLevel="0" collapsed="false">
      <c r="A321" s="9" t="s">
        <v>1945</v>
      </c>
      <c r="B321" s="9" t="s">
        <v>1939</v>
      </c>
      <c r="C321" s="11" t="s">
        <v>1941</v>
      </c>
      <c r="D321" s="12" t="s">
        <v>1943</v>
      </c>
      <c r="E321" s="9" t="s">
        <v>1988</v>
      </c>
      <c r="F321" s="9" t="s">
        <v>1985</v>
      </c>
      <c r="G321" s="11" t="s">
        <v>1986</v>
      </c>
      <c r="H321" s="12" t="s">
        <v>1987</v>
      </c>
      <c r="I321" s="9"/>
      <c r="J321" s="11"/>
      <c r="K321" s="9"/>
      <c r="L321" s="9" t="s">
        <v>4730</v>
      </c>
      <c r="M321" s="9" t="s">
        <v>1968</v>
      </c>
      <c r="N321" s="11" t="s">
        <v>1970</v>
      </c>
      <c r="O321" s="12" t="s">
        <v>1943</v>
      </c>
      <c r="P321" s="13" t="n">
        <v>10</v>
      </c>
      <c r="Q321" s="13" t="n">
        <v>8</v>
      </c>
      <c r="R321" s="13" t="n">
        <v>6</v>
      </c>
      <c r="S321" s="13" t="n">
        <v>0.1</v>
      </c>
      <c r="T321" s="9" t="s">
        <v>4615</v>
      </c>
      <c r="U321" s="9"/>
      <c r="V321" s="9" t="s">
        <v>4572</v>
      </c>
      <c r="W321" s="9"/>
      <c r="X321" s="11"/>
      <c r="Y321" s="9"/>
    </row>
    <row r="322" customFormat="false" ht="15" hidden="false" customHeight="false" outlineLevel="0" collapsed="false">
      <c r="A322" s="9" t="s">
        <v>1945</v>
      </c>
      <c r="B322" s="9" t="s">
        <v>1939</v>
      </c>
      <c r="C322" s="11" t="s">
        <v>1941</v>
      </c>
      <c r="D322" s="12" t="s">
        <v>1943</v>
      </c>
      <c r="E322" s="9" t="s">
        <v>1996</v>
      </c>
      <c r="F322" s="9" t="s">
        <v>1993</v>
      </c>
      <c r="G322" s="11" t="s">
        <v>1994</v>
      </c>
      <c r="H322" s="12" t="s">
        <v>1995</v>
      </c>
      <c r="I322" s="9"/>
      <c r="J322" s="11"/>
      <c r="K322" s="9"/>
      <c r="L322" s="9" t="s">
        <v>4730</v>
      </c>
      <c r="M322" s="9" t="s">
        <v>1968</v>
      </c>
      <c r="N322" s="11" t="s">
        <v>1970</v>
      </c>
      <c r="O322" s="12" t="s">
        <v>1943</v>
      </c>
      <c r="P322" s="13" t="n">
        <v>40</v>
      </c>
      <c r="Q322" s="13" t="n">
        <v>40</v>
      </c>
      <c r="R322" s="13" t="n">
        <v>8</v>
      </c>
      <c r="S322" s="13" t="n">
        <v>0.6</v>
      </c>
      <c r="T322" s="9" t="s">
        <v>4615</v>
      </c>
      <c r="U322" s="9"/>
      <c r="V322" s="9" t="s">
        <v>4565</v>
      </c>
      <c r="W322" s="9" t="s">
        <v>4783</v>
      </c>
      <c r="X322" s="11"/>
      <c r="Y322" s="9"/>
    </row>
    <row r="323" customFormat="false" ht="15" hidden="false" customHeight="false" outlineLevel="0" collapsed="false">
      <c r="A323" s="9" t="s">
        <v>1945</v>
      </c>
      <c r="B323" s="9" t="s">
        <v>1939</v>
      </c>
      <c r="C323" s="11" t="s">
        <v>1941</v>
      </c>
      <c r="D323" s="12" t="s">
        <v>1943</v>
      </c>
      <c r="E323" s="9" t="s">
        <v>2004</v>
      </c>
      <c r="F323" s="9" t="s">
        <v>2001</v>
      </c>
      <c r="G323" s="11" t="s">
        <v>2002</v>
      </c>
      <c r="H323" s="12" t="s">
        <v>2003</v>
      </c>
      <c r="I323" s="9"/>
      <c r="J323" s="11"/>
      <c r="K323" s="9"/>
      <c r="L323" s="9" t="s">
        <v>4730</v>
      </c>
      <c r="M323" s="9" t="s">
        <v>1968</v>
      </c>
      <c r="N323" s="11" t="s">
        <v>1970</v>
      </c>
      <c r="O323" s="12" t="s">
        <v>1943</v>
      </c>
      <c r="P323" s="13" t="n">
        <v>6</v>
      </c>
      <c r="Q323" s="13" t="n">
        <v>4</v>
      </c>
      <c r="R323" s="13" t="n">
        <v>3</v>
      </c>
      <c r="S323" s="13" t="n">
        <v>0.02</v>
      </c>
      <c r="T323" s="9" t="s">
        <v>4615</v>
      </c>
      <c r="U323" s="9"/>
      <c r="V323" s="9" t="s">
        <v>4680</v>
      </c>
      <c r="W323" s="9"/>
      <c r="X323" s="11"/>
      <c r="Y323" s="9"/>
    </row>
    <row r="324" customFormat="false" ht="15" hidden="false" customHeight="false" outlineLevel="0" collapsed="false">
      <c r="A324" s="9" t="s">
        <v>1945</v>
      </c>
      <c r="B324" s="9" t="s">
        <v>1939</v>
      </c>
      <c r="C324" s="11" t="s">
        <v>1941</v>
      </c>
      <c r="D324" s="12" t="s">
        <v>1943</v>
      </c>
      <c r="E324" s="9" t="s">
        <v>2012</v>
      </c>
      <c r="F324" s="9" t="s">
        <v>2009</v>
      </c>
      <c r="G324" s="11" t="s">
        <v>2010</v>
      </c>
      <c r="H324" s="12" t="s">
        <v>2011</v>
      </c>
      <c r="I324" s="9"/>
      <c r="J324" s="11"/>
      <c r="K324" s="9"/>
      <c r="L324" s="9" t="s">
        <v>4730</v>
      </c>
      <c r="M324" s="9" t="s">
        <v>1968</v>
      </c>
      <c r="N324" s="11" t="s">
        <v>1970</v>
      </c>
      <c r="O324" s="12" t="s">
        <v>1943</v>
      </c>
      <c r="P324" s="13" t="n">
        <v>6</v>
      </c>
      <c r="Q324" s="13" t="n">
        <v>4</v>
      </c>
      <c r="R324" s="13" t="n">
        <v>3</v>
      </c>
      <c r="S324" s="13" t="n">
        <v>0.02</v>
      </c>
      <c r="T324" s="9" t="s">
        <v>4615</v>
      </c>
      <c r="U324" s="9"/>
      <c r="V324" s="9" t="s">
        <v>4680</v>
      </c>
      <c r="W324" s="9"/>
      <c r="X324" s="11"/>
      <c r="Y324" s="9"/>
    </row>
    <row r="325" customFormat="false" ht="15" hidden="false" customHeight="false" outlineLevel="0" collapsed="false">
      <c r="A325" s="9" t="s">
        <v>1945</v>
      </c>
      <c r="B325" s="9" t="s">
        <v>1939</v>
      </c>
      <c r="C325" s="11" t="s">
        <v>1941</v>
      </c>
      <c r="D325" s="12" t="s">
        <v>1943</v>
      </c>
      <c r="E325" s="9" t="s">
        <v>2020</v>
      </c>
      <c r="F325" s="9" t="s">
        <v>2017</v>
      </c>
      <c r="G325" s="11" t="s">
        <v>2018</v>
      </c>
      <c r="H325" s="12" t="s">
        <v>2019</v>
      </c>
      <c r="I325" s="9"/>
      <c r="J325" s="11"/>
      <c r="K325" s="9"/>
      <c r="L325" s="9" t="s">
        <v>4730</v>
      </c>
      <c r="M325" s="9" t="s">
        <v>1385</v>
      </c>
      <c r="N325" s="11" t="s">
        <v>1387</v>
      </c>
      <c r="O325" s="12" t="s">
        <v>1389</v>
      </c>
      <c r="P325" s="13" t="n">
        <v>10</v>
      </c>
      <c r="Q325" s="13" t="n">
        <v>8</v>
      </c>
      <c r="R325" s="13" t="n">
        <v>6</v>
      </c>
      <c r="S325" s="13" t="n">
        <v>0.1</v>
      </c>
      <c r="T325" s="9" t="s">
        <v>4615</v>
      </c>
      <c r="U325" s="9"/>
      <c r="V325" s="9" t="s">
        <v>4572</v>
      </c>
      <c r="W325" s="9"/>
      <c r="X325" s="11"/>
      <c r="Y325" s="9"/>
    </row>
    <row r="326" customFormat="false" ht="15" hidden="false" customHeight="false" outlineLevel="0" collapsed="false">
      <c r="A326" s="9" t="s">
        <v>1945</v>
      </c>
      <c r="B326" s="9" t="s">
        <v>1939</v>
      </c>
      <c r="C326" s="11" t="s">
        <v>1941</v>
      </c>
      <c r="D326" s="12" t="s">
        <v>1943</v>
      </c>
      <c r="E326" s="9" t="s">
        <v>2028</v>
      </c>
      <c r="F326" s="9" t="s">
        <v>2025</v>
      </c>
      <c r="G326" s="11" t="s">
        <v>2026</v>
      </c>
      <c r="H326" s="12" t="s">
        <v>2027</v>
      </c>
      <c r="I326" s="9"/>
      <c r="J326" s="11"/>
      <c r="K326" s="9"/>
      <c r="L326" s="9" t="s">
        <v>68</v>
      </c>
      <c r="M326" s="9" t="s">
        <v>1968</v>
      </c>
      <c r="N326" s="11" t="s">
        <v>1970</v>
      </c>
      <c r="O326" s="12" t="s">
        <v>1943</v>
      </c>
      <c r="P326" s="13" t="n">
        <v>15</v>
      </c>
      <c r="Q326" s="13" t="n">
        <v>10</v>
      </c>
      <c r="R326" s="13" t="n">
        <v>8</v>
      </c>
      <c r="S326" s="13" t="n">
        <v>0.3</v>
      </c>
      <c r="T326" s="9" t="s">
        <v>4615</v>
      </c>
      <c r="U326" s="9"/>
      <c r="V326" s="9" t="s">
        <v>4571</v>
      </c>
      <c r="W326" s="9"/>
      <c r="X326" s="11"/>
      <c r="Y326" s="9"/>
    </row>
    <row r="327" customFormat="false" ht="15" hidden="false" customHeight="false" outlineLevel="0" collapsed="false">
      <c r="A327" s="9" t="s">
        <v>1945</v>
      </c>
      <c r="B327" s="9" t="s">
        <v>1939</v>
      </c>
      <c r="C327" s="11" t="s">
        <v>1941</v>
      </c>
      <c r="D327" s="12" t="s">
        <v>1943</v>
      </c>
      <c r="E327" s="9" t="s">
        <v>2033</v>
      </c>
      <c r="F327" s="9" t="s">
        <v>2030</v>
      </c>
      <c r="G327" s="11" t="s">
        <v>2031</v>
      </c>
      <c r="H327" s="12" t="s">
        <v>2032</v>
      </c>
      <c r="I327" s="9"/>
      <c r="J327" s="11"/>
      <c r="K327" s="9"/>
      <c r="L327" s="9" t="s">
        <v>4730</v>
      </c>
      <c r="M327" s="9" t="s">
        <v>1968</v>
      </c>
      <c r="N327" s="11" t="s">
        <v>1970</v>
      </c>
      <c r="O327" s="12" t="s">
        <v>1943</v>
      </c>
      <c r="P327" s="13" t="n">
        <v>25</v>
      </c>
      <c r="Q327" s="13" t="n">
        <v>15</v>
      </c>
      <c r="R327" s="13" t="n">
        <v>10</v>
      </c>
      <c r="S327" s="13" t="n">
        <v>0.9</v>
      </c>
      <c r="T327" s="9" t="s">
        <v>4615</v>
      </c>
      <c r="U327" s="9"/>
      <c r="V327" s="9" t="s">
        <v>4568</v>
      </c>
      <c r="W327" s="9"/>
      <c r="X327" s="11"/>
      <c r="Y327" s="12" t="s">
        <v>4784</v>
      </c>
    </row>
    <row r="328" customFormat="false" ht="15" hidden="false" customHeight="false" outlineLevel="0" collapsed="false">
      <c r="A328" s="9" t="s">
        <v>1945</v>
      </c>
      <c r="B328" s="9" t="s">
        <v>1939</v>
      </c>
      <c r="C328" s="11" t="s">
        <v>1941</v>
      </c>
      <c r="D328" s="12" t="s">
        <v>1943</v>
      </c>
      <c r="E328" s="9" t="s">
        <v>2041</v>
      </c>
      <c r="F328" s="9" t="s">
        <v>2038</v>
      </c>
      <c r="G328" s="11" t="s">
        <v>2039</v>
      </c>
      <c r="H328" s="12" t="s">
        <v>2040</v>
      </c>
      <c r="I328" s="9"/>
      <c r="J328" s="11"/>
      <c r="K328" s="9"/>
      <c r="L328" s="9" t="s">
        <v>68</v>
      </c>
      <c r="M328" s="9" t="s">
        <v>1968</v>
      </c>
      <c r="N328" s="11" t="s">
        <v>1970</v>
      </c>
      <c r="O328" s="12" t="s">
        <v>1943</v>
      </c>
      <c r="P328" s="13" t="n">
        <v>15</v>
      </c>
      <c r="Q328" s="13" t="n">
        <v>10</v>
      </c>
      <c r="R328" s="13" t="n">
        <v>8</v>
      </c>
      <c r="S328" s="13" t="n">
        <v>0.3</v>
      </c>
      <c r="T328" s="9" t="s">
        <v>4615</v>
      </c>
      <c r="U328" s="9"/>
      <c r="V328" s="9" t="s">
        <v>4571</v>
      </c>
      <c r="W328" s="9" t="s">
        <v>4785</v>
      </c>
      <c r="X328" s="11"/>
      <c r="Y328" s="9"/>
    </row>
    <row r="329" customFormat="false" ht="15" hidden="false" customHeight="false" outlineLevel="0" collapsed="false">
      <c r="A329" s="9" t="s">
        <v>2051</v>
      </c>
      <c r="B329" s="9" t="s">
        <v>2043</v>
      </c>
      <c r="C329" s="11" t="s">
        <v>2046</v>
      </c>
      <c r="D329" s="12" t="s">
        <v>2049</v>
      </c>
      <c r="E329" s="9" t="s">
        <v>2052</v>
      </c>
      <c r="F329" s="9" t="s">
        <v>2044</v>
      </c>
      <c r="G329" s="11" t="s">
        <v>2047</v>
      </c>
      <c r="H329" s="12" t="s">
        <v>2050</v>
      </c>
      <c r="I329" s="9"/>
      <c r="J329" s="11"/>
      <c r="K329" s="9"/>
      <c r="L329" s="9" t="s">
        <v>4730</v>
      </c>
      <c r="M329" s="9" t="s">
        <v>2045</v>
      </c>
      <c r="N329" s="11" t="s">
        <v>2048</v>
      </c>
      <c r="O329" s="12" t="s">
        <v>2049</v>
      </c>
      <c r="P329" s="13" t="n">
        <v>65</v>
      </c>
      <c r="Q329" s="13" t="n">
        <v>65</v>
      </c>
      <c r="R329" s="13" t="n">
        <v>22</v>
      </c>
      <c r="S329" s="13" t="n">
        <v>9</v>
      </c>
      <c r="T329" s="9" t="s">
        <v>4615</v>
      </c>
      <c r="U329" s="9"/>
      <c r="V329" s="9" t="s">
        <v>4565</v>
      </c>
      <c r="W329" s="9" t="s">
        <v>4786</v>
      </c>
      <c r="X329" s="11"/>
      <c r="Y329" s="9"/>
    </row>
    <row r="330" customFormat="false" ht="15" hidden="false" customHeight="false" outlineLevel="0" collapsed="false">
      <c r="A330" s="9" t="s">
        <v>2051</v>
      </c>
      <c r="B330" s="9" t="s">
        <v>2043</v>
      </c>
      <c r="C330" s="11" t="s">
        <v>2046</v>
      </c>
      <c r="D330" s="12" t="s">
        <v>2049</v>
      </c>
      <c r="E330" s="9" t="s">
        <v>2060</v>
      </c>
      <c r="F330" s="9" t="s">
        <v>2057</v>
      </c>
      <c r="G330" s="11" t="s">
        <v>2058</v>
      </c>
      <c r="H330" s="9" t="s">
        <v>2059</v>
      </c>
      <c r="I330" s="9"/>
      <c r="J330" s="11"/>
      <c r="K330" s="9"/>
      <c r="L330" s="9" t="s">
        <v>4730</v>
      </c>
      <c r="M330" s="9" t="s">
        <v>2045</v>
      </c>
      <c r="N330" s="11" t="s">
        <v>2048</v>
      </c>
      <c r="O330" s="12" t="s">
        <v>2049</v>
      </c>
      <c r="P330" s="13" t="n">
        <v>75</v>
      </c>
      <c r="Q330" s="13" t="n">
        <v>75</v>
      </c>
      <c r="R330" s="13" t="n">
        <v>25</v>
      </c>
      <c r="S330" s="13" t="n">
        <v>13</v>
      </c>
      <c r="T330" s="9" t="s">
        <v>4615</v>
      </c>
      <c r="U330" s="9"/>
      <c r="V330" s="9" t="s">
        <v>4565</v>
      </c>
      <c r="W330" s="9" t="s">
        <v>4787</v>
      </c>
      <c r="X330" s="11" t="s">
        <v>4788</v>
      </c>
      <c r="Y330" s="9"/>
    </row>
    <row r="331" customFormat="false" ht="15" hidden="false" customHeight="false" outlineLevel="0" collapsed="false">
      <c r="A331" s="9" t="s">
        <v>2051</v>
      </c>
      <c r="B331" s="9" t="s">
        <v>2043</v>
      </c>
      <c r="C331" s="11" t="s">
        <v>2046</v>
      </c>
      <c r="D331" s="12" t="s">
        <v>2049</v>
      </c>
      <c r="E331" s="9" t="s">
        <v>2068</v>
      </c>
      <c r="F331" s="9" t="s">
        <v>2065</v>
      </c>
      <c r="G331" s="11" t="s">
        <v>2066</v>
      </c>
      <c r="H331" s="12" t="s">
        <v>2067</v>
      </c>
      <c r="I331" s="9"/>
      <c r="J331" s="11"/>
      <c r="K331" s="9"/>
      <c r="L331" s="9" t="s">
        <v>4730</v>
      </c>
      <c r="M331" s="9" t="s">
        <v>2045</v>
      </c>
      <c r="N331" s="11" t="s">
        <v>2048</v>
      </c>
      <c r="O331" s="12" t="s">
        <v>2049</v>
      </c>
      <c r="P331" s="13" t="n">
        <v>80</v>
      </c>
      <c r="Q331" s="13" t="n">
        <v>80</v>
      </c>
      <c r="R331" s="13" t="n">
        <v>25</v>
      </c>
      <c r="S331" s="13" t="n">
        <v>16</v>
      </c>
      <c r="T331" s="9" t="s">
        <v>4615</v>
      </c>
      <c r="U331" s="9"/>
      <c r="V331" s="9" t="s">
        <v>4565</v>
      </c>
      <c r="W331" s="9" t="s">
        <v>4789</v>
      </c>
      <c r="X331" s="11"/>
      <c r="Y331" s="9"/>
    </row>
    <row r="332" customFormat="false" ht="15" hidden="false" customHeight="false" outlineLevel="0" collapsed="false">
      <c r="A332" s="9" t="s">
        <v>2051</v>
      </c>
      <c r="B332" s="9" t="s">
        <v>2043</v>
      </c>
      <c r="C332" s="11" t="s">
        <v>2046</v>
      </c>
      <c r="D332" s="12" t="s">
        <v>2049</v>
      </c>
      <c r="E332" s="9" t="s">
        <v>2076</v>
      </c>
      <c r="F332" s="9" t="s">
        <v>2073</v>
      </c>
      <c r="G332" s="11" t="s">
        <v>2074</v>
      </c>
      <c r="H332" s="12" t="s">
        <v>2075</v>
      </c>
      <c r="I332" s="9"/>
      <c r="J332" s="11"/>
      <c r="K332" s="9"/>
      <c r="L332" s="9" t="s">
        <v>4730</v>
      </c>
      <c r="M332" s="9" t="s">
        <v>2045</v>
      </c>
      <c r="N332" s="11" t="s">
        <v>2048</v>
      </c>
      <c r="O332" s="12" t="s">
        <v>2049</v>
      </c>
      <c r="P332" s="13" t="n">
        <v>65</v>
      </c>
      <c r="Q332" s="13" t="n">
        <v>65</v>
      </c>
      <c r="R332" s="13" t="n">
        <v>22</v>
      </c>
      <c r="S332" s="13" t="n">
        <v>10</v>
      </c>
      <c r="T332" s="9" t="s">
        <v>4615</v>
      </c>
      <c r="U332" s="9"/>
      <c r="V332" s="9" t="s">
        <v>4565</v>
      </c>
      <c r="W332" s="9"/>
      <c r="X332" s="11"/>
      <c r="Y332" s="9"/>
    </row>
    <row r="333" customFormat="false" ht="15" hidden="false" customHeight="false" outlineLevel="0" collapsed="false">
      <c r="A333" s="9" t="s">
        <v>2051</v>
      </c>
      <c r="B333" s="9" t="s">
        <v>2043</v>
      </c>
      <c r="C333" s="11" t="s">
        <v>2046</v>
      </c>
      <c r="D333" s="12" t="s">
        <v>2049</v>
      </c>
      <c r="E333" s="9" t="s">
        <v>2084</v>
      </c>
      <c r="F333" s="9" t="s">
        <v>2081</v>
      </c>
      <c r="G333" s="11" t="s">
        <v>2082</v>
      </c>
      <c r="H333" s="12" t="s">
        <v>2083</v>
      </c>
      <c r="I333" s="9"/>
      <c r="J333" s="11"/>
      <c r="K333" s="9"/>
      <c r="L333" s="9" t="s">
        <v>4730</v>
      </c>
      <c r="M333" s="9" t="s">
        <v>2045</v>
      </c>
      <c r="N333" s="11" t="s">
        <v>2048</v>
      </c>
      <c r="O333" s="12" t="s">
        <v>2049</v>
      </c>
      <c r="P333" s="13" t="n">
        <v>65</v>
      </c>
      <c r="Q333" s="13" t="n">
        <v>65</v>
      </c>
      <c r="R333" s="13" t="n">
        <v>22</v>
      </c>
      <c r="S333" s="13" t="n">
        <v>11</v>
      </c>
      <c r="T333" s="9" t="s">
        <v>4615</v>
      </c>
      <c r="U333" s="9"/>
      <c r="V333" s="9" t="s">
        <v>4565</v>
      </c>
      <c r="W333" s="9"/>
      <c r="X333" s="11" t="s">
        <v>4790</v>
      </c>
      <c r="Y333" s="9"/>
    </row>
    <row r="334" customFormat="false" ht="15" hidden="false" customHeight="false" outlineLevel="0" collapsed="false">
      <c r="A334" s="9" t="s">
        <v>2051</v>
      </c>
      <c r="B334" s="9" t="s">
        <v>2043</v>
      </c>
      <c r="C334" s="11" t="s">
        <v>2046</v>
      </c>
      <c r="D334" s="12" t="s">
        <v>2049</v>
      </c>
      <c r="E334" s="9" t="s">
        <v>2092</v>
      </c>
      <c r="F334" s="9" t="s">
        <v>2089</v>
      </c>
      <c r="G334" s="11" t="s">
        <v>2090</v>
      </c>
      <c r="H334" s="12" t="s">
        <v>2091</v>
      </c>
      <c r="I334" s="9"/>
      <c r="J334" s="11"/>
      <c r="K334" s="9"/>
      <c r="L334" s="9" t="s">
        <v>4730</v>
      </c>
      <c r="M334" s="9" t="s">
        <v>1968</v>
      </c>
      <c r="N334" s="11" t="s">
        <v>1970</v>
      </c>
      <c r="O334" s="12" t="s">
        <v>1943</v>
      </c>
      <c r="P334" s="13" t="n">
        <v>6</v>
      </c>
      <c r="Q334" s="13" t="n">
        <v>4</v>
      </c>
      <c r="R334" s="13" t="n">
        <v>3</v>
      </c>
      <c r="S334" s="13" t="n">
        <v>0.02</v>
      </c>
      <c r="T334" s="9" t="s">
        <v>4615</v>
      </c>
      <c r="U334" s="9"/>
      <c r="V334" s="9" t="s">
        <v>4680</v>
      </c>
      <c r="W334" s="9"/>
      <c r="X334" s="11" t="s">
        <v>4791</v>
      </c>
      <c r="Y334" s="9"/>
    </row>
    <row r="335" customFormat="false" ht="15" hidden="false" customHeight="false" outlineLevel="0" collapsed="false">
      <c r="A335" s="9" t="s">
        <v>2051</v>
      </c>
      <c r="B335" s="9" t="s">
        <v>2043</v>
      </c>
      <c r="C335" s="11" t="s">
        <v>2046</v>
      </c>
      <c r="D335" s="12" t="s">
        <v>2049</v>
      </c>
      <c r="E335" s="9" t="s">
        <v>2100</v>
      </c>
      <c r="F335" s="9" t="s">
        <v>2097</v>
      </c>
      <c r="G335" s="11" t="s">
        <v>2098</v>
      </c>
      <c r="H335" s="12" t="s">
        <v>2099</v>
      </c>
      <c r="I335" s="9"/>
      <c r="J335" s="11"/>
      <c r="K335" s="9"/>
      <c r="L335" s="9" t="s">
        <v>4730</v>
      </c>
      <c r="M335" s="9" t="s">
        <v>1968</v>
      </c>
      <c r="N335" s="11" t="s">
        <v>1970</v>
      </c>
      <c r="O335" s="12" t="s">
        <v>1943</v>
      </c>
      <c r="P335" s="13" t="n">
        <v>10</v>
      </c>
      <c r="Q335" s="13" t="n">
        <v>8</v>
      </c>
      <c r="R335" s="13" t="n">
        <v>6</v>
      </c>
      <c r="S335" s="13" t="n">
        <v>0.1</v>
      </c>
      <c r="T335" s="9" t="s">
        <v>4615</v>
      </c>
      <c r="U335" s="9"/>
      <c r="V335" s="9" t="s">
        <v>4572</v>
      </c>
      <c r="W335" s="9"/>
      <c r="X335" s="11" t="s">
        <v>4792</v>
      </c>
      <c r="Y335" s="9" t="s">
        <v>4792</v>
      </c>
    </row>
    <row r="336" customFormat="false" ht="15" hidden="false" customHeight="false" outlineLevel="0" collapsed="false">
      <c r="A336" s="9" t="s">
        <v>2051</v>
      </c>
      <c r="B336" s="9" t="s">
        <v>2043</v>
      </c>
      <c r="C336" s="11" t="s">
        <v>2046</v>
      </c>
      <c r="D336" s="12" t="s">
        <v>2049</v>
      </c>
      <c r="E336" s="9" t="s">
        <v>2111</v>
      </c>
      <c r="F336" s="9" t="s">
        <v>2105</v>
      </c>
      <c r="G336" s="11" t="s">
        <v>2107</v>
      </c>
      <c r="H336" s="12" t="s">
        <v>2109</v>
      </c>
      <c r="I336" s="9"/>
      <c r="J336" s="11"/>
      <c r="K336" s="9"/>
      <c r="L336" s="9" t="s">
        <v>68</v>
      </c>
      <c r="M336" s="9" t="s">
        <v>2106</v>
      </c>
      <c r="N336" s="11" t="s">
        <v>2108</v>
      </c>
      <c r="O336" s="12" t="s">
        <v>2110</v>
      </c>
      <c r="P336" s="13" t="n">
        <v>60</v>
      </c>
      <c r="Q336" s="13" t="n">
        <v>60</v>
      </c>
      <c r="R336" s="13" t="n">
        <v>15</v>
      </c>
      <c r="S336" s="13" t="n">
        <v>8</v>
      </c>
      <c r="T336" s="9" t="s">
        <v>4615</v>
      </c>
      <c r="U336" s="9"/>
      <c r="V336" s="9" t="s">
        <v>4565</v>
      </c>
      <c r="W336" s="9" t="s">
        <v>4793</v>
      </c>
      <c r="X336" s="11"/>
      <c r="Y336" s="12" t="s">
        <v>4794</v>
      </c>
    </row>
    <row r="337" customFormat="false" ht="15" hidden="false" customHeight="false" outlineLevel="0" collapsed="false">
      <c r="A337" s="9" t="s">
        <v>2051</v>
      </c>
      <c r="B337" s="9" t="s">
        <v>2043</v>
      </c>
      <c r="C337" s="11" t="s">
        <v>2046</v>
      </c>
      <c r="D337" s="12" t="s">
        <v>2049</v>
      </c>
      <c r="E337" s="9" t="s">
        <v>2116</v>
      </c>
      <c r="F337" s="9" t="s">
        <v>2113</v>
      </c>
      <c r="G337" s="11" t="s">
        <v>2114</v>
      </c>
      <c r="H337" s="12" t="s">
        <v>2115</v>
      </c>
      <c r="I337" s="9"/>
      <c r="J337" s="11"/>
      <c r="K337" s="9"/>
      <c r="L337" s="9" t="s">
        <v>68</v>
      </c>
      <c r="M337" s="9" t="s">
        <v>237</v>
      </c>
      <c r="N337" s="11" t="s">
        <v>239</v>
      </c>
      <c r="O337" s="12" t="s">
        <v>241</v>
      </c>
      <c r="P337" s="13" t="n">
        <v>30</v>
      </c>
      <c r="Q337" s="13" t="n">
        <v>20</v>
      </c>
      <c r="R337" s="13" t="n">
        <v>15</v>
      </c>
      <c r="S337" s="13" t="n">
        <v>1.8</v>
      </c>
      <c r="T337" s="9" t="s">
        <v>4615</v>
      </c>
      <c r="U337" s="9"/>
      <c r="V337" s="9" t="s">
        <v>4581</v>
      </c>
      <c r="W337" s="9"/>
      <c r="X337" s="11"/>
      <c r="Y337" s="9"/>
    </row>
    <row r="338" customFormat="false" ht="15" hidden="false" customHeight="false" outlineLevel="0" collapsed="false">
      <c r="A338" s="9" t="s">
        <v>2051</v>
      </c>
      <c r="B338" s="9" t="s">
        <v>2043</v>
      </c>
      <c r="C338" s="11" t="s">
        <v>2046</v>
      </c>
      <c r="D338" s="12" t="s">
        <v>2049</v>
      </c>
      <c r="E338" s="9" t="s">
        <v>2121</v>
      </c>
      <c r="F338" s="9" t="s">
        <v>2118</v>
      </c>
      <c r="G338" s="11" t="s">
        <v>2119</v>
      </c>
      <c r="H338" s="12" t="s">
        <v>2120</v>
      </c>
      <c r="I338" s="9"/>
      <c r="J338" s="11"/>
      <c r="K338" s="9"/>
      <c r="L338" s="9" t="s">
        <v>68</v>
      </c>
      <c r="M338" s="9" t="s">
        <v>2106</v>
      </c>
      <c r="N338" s="11" t="s">
        <v>2108</v>
      </c>
      <c r="O338" s="12" t="s">
        <v>2110</v>
      </c>
      <c r="P338" s="13" t="n">
        <v>30</v>
      </c>
      <c r="Q338" s="13" t="n">
        <v>20</v>
      </c>
      <c r="R338" s="13" t="n">
        <v>15</v>
      </c>
      <c r="S338" s="13" t="n">
        <v>1.8</v>
      </c>
      <c r="T338" s="9" t="s">
        <v>4615</v>
      </c>
      <c r="U338" s="9"/>
      <c r="V338" s="9" t="s">
        <v>4581</v>
      </c>
      <c r="W338" s="9"/>
      <c r="X338" s="11"/>
      <c r="Y338" s="9"/>
    </row>
    <row r="339" customFormat="false" ht="15" hidden="false" customHeight="false" outlineLevel="0" collapsed="false">
      <c r="A339" s="9" t="s">
        <v>2051</v>
      </c>
      <c r="B339" s="9" t="s">
        <v>2043</v>
      </c>
      <c r="C339" s="11" t="s">
        <v>2046</v>
      </c>
      <c r="D339" s="12" t="s">
        <v>2049</v>
      </c>
      <c r="E339" s="9" t="s">
        <v>2126</v>
      </c>
      <c r="F339" s="9" t="s">
        <v>2123</v>
      </c>
      <c r="G339" s="11" t="s">
        <v>2124</v>
      </c>
      <c r="H339" s="12" t="s">
        <v>2125</v>
      </c>
      <c r="I339" s="9"/>
      <c r="J339" s="11"/>
      <c r="K339" s="9"/>
      <c r="L339" s="9" t="s">
        <v>68</v>
      </c>
      <c r="M339" s="9" t="s">
        <v>2045</v>
      </c>
      <c r="N339" s="11" t="s">
        <v>2048</v>
      </c>
      <c r="O339" s="12" t="s">
        <v>2049</v>
      </c>
      <c r="P339" s="13" t="n">
        <v>30</v>
      </c>
      <c r="Q339" s="13" t="n">
        <v>20</v>
      </c>
      <c r="R339" s="13" t="n">
        <v>15</v>
      </c>
      <c r="S339" s="13" t="n">
        <v>1.8</v>
      </c>
      <c r="T339" s="9" t="s">
        <v>4615</v>
      </c>
      <c r="U339" s="9"/>
      <c r="V339" s="9" t="s">
        <v>4581</v>
      </c>
      <c r="W339" s="9"/>
      <c r="X339" s="11"/>
      <c r="Y339" s="9"/>
    </row>
    <row r="340" customFormat="false" ht="15" hidden="false" customHeight="false" outlineLevel="0" collapsed="false">
      <c r="A340" s="9" t="s">
        <v>2051</v>
      </c>
      <c r="B340" s="9" t="s">
        <v>2043</v>
      </c>
      <c r="C340" s="11" t="s">
        <v>2046</v>
      </c>
      <c r="D340" s="12" t="s">
        <v>2049</v>
      </c>
      <c r="E340" s="9" t="s">
        <v>2131</v>
      </c>
      <c r="F340" s="9" t="s">
        <v>2128</v>
      </c>
      <c r="G340" s="11" t="s">
        <v>2129</v>
      </c>
      <c r="H340" s="12" t="s">
        <v>2130</v>
      </c>
      <c r="I340" s="9"/>
      <c r="J340" s="11"/>
      <c r="K340" s="9"/>
      <c r="L340" s="9" t="s">
        <v>68</v>
      </c>
      <c r="M340" s="9" t="s">
        <v>956</v>
      </c>
      <c r="N340" s="11" t="s">
        <v>959</v>
      </c>
      <c r="O340" s="12" t="s">
        <v>962</v>
      </c>
      <c r="P340" s="13" t="n">
        <v>25</v>
      </c>
      <c r="Q340" s="13" t="n">
        <v>15</v>
      </c>
      <c r="R340" s="13" t="n">
        <v>10</v>
      </c>
      <c r="S340" s="13" t="n">
        <v>0.9</v>
      </c>
      <c r="T340" s="9" t="s">
        <v>4615</v>
      </c>
      <c r="U340" s="9"/>
      <c r="V340" s="9" t="s">
        <v>4568</v>
      </c>
      <c r="W340" s="9"/>
      <c r="X340" s="11"/>
      <c r="Y340" s="9"/>
    </row>
    <row r="341" customFormat="false" ht="15" hidden="false" customHeight="false" outlineLevel="0" collapsed="false">
      <c r="A341" s="9" t="s">
        <v>2051</v>
      </c>
      <c r="B341" s="9" t="s">
        <v>2043</v>
      </c>
      <c r="C341" s="11" t="s">
        <v>2046</v>
      </c>
      <c r="D341" s="12" t="s">
        <v>2049</v>
      </c>
      <c r="E341" s="9" t="s">
        <v>2136</v>
      </c>
      <c r="F341" s="9" t="s">
        <v>2133</v>
      </c>
      <c r="G341" s="11" t="s">
        <v>2134</v>
      </c>
      <c r="H341" s="12" t="s">
        <v>2135</v>
      </c>
      <c r="I341" s="9"/>
      <c r="J341" s="11"/>
      <c r="K341" s="9"/>
      <c r="L341" s="9" t="s">
        <v>68</v>
      </c>
      <c r="M341" s="9" t="s">
        <v>956</v>
      </c>
      <c r="N341" s="11" t="s">
        <v>959</v>
      </c>
      <c r="O341" s="12" t="s">
        <v>962</v>
      </c>
      <c r="P341" s="13" t="n">
        <v>30</v>
      </c>
      <c r="Q341" s="13" t="n">
        <v>20</v>
      </c>
      <c r="R341" s="13" t="n">
        <v>15</v>
      </c>
      <c r="S341" s="13" t="n">
        <v>1.8</v>
      </c>
      <c r="T341" s="9" t="s">
        <v>4615</v>
      </c>
      <c r="U341" s="9"/>
      <c r="V341" s="9" t="s">
        <v>4581</v>
      </c>
      <c r="W341" s="9" t="s">
        <v>4795</v>
      </c>
      <c r="X341" s="11" t="s">
        <v>4796</v>
      </c>
      <c r="Y341" s="9" t="s">
        <v>4797</v>
      </c>
    </row>
    <row r="342" customFormat="false" ht="15" hidden="false" customHeight="false" outlineLevel="0" collapsed="false">
      <c r="A342" s="9" t="s">
        <v>2147</v>
      </c>
      <c r="B342" s="9" t="s">
        <v>2138</v>
      </c>
      <c r="C342" s="11" t="s">
        <v>2141</v>
      </c>
      <c r="D342" s="12" t="s">
        <v>2144</v>
      </c>
      <c r="E342" s="9" t="s">
        <v>2148</v>
      </c>
      <c r="F342" s="9" t="s">
        <v>2139</v>
      </c>
      <c r="G342" s="11" t="s">
        <v>2142</v>
      </c>
      <c r="H342" s="9" t="s">
        <v>2145</v>
      </c>
      <c r="I342" s="9"/>
      <c r="J342" s="11"/>
      <c r="K342" s="9"/>
      <c r="L342" s="9" t="s">
        <v>68</v>
      </c>
      <c r="M342" s="9" t="s">
        <v>2140</v>
      </c>
      <c r="N342" s="11" t="s">
        <v>2143</v>
      </c>
      <c r="O342" s="12" t="s">
        <v>2146</v>
      </c>
      <c r="P342" s="13" t="n">
        <v>24</v>
      </c>
      <c r="Q342" s="13" t="n">
        <v>17</v>
      </c>
      <c r="R342" s="13" t="n">
        <v>19</v>
      </c>
      <c r="S342" s="13" t="n">
        <v>15</v>
      </c>
      <c r="T342" s="9" t="s">
        <v>4615</v>
      </c>
      <c r="U342" s="9" t="s">
        <v>4798</v>
      </c>
      <c r="V342" s="9" t="s">
        <v>4565</v>
      </c>
      <c r="W342" s="9" t="s">
        <v>4799</v>
      </c>
      <c r="X342" s="11" t="s">
        <v>4800</v>
      </c>
      <c r="Y342" s="9"/>
    </row>
    <row r="343" customFormat="false" ht="15" hidden="false" customHeight="false" outlineLevel="0" collapsed="false">
      <c r="A343" s="9" t="s">
        <v>2147</v>
      </c>
      <c r="B343" s="9" t="s">
        <v>2138</v>
      </c>
      <c r="C343" s="11" t="s">
        <v>2141</v>
      </c>
      <c r="D343" s="12" t="s">
        <v>2144</v>
      </c>
      <c r="E343" s="9" t="s">
        <v>2153</v>
      </c>
      <c r="F343" s="9" t="s">
        <v>2150</v>
      </c>
      <c r="G343" s="11" t="s">
        <v>2151</v>
      </c>
      <c r="H343" s="9" t="s">
        <v>2152</v>
      </c>
      <c r="I343" s="9"/>
      <c r="J343" s="11"/>
      <c r="K343" s="9"/>
      <c r="L343" s="9" t="s">
        <v>68</v>
      </c>
      <c r="M343" s="9" t="s">
        <v>2140</v>
      </c>
      <c r="N343" s="11" t="s">
        <v>2143</v>
      </c>
      <c r="O343" s="12" t="s">
        <v>2146</v>
      </c>
      <c r="P343" s="13" t="n">
        <v>24</v>
      </c>
      <c r="Q343" s="13" t="n">
        <v>17</v>
      </c>
      <c r="R343" s="13" t="n">
        <v>19</v>
      </c>
      <c r="S343" s="13" t="n">
        <v>16</v>
      </c>
      <c r="T343" s="9" t="s">
        <v>4615</v>
      </c>
      <c r="U343" s="9" t="s">
        <v>4798</v>
      </c>
      <c r="V343" s="9" t="s">
        <v>4565</v>
      </c>
      <c r="W343" s="9" t="s">
        <v>4801</v>
      </c>
      <c r="X343" s="11"/>
      <c r="Y343" s="9"/>
    </row>
    <row r="344" customFormat="false" ht="15" hidden="false" customHeight="false" outlineLevel="0" collapsed="false">
      <c r="A344" s="9" t="s">
        <v>2147</v>
      </c>
      <c r="B344" s="9" t="s">
        <v>2138</v>
      </c>
      <c r="C344" s="11" t="s">
        <v>2141</v>
      </c>
      <c r="D344" s="12" t="s">
        <v>2144</v>
      </c>
      <c r="E344" s="9" t="s">
        <v>2158</v>
      </c>
      <c r="F344" s="9" t="s">
        <v>2155</v>
      </c>
      <c r="G344" s="11" t="s">
        <v>2156</v>
      </c>
      <c r="H344" s="12" t="s">
        <v>2157</v>
      </c>
      <c r="I344" s="9"/>
      <c r="J344" s="11"/>
      <c r="K344" s="9"/>
      <c r="L344" s="9" t="s">
        <v>68</v>
      </c>
      <c r="M344" s="9" t="s">
        <v>2140</v>
      </c>
      <c r="N344" s="11" t="s">
        <v>2143</v>
      </c>
      <c r="O344" s="12" t="s">
        <v>2146</v>
      </c>
      <c r="P344" s="13" t="n">
        <v>20</v>
      </c>
      <c r="Q344" s="13" t="n">
        <v>17</v>
      </c>
      <c r="R344" s="13" t="n">
        <v>18</v>
      </c>
      <c r="S344" s="13" t="n">
        <v>9</v>
      </c>
      <c r="T344" s="9" t="s">
        <v>4624</v>
      </c>
      <c r="U344" s="9" t="s">
        <v>4798</v>
      </c>
      <c r="V344" s="9" t="s">
        <v>4565</v>
      </c>
      <c r="W344" s="9" t="s">
        <v>4802</v>
      </c>
      <c r="X344" s="11"/>
      <c r="Y344" s="9"/>
    </row>
    <row r="345" customFormat="false" ht="15" hidden="false" customHeight="false" outlineLevel="0" collapsed="false">
      <c r="A345" s="9" t="s">
        <v>2147</v>
      </c>
      <c r="B345" s="9" t="s">
        <v>2138</v>
      </c>
      <c r="C345" s="11" t="s">
        <v>2141</v>
      </c>
      <c r="D345" s="12" t="s">
        <v>2144</v>
      </c>
      <c r="E345" s="9" t="s">
        <v>2163</v>
      </c>
      <c r="F345" s="9" t="s">
        <v>2160</v>
      </c>
      <c r="G345" s="11" t="s">
        <v>2161</v>
      </c>
      <c r="H345" s="12" t="s">
        <v>2162</v>
      </c>
      <c r="I345" s="9"/>
      <c r="J345" s="11"/>
      <c r="K345" s="9"/>
      <c r="L345" s="9" t="s">
        <v>68</v>
      </c>
      <c r="M345" s="9" t="s">
        <v>2140</v>
      </c>
      <c r="N345" s="11" t="s">
        <v>2143</v>
      </c>
      <c r="O345" s="12" t="s">
        <v>2146</v>
      </c>
      <c r="P345" s="13" t="n">
        <v>15</v>
      </c>
      <c r="Q345" s="13" t="n">
        <v>10</v>
      </c>
      <c r="R345" s="13" t="n">
        <v>8</v>
      </c>
      <c r="S345" s="13" t="n">
        <v>0.3</v>
      </c>
      <c r="T345" s="9" t="s">
        <v>4615</v>
      </c>
      <c r="U345" s="9"/>
      <c r="V345" s="9" t="s">
        <v>4571</v>
      </c>
      <c r="W345" s="9" t="s">
        <v>4803</v>
      </c>
      <c r="X345" s="11"/>
      <c r="Y345" s="9"/>
    </row>
    <row r="346" customFormat="false" ht="15" hidden="false" customHeight="false" outlineLevel="0" collapsed="false">
      <c r="A346" s="9" t="s">
        <v>2147</v>
      </c>
      <c r="B346" s="9" t="s">
        <v>2138</v>
      </c>
      <c r="C346" s="11" t="s">
        <v>2141</v>
      </c>
      <c r="D346" s="12" t="s">
        <v>2144</v>
      </c>
      <c r="E346" s="9" t="s">
        <v>2168</v>
      </c>
      <c r="F346" s="9" t="s">
        <v>2165</v>
      </c>
      <c r="G346" s="11" t="s">
        <v>2166</v>
      </c>
      <c r="H346" s="12" t="s">
        <v>2167</v>
      </c>
      <c r="I346" s="9"/>
      <c r="J346" s="11"/>
      <c r="K346" s="9"/>
      <c r="L346" s="9" t="s">
        <v>68</v>
      </c>
      <c r="M346" s="9" t="s">
        <v>2140</v>
      </c>
      <c r="N346" s="11" t="s">
        <v>2143</v>
      </c>
      <c r="O346" s="12" t="s">
        <v>2146</v>
      </c>
      <c r="P346" s="13" t="n">
        <v>25</v>
      </c>
      <c r="Q346" s="13" t="n">
        <v>15</v>
      </c>
      <c r="R346" s="13" t="n">
        <v>10</v>
      </c>
      <c r="S346" s="13" t="n">
        <v>0.9</v>
      </c>
      <c r="T346" s="9" t="s">
        <v>4615</v>
      </c>
      <c r="U346" s="9"/>
      <c r="V346" s="9" t="s">
        <v>4568</v>
      </c>
      <c r="W346" s="9" t="s">
        <v>4804</v>
      </c>
      <c r="X346" s="11"/>
      <c r="Y346" s="9"/>
    </row>
    <row r="347" customFormat="false" ht="15" hidden="false" customHeight="false" outlineLevel="0" collapsed="false">
      <c r="A347" s="9" t="s">
        <v>2147</v>
      </c>
      <c r="B347" s="9" t="s">
        <v>2138</v>
      </c>
      <c r="C347" s="11" t="s">
        <v>2141</v>
      </c>
      <c r="D347" s="12" t="s">
        <v>2144</v>
      </c>
      <c r="E347" s="9" t="s">
        <v>2173</v>
      </c>
      <c r="F347" s="9" t="s">
        <v>2170</v>
      </c>
      <c r="G347" s="11" t="s">
        <v>2171</v>
      </c>
      <c r="H347" s="12" t="s">
        <v>2172</v>
      </c>
      <c r="I347" s="9"/>
      <c r="J347" s="11"/>
      <c r="K347" s="9"/>
      <c r="L347" s="9" t="s">
        <v>68</v>
      </c>
      <c r="M347" s="9" t="s">
        <v>2140</v>
      </c>
      <c r="N347" s="11" t="s">
        <v>2143</v>
      </c>
      <c r="O347" s="12" t="s">
        <v>2146</v>
      </c>
      <c r="P347" s="13" t="n">
        <v>25</v>
      </c>
      <c r="Q347" s="13" t="n">
        <v>15</v>
      </c>
      <c r="R347" s="13" t="n">
        <v>10</v>
      </c>
      <c r="S347" s="13" t="n">
        <v>0.9</v>
      </c>
      <c r="T347" s="9" t="s">
        <v>4615</v>
      </c>
      <c r="U347" s="9"/>
      <c r="V347" s="9" t="s">
        <v>4568</v>
      </c>
      <c r="W347" s="9" t="s">
        <v>4804</v>
      </c>
      <c r="X347" s="11"/>
      <c r="Y347" s="9"/>
    </row>
    <row r="348" customFormat="false" ht="15" hidden="false" customHeight="false" outlineLevel="0" collapsed="false">
      <c r="A348" s="9" t="s">
        <v>2147</v>
      </c>
      <c r="B348" s="9" t="s">
        <v>2138</v>
      </c>
      <c r="C348" s="11" t="s">
        <v>2141</v>
      </c>
      <c r="D348" s="12" t="s">
        <v>2144</v>
      </c>
      <c r="E348" s="9" t="s">
        <v>2178</v>
      </c>
      <c r="F348" s="9" t="s">
        <v>2175</v>
      </c>
      <c r="G348" s="11" t="s">
        <v>2176</v>
      </c>
      <c r="H348" s="12" t="s">
        <v>2177</v>
      </c>
      <c r="I348" s="9"/>
      <c r="J348" s="11"/>
      <c r="K348" s="9"/>
      <c r="L348" s="9" t="s">
        <v>68</v>
      </c>
      <c r="M348" s="9" t="s">
        <v>2140</v>
      </c>
      <c r="N348" s="11" t="s">
        <v>2143</v>
      </c>
      <c r="O348" s="12" t="s">
        <v>2146</v>
      </c>
      <c r="P348" s="13" t="n">
        <v>25</v>
      </c>
      <c r="Q348" s="13" t="n">
        <v>15</v>
      </c>
      <c r="R348" s="13" t="n">
        <v>10</v>
      </c>
      <c r="S348" s="13" t="n">
        <v>0.9</v>
      </c>
      <c r="T348" s="9" t="s">
        <v>4615</v>
      </c>
      <c r="U348" s="9"/>
      <c r="V348" s="9" t="s">
        <v>4568</v>
      </c>
      <c r="W348" s="9"/>
      <c r="X348" s="11"/>
      <c r="Y348" s="9"/>
    </row>
    <row r="349" customFormat="false" ht="15" hidden="false" customHeight="false" outlineLevel="0" collapsed="false">
      <c r="A349" s="9" t="s">
        <v>2147</v>
      </c>
      <c r="B349" s="9" t="s">
        <v>2138</v>
      </c>
      <c r="C349" s="11" t="s">
        <v>2141</v>
      </c>
      <c r="D349" s="12" t="s">
        <v>2144</v>
      </c>
      <c r="E349" s="9" t="s">
        <v>2183</v>
      </c>
      <c r="F349" s="9" t="s">
        <v>2180</v>
      </c>
      <c r="G349" s="11" t="s">
        <v>2181</v>
      </c>
      <c r="H349" s="12" t="s">
        <v>2182</v>
      </c>
      <c r="I349" s="9"/>
      <c r="J349" s="11"/>
      <c r="K349" s="9"/>
      <c r="L349" s="9" t="s">
        <v>68</v>
      </c>
      <c r="M349" s="9" t="s">
        <v>2140</v>
      </c>
      <c r="N349" s="11" t="s">
        <v>2143</v>
      </c>
      <c r="O349" s="12" t="s">
        <v>2146</v>
      </c>
      <c r="P349" s="13" t="n">
        <v>30</v>
      </c>
      <c r="Q349" s="13" t="n">
        <v>20</v>
      </c>
      <c r="R349" s="13" t="n">
        <v>15</v>
      </c>
      <c r="S349" s="13" t="n">
        <v>1.8</v>
      </c>
      <c r="T349" s="9" t="s">
        <v>4615</v>
      </c>
      <c r="U349" s="9"/>
      <c r="V349" s="9" t="s">
        <v>4581</v>
      </c>
      <c r="W349" s="9"/>
      <c r="X349" s="11"/>
      <c r="Y349" s="9"/>
    </row>
    <row r="350" customFormat="false" ht="15" hidden="false" customHeight="false" outlineLevel="0" collapsed="false">
      <c r="A350" s="9" t="s">
        <v>2191</v>
      </c>
      <c r="B350" s="9" t="s">
        <v>2185</v>
      </c>
      <c r="C350" s="11" t="s">
        <v>2187</v>
      </c>
      <c r="D350" s="12" t="s">
        <v>2189</v>
      </c>
      <c r="E350" s="9" t="s">
        <v>2192</v>
      </c>
      <c r="F350" s="9" t="s">
        <v>2186</v>
      </c>
      <c r="G350" s="11" t="s">
        <v>2188</v>
      </c>
      <c r="H350" s="12" t="s">
        <v>2190</v>
      </c>
      <c r="I350" s="9"/>
      <c r="J350" s="11"/>
      <c r="K350" s="9"/>
      <c r="L350" s="9" t="s">
        <v>68</v>
      </c>
      <c r="M350" s="9" t="s">
        <v>369</v>
      </c>
      <c r="N350" s="11" t="s">
        <v>371</v>
      </c>
      <c r="O350" s="12" t="s">
        <v>373</v>
      </c>
      <c r="P350" s="13" t="n">
        <v>25</v>
      </c>
      <c r="Q350" s="13" t="n">
        <v>15</v>
      </c>
      <c r="R350" s="13" t="n">
        <v>15</v>
      </c>
      <c r="S350" s="13" t="n">
        <v>4</v>
      </c>
      <c r="T350" s="9" t="s">
        <v>4563</v>
      </c>
      <c r="U350" s="9"/>
      <c r="V350" s="9" t="s">
        <v>4565</v>
      </c>
      <c r="W350" s="9"/>
      <c r="X350" s="11" t="s">
        <v>4805</v>
      </c>
      <c r="Y350" s="9"/>
    </row>
    <row r="351" customFormat="false" ht="15" hidden="false" customHeight="false" outlineLevel="0" collapsed="false">
      <c r="A351" s="9" t="s">
        <v>2191</v>
      </c>
      <c r="B351" s="9" t="s">
        <v>2185</v>
      </c>
      <c r="C351" s="11" t="s">
        <v>2187</v>
      </c>
      <c r="D351" s="12" t="s">
        <v>2189</v>
      </c>
      <c r="E351" s="9" t="s">
        <v>2197</v>
      </c>
      <c r="F351" s="9" t="s">
        <v>2194</v>
      </c>
      <c r="G351" s="11" t="s">
        <v>2195</v>
      </c>
      <c r="H351" s="12" t="s">
        <v>2196</v>
      </c>
      <c r="I351" s="9"/>
      <c r="J351" s="11"/>
      <c r="K351" s="9"/>
      <c r="L351" s="9" t="s">
        <v>68</v>
      </c>
      <c r="M351" s="9" t="s">
        <v>369</v>
      </c>
      <c r="N351" s="11" t="s">
        <v>371</v>
      </c>
      <c r="O351" s="12" t="s">
        <v>373</v>
      </c>
      <c r="P351" s="13" t="n">
        <v>15</v>
      </c>
      <c r="Q351" s="13" t="n">
        <v>10</v>
      </c>
      <c r="R351" s="13" t="n">
        <v>8</v>
      </c>
      <c r="S351" s="13" t="n">
        <v>0.3</v>
      </c>
      <c r="T351" s="9" t="s">
        <v>4563</v>
      </c>
      <c r="U351" s="9"/>
      <c r="V351" s="9" t="s">
        <v>4571</v>
      </c>
      <c r="W351" s="9"/>
      <c r="X351" s="11"/>
      <c r="Y351" s="9"/>
    </row>
    <row r="352" customFormat="false" ht="15" hidden="false" customHeight="false" outlineLevel="0" collapsed="false">
      <c r="A352" s="9" t="s">
        <v>2191</v>
      </c>
      <c r="B352" s="9" t="s">
        <v>2185</v>
      </c>
      <c r="C352" s="11" t="s">
        <v>2187</v>
      </c>
      <c r="D352" s="12" t="s">
        <v>2189</v>
      </c>
      <c r="E352" s="9" t="s">
        <v>2202</v>
      </c>
      <c r="F352" s="9" t="s">
        <v>2199</v>
      </c>
      <c r="G352" s="11" t="s">
        <v>2200</v>
      </c>
      <c r="H352" s="12" t="s">
        <v>2201</v>
      </c>
      <c r="I352" s="9"/>
      <c r="J352" s="11"/>
      <c r="K352" s="9"/>
      <c r="L352" s="9" t="s">
        <v>68</v>
      </c>
      <c r="M352" s="9" t="s">
        <v>369</v>
      </c>
      <c r="N352" s="11" t="s">
        <v>371</v>
      </c>
      <c r="O352" s="12" t="s">
        <v>373</v>
      </c>
      <c r="P352" s="13" t="n">
        <v>10</v>
      </c>
      <c r="Q352" s="13" t="n">
        <v>8</v>
      </c>
      <c r="R352" s="13" t="n">
        <v>6</v>
      </c>
      <c r="S352" s="13" t="n">
        <v>0.1</v>
      </c>
      <c r="T352" s="9" t="s">
        <v>4563</v>
      </c>
      <c r="U352" s="9"/>
      <c r="V352" s="9" t="s">
        <v>4572</v>
      </c>
      <c r="W352" s="9"/>
      <c r="X352" s="11"/>
      <c r="Y352" s="9"/>
    </row>
    <row r="353" customFormat="false" ht="15" hidden="false" customHeight="false" outlineLevel="0" collapsed="false">
      <c r="A353" s="9" t="s">
        <v>2191</v>
      </c>
      <c r="B353" s="9" t="s">
        <v>2185</v>
      </c>
      <c r="C353" s="11" t="s">
        <v>2187</v>
      </c>
      <c r="D353" s="12" t="s">
        <v>2189</v>
      </c>
      <c r="E353" s="9" t="s">
        <v>2207</v>
      </c>
      <c r="F353" s="9" t="s">
        <v>2204</v>
      </c>
      <c r="G353" s="11" t="s">
        <v>2205</v>
      </c>
      <c r="H353" s="12" t="s">
        <v>2206</v>
      </c>
      <c r="I353" s="9"/>
      <c r="J353" s="11"/>
      <c r="K353" s="9"/>
      <c r="L353" s="9" t="s">
        <v>68</v>
      </c>
      <c r="M353" s="9" t="s">
        <v>110</v>
      </c>
      <c r="N353" s="11" t="s">
        <v>112</v>
      </c>
      <c r="O353" s="12" t="s">
        <v>114</v>
      </c>
      <c r="P353" s="13" t="n">
        <v>10</v>
      </c>
      <c r="Q353" s="13" t="n">
        <v>8</v>
      </c>
      <c r="R353" s="13" t="n">
        <v>6</v>
      </c>
      <c r="S353" s="13" t="n">
        <v>0.1</v>
      </c>
      <c r="T353" s="9" t="s">
        <v>4563</v>
      </c>
      <c r="U353" s="9"/>
      <c r="V353" s="9" t="s">
        <v>4572</v>
      </c>
      <c r="W353" s="9"/>
      <c r="X353" s="11" t="s">
        <v>4806</v>
      </c>
      <c r="Y353" s="9"/>
    </row>
    <row r="354" customFormat="false" ht="15" hidden="false" customHeight="false" outlineLevel="0" collapsed="false">
      <c r="A354" s="9" t="s">
        <v>2191</v>
      </c>
      <c r="B354" s="9" t="s">
        <v>2185</v>
      </c>
      <c r="C354" s="11" t="s">
        <v>2187</v>
      </c>
      <c r="D354" s="12" t="s">
        <v>2189</v>
      </c>
      <c r="E354" s="9" t="s">
        <v>2212</v>
      </c>
      <c r="F354" s="9" t="s">
        <v>2209</v>
      </c>
      <c r="G354" s="11" t="s">
        <v>2210</v>
      </c>
      <c r="H354" s="12" t="s">
        <v>2211</v>
      </c>
      <c r="I354" s="9"/>
      <c r="J354" s="11"/>
      <c r="K354" s="9"/>
      <c r="L354" s="9" t="s">
        <v>68</v>
      </c>
      <c r="M354" s="9" t="s">
        <v>110</v>
      </c>
      <c r="N354" s="11" t="s">
        <v>112</v>
      </c>
      <c r="O354" s="12" t="s">
        <v>114</v>
      </c>
      <c r="P354" s="13" t="n">
        <v>25</v>
      </c>
      <c r="Q354" s="13" t="n">
        <v>15</v>
      </c>
      <c r="R354" s="13" t="n">
        <v>10</v>
      </c>
      <c r="S354" s="13" t="n">
        <v>0.9</v>
      </c>
      <c r="T354" s="9" t="s">
        <v>4563</v>
      </c>
      <c r="U354" s="9"/>
      <c r="V354" s="9" t="s">
        <v>4568</v>
      </c>
      <c r="W354" s="9"/>
      <c r="X354" s="11"/>
      <c r="Y354" s="9"/>
    </row>
    <row r="355" customFormat="false" ht="15" hidden="false" customHeight="false" outlineLevel="0" collapsed="false">
      <c r="A355" s="9" t="s">
        <v>2191</v>
      </c>
      <c r="B355" s="9" t="s">
        <v>2185</v>
      </c>
      <c r="C355" s="11" t="s">
        <v>2187</v>
      </c>
      <c r="D355" s="12" t="s">
        <v>2189</v>
      </c>
      <c r="E355" s="9" t="s">
        <v>2217</v>
      </c>
      <c r="F355" s="9" t="s">
        <v>2214</v>
      </c>
      <c r="G355" s="11" t="s">
        <v>2215</v>
      </c>
      <c r="H355" s="12" t="s">
        <v>2216</v>
      </c>
      <c r="I355" s="9"/>
      <c r="J355" s="11"/>
      <c r="K355" s="9"/>
      <c r="L355" s="9" t="s">
        <v>68</v>
      </c>
      <c r="M355" s="9" t="s">
        <v>94</v>
      </c>
      <c r="N355" s="11" t="s">
        <v>95</v>
      </c>
      <c r="O355" s="12" t="s">
        <v>96</v>
      </c>
      <c r="P355" s="13" t="n">
        <v>6</v>
      </c>
      <c r="Q355" s="13" t="n">
        <v>4</v>
      </c>
      <c r="R355" s="13" t="n">
        <v>3</v>
      </c>
      <c r="S355" s="13" t="n">
        <v>0.02</v>
      </c>
      <c r="T355" s="9" t="s">
        <v>4563</v>
      </c>
      <c r="U355" s="9"/>
      <c r="V355" s="9" t="s">
        <v>4680</v>
      </c>
      <c r="W355" s="9"/>
      <c r="X355" s="11" t="s">
        <v>4807</v>
      </c>
      <c r="Y355" s="9"/>
    </row>
    <row r="356" customFormat="false" ht="15" hidden="false" customHeight="false" outlineLevel="0" collapsed="false">
      <c r="A356" s="9" t="s">
        <v>2191</v>
      </c>
      <c r="B356" s="9" t="s">
        <v>2185</v>
      </c>
      <c r="C356" s="11" t="s">
        <v>2187</v>
      </c>
      <c r="D356" s="12" t="s">
        <v>2189</v>
      </c>
      <c r="E356" s="9" t="s">
        <v>2222</v>
      </c>
      <c r="F356" s="9" t="s">
        <v>2219</v>
      </c>
      <c r="G356" s="11" t="s">
        <v>2220</v>
      </c>
      <c r="H356" s="12" t="s">
        <v>2221</v>
      </c>
      <c r="I356" s="9"/>
      <c r="J356" s="11"/>
      <c r="K356" s="9"/>
      <c r="L356" s="9" t="s">
        <v>68</v>
      </c>
      <c r="M356" s="9" t="s">
        <v>94</v>
      </c>
      <c r="N356" s="11" t="s">
        <v>95</v>
      </c>
      <c r="O356" s="12" t="s">
        <v>96</v>
      </c>
      <c r="P356" s="13" t="n">
        <v>15</v>
      </c>
      <c r="Q356" s="13" t="n">
        <v>10</v>
      </c>
      <c r="R356" s="13" t="n">
        <v>8</v>
      </c>
      <c r="S356" s="13" t="n">
        <v>0.3</v>
      </c>
      <c r="T356" s="9" t="s">
        <v>4563</v>
      </c>
      <c r="U356" s="9"/>
      <c r="V356" s="9" t="s">
        <v>4571</v>
      </c>
      <c r="W356" s="9"/>
      <c r="X356" s="11"/>
      <c r="Y356" s="9"/>
    </row>
    <row r="357" customFormat="false" ht="15" hidden="false" customHeight="false" outlineLevel="0" collapsed="false">
      <c r="A357" s="9" t="s">
        <v>2191</v>
      </c>
      <c r="B357" s="9" t="s">
        <v>2185</v>
      </c>
      <c r="C357" s="11" t="s">
        <v>2187</v>
      </c>
      <c r="D357" s="12" t="s">
        <v>2189</v>
      </c>
      <c r="E357" s="9" t="s">
        <v>2227</v>
      </c>
      <c r="F357" s="9" t="s">
        <v>2224</v>
      </c>
      <c r="G357" s="11" t="s">
        <v>2225</v>
      </c>
      <c r="H357" s="12" t="s">
        <v>2226</v>
      </c>
      <c r="I357" s="9"/>
      <c r="J357" s="11"/>
      <c r="K357" s="9"/>
      <c r="L357" s="9" t="s">
        <v>68</v>
      </c>
      <c r="M357" s="9" t="s">
        <v>110</v>
      </c>
      <c r="N357" s="11" t="s">
        <v>112</v>
      </c>
      <c r="O357" s="12" t="s">
        <v>114</v>
      </c>
      <c r="P357" s="13" t="n">
        <v>15</v>
      </c>
      <c r="Q357" s="13" t="n">
        <v>10</v>
      </c>
      <c r="R357" s="13" t="n">
        <v>8</v>
      </c>
      <c r="S357" s="13" t="n">
        <v>0.3</v>
      </c>
      <c r="T357" s="9" t="s">
        <v>4563</v>
      </c>
      <c r="U357" s="9"/>
      <c r="V357" s="9" t="s">
        <v>4571</v>
      </c>
      <c r="W357" s="9" t="s">
        <v>4808</v>
      </c>
      <c r="X357" s="11"/>
      <c r="Y357" s="9"/>
    </row>
    <row r="358" customFormat="false" ht="15" hidden="false" customHeight="false" outlineLevel="0" collapsed="false">
      <c r="A358" s="9" t="s">
        <v>2191</v>
      </c>
      <c r="B358" s="9" t="s">
        <v>2185</v>
      </c>
      <c r="C358" s="11" t="s">
        <v>2187</v>
      </c>
      <c r="D358" s="12" t="s">
        <v>2189</v>
      </c>
      <c r="E358" s="9" t="s">
        <v>2232</v>
      </c>
      <c r="F358" s="9" t="s">
        <v>2229</v>
      </c>
      <c r="G358" s="11" t="s">
        <v>2230</v>
      </c>
      <c r="H358" s="12" t="s">
        <v>2231</v>
      </c>
      <c r="I358" s="9"/>
      <c r="J358" s="11"/>
      <c r="K358" s="9"/>
      <c r="L358" s="9" t="s">
        <v>68</v>
      </c>
      <c r="M358" s="9" t="s">
        <v>369</v>
      </c>
      <c r="N358" s="11" t="s">
        <v>371</v>
      </c>
      <c r="O358" s="12" t="s">
        <v>373</v>
      </c>
      <c r="P358" s="13" t="n">
        <v>25</v>
      </c>
      <c r="Q358" s="13" t="n">
        <v>15</v>
      </c>
      <c r="R358" s="13" t="n">
        <v>10</v>
      </c>
      <c r="S358" s="13" t="n">
        <v>0.9</v>
      </c>
      <c r="T358" s="9" t="s">
        <v>4563</v>
      </c>
      <c r="U358" s="9"/>
      <c r="V358" s="9" t="s">
        <v>4568</v>
      </c>
      <c r="W358" s="9"/>
      <c r="X358" s="11" t="s">
        <v>4809</v>
      </c>
      <c r="Y358" s="9"/>
    </row>
    <row r="359" customFormat="false" ht="15" hidden="false" customHeight="false" outlineLevel="0" collapsed="false">
      <c r="A359" s="9" t="s">
        <v>2191</v>
      </c>
      <c r="B359" s="9" t="s">
        <v>2185</v>
      </c>
      <c r="C359" s="11" t="s">
        <v>2187</v>
      </c>
      <c r="D359" s="12" t="s">
        <v>2189</v>
      </c>
      <c r="E359" s="9" t="s">
        <v>2237</v>
      </c>
      <c r="F359" s="9" t="s">
        <v>2234</v>
      </c>
      <c r="G359" s="11" t="s">
        <v>2235</v>
      </c>
      <c r="H359" s="12" t="s">
        <v>2236</v>
      </c>
      <c r="I359" s="9"/>
      <c r="J359" s="11"/>
      <c r="K359" s="9"/>
      <c r="L359" s="9" t="s">
        <v>68</v>
      </c>
      <c r="M359" s="9" t="s">
        <v>369</v>
      </c>
      <c r="N359" s="11" t="s">
        <v>371</v>
      </c>
      <c r="O359" s="12" t="s">
        <v>373</v>
      </c>
      <c r="P359" s="13" t="n">
        <v>10</v>
      </c>
      <c r="Q359" s="13" t="n">
        <v>8</v>
      </c>
      <c r="R359" s="13" t="n">
        <v>6</v>
      </c>
      <c r="S359" s="13" t="n">
        <v>0.1</v>
      </c>
      <c r="T359" s="9" t="s">
        <v>4563</v>
      </c>
      <c r="U359" s="9"/>
      <c r="V359" s="9" t="s">
        <v>4572</v>
      </c>
      <c r="W359" s="9"/>
      <c r="X359" s="11"/>
      <c r="Y359" s="9"/>
    </row>
    <row r="360" customFormat="false" ht="15" hidden="false" customHeight="false" outlineLevel="0" collapsed="false">
      <c r="A360" s="9" t="s">
        <v>2191</v>
      </c>
      <c r="B360" s="9" t="s">
        <v>2185</v>
      </c>
      <c r="C360" s="11" t="s">
        <v>2187</v>
      </c>
      <c r="D360" s="12" t="s">
        <v>2189</v>
      </c>
      <c r="E360" s="9" t="s">
        <v>2242</v>
      </c>
      <c r="F360" s="9" t="s">
        <v>2239</v>
      </c>
      <c r="G360" s="11" t="s">
        <v>2240</v>
      </c>
      <c r="H360" s="12" t="s">
        <v>2241</v>
      </c>
      <c r="I360" s="9"/>
      <c r="J360" s="11"/>
      <c r="K360" s="9"/>
      <c r="L360" s="9" t="s">
        <v>68</v>
      </c>
      <c r="M360" s="9" t="s">
        <v>369</v>
      </c>
      <c r="N360" s="11" t="s">
        <v>371</v>
      </c>
      <c r="O360" s="12" t="s">
        <v>373</v>
      </c>
      <c r="P360" s="13" t="n">
        <v>10</v>
      </c>
      <c r="Q360" s="13" t="n">
        <v>8</v>
      </c>
      <c r="R360" s="13" t="n">
        <v>6</v>
      </c>
      <c r="S360" s="13" t="n">
        <v>0.1</v>
      </c>
      <c r="T360" s="9" t="s">
        <v>4563</v>
      </c>
      <c r="U360" s="9"/>
      <c r="V360" s="9" t="s">
        <v>4572</v>
      </c>
      <c r="W360" s="9"/>
      <c r="X360" s="11" t="s">
        <v>4810</v>
      </c>
      <c r="Y360" s="9"/>
    </row>
    <row r="361" customFormat="false" ht="15" hidden="false" customHeight="false" outlineLevel="0" collapsed="false">
      <c r="A361" s="9" t="s">
        <v>2191</v>
      </c>
      <c r="B361" s="9" t="s">
        <v>2185</v>
      </c>
      <c r="C361" s="11" t="s">
        <v>2187</v>
      </c>
      <c r="D361" s="12" t="s">
        <v>2189</v>
      </c>
      <c r="E361" s="9" t="s">
        <v>2247</v>
      </c>
      <c r="F361" s="9" t="s">
        <v>2244</v>
      </c>
      <c r="G361" s="11" t="s">
        <v>2245</v>
      </c>
      <c r="H361" s="12" t="s">
        <v>2246</v>
      </c>
      <c r="I361" s="9"/>
      <c r="J361" s="11"/>
      <c r="K361" s="9"/>
      <c r="L361" s="9" t="s">
        <v>68</v>
      </c>
      <c r="M361" s="9" t="s">
        <v>69</v>
      </c>
      <c r="N361" s="11" t="s">
        <v>73</v>
      </c>
      <c r="O361" s="12" t="s">
        <v>77</v>
      </c>
      <c r="P361" s="13" t="n">
        <v>15</v>
      </c>
      <c r="Q361" s="13" t="n">
        <v>10</v>
      </c>
      <c r="R361" s="13" t="n">
        <v>8</v>
      </c>
      <c r="S361" s="13" t="n">
        <v>0.3</v>
      </c>
      <c r="T361" s="9" t="s">
        <v>4563</v>
      </c>
      <c r="U361" s="9"/>
      <c r="V361" s="9" t="s">
        <v>4571</v>
      </c>
      <c r="W361" s="9"/>
      <c r="X361" s="11"/>
      <c r="Y361" s="9"/>
    </row>
    <row r="362" customFormat="false" ht="15" hidden="false" customHeight="false" outlineLevel="0" collapsed="false">
      <c r="A362" s="9" t="s">
        <v>2191</v>
      </c>
      <c r="B362" s="9" t="s">
        <v>2185</v>
      </c>
      <c r="C362" s="11" t="s">
        <v>2187</v>
      </c>
      <c r="D362" s="12" t="s">
        <v>2189</v>
      </c>
      <c r="E362" s="9" t="s">
        <v>2252</v>
      </c>
      <c r="F362" s="9" t="s">
        <v>2249</v>
      </c>
      <c r="G362" s="11" t="s">
        <v>2250</v>
      </c>
      <c r="H362" s="12" t="s">
        <v>2251</v>
      </c>
      <c r="I362" s="9"/>
      <c r="J362" s="11"/>
      <c r="K362" s="9"/>
      <c r="L362" s="9" t="s">
        <v>68</v>
      </c>
      <c r="M362" s="9" t="s">
        <v>1863</v>
      </c>
      <c r="N362" s="11" t="s">
        <v>1864</v>
      </c>
      <c r="O362" s="12" t="s">
        <v>1865</v>
      </c>
      <c r="P362" s="13" t="n">
        <v>15</v>
      </c>
      <c r="Q362" s="13" t="n">
        <v>10</v>
      </c>
      <c r="R362" s="13" t="n">
        <v>8</v>
      </c>
      <c r="S362" s="13" t="n">
        <v>0.3</v>
      </c>
      <c r="T362" s="9" t="s">
        <v>4615</v>
      </c>
      <c r="U362" s="9"/>
      <c r="V362" s="9" t="s">
        <v>4571</v>
      </c>
      <c r="W362" s="9"/>
      <c r="X362" s="11"/>
      <c r="Y362" s="9"/>
    </row>
    <row r="363" customFormat="false" ht="15" hidden="false" customHeight="false" outlineLevel="0" collapsed="false">
      <c r="A363" s="9" t="s">
        <v>2191</v>
      </c>
      <c r="B363" s="9" t="s">
        <v>2185</v>
      </c>
      <c r="C363" s="11" t="s">
        <v>2187</v>
      </c>
      <c r="D363" s="12" t="s">
        <v>2189</v>
      </c>
      <c r="E363" s="9" t="s">
        <v>2257</v>
      </c>
      <c r="F363" s="9" t="s">
        <v>2254</v>
      </c>
      <c r="G363" s="11" t="s">
        <v>2255</v>
      </c>
      <c r="H363" s="12" t="s">
        <v>2256</v>
      </c>
      <c r="I363" s="9"/>
      <c r="J363" s="11"/>
      <c r="K363" s="9"/>
      <c r="L363" s="9" t="s">
        <v>68</v>
      </c>
      <c r="M363" s="9" t="s">
        <v>1863</v>
      </c>
      <c r="N363" s="11" t="s">
        <v>1864</v>
      </c>
      <c r="O363" s="12" t="s">
        <v>1865</v>
      </c>
      <c r="P363" s="13" t="n">
        <v>15</v>
      </c>
      <c r="Q363" s="13" t="n">
        <v>10</v>
      </c>
      <c r="R363" s="13" t="n">
        <v>8</v>
      </c>
      <c r="S363" s="13" t="n">
        <v>0.3</v>
      </c>
      <c r="T363" s="9" t="s">
        <v>4615</v>
      </c>
      <c r="U363" s="9"/>
      <c r="V363" s="9" t="s">
        <v>4571</v>
      </c>
      <c r="W363" s="9"/>
      <c r="X363" s="11"/>
      <c r="Y363" s="9"/>
    </row>
    <row r="364" customFormat="false" ht="15" hidden="false" customHeight="false" outlineLevel="0" collapsed="false">
      <c r="A364" s="9" t="s">
        <v>2191</v>
      </c>
      <c r="B364" s="9" t="s">
        <v>2185</v>
      </c>
      <c r="C364" s="11" t="s">
        <v>2187</v>
      </c>
      <c r="D364" s="12" t="s">
        <v>2189</v>
      </c>
      <c r="E364" s="9" t="s">
        <v>2265</v>
      </c>
      <c r="F364" s="9" t="s">
        <v>2259</v>
      </c>
      <c r="G364" s="11" t="s">
        <v>2261</v>
      </c>
      <c r="H364" s="12" t="s">
        <v>2263</v>
      </c>
      <c r="I364" s="9"/>
      <c r="J364" s="11"/>
      <c r="K364" s="9"/>
      <c r="L364" s="9" t="s">
        <v>68</v>
      </c>
      <c r="M364" s="9" t="s">
        <v>2260</v>
      </c>
      <c r="N364" s="11" t="s">
        <v>2262</v>
      </c>
      <c r="O364" s="12" t="s">
        <v>2264</v>
      </c>
      <c r="P364" s="13" t="n">
        <v>10</v>
      </c>
      <c r="Q364" s="13" t="n">
        <v>8</v>
      </c>
      <c r="R364" s="13" t="n">
        <v>6</v>
      </c>
      <c r="S364" s="13" t="n">
        <v>0.1</v>
      </c>
      <c r="T364" s="9" t="s">
        <v>4615</v>
      </c>
      <c r="U364" s="9"/>
      <c r="V364" s="9" t="s">
        <v>4572</v>
      </c>
      <c r="W364" s="9" t="s">
        <v>4811</v>
      </c>
      <c r="X364" s="11"/>
      <c r="Y364" s="9"/>
    </row>
    <row r="365" customFormat="false" ht="15" hidden="false" customHeight="false" outlineLevel="0" collapsed="false">
      <c r="A365" s="9" t="s">
        <v>2191</v>
      </c>
      <c r="B365" s="9" t="s">
        <v>2185</v>
      </c>
      <c r="C365" s="11" t="s">
        <v>2187</v>
      </c>
      <c r="D365" s="12" t="s">
        <v>2189</v>
      </c>
      <c r="E365" s="9" t="s">
        <v>2270</v>
      </c>
      <c r="F365" s="9" t="s">
        <v>2267</v>
      </c>
      <c r="G365" s="11" t="s">
        <v>2268</v>
      </c>
      <c r="H365" s="12" t="s">
        <v>2269</v>
      </c>
      <c r="I365" s="9"/>
      <c r="J365" s="11"/>
      <c r="K365" s="9"/>
      <c r="L365" s="9" t="s">
        <v>68</v>
      </c>
      <c r="M365" s="9" t="s">
        <v>2260</v>
      </c>
      <c r="N365" s="11" t="s">
        <v>2262</v>
      </c>
      <c r="O365" s="12" t="s">
        <v>2264</v>
      </c>
      <c r="P365" s="13" t="n">
        <v>6</v>
      </c>
      <c r="Q365" s="13" t="n">
        <v>4</v>
      </c>
      <c r="R365" s="13" t="n">
        <v>3</v>
      </c>
      <c r="S365" s="13" t="n">
        <v>0.02</v>
      </c>
      <c r="T365" s="9" t="s">
        <v>4615</v>
      </c>
      <c r="U365" s="9"/>
      <c r="V365" s="9" t="s">
        <v>4680</v>
      </c>
      <c r="W365" s="9"/>
      <c r="X365" s="11"/>
      <c r="Y365" s="9"/>
    </row>
    <row r="366" customFormat="false" ht="15" hidden="false" customHeight="false" outlineLevel="0" collapsed="false">
      <c r="A366" s="9" t="s">
        <v>2191</v>
      </c>
      <c r="B366" s="9" t="s">
        <v>2185</v>
      </c>
      <c r="C366" s="11" t="s">
        <v>2187</v>
      </c>
      <c r="D366" s="12" t="s">
        <v>2189</v>
      </c>
      <c r="E366" s="9" t="s">
        <v>2275</v>
      </c>
      <c r="F366" s="9" t="s">
        <v>2272</v>
      </c>
      <c r="G366" s="11" t="s">
        <v>2273</v>
      </c>
      <c r="H366" s="12" t="s">
        <v>2274</v>
      </c>
      <c r="I366" s="9"/>
      <c r="J366" s="11"/>
      <c r="K366" s="9"/>
      <c r="L366" s="9" t="s">
        <v>68</v>
      </c>
      <c r="M366" s="9" t="s">
        <v>1863</v>
      </c>
      <c r="N366" s="11" t="s">
        <v>1864</v>
      </c>
      <c r="O366" s="12" t="s">
        <v>1865</v>
      </c>
      <c r="P366" s="13" t="n">
        <v>10</v>
      </c>
      <c r="Q366" s="13" t="n">
        <v>8</v>
      </c>
      <c r="R366" s="13" t="n">
        <v>6</v>
      </c>
      <c r="S366" s="13" t="n">
        <v>0.1</v>
      </c>
      <c r="T366" s="9" t="s">
        <v>4615</v>
      </c>
      <c r="U366" s="9"/>
      <c r="V366" s="9" t="s">
        <v>4572</v>
      </c>
      <c r="W366" s="9"/>
      <c r="X366" s="11"/>
      <c r="Y366" s="9"/>
    </row>
    <row r="367" customFormat="false" ht="15" hidden="false" customHeight="false" outlineLevel="0" collapsed="false">
      <c r="A367" s="9" t="s">
        <v>2283</v>
      </c>
      <c r="B367" s="9" t="s">
        <v>2277</v>
      </c>
      <c r="C367" s="11" t="s">
        <v>2279</v>
      </c>
      <c r="D367" s="12" t="s">
        <v>2281</v>
      </c>
      <c r="E367" s="9" t="s">
        <v>2284</v>
      </c>
      <c r="F367" s="9" t="s">
        <v>2278</v>
      </c>
      <c r="G367" s="11" t="s">
        <v>2280</v>
      </c>
      <c r="H367" s="12" t="s">
        <v>2282</v>
      </c>
      <c r="I367" s="9"/>
      <c r="J367" s="11"/>
      <c r="K367" s="9"/>
      <c r="L367" s="9" t="s">
        <v>68</v>
      </c>
      <c r="M367" s="9" t="s">
        <v>266</v>
      </c>
      <c r="N367" s="11" t="s">
        <v>269</v>
      </c>
      <c r="O367" s="12" t="s">
        <v>272</v>
      </c>
      <c r="P367" s="13" t="n">
        <v>25</v>
      </c>
      <c r="Q367" s="13" t="n">
        <v>20</v>
      </c>
      <c r="R367" s="13" t="n">
        <v>20</v>
      </c>
      <c r="S367" s="13" t="n">
        <v>6</v>
      </c>
      <c r="T367" s="9" t="s">
        <v>4563</v>
      </c>
      <c r="U367" s="9"/>
      <c r="V367" s="9" t="s">
        <v>4565</v>
      </c>
      <c r="W367" s="9"/>
      <c r="X367" s="11" t="s">
        <v>4812</v>
      </c>
      <c r="Y367" s="9"/>
    </row>
    <row r="368" customFormat="false" ht="15" hidden="false" customHeight="false" outlineLevel="0" collapsed="false">
      <c r="A368" s="9" t="s">
        <v>2283</v>
      </c>
      <c r="B368" s="9" t="s">
        <v>2277</v>
      </c>
      <c r="C368" s="11" t="s">
        <v>2279</v>
      </c>
      <c r="D368" s="12" t="s">
        <v>2281</v>
      </c>
      <c r="E368" s="9" t="s">
        <v>2289</v>
      </c>
      <c r="F368" s="9" t="s">
        <v>2286</v>
      </c>
      <c r="G368" s="11" t="s">
        <v>2287</v>
      </c>
      <c r="H368" s="12" t="s">
        <v>2288</v>
      </c>
      <c r="I368" s="9"/>
      <c r="J368" s="11"/>
      <c r="K368" s="9"/>
      <c r="L368" s="9" t="s">
        <v>68</v>
      </c>
      <c r="M368" s="9" t="s">
        <v>266</v>
      </c>
      <c r="N368" s="11" t="s">
        <v>269</v>
      </c>
      <c r="O368" s="12" t="s">
        <v>272</v>
      </c>
      <c r="P368" s="13" t="n">
        <v>10</v>
      </c>
      <c r="Q368" s="13" t="n">
        <v>8</v>
      </c>
      <c r="R368" s="13" t="n">
        <v>6</v>
      </c>
      <c r="S368" s="13" t="n">
        <v>0.1</v>
      </c>
      <c r="T368" s="9" t="s">
        <v>4563</v>
      </c>
      <c r="U368" s="9"/>
      <c r="V368" s="9" t="s">
        <v>4572</v>
      </c>
      <c r="W368" s="9"/>
      <c r="X368" s="11"/>
      <c r="Y368" s="9"/>
    </row>
    <row r="369" customFormat="false" ht="15" hidden="false" customHeight="false" outlineLevel="0" collapsed="false">
      <c r="A369" s="9" t="s">
        <v>2283</v>
      </c>
      <c r="B369" s="9" t="s">
        <v>2277</v>
      </c>
      <c r="C369" s="11" t="s">
        <v>2279</v>
      </c>
      <c r="D369" s="12" t="s">
        <v>2281</v>
      </c>
      <c r="E369" s="9" t="s">
        <v>2294</v>
      </c>
      <c r="F369" s="9" t="s">
        <v>2291</v>
      </c>
      <c r="G369" s="11" t="s">
        <v>2292</v>
      </c>
      <c r="H369" s="12" t="s">
        <v>2293</v>
      </c>
      <c r="I369" s="9"/>
      <c r="J369" s="11"/>
      <c r="K369" s="9"/>
      <c r="L369" s="9" t="s">
        <v>68</v>
      </c>
      <c r="M369" s="9" t="s">
        <v>266</v>
      </c>
      <c r="N369" s="11" t="s">
        <v>269</v>
      </c>
      <c r="O369" s="12" t="s">
        <v>272</v>
      </c>
      <c r="P369" s="13" t="n">
        <v>10</v>
      </c>
      <c r="Q369" s="13" t="n">
        <v>8</v>
      </c>
      <c r="R369" s="13" t="n">
        <v>6</v>
      </c>
      <c r="S369" s="13" t="n">
        <v>0.1</v>
      </c>
      <c r="T369" s="9" t="s">
        <v>4563</v>
      </c>
      <c r="U369" s="9"/>
      <c r="V369" s="9" t="s">
        <v>4572</v>
      </c>
      <c r="W369" s="9"/>
      <c r="X369" s="11"/>
      <c r="Y369" s="9"/>
    </row>
    <row r="370" customFormat="false" ht="15" hidden="false" customHeight="false" outlineLevel="0" collapsed="false">
      <c r="A370" s="9" t="s">
        <v>2283</v>
      </c>
      <c r="B370" s="9" t="s">
        <v>2277</v>
      </c>
      <c r="C370" s="11" t="s">
        <v>2279</v>
      </c>
      <c r="D370" s="12" t="s">
        <v>2281</v>
      </c>
      <c r="E370" s="9" t="s">
        <v>2302</v>
      </c>
      <c r="F370" s="9" t="s">
        <v>2296</v>
      </c>
      <c r="G370" s="11" t="s">
        <v>2298</v>
      </c>
      <c r="H370" s="12" t="s">
        <v>2300</v>
      </c>
      <c r="I370" s="9"/>
      <c r="J370" s="11"/>
      <c r="K370" s="9"/>
      <c r="L370" s="9" t="s">
        <v>68</v>
      </c>
      <c r="M370" s="9" t="s">
        <v>2297</v>
      </c>
      <c r="N370" s="11" t="s">
        <v>2299</v>
      </c>
      <c r="O370" s="12" t="s">
        <v>2301</v>
      </c>
      <c r="P370" s="13" t="n">
        <v>25</v>
      </c>
      <c r="Q370" s="13" t="n">
        <v>15</v>
      </c>
      <c r="R370" s="13" t="n">
        <v>10</v>
      </c>
      <c r="S370" s="13" t="n">
        <v>0.9</v>
      </c>
      <c r="T370" s="9" t="s">
        <v>4624</v>
      </c>
      <c r="U370" s="9"/>
      <c r="V370" s="9" t="s">
        <v>4568</v>
      </c>
      <c r="W370" s="9"/>
      <c r="X370" s="11"/>
      <c r="Y370" s="9"/>
    </row>
    <row r="371" customFormat="false" ht="15" hidden="false" customHeight="false" outlineLevel="0" collapsed="false">
      <c r="A371" s="9" t="s">
        <v>2283</v>
      </c>
      <c r="B371" s="9" t="s">
        <v>2277</v>
      </c>
      <c r="C371" s="11" t="s">
        <v>2279</v>
      </c>
      <c r="D371" s="12" t="s">
        <v>2281</v>
      </c>
      <c r="E371" s="9" t="s">
        <v>2307</v>
      </c>
      <c r="F371" s="9" t="s">
        <v>2304</v>
      </c>
      <c r="G371" s="11" t="s">
        <v>2305</v>
      </c>
      <c r="H371" s="12" t="s">
        <v>2306</v>
      </c>
      <c r="I371" s="9"/>
      <c r="J371" s="11"/>
      <c r="K371" s="9"/>
      <c r="L371" s="9" t="s">
        <v>68</v>
      </c>
      <c r="M371" s="9" t="s">
        <v>2297</v>
      </c>
      <c r="N371" s="11" t="s">
        <v>2299</v>
      </c>
      <c r="O371" s="12" t="s">
        <v>2301</v>
      </c>
      <c r="P371" s="13" t="n">
        <v>25</v>
      </c>
      <c r="Q371" s="13" t="n">
        <v>15</v>
      </c>
      <c r="R371" s="13" t="n">
        <v>10</v>
      </c>
      <c r="S371" s="13" t="n">
        <v>0.9</v>
      </c>
      <c r="T371" s="9" t="s">
        <v>4624</v>
      </c>
      <c r="U371" s="9"/>
      <c r="V371" s="9" t="s">
        <v>4568</v>
      </c>
      <c r="W371" s="9" t="s">
        <v>4813</v>
      </c>
      <c r="X371" s="11"/>
      <c r="Y371" s="9"/>
    </row>
    <row r="372" customFormat="false" ht="15" hidden="false" customHeight="false" outlineLevel="0" collapsed="false">
      <c r="A372" s="9" t="s">
        <v>2283</v>
      </c>
      <c r="B372" s="9" t="s">
        <v>2277</v>
      </c>
      <c r="C372" s="11" t="s">
        <v>2279</v>
      </c>
      <c r="D372" s="12" t="s">
        <v>2281</v>
      </c>
      <c r="E372" s="9" t="s">
        <v>2312</v>
      </c>
      <c r="F372" s="9" t="s">
        <v>2309</v>
      </c>
      <c r="G372" s="11" t="s">
        <v>2310</v>
      </c>
      <c r="H372" s="12" t="s">
        <v>2311</v>
      </c>
      <c r="I372" s="9"/>
      <c r="J372" s="11"/>
      <c r="K372" s="9"/>
      <c r="L372" s="9" t="s">
        <v>68</v>
      </c>
      <c r="M372" s="9" t="s">
        <v>2297</v>
      </c>
      <c r="N372" s="11" t="s">
        <v>2299</v>
      </c>
      <c r="O372" s="12" t="s">
        <v>2301</v>
      </c>
      <c r="P372" s="13" t="n">
        <v>15</v>
      </c>
      <c r="Q372" s="13" t="n">
        <v>10</v>
      </c>
      <c r="R372" s="13" t="n">
        <v>8</v>
      </c>
      <c r="S372" s="13" t="n">
        <v>0.3</v>
      </c>
      <c r="T372" s="9" t="s">
        <v>4624</v>
      </c>
      <c r="U372" s="9"/>
      <c r="V372" s="9" t="s">
        <v>4571</v>
      </c>
      <c r="W372" s="9"/>
      <c r="X372" s="11"/>
      <c r="Y372" s="9"/>
    </row>
    <row r="373" customFormat="false" ht="15" hidden="false" customHeight="false" outlineLevel="0" collapsed="false">
      <c r="A373" s="9" t="s">
        <v>2283</v>
      </c>
      <c r="B373" s="9" t="s">
        <v>2277</v>
      </c>
      <c r="C373" s="11" t="s">
        <v>2279</v>
      </c>
      <c r="D373" s="12" t="s">
        <v>2281</v>
      </c>
      <c r="E373" s="9" t="s">
        <v>2317</v>
      </c>
      <c r="F373" s="9" t="s">
        <v>2314</v>
      </c>
      <c r="G373" s="11" t="s">
        <v>2315</v>
      </c>
      <c r="H373" s="12" t="s">
        <v>2316</v>
      </c>
      <c r="I373" s="9"/>
      <c r="J373" s="11"/>
      <c r="K373" s="9"/>
      <c r="L373" s="9" t="s">
        <v>68</v>
      </c>
      <c r="M373" s="9" t="s">
        <v>2297</v>
      </c>
      <c r="N373" s="11" t="s">
        <v>2299</v>
      </c>
      <c r="O373" s="12" t="s">
        <v>2301</v>
      </c>
      <c r="P373" s="13" t="n">
        <v>15</v>
      </c>
      <c r="Q373" s="13" t="n">
        <v>10</v>
      </c>
      <c r="R373" s="13" t="n">
        <v>8</v>
      </c>
      <c r="S373" s="13" t="n">
        <v>0.3</v>
      </c>
      <c r="T373" s="9" t="s">
        <v>4624</v>
      </c>
      <c r="U373" s="9"/>
      <c r="V373" s="9" t="s">
        <v>4571</v>
      </c>
      <c r="W373" s="9" t="s">
        <v>4814</v>
      </c>
      <c r="X373" s="11"/>
      <c r="Y373" s="9"/>
    </row>
    <row r="374" customFormat="false" ht="15" hidden="false" customHeight="false" outlineLevel="0" collapsed="false">
      <c r="A374" s="9" t="s">
        <v>2283</v>
      </c>
      <c r="B374" s="9" t="s">
        <v>2277</v>
      </c>
      <c r="C374" s="11" t="s">
        <v>2279</v>
      </c>
      <c r="D374" s="12" t="s">
        <v>2281</v>
      </c>
      <c r="E374" s="9" t="s">
        <v>2325</v>
      </c>
      <c r="F374" s="9" t="s">
        <v>2319</v>
      </c>
      <c r="G374" s="11" t="s">
        <v>2321</v>
      </c>
      <c r="H374" s="12" t="s">
        <v>2323</v>
      </c>
      <c r="I374" s="9"/>
      <c r="J374" s="11"/>
      <c r="K374" s="9"/>
      <c r="L374" s="9" t="s">
        <v>68</v>
      </c>
      <c r="M374" s="9" t="s">
        <v>2320</v>
      </c>
      <c r="N374" s="11" t="s">
        <v>2322</v>
      </c>
      <c r="O374" s="12" t="s">
        <v>2324</v>
      </c>
      <c r="P374" s="13" t="n">
        <v>30</v>
      </c>
      <c r="Q374" s="13" t="n">
        <v>25</v>
      </c>
      <c r="R374" s="13" t="n">
        <v>10</v>
      </c>
      <c r="S374" s="13" t="n">
        <v>3.5</v>
      </c>
      <c r="T374" s="9" t="s">
        <v>4624</v>
      </c>
      <c r="U374" s="9"/>
      <c r="V374" s="9" t="s">
        <v>4565</v>
      </c>
      <c r="W374" s="9" t="s">
        <v>4815</v>
      </c>
      <c r="X374" s="11" t="s">
        <v>4815</v>
      </c>
      <c r="Y374" s="9" t="s">
        <v>4815</v>
      </c>
    </row>
    <row r="375" customFormat="false" ht="15" hidden="false" customHeight="false" outlineLevel="0" collapsed="false">
      <c r="A375" s="9" t="s">
        <v>2283</v>
      </c>
      <c r="B375" s="9" t="s">
        <v>2277</v>
      </c>
      <c r="C375" s="11" t="s">
        <v>2279</v>
      </c>
      <c r="D375" s="12" t="s">
        <v>2281</v>
      </c>
      <c r="E375" s="9" t="s">
        <v>2329</v>
      </c>
      <c r="F375" s="9" t="s">
        <v>2320</v>
      </c>
      <c r="G375" s="11" t="s">
        <v>2327</v>
      </c>
      <c r="H375" s="12" t="s">
        <v>2328</v>
      </c>
      <c r="I375" s="9"/>
      <c r="J375" s="11"/>
      <c r="K375" s="9"/>
      <c r="L375" s="9" t="s">
        <v>68</v>
      </c>
      <c r="M375" s="9" t="s">
        <v>2320</v>
      </c>
      <c r="N375" s="11" t="s">
        <v>2322</v>
      </c>
      <c r="O375" s="12" t="s">
        <v>2324</v>
      </c>
      <c r="P375" s="13" t="n">
        <v>35</v>
      </c>
      <c r="Q375" s="13" t="n">
        <v>30</v>
      </c>
      <c r="R375" s="13" t="n">
        <v>12</v>
      </c>
      <c r="S375" s="13" t="n">
        <v>5</v>
      </c>
      <c r="T375" s="9" t="s">
        <v>4624</v>
      </c>
      <c r="U375" s="9"/>
      <c r="V375" s="9" t="s">
        <v>4565</v>
      </c>
      <c r="W375" s="9" t="s">
        <v>4816</v>
      </c>
      <c r="X375" s="11" t="s">
        <v>4816</v>
      </c>
      <c r="Y375" s="9" t="s">
        <v>4816</v>
      </c>
    </row>
    <row r="376" customFormat="false" ht="15" hidden="false" customHeight="false" outlineLevel="0" collapsed="false">
      <c r="A376" s="9" t="s">
        <v>2283</v>
      </c>
      <c r="B376" s="9" t="s">
        <v>2277</v>
      </c>
      <c r="C376" s="11" t="s">
        <v>2279</v>
      </c>
      <c r="D376" s="12" t="s">
        <v>2281</v>
      </c>
      <c r="E376" s="9" t="s">
        <v>2334</v>
      </c>
      <c r="F376" s="9" t="s">
        <v>2331</v>
      </c>
      <c r="G376" s="11" t="s">
        <v>2332</v>
      </c>
      <c r="H376" s="12" t="s">
        <v>2333</v>
      </c>
      <c r="I376" s="9"/>
      <c r="J376" s="11"/>
      <c r="K376" s="9"/>
      <c r="L376" s="9" t="s">
        <v>68</v>
      </c>
      <c r="M376" s="9" t="s">
        <v>2320</v>
      </c>
      <c r="N376" s="11" t="s">
        <v>2322</v>
      </c>
      <c r="O376" s="12" t="s">
        <v>2324</v>
      </c>
      <c r="P376" s="13" t="n">
        <v>35</v>
      </c>
      <c r="Q376" s="13" t="n">
        <v>25</v>
      </c>
      <c r="R376" s="13" t="n">
        <v>15</v>
      </c>
      <c r="S376" s="13" t="n">
        <v>6</v>
      </c>
      <c r="T376" s="9" t="s">
        <v>4624</v>
      </c>
      <c r="U376" s="9"/>
      <c r="V376" s="9" t="s">
        <v>4565</v>
      </c>
      <c r="W376" s="9" t="s">
        <v>4817</v>
      </c>
      <c r="X376" s="11" t="s">
        <v>4818</v>
      </c>
      <c r="Y376" s="9" t="s">
        <v>4819</v>
      </c>
    </row>
    <row r="377" customFormat="false" ht="15" hidden="false" customHeight="false" outlineLevel="0" collapsed="false">
      <c r="A377" s="9" t="s">
        <v>2345</v>
      </c>
      <c r="B377" s="9" t="s">
        <v>2336</v>
      </c>
      <c r="C377" s="11" t="s">
        <v>2339</v>
      </c>
      <c r="D377" s="12" t="s">
        <v>2342</v>
      </c>
      <c r="E377" s="9" t="s">
        <v>2346</v>
      </c>
      <c r="F377" s="9" t="s">
        <v>2337</v>
      </c>
      <c r="G377" s="11" t="s">
        <v>2340</v>
      </c>
      <c r="H377" s="12" t="s">
        <v>2343</v>
      </c>
      <c r="I377" s="9"/>
      <c r="J377" s="11"/>
      <c r="K377" s="9"/>
      <c r="L377" s="9" t="s">
        <v>68</v>
      </c>
      <c r="M377" s="9" t="s">
        <v>2338</v>
      </c>
      <c r="N377" s="11" t="s">
        <v>2341</v>
      </c>
      <c r="O377" s="12" t="s">
        <v>2344</v>
      </c>
      <c r="P377" s="13" t="n">
        <v>6</v>
      </c>
      <c r="Q377" s="13" t="n">
        <v>4</v>
      </c>
      <c r="R377" s="13" t="n">
        <v>3</v>
      </c>
      <c r="S377" s="13" t="n">
        <v>0.02</v>
      </c>
      <c r="T377" s="9" t="s">
        <v>4615</v>
      </c>
      <c r="U377" s="9"/>
      <c r="V377" s="9" t="s">
        <v>4680</v>
      </c>
      <c r="W377" s="9"/>
      <c r="X377" s="11"/>
      <c r="Y377" s="9"/>
    </row>
    <row r="378" customFormat="false" ht="15" hidden="false" customHeight="false" outlineLevel="0" collapsed="false">
      <c r="A378" s="9" t="s">
        <v>2345</v>
      </c>
      <c r="B378" s="9" t="s">
        <v>2336</v>
      </c>
      <c r="C378" s="11" t="s">
        <v>2339</v>
      </c>
      <c r="D378" s="12" t="s">
        <v>2342</v>
      </c>
      <c r="E378" s="9" t="s">
        <v>2351</v>
      </c>
      <c r="F378" s="9" t="s">
        <v>2348</v>
      </c>
      <c r="G378" s="11" t="s">
        <v>2349</v>
      </c>
      <c r="H378" s="12" t="s">
        <v>2350</v>
      </c>
      <c r="I378" s="9"/>
      <c r="J378" s="11"/>
      <c r="K378" s="9"/>
      <c r="L378" s="9" t="s">
        <v>68</v>
      </c>
      <c r="M378" s="9" t="s">
        <v>2338</v>
      </c>
      <c r="N378" s="11" t="s">
        <v>2341</v>
      </c>
      <c r="O378" s="12" t="s">
        <v>2344</v>
      </c>
      <c r="P378" s="13" t="n">
        <v>10</v>
      </c>
      <c r="Q378" s="13" t="n">
        <v>8</v>
      </c>
      <c r="R378" s="13" t="n">
        <v>6</v>
      </c>
      <c r="S378" s="13" t="n">
        <v>0.1</v>
      </c>
      <c r="T378" s="9" t="s">
        <v>4615</v>
      </c>
      <c r="U378" s="9"/>
      <c r="V378" s="9" t="s">
        <v>4572</v>
      </c>
      <c r="W378" s="9"/>
      <c r="X378" s="11"/>
      <c r="Y378" s="9"/>
    </row>
    <row r="379" customFormat="false" ht="15" hidden="false" customHeight="false" outlineLevel="0" collapsed="false">
      <c r="A379" s="9" t="s">
        <v>2345</v>
      </c>
      <c r="B379" s="9" t="s">
        <v>2336</v>
      </c>
      <c r="C379" s="11" t="s">
        <v>2339</v>
      </c>
      <c r="D379" s="12" t="s">
        <v>2342</v>
      </c>
      <c r="E379" s="9" t="s">
        <v>2356</v>
      </c>
      <c r="F379" s="9" t="s">
        <v>2353</v>
      </c>
      <c r="G379" s="11" t="s">
        <v>2354</v>
      </c>
      <c r="H379" s="12" t="s">
        <v>2355</v>
      </c>
      <c r="I379" s="9"/>
      <c r="J379" s="11"/>
      <c r="K379" s="9"/>
      <c r="L379" s="9" t="s">
        <v>68</v>
      </c>
      <c r="M379" s="9" t="s">
        <v>2338</v>
      </c>
      <c r="N379" s="11" t="s">
        <v>2341</v>
      </c>
      <c r="O379" s="12" t="s">
        <v>2344</v>
      </c>
      <c r="P379" s="13" t="n">
        <v>25</v>
      </c>
      <c r="Q379" s="13" t="n">
        <v>15</v>
      </c>
      <c r="R379" s="13" t="n">
        <v>8</v>
      </c>
      <c r="S379" s="13" t="n">
        <v>1</v>
      </c>
      <c r="T379" s="9" t="s">
        <v>4615</v>
      </c>
      <c r="U379" s="9"/>
      <c r="V379" s="9" t="s">
        <v>4565</v>
      </c>
      <c r="W379" s="9"/>
      <c r="X379" s="11"/>
      <c r="Y379" s="9"/>
    </row>
    <row r="380" customFormat="false" ht="15" hidden="false" customHeight="false" outlineLevel="0" collapsed="false">
      <c r="A380" s="9" t="s">
        <v>2345</v>
      </c>
      <c r="B380" s="9" t="s">
        <v>2336</v>
      </c>
      <c r="C380" s="11" t="s">
        <v>2339</v>
      </c>
      <c r="D380" s="12" t="s">
        <v>2342</v>
      </c>
      <c r="E380" s="9" t="s">
        <v>2361</v>
      </c>
      <c r="F380" s="9" t="s">
        <v>2358</v>
      </c>
      <c r="G380" s="11" t="s">
        <v>2359</v>
      </c>
      <c r="H380" s="12" t="s">
        <v>2360</v>
      </c>
      <c r="I380" s="9"/>
      <c r="J380" s="11"/>
      <c r="K380" s="9"/>
      <c r="L380" s="9" t="s">
        <v>68</v>
      </c>
      <c r="M380" s="9" t="s">
        <v>2338</v>
      </c>
      <c r="N380" s="11" t="s">
        <v>2341</v>
      </c>
      <c r="O380" s="12" t="s">
        <v>2344</v>
      </c>
      <c r="P380" s="13" t="n">
        <v>6</v>
      </c>
      <c r="Q380" s="13" t="n">
        <v>4</v>
      </c>
      <c r="R380" s="13" t="n">
        <v>3</v>
      </c>
      <c r="S380" s="13" t="n">
        <v>0.02</v>
      </c>
      <c r="T380" s="9" t="s">
        <v>4615</v>
      </c>
      <c r="U380" s="9"/>
      <c r="V380" s="9" t="s">
        <v>4680</v>
      </c>
      <c r="W380" s="9"/>
      <c r="X380" s="11"/>
      <c r="Y380" s="9"/>
    </row>
    <row r="381" customFormat="false" ht="15" hidden="false" customHeight="false" outlineLevel="0" collapsed="false">
      <c r="A381" s="9" t="s">
        <v>2345</v>
      </c>
      <c r="B381" s="9" t="s">
        <v>2336</v>
      </c>
      <c r="C381" s="11" t="s">
        <v>2339</v>
      </c>
      <c r="D381" s="12" t="s">
        <v>2342</v>
      </c>
      <c r="E381" s="9" t="s">
        <v>2366</v>
      </c>
      <c r="F381" s="9" t="s">
        <v>2363</v>
      </c>
      <c r="G381" s="11" t="s">
        <v>2364</v>
      </c>
      <c r="H381" s="12" t="s">
        <v>2365</v>
      </c>
      <c r="I381" s="9"/>
      <c r="J381" s="11"/>
      <c r="K381" s="9"/>
      <c r="L381" s="9" t="s">
        <v>68</v>
      </c>
      <c r="M381" s="9" t="s">
        <v>2338</v>
      </c>
      <c r="N381" s="11" t="s">
        <v>2341</v>
      </c>
      <c r="O381" s="12" t="s">
        <v>2344</v>
      </c>
      <c r="P381" s="13" t="n">
        <v>10</v>
      </c>
      <c r="Q381" s="13" t="n">
        <v>8</v>
      </c>
      <c r="R381" s="13" t="n">
        <v>6</v>
      </c>
      <c r="S381" s="13" t="n">
        <v>0.1</v>
      </c>
      <c r="T381" s="9" t="s">
        <v>4615</v>
      </c>
      <c r="U381" s="9"/>
      <c r="V381" s="9" t="s">
        <v>4572</v>
      </c>
      <c r="W381" s="9"/>
      <c r="X381" s="11"/>
      <c r="Y381" s="9"/>
    </row>
    <row r="382" customFormat="false" ht="15" hidden="false" customHeight="false" outlineLevel="0" collapsed="false">
      <c r="A382" s="9" t="s">
        <v>2345</v>
      </c>
      <c r="B382" s="9" t="s">
        <v>2336</v>
      </c>
      <c r="C382" s="11" t="s">
        <v>2339</v>
      </c>
      <c r="D382" s="12" t="s">
        <v>2342</v>
      </c>
      <c r="E382" s="9" t="s">
        <v>2371</v>
      </c>
      <c r="F382" s="9" t="s">
        <v>2368</v>
      </c>
      <c r="G382" s="11" t="s">
        <v>2369</v>
      </c>
      <c r="H382" s="12" t="s">
        <v>2370</v>
      </c>
      <c r="I382" s="9"/>
      <c r="J382" s="11"/>
      <c r="K382" s="9"/>
      <c r="L382" s="9" t="s">
        <v>68</v>
      </c>
      <c r="M382" s="9" t="s">
        <v>2338</v>
      </c>
      <c r="N382" s="11" t="s">
        <v>2341</v>
      </c>
      <c r="O382" s="12" t="s">
        <v>2344</v>
      </c>
      <c r="P382" s="13" t="n">
        <v>10</v>
      </c>
      <c r="Q382" s="13" t="n">
        <v>8</v>
      </c>
      <c r="R382" s="13" t="n">
        <v>6</v>
      </c>
      <c r="S382" s="13" t="n">
        <v>0.1</v>
      </c>
      <c r="T382" s="9" t="s">
        <v>4615</v>
      </c>
      <c r="U382" s="9"/>
      <c r="V382" s="9" t="s">
        <v>4572</v>
      </c>
      <c r="W382" s="9"/>
      <c r="X382" s="11"/>
      <c r="Y382" s="9"/>
    </row>
    <row r="383" customFormat="false" ht="15" hidden="false" customHeight="false" outlineLevel="0" collapsed="false">
      <c r="A383" s="9" t="s">
        <v>2345</v>
      </c>
      <c r="B383" s="9" t="s">
        <v>2336</v>
      </c>
      <c r="C383" s="11" t="s">
        <v>2339</v>
      </c>
      <c r="D383" s="12" t="s">
        <v>2342</v>
      </c>
      <c r="E383" s="9" t="s">
        <v>2378</v>
      </c>
      <c r="F383" s="9" t="s">
        <v>2373</v>
      </c>
      <c r="G383" s="11" t="s">
        <v>2374</v>
      </c>
      <c r="H383" s="12" t="s">
        <v>2376</v>
      </c>
      <c r="I383" s="9"/>
      <c r="J383" s="11"/>
      <c r="K383" s="9"/>
      <c r="L383" s="9" t="s">
        <v>68</v>
      </c>
      <c r="M383" s="9" t="s">
        <v>2336</v>
      </c>
      <c r="N383" s="11" t="s">
        <v>2375</v>
      </c>
      <c r="O383" s="12" t="s">
        <v>2377</v>
      </c>
      <c r="P383" s="13" t="n">
        <v>50</v>
      </c>
      <c r="Q383" s="13" t="n">
        <v>40</v>
      </c>
      <c r="R383" s="13" t="n">
        <v>10</v>
      </c>
      <c r="S383" s="13" t="n">
        <v>3.5</v>
      </c>
      <c r="T383" s="9" t="s">
        <v>4563</v>
      </c>
      <c r="U383" s="9"/>
      <c r="V383" s="9" t="s">
        <v>4565</v>
      </c>
      <c r="W383" s="9"/>
      <c r="X383" s="11"/>
      <c r="Y383" s="9"/>
    </row>
    <row r="384" customFormat="false" ht="15" hidden="false" customHeight="false" outlineLevel="0" collapsed="false">
      <c r="A384" s="9" t="s">
        <v>2345</v>
      </c>
      <c r="B384" s="9" t="s">
        <v>2336</v>
      </c>
      <c r="C384" s="11" t="s">
        <v>2339</v>
      </c>
      <c r="D384" s="12" t="s">
        <v>2342</v>
      </c>
      <c r="E384" s="9" t="s">
        <v>2383</v>
      </c>
      <c r="F384" s="9" t="s">
        <v>2380</v>
      </c>
      <c r="G384" s="11" t="s">
        <v>2381</v>
      </c>
      <c r="H384" s="12" t="s">
        <v>2382</v>
      </c>
      <c r="I384" s="9"/>
      <c r="J384" s="11"/>
      <c r="K384" s="9"/>
      <c r="L384" s="9" t="s">
        <v>68</v>
      </c>
      <c r="M384" s="9" t="s">
        <v>2336</v>
      </c>
      <c r="N384" s="11" t="s">
        <v>2375</v>
      </c>
      <c r="O384" s="12" t="s">
        <v>2377</v>
      </c>
      <c r="P384" s="13" t="n">
        <v>80</v>
      </c>
      <c r="Q384" s="13" t="n">
        <v>40</v>
      </c>
      <c r="R384" s="13" t="n">
        <v>15</v>
      </c>
      <c r="S384" s="13" t="n">
        <v>5</v>
      </c>
      <c r="T384" s="9" t="s">
        <v>4615</v>
      </c>
      <c r="U384" s="9"/>
      <c r="V384" s="9" t="s">
        <v>4565</v>
      </c>
      <c r="W384" s="9"/>
      <c r="X384" s="11"/>
      <c r="Y384" s="9"/>
    </row>
    <row r="385" customFormat="false" ht="15" hidden="false" customHeight="false" outlineLevel="0" collapsed="false">
      <c r="A385" s="9" t="s">
        <v>2345</v>
      </c>
      <c r="B385" s="9" t="s">
        <v>2336</v>
      </c>
      <c r="C385" s="11" t="s">
        <v>2339</v>
      </c>
      <c r="D385" s="12" t="s">
        <v>2342</v>
      </c>
      <c r="E385" s="9" t="s">
        <v>2388</v>
      </c>
      <c r="F385" s="9" t="s">
        <v>2385</v>
      </c>
      <c r="G385" s="11" t="s">
        <v>2386</v>
      </c>
      <c r="H385" s="12" t="s">
        <v>2387</v>
      </c>
      <c r="I385" s="9"/>
      <c r="J385" s="11"/>
      <c r="K385" s="9"/>
      <c r="L385" s="9" t="s">
        <v>4730</v>
      </c>
      <c r="M385" s="9" t="s">
        <v>2336</v>
      </c>
      <c r="N385" s="11" t="s">
        <v>2375</v>
      </c>
      <c r="O385" s="12" t="s">
        <v>2377</v>
      </c>
      <c r="P385" s="13" t="n">
        <v>30</v>
      </c>
      <c r="Q385" s="13" t="n">
        <v>20</v>
      </c>
      <c r="R385" s="13" t="n">
        <v>15</v>
      </c>
      <c r="S385" s="13" t="n">
        <v>1.8</v>
      </c>
      <c r="T385" s="9" t="s">
        <v>4615</v>
      </c>
      <c r="U385" s="9"/>
      <c r="V385" s="9" t="s">
        <v>4581</v>
      </c>
      <c r="W385" s="9"/>
      <c r="X385" s="11"/>
      <c r="Y385" s="9"/>
    </row>
    <row r="386" customFormat="false" ht="15" hidden="false" customHeight="false" outlineLevel="0" collapsed="false">
      <c r="A386" s="9" t="s">
        <v>2345</v>
      </c>
      <c r="B386" s="9" t="s">
        <v>2336</v>
      </c>
      <c r="C386" s="11" t="s">
        <v>2339</v>
      </c>
      <c r="D386" s="12" t="s">
        <v>2342</v>
      </c>
      <c r="E386" s="9" t="s">
        <v>2396</v>
      </c>
      <c r="F386" s="9" t="s">
        <v>2393</v>
      </c>
      <c r="G386" s="11" t="s">
        <v>2394</v>
      </c>
      <c r="H386" s="12" t="s">
        <v>2395</v>
      </c>
      <c r="I386" s="9"/>
      <c r="J386" s="11"/>
      <c r="K386" s="9"/>
      <c r="L386" s="9" t="s">
        <v>68</v>
      </c>
      <c r="M386" s="9" t="s">
        <v>2336</v>
      </c>
      <c r="N386" s="11" t="s">
        <v>2375</v>
      </c>
      <c r="O386" s="12" t="s">
        <v>2377</v>
      </c>
      <c r="P386" s="13" t="n">
        <v>80</v>
      </c>
      <c r="Q386" s="13" t="n">
        <v>40</v>
      </c>
      <c r="R386" s="13" t="n">
        <v>15</v>
      </c>
      <c r="S386" s="13" t="n">
        <v>6</v>
      </c>
      <c r="T386" s="9" t="s">
        <v>4615</v>
      </c>
      <c r="U386" s="9"/>
      <c r="V386" s="9" t="s">
        <v>4565</v>
      </c>
      <c r="W386" s="9"/>
      <c r="X386" s="11"/>
      <c r="Y386" s="9"/>
    </row>
    <row r="387" customFormat="false" ht="15" hidden="false" customHeight="false" outlineLevel="0" collapsed="false">
      <c r="A387" s="9" t="s">
        <v>2345</v>
      </c>
      <c r="B387" s="9" t="s">
        <v>2336</v>
      </c>
      <c r="C387" s="11" t="s">
        <v>2339</v>
      </c>
      <c r="D387" s="12" t="s">
        <v>2342</v>
      </c>
      <c r="E387" s="9" t="s">
        <v>2401</v>
      </c>
      <c r="F387" s="9" t="s">
        <v>2398</v>
      </c>
      <c r="G387" s="11" t="s">
        <v>2399</v>
      </c>
      <c r="H387" s="12" t="s">
        <v>2400</v>
      </c>
      <c r="I387" s="9"/>
      <c r="J387" s="11"/>
      <c r="K387" s="9"/>
      <c r="L387" s="9" t="s">
        <v>68</v>
      </c>
      <c r="M387" s="9" t="s">
        <v>2336</v>
      </c>
      <c r="N387" s="11" t="s">
        <v>2375</v>
      </c>
      <c r="O387" s="12" t="s">
        <v>2377</v>
      </c>
      <c r="P387" s="13" t="n">
        <v>15</v>
      </c>
      <c r="Q387" s="13" t="n">
        <v>10</v>
      </c>
      <c r="R387" s="13" t="n">
        <v>8</v>
      </c>
      <c r="S387" s="13" t="n">
        <v>0.3</v>
      </c>
      <c r="T387" s="9" t="s">
        <v>4615</v>
      </c>
      <c r="U387" s="9"/>
      <c r="V387" s="9" t="s">
        <v>4571</v>
      </c>
      <c r="W387" s="9"/>
      <c r="X387" s="11"/>
      <c r="Y387" s="9"/>
    </row>
    <row r="388" customFormat="false" ht="15" hidden="false" customHeight="false" outlineLevel="0" collapsed="false">
      <c r="A388" s="9" t="s">
        <v>2412</v>
      </c>
      <c r="B388" s="9" t="s">
        <v>2403</v>
      </c>
      <c r="C388" s="11" t="s">
        <v>2406</v>
      </c>
      <c r="D388" s="12" t="s">
        <v>2409</v>
      </c>
      <c r="E388" s="9" t="s">
        <v>2413</v>
      </c>
      <c r="F388" s="9" t="s">
        <v>2404</v>
      </c>
      <c r="G388" s="11" t="s">
        <v>2407</v>
      </c>
      <c r="H388" s="12" t="s">
        <v>2410</v>
      </c>
      <c r="I388" s="9"/>
      <c r="J388" s="11"/>
      <c r="K388" s="9"/>
      <c r="L388" s="9" t="s">
        <v>4730</v>
      </c>
      <c r="M388" s="9" t="s">
        <v>2405</v>
      </c>
      <c r="N388" s="11" t="s">
        <v>2408</v>
      </c>
      <c r="O388" s="12" t="s">
        <v>2411</v>
      </c>
      <c r="P388" s="13" t="n">
        <v>10</v>
      </c>
      <c r="Q388" s="13" t="n">
        <v>8</v>
      </c>
      <c r="R388" s="13" t="n">
        <v>6</v>
      </c>
      <c r="S388" s="13" t="n">
        <v>0.1</v>
      </c>
      <c r="T388" s="9" t="s">
        <v>4615</v>
      </c>
      <c r="U388" s="9"/>
      <c r="V388" s="9" t="s">
        <v>4572</v>
      </c>
      <c r="W388" s="9"/>
      <c r="X388" s="11"/>
      <c r="Y388" s="9"/>
    </row>
    <row r="389" customFormat="false" ht="15" hidden="false" customHeight="false" outlineLevel="0" collapsed="false">
      <c r="A389" s="9" t="s">
        <v>2412</v>
      </c>
      <c r="B389" s="9" t="s">
        <v>2403</v>
      </c>
      <c r="C389" s="11" t="s">
        <v>2406</v>
      </c>
      <c r="D389" s="12" t="s">
        <v>2409</v>
      </c>
      <c r="E389" s="9" t="s">
        <v>2421</v>
      </c>
      <c r="F389" s="9" t="s">
        <v>2418</v>
      </c>
      <c r="G389" s="11" t="s">
        <v>2419</v>
      </c>
      <c r="H389" s="12" t="s">
        <v>2420</v>
      </c>
      <c r="I389" s="9"/>
      <c r="J389" s="11"/>
      <c r="K389" s="9"/>
      <c r="L389" s="9" t="s">
        <v>68</v>
      </c>
      <c r="M389" s="9" t="s">
        <v>2405</v>
      </c>
      <c r="N389" s="11" t="s">
        <v>2408</v>
      </c>
      <c r="O389" s="12" t="s">
        <v>2411</v>
      </c>
      <c r="P389" s="13" t="n">
        <v>10</v>
      </c>
      <c r="Q389" s="13" t="n">
        <v>8</v>
      </c>
      <c r="R389" s="13" t="n">
        <v>6</v>
      </c>
      <c r="S389" s="13" t="n">
        <v>0.1</v>
      </c>
      <c r="T389" s="9" t="s">
        <v>4615</v>
      </c>
      <c r="U389" s="9"/>
      <c r="V389" s="9" t="s">
        <v>4572</v>
      </c>
      <c r="W389" s="9"/>
      <c r="X389" s="11"/>
      <c r="Y389" s="9"/>
    </row>
    <row r="390" customFormat="false" ht="15" hidden="false" customHeight="false" outlineLevel="0" collapsed="false">
      <c r="A390" s="9" t="s">
        <v>2412</v>
      </c>
      <c r="B390" s="9" t="s">
        <v>2403</v>
      </c>
      <c r="C390" s="11" t="s">
        <v>2406</v>
      </c>
      <c r="D390" s="12" t="s">
        <v>2409</v>
      </c>
      <c r="E390" s="9" t="s">
        <v>2426</v>
      </c>
      <c r="F390" s="9" t="s">
        <v>2423</v>
      </c>
      <c r="G390" s="11" t="s">
        <v>2424</v>
      </c>
      <c r="H390" s="9" t="s">
        <v>2425</v>
      </c>
      <c r="I390" s="9"/>
      <c r="J390" s="11"/>
      <c r="K390" s="9"/>
      <c r="L390" s="9" t="s">
        <v>68</v>
      </c>
      <c r="M390" s="9" t="s">
        <v>1162</v>
      </c>
      <c r="N390" s="11" t="s">
        <v>1164</v>
      </c>
      <c r="O390" s="12" t="s">
        <v>1166</v>
      </c>
      <c r="P390" s="13" t="n">
        <v>10</v>
      </c>
      <c r="Q390" s="13" t="n">
        <v>8</v>
      </c>
      <c r="R390" s="13" t="n">
        <v>6</v>
      </c>
      <c r="S390" s="13" t="n">
        <v>0.1</v>
      </c>
      <c r="T390" s="9" t="s">
        <v>4615</v>
      </c>
      <c r="U390" s="9"/>
      <c r="V390" s="9" t="s">
        <v>4572</v>
      </c>
      <c r="W390" s="9" t="s">
        <v>4820</v>
      </c>
      <c r="X390" s="11" t="s">
        <v>4796</v>
      </c>
      <c r="Y390" s="9"/>
    </row>
    <row r="391" customFormat="false" ht="15" hidden="false" customHeight="false" outlineLevel="0" collapsed="false">
      <c r="A391" s="9" t="s">
        <v>2412</v>
      </c>
      <c r="B391" s="9" t="s">
        <v>2403</v>
      </c>
      <c r="C391" s="11" t="s">
        <v>2406</v>
      </c>
      <c r="D391" s="12" t="s">
        <v>2409</v>
      </c>
      <c r="E391" s="9" t="s">
        <v>2431</v>
      </c>
      <c r="F391" s="9" t="s">
        <v>2428</v>
      </c>
      <c r="G391" s="11" t="s">
        <v>2429</v>
      </c>
      <c r="H391" s="9" t="s">
        <v>2430</v>
      </c>
      <c r="I391" s="9"/>
      <c r="J391" s="11"/>
      <c r="K391" s="9"/>
      <c r="L391" s="9" t="s">
        <v>68</v>
      </c>
      <c r="M391" s="9" t="s">
        <v>1162</v>
      </c>
      <c r="N391" s="11" t="s">
        <v>1164</v>
      </c>
      <c r="O391" s="12" t="s">
        <v>1166</v>
      </c>
      <c r="P391" s="13" t="n">
        <v>10</v>
      </c>
      <c r="Q391" s="13" t="n">
        <v>8</v>
      </c>
      <c r="R391" s="13" t="n">
        <v>6</v>
      </c>
      <c r="S391" s="13" t="n">
        <v>0.1</v>
      </c>
      <c r="T391" s="9" t="s">
        <v>4615</v>
      </c>
      <c r="U391" s="9"/>
      <c r="V391" s="9" t="s">
        <v>4572</v>
      </c>
      <c r="W391" s="9"/>
      <c r="X391" s="11"/>
      <c r="Y391" s="9"/>
    </row>
    <row r="392" customFormat="false" ht="15" hidden="false" customHeight="false" outlineLevel="0" collapsed="false">
      <c r="A392" s="9" t="s">
        <v>2412</v>
      </c>
      <c r="B392" s="9" t="s">
        <v>2403</v>
      </c>
      <c r="C392" s="11" t="s">
        <v>2406</v>
      </c>
      <c r="D392" s="12" t="s">
        <v>2409</v>
      </c>
      <c r="E392" s="9" t="s">
        <v>2436</v>
      </c>
      <c r="F392" s="9" t="s">
        <v>2433</v>
      </c>
      <c r="G392" s="11" t="s">
        <v>2434</v>
      </c>
      <c r="H392" s="12" t="s">
        <v>2435</v>
      </c>
      <c r="I392" s="9"/>
      <c r="J392" s="11"/>
      <c r="K392" s="9"/>
      <c r="L392" s="9" t="s">
        <v>68</v>
      </c>
      <c r="M392" s="9" t="s">
        <v>1863</v>
      </c>
      <c r="N392" s="11" t="s">
        <v>1864</v>
      </c>
      <c r="O392" s="12" t="s">
        <v>1865</v>
      </c>
      <c r="P392" s="13" t="n">
        <v>15</v>
      </c>
      <c r="Q392" s="13" t="n">
        <v>10</v>
      </c>
      <c r="R392" s="13" t="n">
        <v>8</v>
      </c>
      <c r="S392" s="13" t="n">
        <v>0.3</v>
      </c>
      <c r="T392" s="9" t="s">
        <v>4615</v>
      </c>
      <c r="U392" s="9"/>
      <c r="V392" s="9" t="s">
        <v>4571</v>
      </c>
      <c r="W392" s="9" t="s">
        <v>4821</v>
      </c>
      <c r="X392" s="11" t="s">
        <v>4822</v>
      </c>
      <c r="Y392" s="9"/>
    </row>
    <row r="393" customFormat="false" ht="15" hidden="false" customHeight="false" outlineLevel="0" collapsed="false">
      <c r="A393" s="9" t="s">
        <v>2412</v>
      </c>
      <c r="B393" s="9" t="s">
        <v>2403</v>
      </c>
      <c r="C393" s="11" t="s">
        <v>2406</v>
      </c>
      <c r="D393" s="12" t="s">
        <v>2409</v>
      </c>
      <c r="E393" s="9" t="s">
        <v>2444</v>
      </c>
      <c r="F393" s="9" t="s">
        <v>2438</v>
      </c>
      <c r="G393" s="11" t="s">
        <v>2440</v>
      </c>
      <c r="H393" s="12" t="s">
        <v>2442</v>
      </c>
      <c r="I393" s="9"/>
      <c r="J393" s="11"/>
      <c r="K393" s="9"/>
      <c r="L393" s="9" t="s">
        <v>68</v>
      </c>
      <c r="M393" s="9" t="s">
        <v>2439</v>
      </c>
      <c r="N393" s="11" t="s">
        <v>2441</v>
      </c>
      <c r="O393" s="12" t="s">
        <v>2443</v>
      </c>
      <c r="P393" s="13" t="n">
        <v>15</v>
      </c>
      <c r="Q393" s="13" t="n">
        <v>10</v>
      </c>
      <c r="R393" s="13" t="n">
        <v>8</v>
      </c>
      <c r="S393" s="13" t="n">
        <v>0.3</v>
      </c>
      <c r="T393" s="9" t="s">
        <v>4615</v>
      </c>
      <c r="U393" s="9"/>
      <c r="V393" s="9" t="s">
        <v>4571</v>
      </c>
      <c r="W393" s="9"/>
      <c r="X393" s="11"/>
      <c r="Y393" s="9"/>
    </row>
    <row r="394" customFormat="false" ht="15" hidden="false" customHeight="false" outlineLevel="0" collapsed="false">
      <c r="A394" s="9" t="s">
        <v>2412</v>
      </c>
      <c r="B394" s="9" t="s">
        <v>2403</v>
      </c>
      <c r="C394" s="11" t="s">
        <v>2406</v>
      </c>
      <c r="D394" s="12" t="s">
        <v>2409</v>
      </c>
      <c r="E394" s="9" t="s">
        <v>2449</v>
      </c>
      <c r="F394" s="9" t="s">
        <v>2446</v>
      </c>
      <c r="G394" s="11" t="s">
        <v>2447</v>
      </c>
      <c r="H394" s="12" t="s">
        <v>2448</v>
      </c>
      <c r="I394" s="9"/>
      <c r="J394" s="11"/>
      <c r="K394" s="9"/>
      <c r="L394" s="9" t="s">
        <v>68</v>
      </c>
      <c r="M394" s="9" t="s">
        <v>2439</v>
      </c>
      <c r="N394" s="11" t="s">
        <v>2441</v>
      </c>
      <c r="O394" s="12" t="s">
        <v>2443</v>
      </c>
      <c r="P394" s="13" t="n">
        <v>10</v>
      </c>
      <c r="Q394" s="13" t="n">
        <v>8</v>
      </c>
      <c r="R394" s="13" t="n">
        <v>6</v>
      </c>
      <c r="S394" s="13" t="n">
        <v>0.1</v>
      </c>
      <c r="T394" s="9" t="s">
        <v>4615</v>
      </c>
      <c r="U394" s="9"/>
      <c r="V394" s="9" t="s">
        <v>4572</v>
      </c>
      <c r="W394" s="9"/>
      <c r="X394" s="11"/>
      <c r="Y394" s="9"/>
    </row>
    <row r="395" customFormat="false" ht="15" hidden="false" customHeight="false" outlineLevel="0" collapsed="false">
      <c r="A395" s="9" t="s">
        <v>2457</v>
      </c>
      <c r="B395" s="9" t="s">
        <v>2451</v>
      </c>
      <c r="C395" s="11" t="s">
        <v>2453</v>
      </c>
      <c r="D395" s="12" t="s">
        <v>2455</v>
      </c>
      <c r="E395" s="9" t="s">
        <v>2458</v>
      </c>
      <c r="F395" s="9" t="s">
        <v>2452</v>
      </c>
      <c r="G395" s="11" t="s">
        <v>2454</v>
      </c>
      <c r="H395" s="12" t="s">
        <v>2456</v>
      </c>
      <c r="I395" s="9"/>
      <c r="J395" s="11"/>
      <c r="K395" s="9"/>
      <c r="L395" s="9" t="s">
        <v>68</v>
      </c>
      <c r="M395" s="9" t="s">
        <v>651</v>
      </c>
      <c r="N395" s="11" t="s">
        <v>653</v>
      </c>
      <c r="O395" s="12" t="s">
        <v>655</v>
      </c>
      <c r="P395" s="13" t="n">
        <v>10</v>
      </c>
      <c r="Q395" s="13" t="n">
        <v>8</v>
      </c>
      <c r="R395" s="13" t="n">
        <v>6</v>
      </c>
      <c r="S395" s="13" t="n">
        <v>0.1</v>
      </c>
      <c r="T395" s="9" t="s">
        <v>4563</v>
      </c>
      <c r="U395" s="9"/>
      <c r="V395" s="9" t="s">
        <v>4572</v>
      </c>
      <c r="W395" s="9" t="s">
        <v>4823</v>
      </c>
      <c r="X395" s="11"/>
      <c r="Y395" s="9"/>
    </row>
    <row r="396" customFormat="false" ht="15" hidden="false" customHeight="false" outlineLevel="0" collapsed="false">
      <c r="A396" s="9" t="s">
        <v>2457</v>
      </c>
      <c r="B396" s="9" t="s">
        <v>2451</v>
      </c>
      <c r="C396" s="11" t="s">
        <v>2453</v>
      </c>
      <c r="D396" s="12" t="s">
        <v>2455</v>
      </c>
      <c r="E396" s="9" t="s">
        <v>2463</v>
      </c>
      <c r="F396" s="9" t="s">
        <v>2460</v>
      </c>
      <c r="G396" s="11" t="s">
        <v>2461</v>
      </c>
      <c r="H396" s="12" t="s">
        <v>2462</v>
      </c>
      <c r="I396" s="9"/>
      <c r="J396" s="11"/>
      <c r="K396" s="9"/>
      <c r="L396" s="9" t="s">
        <v>68</v>
      </c>
      <c r="M396" s="9" t="s">
        <v>651</v>
      </c>
      <c r="N396" s="11" t="s">
        <v>653</v>
      </c>
      <c r="O396" s="12" t="s">
        <v>655</v>
      </c>
      <c r="P396" s="13" t="n">
        <v>10</v>
      </c>
      <c r="Q396" s="13" t="n">
        <v>8</v>
      </c>
      <c r="R396" s="13" t="n">
        <v>6</v>
      </c>
      <c r="S396" s="13" t="n">
        <v>0.1</v>
      </c>
      <c r="T396" s="9" t="s">
        <v>4563</v>
      </c>
      <c r="U396" s="9"/>
      <c r="V396" s="9" t="s">
        <v>4572</v>
      </c>
      <c r="W396" s="9" t="s">
        <v>4823</v>
      </c>
      <c r="X396" s="11"/>
      <c r="Y396" s="9"/>
    </row>
    <row r="397" customFormat="false" ht="15" hidden="false" customHeight="false" outlineLevel="0" collapsed="false">
      <c r="A397" s="9" t="s">
        <v>2457</v>
      </c>
      <c r="B397" s="9" t="s">
        <v>2451</v>
      </c>
      <c r="C397" s="11" t="s">
        <v>2453</v>
      </c>
      <c r="D397" s="12" t="s">
        <v>2455</v>
      </c>
      <c r="E397" s="9" t="s">
        <v>2468</v>
      </c>
      <c r="F397" s="9" t="s">
        <v>2465</v>
      </c>
      <c r="G397" s="11" t="s">
        <v>2466</v>
      </c>
      <c r="H397" s="12" t="s">
        <v>2467</v>
      </c>
      <c r="I397" s="9"/>
      <c r="J397" s="11"/>
      <c r="K397" s="9"/>
      <c r="L397" s="9" t="s">
        <v>68</v>
      </c>
      <c r="M397" s="9" t="s">
        <v>651</v>
      </c>
      <c r="N397" s="11" t="s">
        <v>653</v>
      </c>
      <c r="O397" s="12" t="s">
        <v>655</v>
      </c>
      <c r="P397" s="13" t="n">
        <v>10</v>
      </c>
      <c r="Q397" s="13" t="n">
        <v>8</v>
      </c>
      <c r="R397" s="13" t="n">
        <v>6</v>
      </c>
      <c r="S397" s="13" t="n">
        <v>0.1</v>
      </c>
      <c r="T397" s="9" t="s">
        <v>4563</v>
      </c>
      <c r="U397" s="9"/>
      <c r="V397" s="9" t="s">
        <v>4572</v>
      </c>
      <c r="W397" s="9"/>
      <c r="X397" s="11"/>
      <c r="Y397" s="9"/>
    </row>
    <row r="398" customFormat="false" ht="15" hidden="false" customHeight="false" outlineLevel="0" collapsed="false">
      <c r="A398" s="9" t="s">
        <v>2457</v>
      </c>
      <c r="B398" s="9" t="s">
        <v>2451</v>
      </c>
      <c r="C398" s="11" t="s">
        <v>2453</v>
      </c>
      <c r="D398" s="12" t="s">
        <v>2455</v>
      </c>
      <c r="E398" s="9" t="s">
        <v>2473</v>
      </c>
      <c r="F398" s="9" t="s">
        <v>2470</v>
      </c>
      <c r="G398" s="11" t="s">
        <v>2471</v>
      </c>
      <c r="H398" s="12" t="s">
        <v>2472</v>
      </c>
      <c r="I398" s="9"/>
      <c r="J398" s="11"/>
      <c r="K398" s="9"/>
      <c r="L398" s="9" t="s">
        <v>68</v>
      </c>
      <c r="M398" s="9" t="s">
        <v>651</v>
      </c>
      <c r="N398" s="11" t="s">
        <v>653</v>
      </c>
      <c r="O398" s="12" t="s">
        <v>655</v>
      </c>
      <c r="P398" s="13" t="n">
        <v>15</v>
      </c>
      <c r="Q398" s="13" t="n">
        <v>10</v>
      </c>
      <c r="R398" s="13" t="n">
        <v>8</v>
      </c>
      <c r="S398" s="13" t="n">
        <v>0.3</v>
      </c>
      <c r="T398" s="9" t="s">
        <v>4563</v>
      </c>
      <c r="U398" s="9"/>
      <c r="V398" s="9" t="s">
        <v>4571</v>
      </c>
      <c r="W398" s="9"/>
      <c r="X398" s="11" t="s">
        <v>4824</v>
      </c>
      <c r="Y398" s="9"/>
    </row>
    <row r="399" customFormat="false" ht="15" hidden="false" customHeight="false" outlineLevel="0" collapsed="false">
      <c r="A399" s="9" t="s">
        <v>2457</v>
      </c>
      <c r="B399" s="9" t="s">
        <v>2451</v>
      </c>
      <c r="C399" s="11" t="s">
        <v>2453</v>
      </c>
      <c r="D399" s="12" t="s">
        <v>2455</v>
      </c>
      <c r="E399" s="9" t="s">
        <v>2478</v>
      </c>
      <c r="F399" s="9" t="s">
        <v>2475</v>
      </c>
      <c r="G399" s="11" t="s">
        <v>2476</v>
      </c>
      <c r="H399" s="12" t="s">
        <v>2477</v>
      </c>
      <c r="I399" s="9"/>
      <c r="J399" s="11"/>
      <c r="K399" s="9"/>
      <c r="L399" s="9" t="s">
        <v>68</v>
      </c>
      <c r="M399" s="9" t="s">
        <v>403</v>
      </c>
      <c r="N399" s="11" t="s">
        <v>406</v>
      </c>
      <c r="O399" s="12" t="s">
        <v>409</v>
      </c>
      <c r="P399" s="13" t="n">
        <v>15</v>
      </c>
      <c r="Q399" s="13" t="n">
        <v>10</v>
      </c>
      <c r="R399" s="13" t="n">
        <v>8</v>
      </c>
      <c r="S399" s="13" t="n">
        <v>0.3</v>
      </c>
      <c r="T399" s="9" t="s">
        <v>4563</v>
      </c>
      <c r="U399" s="9"/>
      <c r="V399" s="9" t="s">
        <v>4571</v>
      </c>
      <c r="W399" s="9" t="s">
        <v>4825</v>
      </c>
      <c r="X399" s="11" t="s">
        <v>4826</v>
      </c>
      <c r="Y399" s="9" t="s">
        <v>4826</v>
      </c>
    </row>
    <row r="400" customFormat="false" ht="15" hidden="false" customHeight="false" outlineLevel="0" collapsed="false">
      <c r="A400" s="9" t="s">
        <v>2457</v>
      </c>
      <c r="B400" s="9" t="s">
        <v>2451</v>
      </c>
      <c r="C400" s="11" t="s">
        <v>2453</v>
      </c>
      <c r="D400" s="12" t="s">
        <v>2455</v>
      </c>
      <c r="E400" s="9" t="s">
        <v>2483</v>
      </c>
      <c r="F400" s="9" t="s">
        <v>2480</v>
      </c>
      <c r="G400" s="11" t="s">
        <v>2481</v>
      </c>
      <c r="H400" s="12" t="s">
        <v>2482</v>
      </c>
      <c r="I400" s="9"/>
      <c r="J400" s="11"/>
      <c r="K400" s="9"/>
      <c r="L400" s="9" t="s">
        <v>68</v>
      </c>
      <c r="M400" s="9" t="s">
        <v>403</v>
      </c>
      <c r="N400" s="11" t="s">
        <v>406</v>
      </c>
      <c r="O400" s="12" t="s">
        <v>409</v>
      </c>
      <c r="P400" s="13" t="n">
        <v>10</v>
      </c>
      <c r="Q400" s="13" t="n">
        <v>8</v>
      </c>
      <c r="R400" s="13" t="n">
        <v>6</v>
      </c>
      <c r="S400" s="13" t="n">
        <v>0.1</v>
      </c>
      <c r="T400" s="9" t="s">
        <v>4563</v>
      </c>
      <c r="U400" s="9"/>
      <c r="V400" s="9" t="s">
        <v>4572</v>
      </c>
      <c r="W400" s="9" t="s">
        <v>4827</v>
      </c>
      <c r="X400" s="11" t="s">
        <v>4827</v>
      </c>
      <c r="Y400" s="9" t="s">
        <v>4827</v>
      </c>
    </row>
    <row r="401" customFormat="false" ht="15" hidden="false" customHeight="false" outlineLevel="0" collapsed="false">
      <c r="A401" s="9" t="s">
        <v>2457</v>
      </c>
      <c r="B401" s="9" t="s">
        <v>2451</v>
      </c>
      <c r="C401" s="11" t="s">
        <v>2453</v>
      </c>
      <c r="D401" s="12" t="s">
        <v>2455</v>
      </c>
      <c r="E401" s="9" t="s">
        <v>2488</v>
      </c>
      <c r="F401" s="9" t="s">
        <v>2485</v>
      </c>
      <c r="G401" s="11" t="s">
        <v>2486</v>
      </c>
      <c r="H401" s="12" t="s">
        <v>2487</v>
      </c>
      <c r="I401" s="9"/>
      <c r="J401" s="11"/>
      <c r="K401" s="9"/>
      <c r="L401" s="9" t="s">
        <v>68</v>
      </c>
      <c r="M401" s="9" t="s">
        <v>403</v>
      </c>
      <c r="N401" s="11" t="s">
        <v>406</v>
      </c>
      <c r="O401" s="12" t="s">
        <v>409</v>
      </c>
      <c r="P401" s="13" t="n">
        <v>10</v>
      </c>
      <c r="Q401" s="13" t="n">
        <v>8</v>
      </c>
      <c r="R401" s="13" t="n">
        <v>6</v>
      </c>
      <c r="S401" s="13" t="n">
        <v>0.1</v>
      </c>
      <c r="T401" s="9" t="s">
        <v>4563</v>
      </c>
      <c r="U401" s="9"/>
      <c r="V401" s="9" t="s">
        <v>4572</v>
      </c>
      <c r="W401" s="9" t="s">
        <v>4828</v>
      </c>
      <c r="X401" s="11"/>
      <c r="Y401" s="9"/>
    </row>
    <row r="402" customFormat="false" ht="15" hidden="false" customHeight="false" outlineLevel="0" collapsed="false">
      <c r="A402" s="9" t="s">
        <v>2457</v>
      </c>
      <c r="B402" s="9" t="s">
        <v>2451</v>
      </c>
      <c r="C402" s="11" t="s">
        <v>2453</v>
      </c>
      <c r="D402" s="12" t="s">
        <v>2455</v>
      </c>
      <c r="E402" s="9" t="s">
        <v>2493</v>
      </c>
      <c r="F402" s="9" t="s">
        <v>2490</v>
      </c>
      <c r="G402" s="11" t="s">
        <v>2491</v>
      </c>
      <c r="H402" s="12" t="s">
        <v>2492</v>
      </c>
      <c r="I402" s="9"/>
      <c r="J402" s="11"/>
      <c r="K402" s="9"/>
      <c r="L402" s="9" t="s">
        <v>68</v>
      </c>
      <c r="M402" s="9" t="s">
        <v>403</v>
      </c>
      <c r="N402" s="11" t="s">
        <v>406</v>
      </c>
      <c r="O402" s="12" t="s">
        <v>409</v>
      </c>
      <c r="P402" s="13" t="n">
        <v>10</v>
      </c>
      <c r="Q402" s="13" t="n">
        <v>8</v>
      </c>
      <c r="R402" s="13" t="n">
        <v>6</v>
      </c>
      <c r="S402" s="13" t="n">
        <v>0.1</v>
      </c>
      <c r="T402" s="9" t="s">
        <v>4563</v>
      </c>
      <c r="U402" s="9"/>
      <c r="V402" s="9" t="s">
        <v>4572</v>
      </c>
      <c r="W402" s="9"/>
      <c r="X402" s="11" t="s">
        <v>4829</v>
      </c>
      <c r="Y402" s="9"/>
    </row>
    <row r="403" customFormat="false" ht="15" hidden="false" customHeight="false" outlineLevel="0" collapsed="false">
      <c r="A403" s="9" t="s">
        <v>2457</v>
      </c>
      <c r="B403" s="9" t="s">
        <v>2451</v>
      </c>
      <c r="C403" s="11" t="s">
        <v>2453</v>
      </c>
      <c r="D403" s="12" t="s">
        <v>2455</v>
      </c>
      <c r="E403" s="9" t="s">
        <v>2501</v>
      </c>
      <c r="F403" s="9" t="s">
        <v>2495</v>
      </c>
      <c r="G403" s="11" t="s">
        <v>2497</v>
      </c>
      <c r="H403" s="12" t="s">
        <v>2499</v>
      </c>
      <c r="I403" s="9"/>
      <c r="J403" s="11"/>
      <c r="K403" s="9"/>
      <c r="L403" s="9" t="s">
        <v>68</v>
      </c>
      <c r="M403" s="9" t="s">
        <v>2496</v>
      </c>
      <c r="N403" s="11" t="s">
        <v>2498</v>
      </c>
      <c r="O403" s="12" t="s">
        <v>2500</v>
      </c>
      <c r="P403" s="13" t="n">
        <v>15</v>
      </c>
      <c r="Q403" s="13" t="n">
        <v>10</v>
      </c>
      <c r="R403" s="13" t="n">
        <v>8</v>
      </c>
      <c r="S403" s="13" t="n">
        <v>0.3</v>
      </c>
      <c r="T403" s="9" t="s">
        <v>4615</v>
      </c>
      <c r="U403" s="9"/>
      <c r="V403" s="9" t="s">
        <v>4571</v>
      </c>
      <c r="W403" s="9" t="s">
        <v>4830</v>
      </c>
      <c r="X403" s="11"/>
      <c r="Y403" s="9"/>
    </row>
    <row r="404" customFormat="false" ht="15" hidden="false" customHeight="false" outlineLevel="0" collapsed="false">
      <c r="A404" s="9" t="s">
        <v>2457</v>
      </c>
      <c r="B404" s="9" t="s">
        <v>2451</v>
      </c>
      <c r="C404" s="11" t="s">
        <v>2453</v>
      </c>
      <c r="D404" s="12" t="s">
        <v>2455</v>
      </c>
      <c r="E404" s="9" t="s">
        <v>2506</v>
      </c>
      <c r="F404" s="9" t="s">
        <v>2503</v>
      </c>
      <c r="G404" s="11" t="s">
        <v>2504</v>
      </c>
      <c r="H404" s="12" t="s">
        <v>2505</v>
      </c>
      <c r="I404" s="9"/>
      <c r="J404" s="11"/>
      <c r="K404" s="9"/>
      <c r="L404" s="9" t="s">
        <v>68</v>
      </c>
      <c r="M404" s="9" t="s">
        <v>87</v>
      </c>
      <c r="N404" s="11" t="s">
        <v>89</v>
      </c>
      <c r="O404" s="12" t="s">
        <v>91</v>
      </c>
      <c r="P404" s="13" t="n">
        <v>10</v>
      </c>
      <c r="Q404" s="13" t="n">
        <v>8</v>
      </c>
      <c r="R404" s="13" t="n">
        <v>6</v>
      </c>
      <c r="S404" s="13" t="n">
        <v>0.1</v>
      </c>
      <c r="T404" s="9" t="s">
        <v>4563</v>
      </c>
      <c r="U404" s="9"/>
      <c r="V404" s="9" t="s">
        <v>4572</v>
      </c>
      <c r="W404" s="9"/>
      <c r="X404" s="11" t="s">
        <v>4831</v>
      </c>
      <c r="Y404" s="9"/>
    </row>
    <row r="405" customFormat="false" ht="15" hidden="false" customHeight="false" outlineLevel="0" collapsed="false">
      <c r="A405" s="9" t="s">
        <v>2457</v>
      </c>
      <c r="B405" s="9" t="s">
        <v>2451</v>
      </c>
      <c r="C405" s="11" t="s">
        <v>2453</v>
      </c>
      <c r="D405" s="12" t="s">
        <v>2455</v>
      </c>
      <c r="E405" s="9" t="s">
        <v>2511</v>
      </c>
      <c r="F405" s="9" t="s">
        <v>2508</v>
      </c>
      <c r="G405" s="11" t="s">
        <v>2509</v>
      </c>
      <c r="H405" s="12" t="s">
        <v>2510</v>
      </c>
      <c r="I405" s="9"/>
      <c r="J405" s="11"/>
      <c r="K405" s="9"/>
      <c r="L405" s="9" t="s">
        <v>68</v>
      </c>
      <c r="M405" s="9" t="s">
        <v>94</v>
      </c>
      <c r="N405" s="11" t="s">
        <v>95</v>
      </c>
      <c r="O405" s="12" t="s">
        <v>96</v>
      </c>
      <c r="P405" s="13" t="n">
        <v>10</v>
      </c>
      <c r="Q405" s="13" t="n">
        <v>8</v>
      </c>
      <c r="R405" s="13" t="n">
        <v>6</v>
      </c>
      <c r="S405" s="13" t="n">
        <v>0.1</v>
      </c>
      <c r="T405" s="9" t="s">
        <v>4563</v>
      </c>
      <c r="U405" s="9"/>
      <c r="V405" s="9" t="s">
        <v>4572</v>
      </c>
      <c r="W405" s="9"/>
      <c r="X405" s="11" t="s">
        <v>4832</v>
      </c>
      <c r="Y405" s="9"/>
    </row>
    <row r="406" customFormat="false" ht="15" hidden="false" customHeight="false" outlineLevel="0" collapsed="false">
      <c r="A406" s="9" t="s">
        <v>2457</v>
      </c>
      <c r="B406" s="9" t="s">
        <v>2451</v>
      </c>
      <c r="C406" s="11" t="s">
        <v>2453</v>
      </c>
      <c r="D406" s="12" t="s">
        <v>2455</v>
      </c>
      <c r="E406" s="9" t="s">
        <v>2516</v>
      </c>
      <c r="F406" s="9" t="s">
        <v>2513</v>
      </c>
      <c r="G406" s="11" t="s">
        <v>2514</v>
      </c>
      <c r="H406" s="12" t="s">
        <v>2515</v>
      </c>
      <c r="I406" s="9"/>
      <c r="J406" s="11"/>
      <c r="K406" s="9"/>
      <c r="L406" s="9" t="s">
        <v>68</v>
      </c>
      <c r="M406" s="9" t="s">
        <v>87</v>
      </c>
      <c r="N406" s="11" t="s">
        <v>89</v>
      </c>
      <c r="O406" s="12" t="s">
        <v>91</v>
      </c>
      <c r="P406" s="13" t="n">
        <v>10</v>
      </c>
      <c r="Q406" s="13" t="n">
        <v>8</v>
      </c>
      <c r="R406" s="13" t="n">
        <v>6</v>
      </c>
      <c r="S406" s="13" t="n">
        <v>0.1</v>
      </c>
      <c r="T406" s="9" t="s">
        <v>4563</v>
      </c>
      <c r="U406" s="9"/>
      <c r="V406" s="9" t="s">
        <v>4572</v>
      </c>
      <c r="W406" s="9"/>
      <c r="X406" s="11" t="s">
        <v>4833</v>
      </c>
      <c r="Y406" s="9"/>
    </row>
    <row r="407" customFormat="false" ht="15" hidden="false" customHeight="false" outlineLevel="0" collapsed="false">
      <c r="A407" s="9" t="s">
        <v>2457</v>
      </c>
      <c r="B407" s="9" t="s">
        <v>2451</v>
      </c>
      <c r="C407" s="11" t="s">
        <v>2453</v>
      </c>
      <c r="D407" s="12" t="s">
        <v>2455</v>
      </c>
      <c r="E407" s="9" t="s">
        <v>2524</v>
      </c>
      <c r="F407" s="9" t="s">
        <v>2518</v>
      </c>
      <c r="G407" s="11" t="s">
        <v>2520</v>
      </c>
      <c r="H407" s="12" t="s">
        <v>2522</v>
      </c>
      <c r="I407" s="9"/>
      <c r="J407" s="11"/>
      <c r="K407" s="9"/>
      <c r="L407" s="9" t="s">
        <v>68</v>
      </c>
      <c r="M407" s="9" t="s">
        <v>2519</v>
      </c>
      <c r="N407" s="11" t="s">
        <v>2521</v>
      </c>
      <c r="O407" s="12" t="s">
        <v>2523</v>
      </c>
      <c r="P407" s="13" t="n">
        <v>10</v>
      </c>
      <c r="Q407" s="13" t="n">
        <v>8</v>
      </c>
      <c r="R407" s="13" t="n">
        <v>6</v>
      </c>
      <c r="S407" s="13" t="n">
        <v>0.1</v>
      </c>
      <c r="T407" s="9" t="s">
        <v>4615</v>
      </c>
      <c r="U407" s="9"/>
      <c r="V407" s="9" t="s">
        <v>4572</v>
      </c>
      <c r="W407" s="9"/>
      <c r="X407" s="11"/>
      <c r="Y407" s="9"/>
    </row>
    <row r="408" customFormat="false" ht="15" hidden="false" customHeight="false" outlineLevel="0" collapsed="false">
      <c r="A408" s="9" t="s">
        <v>2457</v>
      </c>
      <c r="B408" s="9" t="s">
        <v>2451</v>
      </c>
      <c r="C408" s="11" t="s">
        <v>2453</v>
      </c>
      <c r="D408" s="12" t="s">
        <v>2455</v>
      </c>
      <c r="E408" s="9" t="s">
        <v>2529</v>
      </c>
      <c r="F408" s="9" t="s">
        <v>2526</v>
      </c>
      <c r="G408" s="11" t="s">
        <v>2527</v>
      </c>
      <c r="H408" s="12" t="s">
        <v>2528</v>
      </c>
      <c r="I408" s="9"/>
      <c r="J408" s="11"/>
      <c r="K408" s="9"/>
      <c r="L408" s="9" t="s">
        <v>68</v>
      </c>
      <c r="M408" s="9" t="s">
        <v>87</v>
      </c>
      <c r="N408" s="11" t="s">
        <v>89</v>
      </c>
      <c r="O408" s="12" t="s">
        <v>91</v>
      </c>
      <c r="P408" s="13" t="n">
        <v>10</v>
      </c>
      <c r="Q408" s="13" t="n">
        <v>8</v>
      </c>
      <c r="R408" s="13" t="n">
        <v>6</v>
      </c>
      <c r="S408" s="13" t="n">
        <v>0.1</v>
      </c>
      <c r="T408" s="9" t="s">
        <v>4563</v>
      </c>
      <c r="U408" s="9"/>
      <c r="V408" s="9" t="s">
        <v>4572</v>
      </c>
      <c r="W408" s="9" t="s">
        <v>4834</v>
      </c>
      <c r="X408" s="11"/>
      <c r="Y408" s="9"/>
    </row>
    <row r="409" customFormat="false" ht="15" hidden="false" customHeight="false" outlineLevel="0" collapsed="false">
      <c r="A409" s="9" t="s">
        <v>2457</v>
      </c>
      <c r="B409" s="9" t="s">
        <v>2451</v>
      </c>
      <c r="C409" s="11" t="s">
        <v>2453</v>
      </c>
      <c r="D409" s="12" t="s">
        <v>2455</v>
      </c>
      <c r="E409" s="9" t="s">
        <v>2534</v>
      </c>
      <c r="F409" s="9" t="s">
        <v>2531</v>
      </c>
      <c r="G409" s="11" t="s">
        <v>2532</v>
      </c>
      <c r="H409" s="12" t="s">
        <v>2533</v>
      </c>
      <c r="I409" s="9"/>
      <c r="J409" s="11"/>
      <c r="K409" s="9"/>
      <c r="L409" s="9" t="s">
        <v>68</v>
      </c>
      <c r="M409" s="9" t="s">
        <v>343</v>
      </c>
      <c r="N409" s="11" t="s">
        <v>346</v>
      </c>
      <c r="O409" s="12" t="s">
        <v>349</v>
      </c>
      <c r="P409" s="13" t="n">
        <v>10</v>
      </c>
      <c r="Q409" s="13" t="n">
        <v>8</v>
      </c>
      <c r="R409" s="13" t="n">
        <v>6</v>
      </c>
      <c r="S409" s="13" t="n">
        <v>0.1</v>
      </c>
      <c r="T409" s="9" t="s">
        <v>4563</v>
      </c>
      <c r="U409" s="9"/>
      <c r="V409" s="9" t="s">
        <v>4572</v>
      </c>
      <c r="W409" s="9" t="s">
        <v>4835</v>
      </c>
      <c r="X409" s="11"/>
      <c r="Y409" s="9"/>
    </row>
    <row r="410" customFormat="false" ht="15" hidden="false" customHeight="false" outlineLevel="0" collapsed="false">
      <c r="A410" s="9" t="s">
        <v>2457</v>
      </c>
      <c r="B410" s="9" t="s">
        <v>2451</v>
      </c>
      <c r="C410" s="11" t="s">
        <v>2453</v>
      </c>
      <c r="D410" s="12" t="s">
        <v>2455</v>
      </c>
      <c r="E410" s="9" t="s">
        <v>2539</v>
      </c>
      <c r="F410" s="9" t="s">
        <v>2536</v>
      </c>
      <c r="G410" s="11" t="s">
        <v>2537</v>
      </c>
      <c r="H410" s="12" t="s">
        <v>2538</v>
      </c>
      <c r="I410" s="9"/>
      <c r="J410" s="11"/>
      <c r="K410" s="9"/>
      <c r="L410" s="9" t="s">
        <v>68</v>
      </c>
      <c r="M410" s="9" t="s">
        <v>561</v>
      </c>
      <c r="N410" s="11" t="s">
        <v>563</v>
      </c>
      <c r="O410" s="12" t="s">
        <v>565</v>
      </c>
      <c r="P410" s="13" t="n">
        <v>10</v>
      </c>
      <c r="Q410" s="13" t="n">
        <v>8</v>
      </c>
      <c r="R410" s="13" t="n">
        <v>6</v>
      </c>
      <c r="S410" s="13" t="n">
        <v>0.1</v>
      </c>
      <c r="T410" s="9" t="s">
        <v>4563</v>
      </c>
      <c r="U410" s="9"/>
      <c r="V410" s="9" t="s">
        <v>4572</v>
      </c>
      <c r="W410" s="9"/>
      <c r="X410" s="11"/>
      <c r="Y410" s="9"/>
    </row>
    <row r="411" customFormat="false" ht="15" hidden="false" customHeight="false" outlineLevel="0" collapsed="false">
      <c r="A411" s="9" t="s">
        <v>2457</v>
      </c>
      <c r="B411" s="9" t="s">
        <v>2451</v>
      </c>
      <c r="C411" s="11" t="s">
        <v>2453</v>
      </c>
      <c r="D411" s="12" t="s">
        <v>2455</v>
      </c>
      <c r="E411" s="9" t="s">
        <v>2544</v>
      </c>
      <c r="F411" s="9" t="s">
        <v>2541</v>
      </c>
      <c r="G411" s="11" t="s">
        <v>2542</v>
      </c>
      <c r="H411" s="12" t="s">
        <v>2543</v>
      </c>
      <c r="I411" s="9"/>
      <c r="J411" s="11"/>
      <c r="K411" s="9"/>
      <c r="L411" s="9" t="s">
        <v>68</v>
      </c>
      <c r="M411" s="9" t="s">
        <v>651</v>
      </c>
      <c r="N411" s="11" t="s">
        <v>653</v>
      </c>
      <c r="O411" s="12" t="s">
        <v>655</v>
      </c>
      <c r="P411" s="13" t="n">
        <v>10</v>
      </c>
      <c r="Q411" s="13" t="n">
        <v>8</v>
      </c>
      <c r="R411" s="13" t="n">
        <v>6</v>
      </c>
      <c r="S411" s="13" t="n">
        <v>0.1</v>
      </c>
      <c r="T411" s="9" t="s">
        <v>4563</v>
      </c>
      <c r="U411" s="9"/>
      <c r="V411" s="9" t="s">
        <v>4572</v>
      </c>
      <c r="W411" s="9" t="s">
        <v>4836</v>
      </c>
      <c r="X411" s="11"/>
      <c r="Y411" s="9"/>
    </row>
    <row r="412" customFormat="false" ht="15" hidden="false" customHeight="false" outlineLevel="0" collapsed="false">
      <c r="A412" s="9" t="s">
        <v>2457</v>
      </c>
      <c r="B412" s="9" t="s">
        <v>2451</v>
      </c>
      <c r="C412" s="11" t="s">
        <v>2453</v>
      </c>
      <c r="D412" s="12" t="s">
        <v>2455</v>
      </c>
      <c r="E412" s="9" t="s">
        <v>2549</v>
      </c>
      <c r="F412" s="9" t="s">
        <v>2546</v>
      </c>
      <c r="G412" s="11" t="s">
        <v>2547</v>
      </c>
      <c r="H412" s="9" t="s">
        <v>2548</v>
      </c>
      <c r="I412" s="9"/>
      <c r="J412" s="11"/>
      <c r="K412" s="9"/>
      <c r="L412" s="9" t="s">
        <v>68</v>
      </c>
      <c r="M412" s="9" t="s">
        <v>651</v>
      </c>
      <c r="N412" s="11" t="s">
        <v>653</v>
      </c>
      <c r="O412" s="12" t="s">
        <v>655</v>
      </c>
      <c r="P412" s="13" t="n">
        <v>10</v>
      </c>
      <c r="Q412" s="13" t="n">
        <v>8</v>
      </c>
      <c r="R412" s="13" t="n">
        <v>6</v>
      </c>
      <c r="S412" s="13" t="n">
        <v>0.1</v>
      </c>
      <c r="T412" s="9" t="s">
        <v>4563</v>
      </c>
      <c r="U412" s="9"/>
      <c r="V412" s="9" t="s">
        <v>4572</v>
      </c>
      <c r="W412" s="9" t="s">
        <v>4837</v>
      </c>
      <c r="X412" s="11"/>
      <c r="Y412" s="9"/>
    </row>
    <row r="413" customFormat="false" ht="15" hidden="false" customHeight="false" outlineLevel="0" collapsed="false">
      <c r="A413" s="9" t="s">
        <v>2457</v>
      </c>
      <c r="B413" s="9" t="s">
        <v>2451</v>
      </c>
      <c r="C413" s="11" t="s">
        <v>2453</v>
      </c>
      <c r="D413" s="12" t="s">
        <v>2455</v>
      </c>
      <c r="E413" s="9" t="s">
        <v>2554</v>
      </c>
      <c r="F413" s="9" t="s">
        <v>2551</v>
      </c>
      <c r="G413" s="11" t="s">
        <v>2552</v>
      </c>
      <c r="H413" s="12" t="s">
        <v>2553</v>
      </c>
      <c r="I413" s="9"/>
      <c r="J413" s="11"/>
      <c r="K413" s="9"/>
      <c r="L413" s="9" t="s">
        <v>68</v>
      </c>
      <c r="M413" s="9" t="s">
        <v>926</v>
      </c>
      <c r="N413" s="11" t="s">
        <v>928</v>
      </c>
      <c r="O413" s="12" t="s">
        <v>930</v>
      </c>
      <c r="P413" s="13" t="n">
        <v>10</v>
      </c>
      <c r="Q413" s="13" t="n">
        <v>8</v>
      </c>
      <c r="R413" s="13" t="n">
        <v>6</v>
      </c>
      <c r="S413" s="13" t="n">
        <v>0.1</v>
      </c>
      <c r="T413" s="9" t="s">
        <v>4563</v>
      </c>
      <c r="U413" s="9"/>
      <c r="V413" s="9" t="s">
        <v>4572</v>
      </c>
      <c r="W413" s="9"/>
      <c r="X413" s="11"/>
      <c r="Y413" s="9"/>
    </row>
    <row r="414" customFormat="false" ht="15" hidden="false" customHeight="false" outlineLevel="0" collapsed="false">
      <c r="A414" s="9" t="s">
        <v>2457</v>
      </c>
      <c r="B414" s="9" t="s">
        <v>2451</v>
      </c>
      <c r="C414" s="11" t="s">
        <v>2453</v>
      </c>
      <c r="D414" s="12" t="s">
        <v>2455</v>
      </c>
      <c r="E414" s="9" t="s">
        <v>2559</v>
      </c>
      <c r="F414" s="9" t="s">
        <v>2556</v>
      </c>
      <c r="G414" s="11" t="s">
        <v>2557</v>
      </c>
      <c r="H414" s="12" t="s">
        <v>2558</v>
      </c>
      <c r="I414" s="9"/>
      <c r="J414" s="11"/>
      <c r="K414" s="9"/>
      <c r="L414" s="9" t="s">
        <v>68</v>
      </c>
      <c r="M414" s="9" t="s">
        <v>926</v>
      </c>
      <c r="N414" s="11" t="s">
        <v>928</v>
      </c>
      <c r="O414" s="12" t="s">
        <v>930</v>
      </c>
      <c r="P414" s="13" t="n">
        <v>10</v>
      </c>
      <c r="Q414" s="13" t="n">
        <v>8</v>
      </c>
      <c r="R414" s="13" t="n">
        <v>6</v>
      </c>
      <c r="S414" s="13" t="n">
        <v>0.1</v>
      </c>
      <c r="T414" s="9" t="s">
        <v>4615</v>
      </c>
      <c r="U414" s="9"/>
      <c r="V414" s="9" t="s">
        <v>4572</v>
      </c>
      <c r="W414" s="9"/>
      <c r="X414" s="11"/>
      <c r="Y414" s="9"/>
    </row>
    <row r="415" customFormat="false" ht="15" hidden="false" customHeight="false" outlineLevel="0" collapsed="false">
      <c r="A415" s="9" t="s">
        <v>2457</v>
      </c>
      <c r="B415" s="9" t="s">
        <v>2451</v>
      </c>
      <c r="C415" s="11" t="s">
        <v>2453</v>
      </c>
      <c r="D415" s="12" t="s">
        <v>2455</v>
      </c>
      <c r="E415" s="9" t="s">
        <v>2564</v>
      </c>
      <c r="F415" s="9" t="s">
        <v>2561</v>
      </c>
      <c r="G415" s="11" t="s">
        <v>2562</v>
      </c>
      <c r="H415" s="12" t="s">
        <v>2563</v>
      </c>
      <c r="I415" s="9"/>
      <c r="J415" s="11"/>
      <c r="K415" s="9"/>
      <c r="L415" s="9" t="s">
        <v>68</v>
      </c>
      <c r="M415" s="9" t="s">
        <v>1863</v>
      </c>
      <c r="N415" s="11" t="s">
        <v>1864</v>
      </c>
      <c r="O415" s="12" t="s">
        <v>1865</v>
      </c>
      <c r="P415" s="13" t="n">
        <v>15</v>
      </c>
      <c r="Q415" s="13" t="n">
        <v>10</v>
      </c>
      <c r="R415" s="13" t="n">
        <v>8</v>
      </c>
      <c r="S415" s="13" t="n">
        <v>0.3</v>
      </c>
      <c r="T415" s="9" t="s">
        <v>4615</v>
      </c>
      <c r="U415" s="9"/>
      <c r="V415" s="9" t="s">
        <v>4571</v>
      </c>
      <c r="W415" s="9"/>
      <c r="X415" s="11"/>
      <c r="Y415" s="9"/>
    </row>
    <row r="416" customFormat="false" ht="15" hidden="false" customHeight="false" outlineLevel="0" collapsed="false">
      <c r="A416" s="9" t="s">
        <v>2457</v>
      </c>
      <c r="B416" s="9" t="s">
        <v>2451</v>
      </c>
      <c r="C416" s="11" t="s">
        <v>2453</v>
      </c>
      <c r="D416" s="12" t="s">
        <v>2455</v>
      </c>
      <c r="E416" s="9" t="s">
        <v>2572</v>
      </c>
      <c r="F416" s="9" t="s">
        <v>2566</v>
      </c>
      <c r="G416" s="11" t="s">
        <v>2568</v>
      </c>
      <c r="H416" s="12" t="s">
        <v>2570</v>
      </c>
      <c r="I416" s="9"/>
      <c r="J416" s="11"/>
      <c r="K416" s="9"/>
      <c r="L416" s="9" t="s">
        <v>68</v>
      </c>
      <c r="M416" s="9" t="s">
        <v>2567</v>
      </c>
      <c r="N416" s="11" t="s">
        <v>2569</v>
      </c>
      <c r="O416" s="12" t="s">
        <v>2571</v>
      </c>
      <c r="P416" s="13" t="n">
        <v>15</v>
      </c>
      <c r="Q416" s="13" t="n">
        <v>10</v>
      </c>
      <c r="R416" s="13" t="n">
        <v>8</v>
      </c>
      <c r="S416" s="13" t="n">
        <v>0.3</v>
      </c>
      <c r="T416" s="9" t="s">
        <v>4615</v>
      </c>
      <c r="U416" s="9"/>
      <c r="V416" s="9" t="s">
        <v>4571</v>
      </c>
      <c r="W416" s="9" t="s">
        <v>4838</v>
      </c>
      <c r="X416" s="11" t="s">
        <v>4838</v>
      </c>
      <c r="Y416" s="9" t="s">
        <v>4838</v>
      </c>
    </row>
    <row r="417" customFormat="false" ht="15" hidden="false" customHeight="false" outlineLevel="0" collapsed="false">
      <c r="A417" s="9" t="s">
        <v>2457</v>
      </c>
      <c r="B417" s="9" t="s">
        <v>2451</v>
      </c>
      <c r="C417" s="11" t="s">
        <v>2453</v>
      </c>
      <c r="D417" s="12" t="s">
        <v>2455</v>
      </c>
      <c r="E417" s="9" t="s">
        <v>2580</v>
      </c>
      <c r="F417" s="9" t="s">
        <v>2574</v>
      </c>
      <c r="G417" s="11" t="s">
        <v>2576</v>
      </c>
      <c r="H417" s="12" t="s">
        <v>2578</v>
      </c>
      <c r="I417" s="9"/>
      <c r="J417" s="11"/>
      <c r="K417" s="9"/>
      <c r="L417" s="9" t="s">
        <v>68</v>
      </c>
      <c r="M417" s="9" t="s">
        <v>2575</v>
      </c>
      <c r="N417" s="11" t="s">
        <v>2577</v>
      </c>
      <c r="O417" s="12" t="s">
        <v>2579</v>
      </c>
      <c r="P417" s="13" t="n">
        <v>10</v>
      </c>
      <c r="Q417" s="13" t="n">
        <v>8</v>
      </c>
      <c r="R417" s="13" t="n">
        <v>6</v>
      </c>
      <c r="S417" s="13" t="n">
        <v>0.1</v>
      </c>
      <c r="T417" s="9" t="s">
        <v>4615</v>
      </c>
      <c r="U417" s="9"/>
      <c r="V417" s="9" t="s">
        <v>4572</v>
      </c>
      <c r="W417" s="9" t="s">
        <v>4839</v>
      </c>
      <c r="X417" s="11"/>
      <c r="Y417" s="9"/>
    </row>
    <row r="418" customFormat="false" ht="15" hidden="false" customHeight="false" outlineLevel="0" collapsed="false">
      <c r="A418" s="9" t="s">
        <v>2457</v>
      </c>
      <c r="B418" s="9" t="s">
        <v>2451</v>
      </c>
      <c r="C418" s="11" t="s">
        <v>2453</v>
      </c>
      <c r="D418" s="12" t="s">
        <v>2455</v>
      </c>
      <c r="E418" s="9" t="s">
        <v>2588</v>
      </c>
      <c r="F418" s="9" t="s">
        <v>2582</v>
      </c>
      <c r="G418" s="11" t="s">
        <v>2584</v>
      </c>
      <c r="H418" s="12" t="s">
        <v>2586</v>
      </c>
      <c r="I418" s="9"/>
      <c r="J418" s="11"/>
      <c r="K418" s="9"/>
      <c r="L418" s="9" t="s">
        <v>68</v>
      </c>
      <c r="M418" s="9" t="s">
        <v>2583</v>
      </c>
      <c r="N418" s="11" t="s">
        <v>2585</v>
      </c>
      <c r="O418" s="12" t="s">
        <v>2587</v>
      </c>
      <c r="P418" s="13" t="n">
        <v>10</v>
      </c>
      <c r="Q418" s="13" t="n">
        <v>8</v>
      </c>
      <c r="R418" s="13" t="n">
        <v>6</v>
      </c>
      <c r="S418" s="13" t="n">
        <v>0.1</v>
      </c>
      <c r="T418" s="9" t="s">
        <v>4615</v>
      </c>
      <c r="U418" s="9"/>
      <c r="V418" s="9" t="s">
        <v>4572</v>
      </c>
      <c r="W418" s="9"/>
      <c r="X418" s="11"/>
      <c r="Y418" s="9"/>
    </row>
    <row r="419" customFormat="false" ht="15" hidden="false" customHeight="false" outlineLevel="0" collapsed="false">
      <c r="A419" s="9" t="s">
        <v>2457</v>
      </c>
      <c r="B419" s="9" t="s">
        <v>2451</v>
      </c>
      <c r="C419" s="11" t="s">
        <v>2453</v>
      </c>
      <c r="D419" s="12" t="s">
        <v>2455</v>
      </c>
      <c r="E419" s="9" t="s">
        <v>2593</v>
      </c>
      <c r="F419" s="9" t="s">
        <v>2590</v>
      </c>
      <c r="G419" s="11" t="s">
        <v>2591</v>
      </c>
      <c r="H419" s="12" t="s">
        <v>2592</v>
      </c>
      <c r="I419" s="9"/>
      <c r="J419" s="11"/>
      <c r="K419" s="9"/>
      <c r="L419" s="9" t="s">
        <v>68</v>
      </c>
      <c r="M419" s="9" t="s">
        <v>2439</v>
      </c>
      <c r="N419" s="11" t="s">
        <v>2441</v>
      </c>
      <c r="O419" s="12" t="s">
        <v>2443</v>
      </c>
      <c r="P419" s="13" t="n">
        <v>10</v>
      </c>
      <c r="Q419" s="13" t="n">
        <v>8</v>
      </c>
      <c r="R419" s="13" t="n">
        <v>6</v>
      </c>
      <c r="S419" s="13" t="n">
        <v>0.1</v>
      </c>
      <c r="T419" s="9" t="s">
        <v>4615</v>
      </c>
      <c r="U419" s="9"/>
      <c r="V419" s="9" t="s">
        <v>4572</v>
      </c>
      <c r="W419" s="9"/>
      <c r="X419" s="11"/>
      <c r="Y419" s="9"/>
    </row>
    <row r="420" customFormat="false" ht="15" hidden="false" customHeight="false" outlineLevel="0" collapsed="false">
      <c r="A420" s="9" t="s">
        <v>2457</v>
      </c>
      <c r="B420" s="9" t="s">
        <v>2451</v>
      </c>
      <c r="C420" s="11" t="s">
        <v>2453</v>
      </c>
      <c r="D420" s="12" t="s">
        <v>2455</v>
      </c>
      <c r="E420" s="9" t="s">
        <v>2598</v>
      </c>
      <c r="F420" s="9" t="s">
        <v>2595</v>
      </c>
      <c r="G420" s="11" t="s">
        <v>2596</v>
      </c>
      <c r="H420" s="12" t="s">
        <v>2597</v>
      </c>
      <c r="I420" s="9"/>
      <c r="J420" s="11"/>
      <c r="K420" s="9"/>
      <c r="L420" s="9" t="s">
        <v>68</v>
      </c>
      <c r="M420" s="9" t="s">
        <v>2439</v>
      </c>
      <c r="N420" s="11" t="s">
        <v>2441</v>
      </c>
      <c r="O420" s="12" t="s">
        <v>2443</v>
      </c>
      <c r="P420" s="13" t="n">
        <v>10</v>
      </c>
      <c r="Q420" s="13" t="n">
        <v>8</v>
      </c>
      <c r="R420" s="13" t="n">
        <v>6</v>
      </c>
      <c r="S420" s="13" t="n">
        <v>0.1</v>
      </c>
      <c r="T420" s="9" t="s">
        <v>4615</v>
      </c>
      <c r="U420" s="9"/>
      <c r="V420" s="9" t="s">
        <v>4572</v>
      </c>
      <c r="W420" s="9"/>
      <c r="X420" s="11"/>
      <c r="Y420" s="9"/>
    </row>
    <row r="421" customFormat="false" ht="15" hidden="false" customHeight="false" outlineLevel="0" collapsed="false">
      <c r="A421" s="9" t="s">
        <v>2457</v>
      </c>
      <c r="B421" s="9" t="s">
        <v>2451</v>
      </c>
      <c r="C421" s="11" t="s">
        <v>2453</v>
      </c>
      <c r="D421" s="12" t="s">
        <v>2455</v>
      </c>
      <c r="E421" s="9" t="s">
        <v>2606</v>
      </c>
      <c r="F421" s="9" t="s">
        <v>2600</v>
      </c>
      <c r="G421" s="11" t="s">
        <v>2602</v>
      </c>
      <c r="H421" s="12" t="s">
        <v>2604</v>
      </c>
      <c r="I421" s="9"/>
      <c r="J421" s="11"/>
      <c r="K421" s="9"/>
      <c r="L421" s="9" t="s">
        <v>68</v>
      </c>
      <c r="M421" s="9" t="s">
        <v>2601</v>
      </c>
      <c r="N421" s="11" t="s">
        <v>2603</v>
      </c>
      <c r="O421" s="12" t="s">
        <v>2605</v>
      </c>
      <c r="P421" s="13" t="n">
        <v>15</v>
      </c>
      <c r="Q421" s="13" t="n">
        <v>10</v>
      </c>
      <c r="R421" s="13" t="n">
        <v>8</v>
      </c>
      <c r="S421" s="13" t="n">
        <v>0.3</v>
      </c>
      <c r="T421" s="9" t="s">
        <v>4615</v>
      </c>
      <c r="U421" s="9"/>
      <c r="V421" s="9" t="s">
        <v>4571</v>
      </c>
      <c r="W421" s="9"/>
      <c r="X421" s="11" t="s">
        <v>4840</v>
      </c>
      <c r="Y421" s="9"/>
    </row>
    <row r="422" customFormat="false" ht="15" hidden="false" customHeight="false" outlineLevel="0" collapsed="false">
      <c r="A422" s="9" t="s">
        <v>2614</v>
      </c>
      <c r="B422" s="9" t="s">
        <v>2608</v>
      </c>
      <c r="C422" s="11" t="s">
        <v>2610</v>
      </c>
      <c r="D422" s="12" t="s">
        <v>2612</v>
      </c>
      <c r="E422" s="9" t="s">
        <v>2615</v>
      </c>
      <c r="F422" s="9" t="s">
        <v>2609</v>
      </c>
      <c r="G422" s="11" t="s">
        <v>2611</v>
      </c>
      <c r="H422" s="12" t="s">
        <v>2613</v>
      </c>
      <c r="I422" s="9"/>
      <c r="J422" s="11"/>
      <c r="K422" s="9"/>
      <c r="L422" s="9" t="s">
        <v>68</v>
      </c>
      <c r="M422" s="9" t="s">
        <v>69</v>
      </c>
      <c r="N422" s="11" t="s">
        <v>73</v>
      </c>
      <c r="O422" s="12" t="s">
        <v>77</v>
      </c>
      <c r="P422" s="13" t="n">
        <v>20</v>
      </c>
      <c r="Q422" s="13" t="n">
        <v>15</v>
      </c>
      <c r="R422" s="13" t="n">
        <v>5</v>
      </c>
      <c r="S422" s="13" t="n">
        <v>0.8</v>
      </c>
      <c r="T422" s="9" t="s">
        <v>4563</v>
      </c>
      <c r="U422" s="9"/>
      <c r="V422" s="9" t="s">
        <v>4565</v>
      </c>
      <c r="W422" s="9" t="s">
        <v>4841</v>
      </c>
      <c r="X422" s="11" t="s">
        <v>4841</v>
      </c>
      <c r="Y422" s="9" t="s">
        <v>4841</v>
      </c>
    </row>
    <row r="423" customFormat="false" ht="15" hidden="false" customHeight="false" outlineLevel="0" collapsed="false">
      <c r="A423" s="9" t="s">
        <v>2614</v>
      </c>
      <c r="B423" s="9" t="s">
        <v>2608</v>
      </c>
      <c r="C423" s="11" t="s">
        <v>2610</v>
      </c>
      <c r="D423" s="12" t="s">
        <v>2612</v>
      </c>
      <c r="E423" s="9" t="s">
        <v>2620</v>
      </c>
      <c r="F423" s="9" t="s">
        <v>2617</v>
      </c>
      <c r="G423" s="11" t="s">
        <v>2618</v>
      </c>
      <c r="H423" s="12" t="s">
        <v>2619</v>
      </c>
      <c r="I423" s="9"/>
      <c r="J423" s="11"/>
      <c r="K423" s="9"/>
      <c r="L423" s="9" t="s">
        <v>68</v>
      </c>
      <c r="M423" s="9" t="s">
        <v>2439</v>
      </c>
      <c r="N423" s="11" t="s">
        <v>2441</v>
      </c>
      <c r="O423" s="12" t="s">
        <v>2443</v>
      </c>
      <c r="P423" s="13" t="n">
        <v>20</v>
      </c>
      <c r="Q423" s="13" t="n">
        <v>15</v>
      </c>
      <c r="R423" s="13" t="n">
        <v>5</v>
      </c>
      <c r="S423" s="13" t="n">
        <v>0.7</v>
      </c>
      <c r="T423" s="9" t="s">
        <v>4615</v>
      </c>
      <c r="U423" s="9"/>
      <c r="V423" s="9" t="s">
        <v>4565</v>
      </c>
      <c r="W423" s="9" t="s">
        <v>4842</v>
      </c>
      <c r="X423" s="11" t="s">
        <v>4842</v>
      </c>
      <c r="Y423" s="9" t="s">
        <v>4842</v>
      </c>
    </row>
    <row r="424" customFormat="false" ht="15" hidden="false" customHeight="false" outlineLevel="0" collapsed="false">
      <c r="A424" s="9" t="s">
        <v>2614</v>
      </c>
      <c r="B424" s="9" t="s">
        <v>2608</v>
      </c>
      <c r="C424" s="11" t="s">
        <v>2610</v>
      </c>
      <c r="D424" s="12" t="s">
        <v>2612</v>
      </c>
      <c r="E424" s="9" t="s">
        <v>2625</v>
      </c>
      <c r="F424" s="9" t="s">
        <v>2622</v>
      </c>
      <c r="G424" s="11" t="s">
        <v>2623</v>
      </c>
      <c r="H424" s="9" t="s">
        <v>2624</v>
      </c>
      <c r="I424" s="9"/>
      <c r="J424" s="11"/>
      <c r="K424" s="9"/>
      <c r="L424" s="9" t="s">
        <v>68</v>
      </c>
      <c r="M424" s="9" t="s">
        <v>69</v>
      </c>
      <c r="N424" s="11" t="s">
        <v>73</v>
      </c>
      <c r="O424" s="12" t="s">
        <v>77</v>
      </c>
      <c r="P424" s="13" t="n">
        <v>15</v>
      </c>
      <c r="Q424" s="13" t="n">
        <v>10</v>
      </c>
      <c r="R424" s="13" t="n">
        <v>8</v>
      </c>
      <c r="S424" s="13" t="n">
        <v>0.3</v>
      </c>
      <c r="T424" s="9" t="s">
        <v>4615</v>
      </c>
      <c r="U424" s="9"/>
      <c r="V424" s="9" t="s">
        <v>4571</v>
      </c>
      <c r="W424" s="9" t="s">
        <v>4843</v>
      </c>
      <c r="X424" s="11"/>
      <c r="Y424" s="9"/>
    </row>
    <row r="425" customFormat="false" ht="15" hidden="false" customHeight="false" outlineLevel="0" collapsed="false">
      <c r="A425" s="9" t="s">
        <v>2614</v>
      </c>
      <c r="B425" s="9" t="s">
        <v>2608</v>
      </c>
      <c r="C425" s="11" t="s">
        <v>2610</v>
      </c>
      <c r="D425" s="12" t="s">
        <v>2612</v>
      </c>
      <c r="E425" s="9" t="s">
        <v>2630</v>
      </c>
      <c r="F425" s="9" t="s">
        <v>2627</v>
      </c>
      <c r="G425" s="11" t="s">
        <v>2628</v>
      </c>
      <c r="H425" s="12" t="s">
        <v>2629</v>
      </c>
      <c r="I425" s="9"/>
      <c r="J425" s="11"/>
      <c r="K425" s="9"/>
      <c r="L425" s="9" t="s">
        <v>68</v>
      </c>
      <c r="M425" s="9" t="s">
        <v>2567</v>
      </c>
      <c r="N425" s="11" t="s">
        <v>2569</v>
      </c>
      <c r="O425" s="12" t="s">
        <v>2571</v>
      </c>
      <c r="P425" s="13" t="n">
        <v>15</v>
      </c>
      <c r="Q425" s="13" t="n">
        <v>10</v>
      </c>
      <c r="R425" s="13" t="n">
        <v>8</v>
      </c>
      <c r="S425" s="13" t="n">
        <v>0.3</v>
      </c>
      <c r="T425" s="9" t="s">
        <v>4615</v>
      </c>
      <c r="U425" s="9"/>
      <c r="V425" s="9" t="s">
        <v>4571</v>
      </c>
      <c r="W425" s="9" t="s">
        <v>4844</v>
      </c>
      <c r="X425" s="11" t="s">
        <v>4844</v>
      </c>
      <c r="Y425" s="9" t="s">
        <v>4844</v>
      </c>
    </row>
    <row r="426" customFormat="false" ht="15" hidden="false" customHeight="false" outlineLevel="0" collapsed="false">
      <c r="A426" s="9" t="s">
        <v>2614</v>
      </c>
      <c r="B426" s="9" t="s">
        <v>2608</v>
      </c>
      <c r="C426" s="11" t="s">
        <v>2610</v>
      </c>
      <c r="D426" s="12" t="s">
        <v>2612</v>
      </c>
      <c r="E426" s="9" t="s">
        <v>2638</v>
      </c>
      <c r="F426" s="9" t="s">
        <v>2632</v>
      </c>
      <c r="G426" s="11" t="s">
        <v>2634</v>
      </c>
      <c r="H426" s="12" t="s">
        <v>2636</v>
      </c>
      <c r="I426" s="9"/>
      <c r="J426" s="11"/>
      <c r="K426" s="9"/>
      <c r="L426" s="9" t="s">
        <v>68</v>
      </c>
      <c r="M426" s="9" t="s">
        <v>2633</v>
      </c>
      <c r="N426" s="11" t="s">
        <v>2635</v>
      </c>
      <c r="O426" s="12" t="s">
        <v>2637</v>
      </c>
      <c r="P426" s="13" t="n">
        <v>28</v>
      </c>
      <c r="Q426" s="13" t="n">
        <v>15</v>
      </c>
      <c r="R426" s="13" t="n">
        <v>12</v>
      </c>
      <c r="S426" s="13" t="n">
        <v>1.2</v>
      </c>
      <c r="T426" s="9" t="s">
        <v>4615</v>
      </c>
      <c r="U426" s="9"/>
      <c r="V426" s="9" t="s">
        <v>4565</v>
      </c>
      <c r="W426" s="9"/>
      <c r="X426" s="11"/>
      <c r="Y426" s="9"/>
    </row>
    <row r="427" customFormat="false" ht="15" hidden="false" customHeight="false" outlineLevel="0" collapsed="false">
      <c r="A427" s="9" t="s">
        <v>2614</v>
      </c>
      <c r="B427" s="9" t="s">
        <v>2608</v>
      </c>
      <c r="C427" s="11" t="s">
        <v>2610</v>
      </c>
      <c r="D427" s="12" t="s">
        <v>2612</v>
      </c>
      <c r="E427" s="9" t="s">
        <v>2643</v>
      </c>
      <c r="F427" s="9" t="s">
        <v>2640</v>
      </c>
      <c r="G427" s="11" t="s">
        <v>2641</v>
      </c>
      <c r="H427" s="12" t="s">
        <v>2642</v>
      </c>
      <c r="I427" s="9"/>
      <c r="J427" s="11"/>
      <c r="K427" s="9"/>
      <c r="L427" s="9" t="s">
        <v>68</v>
      </c>
      <c r="M427" s="9" t="s">
        <v>2439</v>
      </c>
      <c r="N427" s="11" t="s">
        <v>2441</v>
      </c>
      <c r="O427" s="12" t="s">
        <v>2443</v>
      </c>
      <c r="P427" s="13" t="n">
        <v>15</v>
      </c>
      <c r="Q427" s="13" t="n">
        <v>10</v>
      </c>
      <c r="R427" s="13" t="n">
        <v>8</v>
      </c>
      <c r="S427" s="13" t="n">
        <v>0.3</v>
      </c>
      <c r="T427" s="9" t="s">
        <v>4615</v>
      </c>
      <c r="U427" s="9"/>
      <c r="V427" s="9" t="s">
        <v>4571</v>
      </c>
      <c r="W427" s="9"/>
      <c r="X427" s="11" t="s">
        <v>4845</v>
      </c>
      <c r="Y427" s="9"/>
    </row>
    <row r="428" customFormat="false" ht="15" hidden="false" customHeight="false" outlineLevel="0" collapsed="false">
      <c r="A428" s="9" t="s">
        <v>2614</v>
      </c>
      <c r="B428" s="9" t="s">
        <v>2608</v>
      </c>
      <c r="C428" s="11" t="s">
        <v>2610</v>
      </c>
      <c r="D428" s="12" t="s">
        <v>2612</v>
      </c>
      <c r="E428" s="9" t="s">
        <v>2648</v>
      </c>
      <c r="F428" s="9" t="s">
        <v>2645</v>
      </c>
      <c r="G428" s="11" t="s">
        <v>2646</v>
      </c>
      <c r="H428" s="12" t="s">
        <v>2647</v>
      </c>
      <c r="I428" s="9"/>
      <c r="J428" s="11"/>
      <c r="K428" s="9"/>
      <c r="L428" s="9" t="s">
        <v>4730</v>
      </c>
      <c r="M428" s="9" t="s">
        <v>2405</v>
      </c>
      <c r="N428" s="11" t="s">
        <v>2408</v>
      </c>
      <c r="O428" s="12" t="s">
        <v>2411</v>
      </c>
      <c r="P428" s="13" t="n">
        <v>15</v>
      </c>
      <c r="Q428" s="13" t="n">
        <v>10</v>
      </c>
      <c r="R428" s="13" t="n">
        <v>8</v>
      </c>
      <c r="S428" s="13" t="n">
        <v>0.3</v>
      </c>
      <c r="T428" s="9" t="s">
        <v>4615</v>
      </c>
      <c r="U428" s="9"/>
      <c r="V428" s="9" t="s">
        <v>4571</v>
      </c>
      <c r="W428" s="9"/>
      <c r="X428" s="11"/>
      <c r="Y428" s="9"/>
    </row>
    <row r="429" customFormat="false" ht="15" hidden="false" customHeight="false" outlineLevel="0" collapsed="false">
      <c r="A429" s="9" t="s">
        <v>2614</v>
      </c>
      <c r="B429" s="9" t="s">
        <v>2608</v>
      </c>
      <c r="C429" s="11" t="s">
        <v>2610</v>
      </c>
      <c r="D429" s="12" t="s">
        <v>2612</v>
      </c>
      <c r="E429" s="9" t="s">
        <v>2656</v>
      </c>
      <c r="F429" s="9" t="s">
        <v>2653</v>
      </c>
      <c r="G429" s="11" t="s">
        <v>2654</v>
      </c>
      <c r="H429" s="12" t="s">
        <v>2655</v>
      </c>
      <c r="I429" s="9"/>
      <c r="J429" s="11"/>
      <c r="K429" s="9"/>
      <c r="L429" s="9" t="s">
        <v>68</v>
      </c>
      <c r="M429" s="9" t="s">
        <v>2260</v>
      </c>
      <c r="N429" s="11" t="s">
        <v>2262</v>
      </c>
      <c r="O429" s="12" t="s">
        <v>2264</v>
      </c>
      <c r="P429" s="13" t="n">
        <v>15</v>
      </c>
      <c r="Q429" s="13" t="n">
        <v>10</v>
      </c>
      <c r="R429" s="13" t="n">
        <v>8</v>
      </c>
      <c r="S429" s="13" t="n">
        <v>0.3</v>
      </c>
      <c r="T429" s="9" t="s">
        <v>4615</v>
      </c>
      <c r="U429" s="9"/>
      <c r="V429" s="9" t="s">
        <v>4571</v>
      </c>
      <c r="W429" s="9" t="s">
        <v>4846</v>
      </c>
      <c r="X429" s="11"/>
      <c r="Y429" s="9"/>
    </row>
    <row r="430" customFormat="false" ht="15" hidden="false" customHeight="false" outlineLevel="0" collapsed="false">
      <c r="A430" s="9" t="s">
        <v>2667</v>
      </c>
      <c r="B430" s="9" t="s">
        <v>2658</v>
      </c>
      <c r="C430" s="11" t="s">
        <v>2661</v>
      </c>
      <c r="D430" s="12" t="s">
        <v>2664</v>
      </c>
      <c r="E430" s="9" t="s">
        <v>2668</v>
      </c>
      <c r="F430" s="9" t="s">
        <v>2659</v>
      </c>
      <c r="G430" s="11" t="s">
        <v>2662</v>
      </c>
      <c r="H430" s="12" t="s">
        <v>2665</v>
      </c>
      <c r="I430" s="9"/>
      <c r="J430" s="11"/>
      <c r="K430" s="9"/>
      <c r="L430" s="9" t="s">
        <v>4578</v>
      </c>
      <c r="M430" s="9" t="s">
        <v>2660</v>
      </c>
      <c r="N430" s="11" t="s">
        <v>2663</v>
      </c>
      <c r="O430" s="12" t="s">
        <v>2666</v>
      </c>
      <c r="P430" s="13" t="n">
        <v>10</v>
      </c>
      <c r="Q430" s="13" t="n">
        <v>8</v>
      </c>
      <c r="R430" s="13" t="n">
        <v>6</v>
      </c>
      <c r="S430" s="13" t="n">
        <v>0.1</v>
      </c>
      <c r="T430" s="9" t="s">
        <v>4615</v>
      </c>
      <c r="U430" s="9"/>
      <c r="V430" s="9" t="s">
        <v>4572</v>
      </c>
      <c r="W430" s="9" t="s">
        <v>4847</v>
      </c>
      <c r="X430" s="11" t="s">
        <v>4848</v>
      </c>
      <c r="Y430" s="12" t="s">
        <v>4849</v>
      </c>
    </row>
    <row r="431" customFormat="false" ht="15" hidden="false" customHeight="false" outlineLevel="0" collapsed="false">
      <c r="A431" s="9" t="s">
        <v>2667</v>
      </c>
      <c r="B431" s="9" t="s">
        <v>2658</v>
      </c>
      <c r="C431" s="11" t="s">
        <v>2661</v>
      </c>
      <c r="D431" s="12" t="s">
        <v>2664</v>
      </c>
      <c r="E431" s="9" t="s">
        <v>2674</v>
      </c>
      <c r="F431" s="9" t="s">
        <v>2671</v>
      </c>
      <c r="G431" s="11" t="s">
        <v>2672</v>
      </c>
      <c r="H431" s="12" t="s">
        <v>2673</v>
      </c>
      <c r="I431" s="9"/>
      <c r="J431" s="11"/>
      <c r="K431" s="9"/>
      <c r="L431" s="9" t="s">
        <v>68</v>
      </c>
      <c r="M431" s="9" t="s">
        <v>2106</v>
      </c>
      <c r="N431" s="11" t="s">
        <v>2108</v>
      </c>
      <c r="O431" s="12" t="s">
        <v>2110</v>
      </c>
      <c r="P431" s="13" t="n">
        <v>10</v>
      </c>
      <c r="Q431" s="13" t="n">
        <v>8</v>
      </c>
      <c r="R431" s="13" t="n">
        <v>6</v>
      </c>
      <c r="S431" s="13" t="n">
        <v>0.1</v>
      </c>
      <c r="T431" s="9" t="s">
        <v>4615</v>
      </c>
      <c r="U431" s="9"/>
      <c r="V431" s="9" t="s">
        <v>4572</v>
      </c>
      <c r="W431" s="9"/>
      <c r="X431" s="11"/>
      <c r="Y431" s="9"/>
    </row>
    <row r="432" customFormat="false" ht="15" hidden="false" customHeight="false" outlineLevel="0" collapsed="false">
      <c r="A432" s="9" t="s">
        <v>2667</v>
      </c>
      <c r="B432" s="9" t="s">
        <v>2658</v>
      </c>
      <c r="C432" s="11" t="s">
        <v>2661</v>
      </c>
      <c r="D432" s="12" t="s">
        <v>2664</v>
      </c>
      <c r="E432" s="9" t="s">
        <v>2679</v>
      </c>
      <c r="F432" s="9" t="s">
        <v>2676</v>
      </c>
      <c r="G432" s="11" t="s">
        <v>2677</v>
      </c>
      <c r="H432" s="12" t="s">
        <v>2678</v>
      </c>
      <c r="I432" s="9"/>
      <c r="J432" s="11"/>
      <c r="K432" s="9"/>
      <c r="L432" s="9" t="s">
        <v>4580</v>
      </c>
      <c r="M432" s="9" t="s">
        <v>2660</v>
      </c>
      <c r="N432" s="11" t="s">
        <v>2663</v>
      </c>
      <c r="O432" s="12" t="s">
        <v>2666</v>
      </c>
      <c r="P432" s="13" t="n">
        <v>10</v>
      </c>
      <c r="Q432" s="13" t="n">
        <v>8</v>
      </c>
      <c r="R432" s="13" t="n">
        <v>6</v>
      </c>
      <c r="S432" s="13" t="n">
        <v>0.1</v>
      </c>
      <c r="T432" s="9" t="s">
        <v>4615</v>
      </c>
      <c r="U432" s="9"/>
      <c r="V432" s="9" t="s">
        <v>4572</v>
      </c>
      <c r="W432" s="9"/>
      <c r="X432" s="11"/>
      <c r="Y432" s="9"/>
    </row>
    <row r="433" customFormat="false" ht="15" hidden="false" customHeight="false" outlineLevel="0" collapsed="false">
      <c r="A433" s="9" t="s">
        <v>2667</v>
      </c>
      <c r="B433" s="9" t="s">
        <v>2658</v>
      </c>
      <c r="C433" s="11" t="s">
        <v>2661</v>
      </c>
      <c r="D433" s="12" t="s">
        <v>2664</v>
      </c>
      <c r="E433" s="9" t="s">
        <v>2690</v>
      </c>
      <c r="F433" s="9" t="s">
        <v>2684</v>
      </c>
      <c r="G433" s="11" t="s">
        <v>2686</v>
      </c>
      <c r="H433" s="12" t="s">
        <v>2688</v>
      </c>
      <c r="I433" s="9"/>
      <c r="J433" s="11"/>
      <c r="K433" s="9"/>
      <c r="L433" s="9" t="s">
        <v>161</v>
      </c>
      <c r="M433" s="9" t="s">
        <v>2685</v>
      </c>
      <c r="N433" s="11" t="s">
        <v>2687</v>
      </c>
      <c r="O433" s="12" t="s">
        <v>2689</v>
      </c>
      <c r="P433" s="13" t="n">
        <v>15</v>
      </c>
      <c r="Q433" s="13" t="n">
        <v>10</v>
      </c>
      <c r="R433" s="13" t="n">
        <v>8</v>
      </c>
      <c r="S433" s="13" t="n">
        <v>0.3</v>
      </c>
      <c r="T433" s="9" t="s">
        <v>4615</v>
      </c>
      <c r="U433" s="9"/>
      <c r="V433" s="9" t="s">
        <v>4571</v>
      </c>
      <c r="W433" s="9" t="s">
        <v>4850</v>
      </c>
      <c r="X433" s="11" t="s">
        <v>4850</v>
      </c>
      <c r="Y433" s="9" t="s">
        <v>4851</v>
      </c>
    </row>
    <row r="434" customFormat="false" ht="15" hidden="false" customHeight="false" outlineLevel="0" collapsed="false">
      <c r="A434" s="9" t="s">
        <v>2667</v>
      </c>
      <c r="B434" s="9" t="s">
        <v>2658</v>
      </c>
      <c r="C434" s="11" t="s">
        <v>2661</v>
      </c>
      <c r="D434" s="12" t="s">
        <v>2664</v>
      </c>
      <c r="E434" s="9" t="s">
        <v>2695</v>
      </c>
      <c r="F434" s="9" t="s">
        <v>2692</v>
      </c>
      <c r="G434" s="11" t="s">
        <v>2693</v>
      </c>
      <c r="H434" s="12" t="s">
        <v>2694</v>
      </c>
      <c r="I434" s="9"/>
      <c r="J434" s="11"/>
      <c r="K434" s="9"/>
      <c r="L434" s="9" t="s">
        <v>4604</v>
      </c>
      <c r="M434" s="9" t="s">
        <v>704</v>
      </c>
      <c r="N434" s="11" t="s">
        <v>706</v>
      </c>
      <c r="O434" s="12" t="s">
        <v>708</v>
      </c>
      <c r="P434" s="13" t="n">
        <v>15</v>
      </c>
      <c r="Q434" s="13" t="n">
        <v>10</v>
      </c>
      <c r="R434" s="13" t="n">
        <v>8</v>
      </c>
      <c r="S434" s="13" t="n">
        <v>0.3</v>
      </c>
      <c r="T434" s="9" t="s">
        <v>4615</v>
      </c>
      <c r="U434" s="9"/>
      <c r="V434" s="9" t="s">
        <v>4571</v>
      </c>
      <c r="W434" s="9"/>
      <c r="X434" s="11"/>
      <c r="Y434" s="9"/>
    </row>
    <row r="435" customFormat="false" ht="15" hidden="false" customHeight="false" outlineLevel="0" collapsed="false">
      <c r="A435" s="9" t="s">
        <v>2667</v>
      </c>
      <c r="B435" s="9" t="s">
        <v>2658</v>
      </c>
      <c r="C435" s="11" t="s">
        <v>2661</v>
      </c>
      <c r="D435" s="12" t="s">
        <v>2664</v>
      </c>
      <c r="E435" s="9" t="s">
        <v>2701</v>
      </c>
      <c r="F435" s="9" t="s">
        <v>2698</v>
      </c>
      <c r="G435" s="11" t="s">
        <v>2699</v>
      </c>
      <c r="H435" s="12" t="s">
        <v>2700</v>
      </c>
      <c r="I435" s="9"/>
      <c r="J435" s="11"/>
      <c r="K435" s="9"/>
      <c r="L435" s="9" t="s">
        <v>68</v>
      </c>
      <c r="M435" s="9" t="s">
        <v>2575</v>
      </c>
      <c r="N435" s="11" t="s">
        <v>2577</v>
      </c>
      <c r="O435" s="12" t="s">
        <v>2579</v>
      </c>
      <c r="P435" s="13" t="n">
        <v>15</v>
      </c>
      <c r="Q435" s="13" t="n">
        <v>10</v>
      </c>
      <c r="R435" s="13" t="n">
        <v>8</v>
      </c>
      <c r="S435" s="13" t="n">
        <v>0.3</v>
      </c>
      <c r="T435" s="9" t="s">
        <v>4615</v>
      </c>
      <c r="U435" s="9"/>
      <c r="V435" s="9" t="s">
        <v>4571</v>
      </c>
      <c r="W435" s="9"/>
      <c r="X435" s="11"/>
      <c r="Y435" s="9"/>
    </row>
    <row r="436" customFormat="false" ht="15" hidden="false" customHeight="false" outlineLevel="0" collapsed="false">
      <c r="A436" s="9" t="s">
        <v>2712</v>
      </c>
      <c r="B436" s="9" t="s">
        <v>2703</v>
      </c>
      <c r="C436" s="11" t="s">
        <v>2706</v>
      </c>
      <c r="D436" s="12" t="s">
        <v>2709</v>
      </c>
      <c r="E436" s="9" t="s">
        <v>2713</v>
      </c>
      <c r="F436" s="9" t="s">
        <v>2704</v>
      </c>
      <c r="G436" s="11" t="s">
        <v>2707</v>
      </c>
      <c r="H436" s="12" t="s">
        <v>2710</v>
      </c>
      <c r="I436" s="9"/>
      <c r="J436" s="11"/>
      <c r="K436" s="9"/>
      <c r="L436" s="9" t="s">
        <v>4604</v>
      </c>
      <c r="M436" s="9" t="s">
        <v>2705</v>
      </c>
      <c r="N436" s="11" t="s">
        <v>2708</v>
      </c>
      <c r="O436" s="12" t="s">
        <v>2711</v>
      </c>
      <c r="P436" s="13" t="n">
        <v>60</v>
      </c>
      <c r="Q436" s="13" t="n">
        <v>30</v>
      </c>
      <c r="R436" s="13" t="n">
        <v>28</v>
      </c>
      <c r="S436" s="13" t="n">
        <v>3.8</v>
      </c>
      <c r="T436" s="9" t="s">
        <v>4615</v>
      </c>
      <c r="U436" s="9" t="s">
        <v>4852</v>
      </c>
      <c r="V436" s="9" t="s">
        <v>4565</v>
      </c>
      <c r="W436" s="9"/>
      <c r="X436" s="11"/>
      <c r="Y436" s="9"/>
    </row>
    <row r="437" customFormat="false" ht="15" hidden="false" customHeight="false" outlineLevel="0" collapsed="false">
      <c r="A437" s="9" t="s">
        <v>2712</v>
      </c>
      <c r="B437" s="9" t="s">
        <v>2703</v>
      </c>
      <c r="C437" s="11" t="s">
        <v>2706</v>
      </c>
      <c r="D437" s="12" t="s">
        <v>2709</v>
      </c>
      <c r="E437" s="9" t="s">
        <v>2719</v>
      </c>
      <c r="F437" s="9" t="s">
        <v>2716</v>
      </c>
      <c r="G437" s="11" t="s">
        <v>2717</v>
      </c>
      <c r="H437" s="12" t="s">
        <v>2718</v>
      </c>
      <c r="I437" s="9"/>
      <c r="J437" s="11"/>
      <c r="K437" s="9"/>
      <c r="L437" s="9" t="s">
        <v>68</v>
      </c>
      <c r="M437" s="9" t="s">
        <v>2705</v>
      </c>
      <c r="N437" s="11" t="s">
        <v>2708</v>
      </c>
      <c r="O437" s="12" t="s">
        <v>2711</v>
      </c>
      <c r="P437" s="13" t="n">
        <v>6</v>
      </c>
      <c r="Q437" s="13" t="n">
        <v>4</v>
      </c>
      <c r="R437" s="13" t="n">
        <v>3</v>
      </c>
      <c r="S437" s="13" t="n">
        <v>0.02</v>
      </c>
      <c r="T437" s="9" t="s">
        <v>4615</v>
      </c>
      <c r="U437" s="9"/>
      <c r="V437" s="9" t="s">
        <v>4680</v>
      </c>
      <c r="W437" s="9" t="s">
        <v>4853</v>
      </c>
      <c r="X437" s="11" t="s">
        <v>4854</v>
      </c>
      <c r="Y437" s="9"/>
    </row>
    <row r="438" customFormat="false" ht="15" hidden="false" customHeight="false" outlineLevel="0" collapsed="false">
      <c r="A438" s="9" t="s">
        <v>2712</v>
      </c>
      <c r="B438" s="9" t="s">
        <v>2703</v>
      </c>
      <c r="C438" s="11" t="s">
        <v>2706</v>
      </c>
      <c r="D438" s="12" t="s">
        <v>2709</v>
      </c>
      <c r="E438" s="9" t="s">
        <v>2724</v>
      </c>
      <c r="F438" s="9" t="s">
        <v>2721</v>
      </c>
      <c r="G438" s="11" t="s">
        <v>2722</v>
      </c>
      <c r="H438" s="9" t="s">
        <v>2723</v>
      </c>
      <c r="I438" s="9"/>
      <c r="J438" s="11"/>
      <c r="K438" s="9"/>
      <c r="L438" s="9" t="s">
        <v>68</v>
      </c>
      <c r="M438" s="9" t="s">
        <v>2705</v>
      </c>
      <c r="N438" s="11" t="s">
        <v>2708</v>
      </c>
      <c r="O438" s="12" t="s">
        <v>2711</v>
      </c>
      <c r="P438" s="13" t="n">
        <v>10</v>
      </c>
      <c r="Q438" s="13" t="n">
        <v>8</v>
      </c>
      <c r="R438" s="13" t="n">
        <v>6</v>
      </c>
      <c r="S438" s="13" t="n">
        <v>0.1</v>
      </c>
      <c r="T438" s="9" t="s">
        <v>4615</v>
      </c>
      <c r="U438" s="9"/>
      <c r="V438" s="9" t="s">
        <v>4572</v>
      </c>
      <c r="W438" s="9" t="s">
        <v>4853</v>
      </c>
      <c r="X438" s="11"/>
      <c r="Y438" s="9"/>
    </row>
    <row r="439" customFormat="false" ht="15" hidden="false" customHeight="false" outlineLevel="0" collapsed="false">
      <c r="A439" s="9" t="s">
        <v>2712</v>
      </c>
      <c r="B439" s="9" t="s">
        <v>2703</v>
      </c>
      <c r="C439" s="11" t="s">
        <v>2706</v>
      </c>
      <c r="D439" s="12" t="s">
        <v>2709</v>
      </c>
      <c r="E439" s="9" t="s">
        <v>2729</v>
      </c>
      <c r="F439" s="9" t="s">
        <v>2726</v>
      </c>
      <c r="G439" s="11" t="s">
        <v>2727</v>
      </c>
      <c r="H439" s="12" t="s">
        <v>2728</v>
      </c>
      <c r="I439" s="9"/>
      <c r="J439" s="11"/>
      <c r="K439" s="9"/>
      <c r="L439" s="9" t="s">
        <v>68</v>
      </c>
      <c r="M439" s="9" t="s">
        <v>2705</v>
      </c>
      <c r="N439" s="11" t="s">
        <v>2708</v>
      </c>
      <c r="O439" s="12" t="s">
        <v>2711</v>
      </c>
      <c r="P439" s="13" t="n">
        <v>6</v>
      </c>
      <c r="Q439" s="13" t="n">
        <v>4</v>
      </c>
      <c r="R439" s="13" t="n">
        <v>3</v>
      </c>
      <c r="S439" s="13" t="n">
        <v>0.02</v>
      </c>
      <c r="T439" s="9" t="s">
        <v>4615</v>
      </c>
      <c r="U439" s="9"/>
      <c r="V439" s="9" t="s">
        <v>4680</v>
      </c>
      <c r="W439" s="9" t="s">
        <v>4855</v>
      </c>
      <c r="X439" s="11"/>
      <c r="Y439" s="9"/>
    </row>
    <row r="440" customFormat="false" ht="15" hidden="false" customHeight="false" outlineLevel="0" collapsed="false">
      <c r="A440" s="9" t="s">
        <v>2712</v>
      </c>
      <c r="B440" s="9" t="s">
        <v>2703</v>
      </c>
      <c r="C440" s="11" t="s">
        <v>2706</v>
      </c>
      <c r="D440" s="12" t="s">
        <v>2709</v>
      </c>
      <c r="E440" s="9" t="s">
        <v>2734</v>
      </c>
      <c r="F440" s="9" t="s">
        <v>2731</v>
      </c>
      <c r="G440" s="11" t="s">
        <v>2732</v>
      </c>
      <c r="H440" s="12" t="s">
        <v>2733</v>
      </c>
      <c r="I440" s="9"/>
      <c r="J440" s="11"/>
      <c r="K440" s="9"/>
      <c r="L440" s="9" t="s">
        <v>4604</v>
      </c>
      <c r="M440" s="9" t="s">
        <v>2705</v>
      </c>
      <c r="N440" s="11" t="s">
        <v>2708</v>
      </c>
      <c r="O440" s="12" t="s">
        <v>2711</v>
      </c>
      <c r="P440" s="13" t="n">
        <v>15</v>
      </c>
      <c r="Q440" s="13" t="n">
        <v>10</v>
      </c>
      <c r="R440" s="13" t="n">
        <v>8</v>
      </c>
      <c r="S440" s="13" t="n">
        <v>0.3</v>
      </c>
      <c r="T440" s="9" t="s">
        <v>4615</v>
      </c>
      <c r="U440" s="9"/>
      <c r="V440" s="9" t="s">
        <v>4571</v>
      </c>
      <c r="W440" s="9"/>
      <c r="X440" s="11"/>
      <c r="Y440" s="9"/>
    </row>
    <row r="441" customFormat="false" ht="15" hidden="false" customHeight="false" outlineLevel="0" collapsed="false">
      <c r="A441" s="9" t="s">
        <v>2712</v>
      </c>
      <c r="B441" s="9" t="s">
        <v>2703</v>
      </c>
      <c r="C441" s="11" t="s">
        <v>2706</v>
      </c>
      <c r="D441" s="12" t="s">
        <v>2709</v>
      </c>
      <c r="E441" s="9" t="s">
        <v>2740</v>
      </c>
      <c r="F441" s="9" t="s">
        <v>2737</v>
      </c>
      <c r="G441" s="11" t="s">
        <v>2738</v>
      </c>
      <c r="H441" s="9" t="s">
        <v>2739</v>
      </c>
      <c r="I441" s="9"/>
      <c r="J441" s="11"/>
      <c r="K441" s="9"/>
      <c r="L441" s="9" t="s">
        <v>4604</v>
      </c>
      <c r="M441" s="9" t="s">
        <v>2705</v>
      </c>
      <c r="N441" s="11" t="s">
        <v>2708</v>
      </c>
      <c r="O441" s="12" t="s">
        <v>2711</v>
      </c>
      <c r="P441" s="13" t="n">
        <v>15</v>
      </c>
      <c r="Q441" s="13" t="n">
        <v>10</v>
      </c>
      <c r="R441" s="13" t="n">
        <v>8</v>
      </c>
      <c r="S441" s="13" t="n">
        <v>0.3</v>
      </c>
      <c r="T441" s="9" t="s">
        <v>4615</v>
      </c>
      <c r="U441" s="9"/>
      <c r="V441" s="9" t="s">
        <v>4571</v>
      </c>
      <c r="W441" s="9" t="s">
        <v>4856</v>
      </c>
      <c r="X441" s="11"/>
      <c r="Y441" s="9"/>
    </row>
    <row r="442" customFormat="false" ht="15" hidden="false" customHeight="false" outlineLevel="0" collapsed="false">
      <c r="A442" s="9" t="s">
        <v>2712</v>
      </c>
      <c r="B442" s="9" t="s">
        <v>2703</v>
      </c>
      <c r="C442" s="11" t="s">
        <v>2706</v>
      </c>
      <c r="D442" s="12" t="s">
        <v>2709</v>
      </c>
      <c r="E442" s="9" t="s">
        <v>2746</v>
      </c>
      <c r="F442" s="9" t="s">
        <v>2743</v>
      </c>
      <c r="G442" s="11" t="s">
        <v>2744</v>
      </c>
      <c r="H442" s="12" t="s">
        <v>2745</v>
      </c>
      <c r="I442" s="9"/>
      <c r="J442" s="11"/>
      <c r="K442" s="9"/>
      <c r="L442" s="9" t="s">
        <v>4604</v>
      </c>
      <c r="M442" s="9" t="s">
        <v>2705</v>
      </c>
      <c r="N442" s="11" t="s">
        <v>2708</v>
      </c>
      <c r="O442" s="12" t="s">
        <v>2711</v>
      </c>
      <c r="P442" s="13" t="n">
        <v>30</v>
      </c>
      <c r="Q442" s="13" t="n">
        <v>20</v>
      </c>
      <c r="R442" s="13" t="n">
        <v>15</v>
      </c>
      <c r="S442" s="13" t="n">
        <v>1.8</v>
      </c>
      <c r="T442" s="9" t="s">
        <v>4615</v>
      </c>
      <c r="U442" s="9" t="s">
        <v>4852</v>
      </c>
      <c r="V442" s="9" t="s">
        <v>4581</v>
      </c>
      <c r="W442" s="9"/>
      <c r="X442" s="11"/>
      <c r="Y442" s="9"/>
    </row>
    <row r="443" customFormat="false" ht="15" hidden="false" customHeight="false" outlineLevel="0" collapsed="false">
      <c r="A443" s="9" t="s">
        <v>2712</v>
      </c>
      <c r="B443" s="9" t="s">
        <v>2703</v>
      </c>
      <c r="C443" s="11" t="s">
        <v>2706</v>
      </c>
      <c r="D443" s="12" t="s">
        <v>2709</v>
      </c>
      <c r="E443" s="9" t="s">
        <v>2752</v>
      </c>
      <c r="F443" s="9" t="s">
        <v>2749</v>
      </c>
      <c r="G443" s="11" t="s">
        <v>2750</v>
      </c>
      <c r="H443" s="12" t="s">
        <v>2751</v>
      </c>
      <c r="I443" s="9"/>
      <c r="J443" s="11"/>
      <c r="K443" s="9"/>
      <c r="L443" s="9" t="s">
        <v>4604</v>
      </c>
      <c r="M443" s="9" t="s">
        <v>2705</v>
      </c>
      <c r="N443" s="11" t="s">
        <v>2708</v>
      </c>
      <c r="O443" s="12" t="s">
        <v>2711</v>
      </c>
      <c r="P443" s="13" t="n">
        <v>15</v>
      </c>
      <c r="Q443" s="13" t="n">
        <v>10</v>
      </c>
      <c r="R443" s="13" t="n">
        <v>8</v>
      </c>
      <c r="S443" s="13" t="n">
        <v>0.3</v>
      </c>
      <c r="T443" s="9" t="s">
        <v>4615</v>
      </c>
      <c r="U443" s="9"/>
      <c r="V443" s="9" t="s">
        <v>4571</v>
      </c>
      <c r="W443" s="9"/>
      <c r="X443" s="11"/>
      <c r="Y443" s="9"/>
    </row>
    <row r="444" customFormat="false" ht="15" hidden="false" customHeight="false" outlineLevel="0" collapsed="false">
      <c r="A444" s="9" t="s">
        <v>2712</v>
      </c>
      <c r="B444" s="9" t="s">
        <v>2703</v>
      </c>
      <c r="C444" s="11" t="s">
        <v>2706</v>
      </c>
      <c r="D444" s="12" t="s">
        <v>2709</v>
      </c>
      <c r="E444" s="9" t="s">
        <v>2758</v>
      </c>
      <c r="F444" s="9" t="s">
        <v>2755</v>
      </c>
      <c r="G444" s="11" t="s">
        <v>2756</v>
      </c>
      <c r="H444" s="12" t="s">
        <v>2757</v>
      </c>
      <c r="I444" s="9"/>
      <c r="J444" s="11"/>
      <c r="K444" s="9"/>
      <c r="L444" s="9" t="s">
        <v>4604</v>
      </c>
      <c r="M444" s="9" t="s">
        <v>2685</v>
      </c>
      <c r="N444" s="11" t="s">
        <v>2687</v>
      </c>
      <c r="O444" s="12" t="s">
        <v>2689</v>
      </c>
      <c r="P444" s="13" t="n">
        <v>22</v>
      </c>
      <c r="Q444" s="13" t="n">
        <v>15</v>
      </c>
      <c r="R444" s="13" t="n">
        <v>12</v>
      </c>
      <c r="S444" s="13" t="n">
        <v>0.9</v>
      </c>
      <c r="T444" s="9" t="s">
        <v>4615</v>
      </c>
      <c r="U444" s="9" t="s">
        <v>4852</v>
      </c>
      <c r="V444" s="9" t="s">
        <v>4565</v>
      </c>
      <c r="W444" s="9"/>
      <c r="X444" s="11"/>
      <c r="Y444" s="9"/>
    </row>
    <row r="445" customFormat="false" ht="15" hidden="false" customHeight="false" outlineLevel="0" collapsed="false">
      <c r="A445" s="9" t="s">
        <v>2712</v>
      </c>
      <c r="B445" s="9" t="s">
        <v>2703</v>
      </c>
      <c r="C445" s="11" t="s">
        <v>2706</v>
      </c>
      <c r="D445" s="12" t="s">
        <v>2709</v>
      </c>
      <c r="E445" s="9" t="s">
        <v>2764</v>
      </c>
      <c r="F445" s="9" t="s">
        <v>2761</v>
      </c>
      <c r="G445" s="11" t="s">
        <v>2762</v>
      </c>
      <c r="H445" s="12" t="s">
        <v>2763</v>
      </c>
      <c r="I445" s="9"/>
      <c r="J445" s="11"/>
      <c r="K445" s="9"/>
      <c r="L445" s="9" t="s">
        <v>68</v>
      </c>
      <c r="M445" s="9" t="s">
        <v>2685</v>
      </c>
      <c r="N445" s="11" t="s">
        <v>2687</v>
      </c>
      <c r="O445" s="12" t="s">
        <v>2689</v>
      </c>
      <c r="P445" s="13" t="n">
        <v>6</v>
      </c>
      <c r="Q445" s="13" t="n">
        <v>4</v>
      </c>
      <c r="R445" s="13" t="n">
        <v>3</v>
      </c>
      <c r="S445" s="13" t="n">
        <v>0.02</v>
      </c>
      <c r="T445" s="9" t="s">
        <v>4615</v>
      </c>
      <c r="U445" s="9"/>
      <c r="V445" s="9" t="s">
        <v>4680</v>
      </c>
      <c r="W445" s="9"/>
      <c r="X445" s="11"/>
      <c r="Y445" s="9"/>
    </row>
    <row r="446" customFormat="false" ht="15" hidden="false" customHeight="false" outlineLevel="0" collapsed="false">
      <c r="A446" s="9" t="s">
        <v>2712</v>
      </c>
      <c r="B446" s="9" t="s">
        <v>2703</v>
      </c>
      <c r="C446" s="11" t="s">
        <v>2706</v>
      </c>
      <c r="D446" s="12" t="s">
        <v>2709</v>
      </c>
      <c r="E446" s="9" t="s">
        <v>2769</v>
      </c>
      <c r="F446" s="9" t="s">
        <v>2766</v>
      </c>
      <c r="G446" s="11" t="s">
        <v>2767</v>
      </c>
      <c r="H446" s="12" t="s">
        <v>2768</v>
      </c>
      <c r="I446" s="9"/>
      <c r="J446" s="11"/>
      <c r="K446" s="9"/>
      <c r="L446" s="9" t="s">
        <v>4604</v>
      </c>
      <c r="M446" s="9" t="s">
        <v>2685</v>
      </c>
      <c r="N446" s="11" t="s">
        <v>2687</v>
      </c>
      <c r="O446" s="12" t="s">
        <v>2689</v>
      </c>
      <c r="P446" s="13" t="n">
        <v>25</v>
      </c>
      <c r="Q446" s="13" t="n">
        <v>15</v>
      </c>
      <c r="R446" s="13" t="n">
        <v>10</v>
      </c>
      <c r="S446" s="13" t="n">
        <v>0.9</v>
      </c>
      <c r="T446" s="9" t="s">
        <v>4615</v>
      </c>
      <c r="U446" s="9" t="s">
        <v>4852</v>
      </c>
      <c r="V446" s="9" t="s">
        <v>4568</v>
      </c>
      <c r="W446" s="9" t="s">
        <v>4857</v>
      </c>
      <c r="X446" s="11" t="s">
        <v>4857</v>
      </c>
      <c r="Y446" s="9"/>
    </row>
    <row r="447" customFormat="false" ht="15" hidden="false" customHeight="false" outlineLevel="0" collapsed="false">
      <c r="A447" s="9" t="s">
        <v>2712</v>
      </c>
      <c r="B447" s="9" t="s">
        <v>2703</v>
      </c>
      <c r="C447" s="11" t="s">
        <v>2706</v>
      </c>
      <c r="D447" s="12" t="s">
        <v>2709</v>
      </c>
      <c r="E447" s="9" t="s">
        <v>2775</v>
      </c>
      <c r="F447" s="9" t="s">
        <v>2772</v>
      </c>
      <c r="G447" s="11" t="s">
        <v>2773</v>
      </c>
      <c r="H447" s="12" t="s">
        <v>2774</v>
      </c>
      <c r="I447" s="9"/>
      <c r="J447" s="11"/>
      <c r="K447" s="9"/>
      <c r="L447" s="9" t="s">
        <v>4604</v>
      </c>
      <c r="M447" s="9" t="s">
        <v>2685</v>
      </c>
      <c r="N447" s="11" t="s">
        <v>2687</v>
      </c>
      <c r="O447" s="12" t="s">
        <v>2689</v>
      </c>
      <c r="P447" s="13" t="n">
        <v>15</v>
      </c>
      <c r="Q447" s="13" t="n">
        <v>10</v>
      </c>
      <c r="R447" s="13" t="n">
        <v>8</v>
      </c>
      <c r="S447" s="13" t="n">
        <v>0.3</v>
      </c>
      <c r="T447" s="9" t="s">
        <v>4615</v>
      </c>
      <c r="U447" s="9" t="s">
        <v>4852</v>
      </c>
      <c r="V447" s="9" t="s">
        <v>4571</v>
      </c>
      <c r="W447" s="9" t="s">
        <v>4858</v>
      </c>
      <c r="X447" s="11"/>
      <c r="Y447" s="9"/>
    </row>
    <row r="448" customFormat="false" ht="15" hidden="false" customHeight="false" outlineLevel="0" collapsed="false">
      <c r="A448" s="9" t="s">
        <v>2712</v>
      </c>
      <c r="B448" s="9" t="s">
        <v>2703</v>
      </c>
      <c r="C448" s="11" t="s">
        <v>2706</v>
      </c>
      <c r="D448" s="12" t="s">
        <v>2709</v>
      </c>
      <c r="E448" s="9" t="s">
        <v>2784</v>
      </c>
      <c r="F448" s="9" t="s">
        <v>2778</v>
      </c>
      <c r="G448" s="11" t="s">
        <v>2780</v>
      </c>
      <c r="H448" s="12" t="s">
        <v>2782</v>
      </c>
      <c r="I448" s="9"/>
      <c r="J448" s="11"/>
      <c r="K448" s="9"/>
      <c r="L448" s="9" t="s">
        <v>4604</v>
      </c>
      <c r="M448" s="9" t="s">
        <v>2779</v>
      </c>
      <c r="N448" s="11" t="s">
        <v>2781</v>
      </c>
      <c r="O448" s="12" t="s">
        <v>2783</v>
      </c>
      <c r="P448" s="13" t="n">
        <v>15</v>
      </c>
      <c r="Q448" s="13" t="n">
        <v>10</v>
      </c>
      <c r="R448" s="13" t="n">
        <v>8</v>
      </c>
      <c r="S448" s="13" t="n">
        <v>0.3</v>
      </c>
      <c r="T448" s="9" t="s">
        <v>4615</v>
      </c>
      <c r="U448" s="9" t="s">
        <v>4852</v>
      </c>
      <c r="V448" s="9" t="s">
        <v>4571</v>
      </c>
      <c r="W448" s="9" t="s">
        <v>4859</v>
      </c>
      <c r="X448" s="11" t="s">
        <v>4860</v>
      </c>
      <c r="Y448" s="9"/>
    </row>
    <row r="449" customFormat="false" ht="15" hidden="false" customHeight="false" outlineLevel="0" collapsed="false">
      <c r="A449" s="9" t="s">
        <v>2712</v>
      </c>
      <c r="B449" s="9" t="s">
        <v>2703</v>
      </c>
      <c r="C449" s="11" t="s">
        <v>2706</v>
      </c>
      <c r="D449" s="12" t="s">
        <v>2709</v>
      </c>
      <c r="E449" s="9" t="s">
        <v>2790</v>
      </c>
      <c r="F449" s="9" t="s">
        <v>2787</v>
      </c>
      <c r="G449" s="11" t="s">
        <v>2788</v>
      </c>
      <c r="H449" s="12" t="s">
        <v>2789</v>
      </c>
      <c r="I449" s="9"/>
      <c r="J449" s="11"/>
      <c r="K449" s="9"/>
      <c r="L449" s="9" t="s">
        <v>68</v>
      </c>
      <c r="M449" s="9" t="s">
        <v>2660</v>
      </c>
      <c r="N449" s="11" t="s">
        <v>2663</v>
      </c>
      <c r="O449" s="12" t="s">
        <v>2666</v>
      </c>
      <c r="P449" s="13" t="n">
        <v>6</v>
      </c>
      <c r="Q449" s="13" t="n">
        <v>4</v>
      </c>
      <c r="R449" s="13" t="n">
        <v>3</v>
      </c>
      <c r="S449" s="13" t="n">
        <v>0.02</v>
      </c>
      <c r="T449" s="9" t="s">
        <v>4615</v>
      </c>
      <c r="U449" s="9"/>
      <c r="V449" s="9" t="s">
        <v>4680</v>
      </c>
      <c r="W449" s="9"/>
      <c r="X449" s="11"/>
      <c r="Y449" s="9"/>
    </row>
    <row r="450" customFormat="false" ht="15" hidden="false" customHeight="false" outlineLevel="0" collapsed="false">
      <c r="A450" s="9" t="s">
        <v>2712</v>
      </c>
      <c r="B450" s="9" t="s">
        <v>2703</v>
      </c>
      <c r="C450" s="11" t="s">
        <v>2706</v>
      </c>
      <c r="D450" s="12" t="s">
        <v>2709</v>
      </c>
      <c r="E450" s="9" t="s">
        <v>2798</v>
      </c>
      <c r="F450" s="9" t="s">
        <v>2792</v>
      </c>
      <c r="G450" s="11" t="s">
        <v>2794</v>
      </c>
      <c r="H450" s="12" t="s">
        <v>2796</v>
      </c>
      <c r="I450" s="9"/>
      <c r="J450" s="11"/>
      <c r="K450" s="9"/>
      <c r="L450" s="9" t="s">
        <v>4604</v>
      </c>
      <c r="M450" s="9" t="s">
        <v>2793</v>
      </c>
      <c r="N450" s="11" t="s">
        <v>2795</v>
      </c>
      <c r="O450" s="12" t="s">
        <v>2797</v>
      </c>
      <c r="P450" s="13" t="n">
        <v>55</v>
      </c>
      <c r="Q450" s="13" t="n">
        <v>25</v>
      </c>
      <c r="R450" s="13" t="n">
        <v>20</v>
      </c>
      <c r="S450" s="13" t="n">
        <v>2.2</v>
      </c>
      <c r="T450" s="9" t="s">
        <v>4615</v>
      </c>
      <c r="U450" s="9" t="s">
        <v>4852</v>
      </c>
      <c r="V450" s="9" t="s">
        <v>4565</v>
      </c>
      <c r="W450" s="9"/>
      <c r="X450" s="11"/>
      <c r="Y450" s="9"/>
    </row>
    <row r="451" customFormat="false" ht="15" hidden="false" customHeight="false" outlineLevel="0" collapsed="false">
      <c r="A451" s="9" t="s">
        <v>2712</v>
      </c>
      <c r="B451" s="9" t="s">
        <v>2703</v>
      </c>
      <c r="C451" s="11" t="s">
        <v>2706</v>
      </c>
      <c r="D451" s="12" t="s">
        <v>2709</v>
      </c>
      <c r="E451" s="9" t="s">
        <v>2804</v>
      </c>
      <c r="F451" s="9" t="s">
        <v>2801</v>
      </c>
      <c r="G451" s="11" t="s">
        <v>2802</v>
      </c>
      <c r="H451" s="12" t="s">
        <v>2803</v>
      </c>
      <c r="I451" s="9"/>
      <c r="J451" s="11"/>
      <c r="K451" s="9"/>
      <c r="L451" s="9" t="s">
        <v>68</v>
      </c>
      <c r="M451" s="9" t="s">
        <v>2793</v>
      </c>
      <c r="N451" s="11" t="s">
        <v>2795</v>
      </c>
      <c r="O451" s="12" t="s">
        <v>2797</v>
      </c>
      <c r="P451" s="13" t="n">
        <v>6</v>
      </c>
      <c r="Q451" s="13" t="n">
        <v>4</v>
      </c>
      <c r="R451" s="13" t="n">
        <v>3</v>
      </c>
      <c r="S451" s="13" t="n">
        <v>0.02</v>
      </c>
      <c r="T451" s="9" t="s">
        <v>4615</v>
      </c>
      <c r="U451" s="9"/>
      <c r="V451" s="9" t="s">
        <v>4680</v>
      </c>
      <c r="W451" s="9"/>
      <c r="X451" s="11"/>
      <c r="Y451" s="9"/>
    </row>
    <row r="452" customFormat="false" ht="15" hidden="false" customHeight="false" outlineLevel="0" collapsed="false">
      <c r="A452" s="9" t="s">
        <v>2712</v>
      </c>
      <c r="B452" s="9" t="s">
        <v>2703</v>
      </c>
      <c r="C452" s="11" t="s">
        <v>2706</v>
      </c>
      <c r="D452" s="12" t="s">
        <v>2709</v>
      </c>
      <c r="E452" s="9" t="s">
        <v>2809</v>
      </c>
      <c r="F452" s="9" t="s">
        <v>2806</v>
      </c>
      <c r="G452" s="11" t="s">
        <v>2807</v>
      </c>
      <c r="H452" s="12" t="s">
        <v>2808</v>
      </c>
      <c r="I452" s="9"/>
      <c r="J452" s="11"/>
      <c r="K452" s="9"/>
      <c r="L452" s="9" t="s">
        <v>4604</v>
      </c>
      <c r="M452" s="9" t="s">
        <v>2793</v>
      </c>
      <c r="N452" s="11" t="s">
        <v>2795</v>
      </c>
      <c r="O452" s="12" t="s">
        <v>2797</v>
      </c>
      <c r="P452" s="13" t="n">
        <v>10</v>
      </c>
      <c r="Q452" s="13" t="n">
        <v>8</v>
      </c>
      <c r="R452" s="13" t="n">
        <v>6</v>
      </c>
      <c r="S452" s="13" t="n">
        <v>0.1</v>
      </c>
      <c r="T452" s="9" t="s">
        <v>4615</v>
      </c>
      <c r="U452" s="9"/>
      <c r="V452" s="9" t="s">
        <v>4572</v>
      </c>
      <c r="W452" s="9" t="s">
        <v>4861</v>
      </c>
      <c r="X452" s="11"/>
      <c r="Y452" s="9"/>
    </row>
    <row r="453" customFormat="false" ht="15" hidden="false" customHeight="false" outlineLevel="0" collapsed="false">
      <c r="A453" s="9" t="s">
        <v>2712</v>
      </c>
      <c r="B453" s="9" t="s">
        <v>2703</v>
      </c>
      <c r="C453" s="11" t="s">
        <v>2706</v>
      </c>
      <c r="D453" s="12" t="s">
        <v>2709</v>
      </c>
      <c r="E453" s="9" t="s">
        <v>2818</v>
      </c>
      <c r="F453" s="9" t="s">
        <v>2812</v>
      </c>
      <c r="G453" s="11" t="s">
        <v>2814</v>
      </c>
      <c r="H453" s="12" t="s">
        <v>2816</v>
      </c>
      <c r="I453" s="9"/>
      <c r="J453" s="11"/>
      <c r="K453" s="9"/>
      <c r="L453" s="9" t="s">
        <v>68</v>
      </c>
      <c r="M453" s="9" t="s">
        <v>2813</v>
      </c>
      <c r="N453" s="11" t="s">
        <v>2815</v>
      </c>
      <c r="O453" s="12" t="s">
        <v>2817</v>
      </c>
      <c r="P453" s="13" t="n">
        <v>15</v>
      </c>
      <c r="Q453" s="13" t="n">
        <v>10</v>
      </c>
      <c r="R453" s="13" t="n">
        <v>8</v>
      </c>
      <c r="S453" s="13" t="n">
        <v>0.3</v>
      </c>
      <c r="T453" s="9" t="s">
        <v>4615</v>
      </c>
      <c r="U453" s="9" t="s">
        <v>4852</v>
      </c>
      <c r="V453" s="9" t="s">
        <v>4571</v>
      </c>
      <c r="W453" s="9"/>
      <c r="X453" s="11" t="s">
        <v>4862</v>
      </c>
      <c r="Y453" s="9"/>
    </row>
    <row r="454" customFormat="false" ht="15" hidden="false" customHeight="false" outlineLevel="0" collapsed="false">
      <c r="A454" s="9" t="s">
        <v>2712</v>
      </c>
      <c r="B454" s="9" t="s">
        <v>2703</v>
      </c>
      <c r="C454" s="11" t="s">
        <v>2706</v>
      </c>
      <c r="D454" s="12" t="s">
        <v>2709</v>
      </c>
      <c r="E454" s="9" t="s">
        <v>2823</v>
      </c>
      <c r="F454" s="9" t="s">
        <v>2820</v>
      </c>
      <c r="G454" s="11" t="s">
        <v>2821</v>
      </c>
      <c r="H454" s="12" t="s">
        <v>2822</v>
      </c>
      <c r="I454" s="9"/>
      <c r="J454" s="11"/>
      <c r="K454" s="9"/>
      <c r="L454" s="9" t="s">
        <v>4604</v>
      </c>
      <c r="M454" s="9" t="s">
        <v>704</v>
      </c>
      <c r="N454" s="11" t="s">
        <v>706</v>
      </c>
      <c r="O454" s="12" t="s">
        <v>708</v>
      </c>
      <c r="P454" s="13" t="n">
        <v>15</v>
      </c>
      <c r="Q454" s="13" t="n">
        <v>10</v>
      </c>
      <c r="R454" s="13" t="n">
        <v>8</v>
      </c>
      <c r="S454" s="13" t="n">
        <v>0.3</v>
      </c>
      <c r="T454" s="9" t="s">
        <v>4615</v>
      </c>
      <c r="U454" s="9" t="s">
        <v>4852</v>
      </c>
      <c r="V454" s="9" t="s">
        <v>4571</v>
      </c>
      <c r="W454" s="9"/>
      <c r="X454" s="11"/>
      <c r="Y454" s="9"/>
    </row>
    <row r="455" customFormat="false" ht="15" hidden="false" customHeight="false" outlineLevel="0" collapsed="false">
      <c r="A455" s="9" t="s">
        <v>2712</v>
      </c>
      <c r="B455" s="9" t="s">
        <v>2703</v>
      </c>
      <c r="C455" s="11" t="s">
        <v>2706</v>
      </c>
      <c r="D455" s="12" t="s">
        <v>2709</v>
      </c>
      <c r="E455" s="9" t="s">
        <v>2829</v>
      </c>
      <c r="F455" s="9" t="s">
        <v>2826</v>
      </c>
      <c r="G455" s="11" t="s">
        <v>2827</v>
      </c>
      <c r="H455" s="12" t="s">
        <v>2828</v>
      </c>
      <c r="I455" s="9"/>
      <c r="J455" s="11"/>
      <c r="K455" s="9"/>
      <c r="L455" s="9" t="s">
        <v>4604</v>
      </c>
      <c r="M455" s="9" t="s">
        <v>704</v>
      </c>
      <c r="N455" s="11" t="s">
        <v>706</v>
      </c>
      <c r="O455" s="12" t="s">
        <v>708</v>
      </c>
      <c r="P455" s="13" t="n">
        <v>15</v>
      </c>
      <c r="Q455" s="13" t="n">
        <v>10</v>
      </c>
      <c r="R455" s="13" t="n">
        <v>8</v>
      </c>
      <c r="S455" s="13" t="n">
        <v>0.3</v>
      </c>
      <c r="T455" s="9" t="s">
        <v>4615</v>
      </c>
      <c r="U455" s="9" t="s">
        <v>4852</v>
      </c>
      <c r="V455" s="9" t="s">
        <v>4571</v>
      </c>
      <c r="W455" s="9"/>
      <c r="X455" s="11"/>
      <c r="Y455" s="9"/>
    </row>
    <row r="456" customFormat="false" ht="15" hidden="false" customHeight="false" outlineLevel="0" collapsed="false">
      <c r="A456" s="9" t="s">
        <v>2712</v>
      </c>
      <c r="B456" s="9" t="s">
        <v>2703</v>
      </c>
      <c r="C456" s="11" t="s">
        <v>2706</v>
      </c>
      <c r="D456" s="12" t="s">
        <v>2709</v>
      </c>
      <c r="E456" s="9" t="s">
        <v>2835</v>
      </c>
      <c r="F456" s="9" t="s">
        <v>2832</v>
      </c>
      <c r="G456" s="11" t="s">
        <v>2833</v>
      </c>
      <c r="H456" s="12" t="s">
        <v>2834</v>
      </c>
      <c r="I456" s="9"/>
      <c r="J456" s="11"/>
      <c r="K456" s="9"/>
      <c r="L456" s="9" t="s">
        <v>4604</v>
      </c>
      <c r="M456" s="9" t="s">
        <v>704</v>
      </c>
      <c r="N456" s="11" t="s">
        <v>706</v>
      </c>
      <c r="O456" s="12" t="s">
        <v>708</v>
      </c>
      <c r="P456" s="13" t="n">
        <v>10</v>
      </c>
      <c r="Q456" s="13" t="n">
        <v>8</v>
      </c>
      <c r="R456" s="13" t="n">
        <v>6</v>
      </c>
      <c r="S456" s="13" t="n">
        <v>0.1</v>
      </c>
      <c r="T456" s="9" t="s">
        <v>4615</v>
      </c>
      <c r="U456" s="9"/>
      <c r="V456" s="9" t="s">
        <v>4572</v>
      </c>
      <c r="W456" s="9"/>
      <c r="X456" s="11"/>
      <c r="Y456" s="9"/>
    </row>
    <row r="457" customFormat="false" ht="15" hidden="false" customHeight="false" outlineLevel="0" collapsed="false">
      <c r="A457" s="9" t="s">
        <v>2712</v>
      </c>
      <c r="B457" s="9" t="s">
        <v>2703</v>
      </c>
      <c r="C457" s="11" t="s">
        <v>2706</v>
      </c>
      <c r="D457" s="12" t="s">
        <v>2709</v>
      </c>
      <c r="E457" s="9" t="s">
        <v>2844</v>
      </c>
      <c r="F457" s="9" t="s">
        <v>2838</v>
      </c>
      <c r="G457" s="11" t="s">
        <v>2840</v>
      </c>
      <c r="H457" s="12" t="s">
        <v>2842</v>
      </c>
      <c r="I457" s="9"/>
      <c r="J457" s="11"/>
      <c r="K457" s="9"/>
      <c r="L457" s="9" t="s">
        <v>4604</v>
      </c>
      <c r="M457" s="9" t="s">
        <v>2839</v>
      </c>
      <c r="N457" s="11" t="s">
        <v>2841</v>
      </c>
      <c r="O457" s="12" t="s">
        <v>2843</v>
      </c>
      <c r="P457" s="13" t="n">
        <v>10</v>
      </c>
      <c r="Q457" s="13" t="n">
        <v>8</v>
      </c>
      <c r="R457" s="13" t="n">
        <v>6</v>
      </c>
      <c r="S457" s="13" t="n">
        <v>0.1</v>
      </c>
      <c r="T457" s="9" t="s">
        <v>4615</v>
      </c>
      <c r="U457" s="9"/>
      <c r="V457" s="9" t="s">
        <v>4572</v>
      </c>
      <c r="W457" s="9"/>
      <c r="X457" s="11" t="s">
        <v>4863</v>
      </c>
      <c r="Y457" s="9"/>
    </row>
    <row r="458" customFormat="false" ht="15" hidden="false" customHeight="false" outlineLevel="0" collapsed="false">
      <c r="A458" s="9" t="s">
        <v>2712</v>
      </c>
      <c r="B458" s="9" t="s">
        <v>2703</v>
      </c>
      <c r="C458" s="11" t="s">
        <v>2706</v>
      </c>
      <c r="D458" s="12" t="s">
        <v>2709</v>
      </c>
      <c r="E458" s="9" t="s">
        <v>2853</v>
      </c>
      <c r="F458" s="9" t="s">
        <v>2847</v>
      </c>
      <c r="G458" s="11" t="s">
        <v>2849</v>
      </c>
      <c r="H458" s="12" t="s">
        <v>2851</v>
      </c>
      <c r="I458" s="9"/>
      <c r="J458" s="11"/>
      <c r="K458" s="9"/>
      <c r="L458" s="9" t="s">
        <v>68</v>
      </c>
      <c r="M458" s="9" t="s">
        <v>2848</v>
      </c>
      <c r="N458" s="11" t="s">
        <v>2850</v>
      </c>
      <c r="O458" s="12" t="s">
        <v>2852</v>
      </c>
      <c r="P458" s="13" t="n">
        <v>15</v>
      </c>
      <c r="Q458" s="13" t="n">
        <v>10</v>
      </c>
      <c r="R458" s="13" t="n">
        <v>8</v>
      </c>
      <c r="S458" s="13" t="n">
        <v>0.3</v>
      </c>
      <c r="T458" s="9" t="s">
        <v>4615</v>
      </c>
      <c r="U458" s="9"/>
      <c r="V458" s="9" t="s">
        <v>4571</v>
      </c>
      <c r="W458" s="9"/>
      <c r="X458" s="11"/>
      <c r="Y458" s="9"/>
    </row>
    <row r="459" customFormat="false" ht="15" hidden="false" customHeight="false" outlineLevel="0" collapsed="false">
      <c r="A459" s="9" t="s">
        <v>2712</v>
      </c>
      <c r="B459" s="9" t="s">
        <v>2703</v>
      </c>
      <c r="C459" s="11" t="s">
        <v>2706</v>
      </c>
      <c r="D459" s="12" t="s">
        <v>2709</v>
      </c>
      <c r="E459" s="9" t="s">
        <v>2858</v>
      </c>
      <c r="F459" s="9" t="s">
        <v>2855</v>
      </c>
      <c r="G459" s="11" t="s">
        <v>2856</v>
      </c>
      <c r="H459" s="12" t="s">
        <v>2857</v>
      </c>
      <c r="I459" s="9"/>
      <c r="J459" s="11"/>
      <c r="K459" s="9"/>
      <c r="L459" s="9" t="s">
        <v>4604</v>
      </c>
      <c r="M459" s="9" t="s">
        <v>2848</v>
      </c>
      <c r="N459" s="11" t="s">
        <v>2850</v>
      </c>
      <c r="O459" s="12" t="s">
        <v>2852</v>
      </c>
      <c r="P459" s="13" t="n">
        <v>15</v>
      </c>
      <c r="Q459" s="13" t="n">
        <v>10</v>
      </c>
      <c r="R459" s="13" t="n">
        <v>8</v>
      </c>
      <c r="S459" s="13" t="n">
        <v>0.3</v>
      </c>
      <c r="T459" s="9" t="s">
        <v>4615</v>
      </c>
      <c r="U459" s="9"/>
      <c r="V459" s="9" t="s">
        <v>4571</v>
      </c>
      <c r="W459" s="9"/>
      <c r="X459" s="11"/>
      <c r="Y459" s="9"/>
    </row>
    <row r="460" customFormat="false" ht="15" hidden="false" customHeight="false" outlineLevel="0" collapsed="false">
      <c r="A460" s="9" t="s">
        <v>2712</v>
      </c>
      <c r="B460" s="9" t="s">
        <v>2703</v>
      </c>
      <c r="C460" s="11" t="s">
        <v>2706</v>
      </c>
      <c r="D460" s="12" t="s">
        <v>2709</v>
      </c>
      <c r="E460" s="9" t="s">
        <v>2864</v>
      </c>
      <c r="F460" s="9" t="s">
        <v>2861</v>
      </c>
      <c r="G460" s="11" t="s">
        <v>2862</v>
      </c>
      <c r="H460" s="12" t="s">
        <v>2863</v>
      </c>
      <c r="I460" s="9"/>
      <c r="J460" s="11"/>
      <c r="K460" s="9"/>
      <c r="L460" s="9" t="s">
        <v>68</v>
      </c>
      <c r="M460" s="9" t="s">
        <v>2106</v>
      </c>
      <c r="N460" s="11" t="s">
        <v>2108</v>
      </c>
      <c r="O460" s="12" t="s">
        <v>2110</v>
      </c>
      <c r="P460" s="13" t="n">
        <v>10</v>
      </c>
      <c r="Q460" s="13" t="n">
        <v>8</v>
      </c>
      <c r="R460" s="13" t="n">
        <v>6</v>
      </c>
      <c r="S460" s="13" t="n">
        <v>0.1</v>
      </c>
      <c r="T460" s="9" t="s">
        <v>4615</v>
      </c>
      <c r="U460" s="9"/>
      <c r="V460" s="9" t="s">
        <v>4572</v>
      </c>
      <c r="W460" s="9"/>
      <c r="X460" s="11"/>
      <c r="Y460" s="9"/>
    </row>
    <row r="461" customFormat="false" ht="15" hidden="false" customHeight="false" outlineLevel="0" collapsed="false">
      <c r="A461" s="9" t="s">
        <v>2712</v>
      </c>
      <c r="B461" s="9" t="s">
        <v>2703</v>
      </c>
      <c r="C461" s="11" t="s">
        <v>2706</v>
      </c>
      <c r="D461" s="12" t="s">
        <v>2709</v>
      </c>
      <c r="E461" s="9" t="s">
        <v>2869</v>
      </c>
      <c r="F461" s="9" t="s">
        <v>2866</v>
      </c>
      <c r="G461" s="11" t="s">
        <v>2867</v>
      </c>
      <c r="H461" s="12" t="s">
        <v>2868</v>
      </c>
      <c r="I461" s="9"/>
      <c r="J461" s="11"/>
      <c r="K461" s="9"/>
      <c r="L461" s="9" t="s">
        <v>4730</v>
      </c>
      <c r="M461" s="9" t="s">
        <v>2405</v>
      </c>
      <c r="N461" s="11" t="s">
        <v>2408</v>
      </c>
      <c r="O461" s="12" t="s">
        <v>2411</v>
      </c>
      <c r="P461" s="13" t="n">
        <v>10</v>
      </c>
      <c r="Q461" s="13" t="n">
        <v>8</v>
      </c>
      <c r="R461" s="13" t="n">
        <v>6</v>
      </c>
      <c r="S461" s="13" t="n">
        <v>0.1</v>
      </c>
      <c r="T461" s="9" t="s">
        <v>4615</v>
      </c>
      <c r="U461" s="9"/>
      <c r="V461" s="9" t="s">
        <v>4572</v>
      </c>
      <c r="W461" s="9"/>
      <c r="X461" s="11"/>
      <c r="Y461" s="9"/>
    </row>
    <row r="462" customFormat="false" ht="15" hidden="false" customHeight="false" outlineLevel="0" collapsed="false">
      <c r="A462" s="9" t="s">
        <v>2712</v>
      </c>
      <c r="B462" s="9" t="s">
        <v>2703</v>
      </c>
      <c r="C462" s="11" t="s">
        <v>2706</v>
      </c>
      <c r="D462" s="12" t="s">
        <v>2709</v>
      </c>
      <c r="E462" s="9" t="s">
        <v>2877</v>
      </c>
      <c r="F462" s="9" t="s">
        <v>2874</v>
      </c>
      <c r="G462" s="11" t="s">
        <v>2875</v>
      </c>
      <c r="H462" s="12" t="s">
        <v>2876</v>
      </c>
      <c r="I462" s="9"/>
      <c r="J462" s="11"/>
      <c r="K462" s="9"/>
      <c r="L462" s="9" t="s">
        <v>68</v>
      </c>
      <c r="M462" s="9" t="s">
        <v>2260</v>
      </c>
      <c r="N462" s="11" t="s">
        <v>2262</v>
      </c>
      <c r="O462" s="12" t="s">
        <v>2264</v>
      </c>
      <c r="P462" s="13" t="n">
        <v>15</v>
      </c>
      <c r="Q462" s="13" t="n">
        <v>10</v>
      </c>
      <c r="R462" s="13" t="n">
        <v>8</v>
      </c>
      <c r="S462" s="13" t="n">
        <v>0.3</v>
      </c>
      <c r="T462" s="9" t="s">
        <v>4615</v>
      </c>
      <c r="U462" s="9"/>
      <c r="V462" s="9" t="s">
        <v>4571</v>
      </c>
      <c r="W462" s="9"/>
      <c r="X462" s="11" t="s">
        <v>4864</v>
      </c>
      <c r="Y462" s="9"/>
    </row>
    <row r="463" customFormat="false" ht="15" hidden="false" customHeight="false" outlineLevel="0" collapsed="false">
      <c r="A463" s="9" t="s">
        <v>2712</v>
      </c>
      <c r="B463" s="9" t="s">
        <v>2703</v>
      </c>
      <c r="C463" s="11" t="s">
        <v>2706</v>
      </c>
      <c r="D463" s="12" t="s">
        <v>2709</v>
      </c>
      <c r="E463" s="9" t="s">
        <v>2882</v>
      </c>
      <c r="F463" s="9" t="s">
        <v>2879</v>
      </c>
      <c r="G463" s="11" t="s">
        <v>2880</v>
      </c>
      <c r="H463" s="9" t="s">
        <v>2881</v>
      </c>
      <c r="I463" s="9"/>
      <c r="J463" s="11"/>
      <c r="K463" s="9"/>
      <c r="L463" s="9" t="s">
        <v>68</v>
      </c>
      <c r="M463" s="9" t="s">
        <v>956</v>
      </c>
      <c r="N463" s="11" t="s">
        <v>959</v>
      </c>
      <c r="O463" s="12" t="s">
        <v>962</v>
      </c>
      <c r="P463" s="13" t="n">
        <v>15</v>
      </c>
      <c r="Q463" s="13" t="n">
        <v>10</v>
      </c>
      <c r="R463" s="13" t="n">
        <v>8</v>
      </c>
      <c r="S463" s="13" t="n">
        <v>0.3</v>
      </c>
      <c r="T463" s="9" t="s">
        <v>4615</v>
      </c>
      <c r="U463" s="9"/>
      <c r="V463" s="9" t="s">
        <v>4571</v>
      </c>
      <c r="W463" s="9" t="s">
        <v>68</v>
      </c>
      <c r="X463" s="11" t="s">
        <v>72</v>
      </c>
      <c r="Y463" s="9"/>
    </row>
    <row r="464" customFormat="false" ht="15" hidden="false" customHeight="false" outlineLevel="0" collapsed="false">
      <c r="A464" s="9" t="s">
        <v>2712</v>
      </c>
      <c r="B464" s="9" t="s">
        <v>2703</v>
      </c>
      <c r="C464" s="11" t="s">
        <v>2706</v>
      </c>
      <c r="D464" s="12" t="s">
        <v>2709</v>
      </c>
      <c r="E464" s="9" t="s">
        <v>2887</v>
      </c>
      <c r="F464" s="9" t="s">
        <v>2884</v>
      </c>
      <c r="G464" s="11" t="s">
        <v>2885</v>
      </c>
      <c r="H464" s="12" t="s">
        <v>2886</v>
      </c>
      <c r="I464" s="9"/>
      <c r="J464" s="11"/>
      <c r="K464" s="9"/>
      <c r="L464" s="9" t="s">
        <v>4604</v>
      </c>
      <c r="M464" s="9" t="s">
        <v>2705</v>
      </c>
      <c r="N464" s="11" t="s">
        <v>2708</v>
      </c>
      <c r="O464" s="12" t="s">
        <v>2711</v>
      </c>
      <c r="P464" s="13" t="n">
        <v>10</v>
      </c>
      <c r="Q464" s="13" t="n">
        <v>8</v>
      </c>
      <c r="R464" s="13" t="n">
        <v>6</v>
      </c>
      <c r="S464" s="13" t="n">
        <v>0.1</v>
      </c>
      <c r="T464" s="9" t="s">
        <v>4615</v>
      </c>
      <c r="U464" s="9"/>
      <c r="V464" s="9" t="s">
        <v>4572</v>
      </c>
      <c r="W464" s="9"/>
      <c r="X464" s="11"/>
      <c r="Y464" s="9"/>
    </row>
    <row r="465" customFormat="false" ht="15" hidden="false" customHeight="false" outlineLevel="0" collapsed="false">
      <c r="A465" s="9" t="s">
        <v>2895</v>
      </c>
      <c r="B465" s="9" t="s">
        <v>2890</v>
      </c>
      <c r="C465" s="11" t="s">
        <v>2892</v>
      </c>
      <c r="D465" s="12" t="s">
        <v>2893</v>
      </c>
      <c r="E465" s="9" t="s">
        <v>2896</v>
      </c>
      <c r="F465" s="9" t="s">
        <v>2891</v>
      </c>
      <c r="G465" s="11" t="s">
        <v>949</v>
      </c>
      <c r="H465" s="12" t="s">
        <v>2894</v>
      </c>
      <c r="I465" s="9"/>
      <c r="J465" s="11"/>
      <c r="K465" s="9"/>
      <c r="L465" s="9" t="s">
        <v>68</v>
      </c>
      <c r="M465" s="9" t="s">
        <v>947</v>
      </c>
      <c r="N465" s="11" t="s">
        <v>949</v>
      </c>
      <c r="O465" s="12" t="s">
        <v>951</v>
      </c>
      <c r="P465" s="13" t="n">
        <v>180</v>
      </c>
      <c r="Q465" s="13" t="n">
        <v>120</v>
      </c>
      <c r="R465" s="13" t="n">
        <v>25</v>
      </c>
      <c r="S465" s="13" t="n">
        <v>400</v>
      </c>
      <c r="T465" s="9" t="s">
        <v>4624</v>
      </c>
      <c r="U465" s="9" t="s">
        <v>4865</v>
      </c>
      <c r="V465" s="9" t="s">
        <v>4565</v>
      </c>
      <c r="W465" s="9"/>
      <c r="X465" s="11"/>
      <c r="Y465" s="9"/>
    </row>
    <row r="466" customFormat="false" ht="15" hidden="false" customHeight="false" outlineLevel="0" collapsed="false">
      <c r="A466" s="9" t="s">
        <v>2895</v>
      </c>
      <c r="B466" s="9" t="s">
        <v>2890</v>
      </c>
      <c r="C466" s="11" t="s">
        <v>2892</v>
      </c>
      <c r="D466" s="12" t="s">
        <v>2893</v>
      </c>
      <c r="E466" s="9" t="s">
        <v>2901</v>
      </c>
      <c r="F466" s="9" t="s">
        <v>2898</v>
      </c>
      <c r="G466" s="11" t="s">
        <v>2899</v>
      </c>
      <c r="H466" s="12" t="s">
        <v>2900</v>
      </c>
      <c r="I466" s="9"/>
      <c r="J466" s="11"/>
      <c r="K466" s="9"/>
      <c r="L466" s="9" t="s">
        <v>68</v>
      </c>
      <c r="M466" s="9" t="s">
        <v>947</v>
      </c>
      <c r="N466" s="11" t="s">
        <v>949</v>
      </c>
      <c r="O466" s="12" t="s">
        <v>951</v>
      </c>
      <c r="P466" s="13" t="n">
        <v>35</v>
      </c>
      <c r="Q466" s="13" t="n">
        <v>25</v>
      </c>
      <c r="R466" s="13" t="n">
        <v>15</v>
      </c>
      <c r="S466" s="13" t="n">
        <v>18</v>
      </c>
      <c r="T466" s="9" t="s">
        <v>4624</v>
      </c>
      <c r="U466" s="9" t="s">
        <v>4798</v>
      </c>
      <c r="V466" s="9" t="s">
        <v>4565</v>
      </c>
      <c r="W466" s="9"/>
      <c r="X466" s="11" t="s">
        <v>4866</v>
      </c>
      <c r="Y466" s="9"/>
    </row>
    <row r="467" customFormat="false" ht="15" hidden="false" customHeight="false" outlineLevel="0" collapsed="false">
      <c r="A467" s="9" t="s">
        <v>2895</v>
      </c>
      <c r="B467" s="9" t="s">
        <v>2890</v>
      </c>
      <c r="C467" s="11" t="s">
        <v>2892</v>
      </c>
      <c r="D467" s="12" t="s">
        <v>2893</v>
      </c>
      <c r="E467" s="9" t="s">
        <v>2906</v>
      </c>
      <c r="F467" s="9" t="s">
        <v>2903</v>
      </c>
      <c r="G467" s="11" t="s">
        <v>2904</v>
      </c>
      <c r="H467" s="12" t="s">
        <v>2905</v>
      </c>
      <c r="I467" s="9"/>
      <c r="J467" s="11"/>
      <c r="K467" s="9"/>
      <c r="L467" s="9" t="s">
        <v>68</v>
      </c>
      <c r="M467" s="9" t="s">
        <v>947</v>
      </c>
      <c r="N467" s="11" t="s">
        <v>949</v>
      </c>
      <c r="O467" s="12" t="s">
        <v>951</v>
      </c>
      <c r="P467" s="13" t="n">
        <v>25</v>
      </c>
      <c r="Q467" s="13" t="n">
        <v>15</v>
      </c>
      <c r="R467" s="13" t="n">
        <v>10</v>
      </c>
      <c r="S467" s="13" t="n">
        <v>0.9</v>
      </c>
      <c r="T467" s="9" t="s">
        <v>4624</v>
      </c>
      <c r="U467" s="9"/>
      <c r="V467" s="9" t="s">
        <v>4568</v>
      </c>
      <c r="W467" s="9" t="s">
        <v>4867</v>
      </c>
      <c r="X467" s="11" t="s">
        <v>4867</v>
      </c>
      <c r="Y467" s="9" t="s">
        <v>4867</v>
      </c>
    </row>
    <row r="468" customFormat="false" ht="15" hidden="false" customHeight="false" outlineLevel="0" collapsed="false">
      <c r="A468" s="9" t="s">
        <v>2895</v>
      </c>
      <c r="B468" s="9" t="s">
        <v>2890</v>
      </c>
      <c r="C468" s="11" t="s">
        <v>2892</v>
      </c>
      <c r="D468" s="12" t="s">
        <v>2893</v>
      </c>
      <c r="E468" s="9" t="s">
        <v>2911</v>
      </c>
      <c r="F468" s="9" t="s">
        <v>2908</v>
      </c>
      <c r="G468" s="11" t="s">
        <v>2909</v>
      </c>
      <c r="H468" s="12" t="s">
        <v>2910</v>
      </c>
      <c r="I468" s="9"/>
      <c r="J468" s="11"/>
      <c r="K468" s="9"/>
      <c r="L468" s="9" t="s">
        <v>68</v>
      </c>
      <c r="M468" s="9" t="s">
        <v>947</v>
      </c>
      <c r="N468" s="11" t="s">
        <v>949</v>
      </c>
      <c r="O468" s="12" t="s">
        <v>951</v>
      </c>
      <c r="P468" s="13" t="n">
        <v>50</v>
      </c>
      <c r="Q468" s="13" t="n">
        <v>30</v>
      </c>
      <c r="R468" s="13" t="n">
        <v>2</v>
      </c>
      <c r="S468" s="13" t="n">
        <v>2.5</v>
      </c>
      <c r="T468" s="9" t="s">
        <v>4624</v>
      </c>
      <c r="U468" s="9"/>
      <c r="V468" s="9" t="s">
        <v>4565</v>
      </c>
      <c r="W468" s="9"/>
      <c r="X468" s="11"/>
      <c r="Y468" s="9"/>
    </row>
    <row r="469" customFormat="false" ht="15" hidden="false" customHeight="false" outlineLevel="0" collapsed="false">
      <c r="A469" s="9" t="s">
        <v>2895</v>
      </c>
      <c r="B469" s="9" t="s">
        <v>2890</v>
      </c>
      <c r="C469" s="11" t="s">
        <v>2892</v>
      </c>
      <c r="D469" s="12" t="s">
        <v>2893</v>
      </c>
      <c r="E469" s="9" t="s">
        <v>2916</v>
      </c>
      <c r="F469" s="9" t="s">
        <v>2913</v>
      </c>
      <c r="G469" s="11" t="s">
        <v>2914</v>
      </c>
      <c r="H469" s="12" t="s">
        <v>2915</v>
      </c>
      <c r="I469" s="9"/>
      <c r="J469" s="11"/>
      <c r="K469" s="9"/>
      <c r="L469" s="9" t="s">
        <v>68</v>
      </c>
      <c r="M469" s="9" t="s">
        <v>947</v>
      </c>
      <c r="N469" s="11" t="s">
        <v>949</v>
      </c>
      <c r="O469" s="12" t="s">
        <v>951</v>
      </c>
      <c r="P469" s="13" t="n">
        <v>180</v>
      </c>
      <c r="Q469" s="13" t="n">
        <v>120</v>
      </c>
      <c r="R469" s="13" t="n">
        <v>15</v>
      </c>
      <c r="S469" s="13" t="n">
        <v>60</v>
      </c>
      <c r="T469" s="9" t="s">
        <v>4624</v>
      </c>
      <c r="U469" s="9" t="s">
        <v>4868</v>
      </c>
      <c r="V469" s="9" t="s">
        <v>4565</v>
      </c>
      <c r="W469" s="9"/>
      <c r="X469" s="11"/>
      <c r="Y469" s="9"/>
    </row>
    <row r="470" customFormat="false" ht="15" hidden="false" customHeight="false" outlineLevel="0" collapsed="false">
      <c r="A470" s="9" t="s">
        <v>2895</v>
      </c>
      <c r="B470" s="9" t="s">
        <v>2890</v>
      </c>
      <c r="C470" s="11" t="s">
        <v>2892</v>
      </c>
      <c r="D470" s="12" t="s">
        <v>2893</v>
      </c>
      <c r="E470" s="9" t="s">
        <v>2921</v>
      </c>
      <c r="F470" s="9" t="s">
        <v>2918</v>
      </c>
      <c r="G470" s="11" t="s">
        <v>2919</v>
      </c>
      <c r="H470" s="12" t="s">
        <v>2920</v>
      </c>
      <c r="I470" s="9"/>
      <c r="J470" s="11"/>
      <c r="K470" s="9"/>
      <c r="L470" s="9" t="s">
        <v>68</v>
      </c>
      <c r="M470" s="9" t="s">
        <v>237</v>
      </c>
      <c r="N470" s="11" t="s">
        <v>239</v>
      </c>
      <c r="O470" s="12" t="s">
        <v>241</v>
      </c>
      <c r="P470" s="13" t="n">
        <v>100</v>
      </c>
      <c r="Q470" s="13" t="n">
        <v>60</v>
      </c>
      <c r="R470" s="13" t="n">
        <v>40</v>
      </c>
      <c r="S470" s="13" t="n">
        <v>16</v>
      </c>
      <c r="T470" s="9" t="s">
        <v>4624</v>
      </c>
      <c r="U470" s="9"/>
      <c r="V470" s="9" t="s">
        <v>4869</v>
      </c>
      <c r="W470" s="9" t="s">
        <v>4870</v>
      </c>
      <c r="X470" s="11"/>
      <c r="Y470" s="9"/>
    </row>
    <row r="471" customFormat="false" ht="15" hidden="false" customHeight="false" outlineLevel="0" collapsed="false">
      <c r="A471" s="9" t="s">
        <v>2895</v>
      </c>
      <c r="B471" s="9" t="s">
        <v>2890</v>
      </c>
      <c r="C471" s="11" t="s">
        <v>2892</v>
      </c>
      <c r="D471" s="12" t="s">
        <v>2893</v>
      </c>
      <c r="E471" s="9" t="s">
        <v>2926</v>
      </c>
      <c r="F471" s="9" t="s">
        <v>2923</v>
      </c>
      <c r="G471" s="11" t="s">
        <v>2924</v>
      </c>
      <c r="H471" s="12" t="s">
        <v>2925</v>
      </c>
      <c r="I471" s="9"/>
      <c r="J471" s="11"/>
      <c r="K471" s="9"/>
      <c r="L471" s="9" t="s">
        <v>68</v>
      </c>
      <c r="M471" s="9" t="s">
        <v>947</v>
      </c>
      <c r="N471" s="11" t="s">
        <v>949</v>
      </c>
      <c r="O471" s="12" t="s">
        <v>951</v>
      </c>
      <c r="P471" s="13" t="n">
        <v>25</v>
      </c>
      <c r="Q471" s="13" t="n">
        <v>15</v>
      </c>
      <c r="R471" s="13" t="n">
        <v>10</v>
      </c>
      <c r="S471" s="13" t="n">
        <v>0.9</v>
      </c>
      <c r="T471" s="9" t="s">
        <v>4624</v>
      </c>
      <c r="U471" s="9"/>
      <c r="V471" s="9" t="s">
        <v>4568</v>
      </c>
      <c r="W471" s="9" t="s">
        <v>4871</v>
      </c>
      <c r="X471" s="11"/>
      <c r="Y471" s="9"/>
    </row>
    <row r="472" customFormat="false" ht="15" hidden="false" customHeight="false" outlineLevel="0" collapsed="false">
      <c r="A472" s="9" t="s">
        <v>2895</v>
      </c>
      <c r="B472" s="9" t="s">
        <v>2890</v>
      </c>
      <c r="C472" s="11" t="s">
        <v>2892</v>
      </c>
      <c r="D472" s="12" t="s">
        <v>2893</v>
      </c>
      <c r="E472" s="9" t="s">
        <v>2931</v>
      </c>
      <c r="F472" s="9" t="s">
        <v>2928</v>
      </c>
      <c r="G472" s="11" t="s">
        <v>2929</v>
      </c>
      <c r="H472" s="12" t="s">
        <v>2930</v>
      </c>
      <c r="I472" s="9"/>
      <c r="J472" s="11"/>
      <c r="K472" s="9"/>
      <c r="L472" s="9" t="s">
        <v>68</v>
      </c>
      <c r="M472" s="9" t="s">
        <v>947</v>
      </c>
      <c r="N472" s="11" t="s">
        <v>949</v>
      </c>
      <c r="O472" s="12" t="s">
        <v>951</v>
      </c>
      <c r="P472" s="13" t="n">
        <v>30</v>
      </c>
      <c r="Q472" s="13" t="n">
        <v>20</v>
      </c>
      <c r="R472" s="13" t="n">
        <v>15</v>
      </c>
      <c r="S472" s="13" t="n">
        <v>1.8</v>
      </c>
      <c r="T472" s="9" t="s">
        <v>4624</v>
      </c>
      <c r="U472" s="9"/>
      <c r="V472" s="9" t="s">
        <v>4581</v>
      </c>
      <c r="W472" s="9"/>
      <c r="X472" s="11" t="s">
        <v>4872</v>
      </c>
      <c r="Y472" s="9" t="s">
        <v>4873</v>
      </c>
    </row>
    <row r="473" customFormat="false" ht="15" hidden="false" customHeight="false" outlineLevel="0" collapsed="false">
      <c r="A473" s="9" t="s">
        <v>2895</v>
      </c>
      <c r="B473" s="9" t="s">
        <v>2890</v>
      </c>
      <c r="C473" s="11" t="s">
        <v>2892</v>
      </c>
      <c r="D473" s="12" t="s">
        <v>2893</v>
      </c>
      <c r="E473" s="9" t="s">
        <v>2936</v>
      </c>
      <c r="F473" s="9" t="s">
        <v>2933</v>
      </c>
      <c r="G473" s="11" t="s">
        <v>2934</v>
      </c>
      <c r="H473" s="12" t="s">
        <v>2935</v>
      </c>
      <c r="I473" s="9"/>
      <c r="J473" s="11"/>
      <c r="K473" s="9"/>
      <c r="L473" s="9" t="s">
        <v>68</v>
      </c>
      <c r="M473" s="9" t="s">
        <v>947</v>
      </c>
      <c r="N473" s="11" t="s">
        <v>949</v>
      </c>
      <c r="O473" s="12" t="s">
        <v>951</v>
      </c>
      <c r="P473" s="13" t="n">
        <v>25</v>
      </c>
      <c r="Q473" s="13" t="n">
        <v>15</v>
      </c>
      <c r="R473" s="13" t="n">
        <v>10</v>
      </c>
      <c r="S473" s="13" t="n">
        <v>0.9</v>
      </c>
      <c r="T473" s="9" t="s">
        <v>4624</v>
      </c>
      <c r="U473" s="9"/>
      <c r="V473" s="9" t="s">
        <v>4568</v>
      </c>
      <c r="W473" s="9" t="s">
        <v>4874</v>
      </c>
      <c r="X473" s="11" t="s">
        <v>4874</v>
      </c>
      <c r="Y473" s="9" t="s">
        <v>4874</v>
      </c>
    </row>
    <row r="474" customFormat="false" ht="15" hidden="false" customHeight="false" outlineLevel="0" collapsed="false">
      <c r="A474" s="9" t="s">
        <v>2895</v>
      </c>
      <c r="B474" s="9" t="s">
        <v>2890</v>
      </c>
      <c r="C474" s="11" t="s">
        <v>2892</v>
      </c>
      <c r="D474" s="12" t="s">
        <v>2893</v>
      </c>
      <c r="E474" s="9" t="s">
        <v>2941</v>
      </c>
      <c r="F474" s="9" t="s">
        <v>2938</v>
      </c>
      <c r="G474" s="11" t="s">
        <v>2939</v>
      </c>
      <c r="H474" s="12" t="s">
        <v>2940</v>
      </c>
      <c r="I474" s="9"/>
      <c r="J474" s="11"/>
      <c r="K474" s="9"/>
      <c r="L474" s="9" t="s">
        <v>68</v>
      </c>
      <c r="M474" s="9" t="s">
        <v>947</v>
      </c>
      <c r="N474" s="11" t="s">
        <v>949</v>
      </c>
      <c r="O474" s="12" t="s">
        <v>951</v>
      </c>
      <c r="P474" s="13" t="n">
        <v>30</v>
      </c>
      <c r="Q474" s="13" t="n">
        <v>20</v>
      </c>
      <c r="R474" s="13" t="n">
        <v>15</v>
      </c>
      <c r="S474" s="13" t="n">
        <v>1.8</v>
      </c>
      <c r="T474" s="9" t="s">
        <v>4624</v>
      </c>
      <c r="U474" s="9"/>
      <c r="V474" s="9" t="s">
        <v>4581</v>
      </c>
      <c r="W474" s="9" t="s">
        <v>4875</v>
      </c>
      <c r="X474" s="11"/>
      <c r="Y474" s="9"/>
    </row>
    <row r="475" customFormat="false" ht="15" hidden="false" customHeight="false" outlineLevel="0" collapsed="false">
      <c r="A475" s="9" t="s">
        <v>2895</v>
      </c>
      <c r="B475" s="9" t="s">
        <v>2890</v>
      </c>
      <c r="C475" s="11" t="s">
        <v>2892</v>
      </c>
      <c r="D475" s="12" t="s">
        <v>2893</v>
      </c>
      <c r="E475" s="9" t="s">
        <v>2946</v>
      </c>
      <c r="F475" s="9" t="s">
        <v>2943</v>
      </c>
      <c r="G475" s="11" t="s">
        <v>2944</v>
      </c>
      <c r="H475" s="12" t="s">
        <v>2945</v>
      </c>
      <c r="I475" s="9"/>
      <c r="J475" s="11"/>
      <c r="K475" s="9"/>
      <c r="L475" s="9" t="s">
        <v>68</v>
      </c>
      <c r="M475" s="9" t="s">
        <v>947</v>
      </c>
      <c r="N475" s="11" t="s">
        <v>949</v>
      </c>
      <c r="O475" s="12" t="s">
        <v>951</v>
      </c>
      <c r="P475" s="13" t="n">
        <v>10</v>
      </c>
      <c r="Q475" s="13" t="n">
        <v>8</v>
      </c>
      <c r="R475" s="13" t="n">
        <v>6</v>
      </c>
      <c r="S475" s="13" t="n">
        <v>0.1</v>
      </c>
      <c r="T475" s="9" t="s">
        <v>4624</v>
      </c>
      <c r="U475" s="9"/>
      <c r="V475" s="9" t="s">
        <v>4572</v>
      </c>
      <c r="W475" s="9" t="s">
        <v>4876</v>
      </c>
      <c r="X475" s="11"/>
      <c r="Y475" s="9"/>
    </row>
    <row r="476" customFormat="false" ht="15" hidden="false" customHeight="false" outlineLevel="0" collapsed="false">
      <c r="A476" s="9" t="s">
        <v>2895</v>
      </c>
      <c r="B476" s="9" t="s">
        <v>2890</v>
      </c>
      <c r="C476" s="11" t="s">
        <v>2892</v>
      </c>
      <c r="D476" s="12" t="s">
        <v>2893</v>
      </c>
      <c r="E476" s="9" t="s">
        <v>2951</v>
      </c>
      <c r="F476" s="9" t="s">
        <v>2948</v>
      </c>
      <c r="G476" s="11" t="s">
        <v>2949</v>
      </c>
      <c r="H476" s="12" t="s">
        <v>2950</v>
      </c>
      <c r="I476" s="9"/>
      <c r="J476" s="11"/>
      <c r="K476" s="9"/>
      <c r="L476" s="9" t="s">
        <v>68</v>
      </c>
      <c r="M476" s="9" t="s">
        <v>947</v>
      </c>
      <c r="N476" s="11" t="s">
        <v>949</v>
      </c>
      <c r="O476" s="12" t="s">
        <v>951</v>
      </c>
      <c r="P476" s="13" t="n">
        <v>15</v>
      </c>
      <c r="Q476" s="13" t="n">
        <v>10</v>
      </c>
      <c r="R476" s="13" t="n">
        <v>8</v>
      </c>
      <c r="S476" s="13" t="n">
        <v>0.3</v>
      </c>
      <c r="T476" s="9" t="s">
        <v>4624</v>
      </c>
      <c r="U476" s="9"/>
      <c r="V476" s="9" t="s">
        <v>4571</v>
      </c>
      <c r="W476" s="9"/>
      <c r="X476" s="11"/>
      <c r="Y476" s="9"/>
    </row>
    <row r="477" customFormat="false" ht="15" hidden="false" customHeight="false" outlineLevel="0" collapsed="false">
      <c r="A477" s="9" t="s">
        <v>2895</v>
      </c>
      <c r="B477" s="9" t="s">
        <v>2890</v>
      </c>
      <c r="C477" s="11" t="s">
        <v>2892</v>
      </c>
      <c r="D477" s="12" t="s">
        <v>2893</v>
      </c>
      <c r="E477" s="9" t="s">
        <v>2956</v>
      </c>
      <c r="F477" s="9" t="s">
        <v>2953</v>
      </c>
      <c r="G477" s="11" t="s">
        <v>2954</v>
      </c>
      <c r="H477" s="12" t="s">
        <v>2955</v>
      </c>
      <c r="I477" s="9"/>
      <c r="J477" s="11"/>
      <c r="K477" s="9"/>
      <c r="L477" s="9" t="s">
        <v>68</v>
      </c>
      <c r="M477" s="9" t="s">
        <v>947</v>
      </c>
      <c r="N477" s="11" t="s">
        <v>949</v>
      </c>
      <c r="O477" s="12" t="s">
        <v>951</v>
      </c>
      <c r="P477" s="13" t="n">
        <v>15</v>
      </c>
      <c r="Q477" s="13" t="n">
        <v>10</v>
      </c>
      <c r="R477" s="13" t="n">
        <v>8</v>
      </c>
      <c r="S477" s="13" t="n">
        <v>0.3</v>
      </c>
      <c r="T477" s="9" t="s">
        <v>4624</v>
      </c>
      <c r="U477" s="9"/>
      <c r="V477" s="9" t="s">
        <v>4571</v>
      </c>
      <c r="W477" s="9"/>
      <c r="X477" s="11" t="s">
        <v>4877</v>
      </c>
      <c r="Y477" s="9"/>
    </row>
    <row r="478" customFormat="false" ht="15" hidden="false" customHeight="false" outlineLevel="0" collapsed="false">
      <c r="A478" s="9" t="s">
        <v>2895</v>
      </c>
      <c r="B478" s="9" t="s">
        <v>2890</v>
      </c>
      <c r="C478" s="11" t="s">
        <v>2892</v>
      </c>
      <c r="D478" s="12" t="s">
        <v>2893</v>
      </c>
      <c r="E478" s="9" t="s">
        <v>2961</v>
      </c>
      <c r="F478" s="9" t="s">
        <v>2958</v>
      </c>
      <c r="G478" s="11" t="s">
        <v>2959</v>
      </c>
      <c r="H478" s="12" t="s">
        <v>2960</v>
      </c>
      <c r="I478" s="9"/>
      <c r="J478" s="11"/>
      <c r="K478" s="9"/>
      <c r="L478" s="9" t="s">
        <v>68</v>
      </c>
      <c r="M478" s="9" t="s">
        <v>947</v>
      </c>
      <c r="N478" s="11" t="s">
        <v>949</v>
      </c>
      <c r="O478" s="12" t="s">
        <v>951</v>
      </c>
      <c r="P478" s="13" t="n">
        <v>10</v>
      </c>
      <c r="Q478" s="13" t="n">
        <v>8</v>
      </c>
      <c r="R478" s="13" t="n">
        <v>6</v>
      </c>
      <c r="S478" s="13" t="n">
        <v>0.1</v>
      </c>
      <c r="T478" s="9" t="s">
        <v>4624</v>
      </c>
      <c r="U478" s="9"/>
      <c r="V478" s="9" t="s">
        <v>4572</v>
      </c>
      <c r="W478" s="9"/>
      <c r="X478" s="11"/>
      <c r="Y478" s="9"/>
    </row>
    <row r="479" customFormat="false" ht="15" hidden="false" customHeight="false" outlineLevel="0" collapsed="false">
      <c r="A479" s="9" t="s">
        <v>2972</v>
      </c>
      <c r="B479" s="9" t="s">
        <v>2963</v>
      </c>
      <c r="C479" s="11" t="s">
        <v>2966</v>
      </c>
      <c r="D479" s="12" t="s">
        <v>2969</v>
      </c>
      <c r="E479" s="9" t="s">
        <v>2973</v>
      </c>
      <c r="F479" s="9" t="s">
        <v>2964</v>
      </c>
      <c r="G479" s="11" t="s">
        <v>2967</v>
      </c>
      <c r="H479" s="12" t="s">
        <v>2970</v>
      </c>
      <c r="I479" s="9"/>
      <c r="J479" s="11"/>
      <c r="K479" s="9"/>
      <c r="L479" s="9" t="s">
        <v>68</v>
      </c>
      <c r="M479" s="9" t="s">
        <v>2965</v>
      </c>
      <c r="N479" s="11" t="s">
        <v>2968</v>
      </c>
      <c r="O479" s="12" t="s">
        <v>2971</v>
      </c>
      <c r="P479" s="13" t="n">
        <v>45</v>
      </c>
      <c r="Q479" s="13" t="n">
        <v>35</v>
      </c>
      <c r="R479" s="13" t="n">
        <v>35</v>
      </c>
      <c r="S479" s="13" t="n">
        <v>60</v>
      </c>
      <c r="T479" s="9" t="s">
        <v>4878</v>
      </c>
      <c r="U479" s="9" t="s">
        <v>4564</v>
      </c>
      <c r="V479" s="9" t="s">
        <v>4565</v>
      </c>
      <c r="W479" s="9"/>
      <c r="X479" s="11"/>
      <c r="Y479" s="9"/>
    </row>
    <row r="480" customFormat="false" ht="15" hidden="false" customHeight="false" outlineLevel="0" collapsed="false">
      <c r="A480" s="9" t="s">
        <v>2972</v>
      </c>
      <c r="B480" s="9" t="s">
        <v>2963</v>
      </c>
      <c r="C480" s="11" t="s">
        <v>2966</v>
      </c>
      <c r="D480" s="12" t="s">
        <v>2969</v>
      </c>
      <c r="E480" s="9" t="s">
        <v>2978</v>
      </c>
      <c r="F480" s="9" t="s">
        <v>2975</v>
      </c>
      <c r="G480" s="11" t="s">
        <v>2976</v>
      </c>
      <c r="H480" s="12" t="s">
        <v>2977</v>
      </c>
      <c r="I480" s="9"/>
      <c r="J480" s="11"/>
      <c r="K480" s="9"/>
      <c r="L480" s="9" t="s">
        <v>68</v>
      </c>
      <c r="M480" s="9" t="s">
        <v>2965</v>
      </c>
      <c r="N480" s="11" t="s">
        <v>2968</v>
      </c>
      <c r="O480" s="12" t="s">
        <v>2971</v>
      </c>
      <c r="P480" s="13" t="n">
        <v>40</v>
      </c>
      <c r="Q480" s="13" t="n">
        <v>40</v>
      </c>
      <c r="R480" s="13" t="n">
        <v>25</v>
      </c>
      <c r="S480" s="13" t="n">
        <v>25</v>
      </c>
      <c r="T480" s="9" t="s">
        <v>4878</v>
      </c>
      <c r="U480" s="9"/>
      <c r="V480" s="9" t="s">
        <v>4565</v>
      </c>
      <c r="W480" s="9"/>
      <c r="X480" s="11"/>
      <c r="Y480" s="9"/>
    </row>
    <row r="481" customFormat="false" ht="15" hidden="false" customHeight="false" outlineLevel="0" collapsed="false">
      <c r="A481" s="9" t="s">
        <v>2972</v>
      </c>
      <c r="B481" s="9" t="s">
        <v>2963</v>
      </c>
      <c r="C481" s="11" t="s">
        <v>2966</v>
      </c>
      <c r="D481" s="12" t="s">
        <v>2969</v>
      </c>
      <c r="E481" s="9" t="s">
        <v>2983</v>
      </c>
      <c r="F481" s="9" t="s">
        <v>2980</v>
      </c>
      <c r="G481" s="11" t="s">
        <v>2981</v>
      </c>
      <c r="H481" s="12" t="s">
        <v>2982</v>
      </c>
      <c r="I481" s="9"/>
      <c r="J481" s="11"/>
      <c r="K481" s="9"/>
      <c r="L481" s="9" t="s">
        <v>68</v>
      </c>
      <c r="M481" s="9" t="s">
        <v>2965</v>
      </c>
      <c r="N481" s="11" t="s">
        <v>2968</v>
      </c>
      <c r="O481" s="12" t="s">
        <v>2971</v>
      </c>
      <c r="P481" s="13" t="n">
        <v>40</v>
      </c>
      <c r="Q481" s="13" t="n">
        <v>15</v>
      </c>
      <c r="R481" s="13" t="n">
        <v>15</v>
      </c>
      <c r="S481" s="13" t="n">
        <v>12</v>
      </c>
      <c r="T481" s="9" t="s">
        <v>4878</v>
      </c>
      <c r="U481" s="9"/>
      <c r="V481" s="9" t="s">
        <v>4565</v>
      </c>
      <c r="W481" s="9"/>
      <c r="X481" s="11"/>
      <c r="Y481" s="9"/>
    </row>
    <row r="482" customFormat="false" ht="15" hidden="false" customHeight="false" outlineLevel="0" collapsed="false">
      <c r="A482" s="9" t="s">
        <v>2972</v>
      </c>
      <c r="B482" s="9" t="s">
        <v>2963</v>
      </c>
      <c r="C482" s="11" t="s">
        <v>2966</v>
      </c>
      <c r="D482" s="12" t="s">
        <v>2969</v>
      </c>
      <c r="E482" s="9" t="s">
        <v>2988</v>
      </c>
      <c r="F482" s="9" t="s">
        <v>2985</v>
      </c>
      <c r="G482" s="11" t="s">
        <v>2986</v>
      </c>
      <c r="H482" s="12" t="s">
        <v>2987</v>
      </c>
      <c r="I482" s="9"/>
      <c r="J482" s="11"/>
      <c r="K482" s="9"/>
      <c r="L482" s="9" t="s">
        <v>68</v>
      </c>
      <c r="M482" s="9" t="s">
        <v>2965</v>
      </c>
      <c r="N482" s="11" t="s">
        <v>2968</v>
      </c>
      <c r="O482" s="12" t="s">
        <v>2971</v>
      </c>
      <c r="P482" s="13" t="n">
        <v>10</v>
      </c>
      <c r="Q482" s="13" t="n">
        <v>8</v>
      </c>
      <c r="R482" s="13" t="n">
        <v>6</v>
      </c>
      <c r="S482" s="13" t="n">
        <v>0.1</v>
      </c>
      <c r="T482" s="9" t="s">
        <v>4878</v>
      </c>
      <c r="U482" s="9"/>
      <c r="V482" s="9" t="s">
        <v>4572</v>
      </c>
      <c r="W482" s="9"/>
      <c r="X482" s="11" t="s">
        <v>4879</v>
      </c>
      <c r="Y482" s="9"/>
    </row>
    <row r="483" customFormat="false" ht="15" hidden="false" customHeight="false" outlineLevel="0" collapsed="false">
      <c r="A483" s="9" t="s">
        <v>2972</v>
      </c>
      <c r="B483" s="9" t="s">
        <v>2963</v>
      </c>
      <c r="C483" s="11" t="s">
        <v>2966</v>
      </c>
      <c r="D483" s="12" t="s">
        <v>2969</v>
      </c>
      <c r="E483" s="9" t="s">
        <v>2993</v>
      </c>
      <c r="F483" s="9" t="s">
        <v>2990</v>
      </c>
      <c r="G483" s="11" t="s">
        <v>2991</v>
      </c>
      <c r="H483" s="12" t="s">
        <v>2992</v>
      </c>
      <c r="I483" s="9"/>
      <c r="J483" s="11"/>
      <c r="K483" s="9"/>
      <c r="L483" s="9" t="s">
        <v>68</v>
      </c>
      <c r="M483" s="9" t="s">
        <v>2965</v>
      </c>
      <c r="N483" s="11" t="s">
        <v>2968</v>
      </c>
      <c r="O483" s="12" t="s">
        <v>2971</v>
      </c>
      <c r="P483" s="13" t="n">
        <v>35</v>
      </c>
      <c r="Q483" s="13" t="n">
        <v>25</v>
      </c>
      <c r="R483" s="13" t="n">
        <v>15</v>
      </c>
      <c r="S483" s="13" t="n">
        <v>9</v>
      </c>
      <c r="T483" s="9" t="s">
        <v>4878</v>
      </c>
      <c r="U483" s="9"/>
      <c r="V483" s="9" t="s">
        <v>4565</v>
      </c>
      <c r="W483" s="9" t="s">
        <v>4880</v>
      </c>
      <c r="X483" s="11" t="s">
        <v>4881</v>
      </c>
      <c r="Y483" s="12" t="s">
        <v>4882</v>
      </c>
    </row>
    <row r="484" customFormat="false" ht="15" hidden="false" customHeight="false" outlineLevel="0" collapsed="false">
      <c r="A484" s="9" t="s">
        <v>2972</v>
      </c>
      <c r="B484" s="9" t="s">
        <v>2963</v>
      </c>
      <c r="C484" s="11" t="s">
        <v>2966</v>
      </c>
      <c r="D484" s="12" t="s">
        <v>2969</v>
      </c>
      <c r="E484" s="9" t="s">
        <v>2998</v>
      </c>
      <c r="F484" s="9" t="s">
        <v>2995</v>
      </c>
      <c r="G484" s="11" t="s">
        <v>2996</v>
      </c>
      <c r="H484" s="12" t="s">
        <v>2997</v>
      </c>
      <c r="I484" s="9"/>
      <c r="J484" s="11"/>
      <c r="K484" s="9"/>
      <c r="L484" s="9" t="s">
        <v>68</v>
      </c>
      <c r="M484" s="9" t="s">
        <v>2965</v>
      </c>
      <c r="N484" s="11" t="s">
        <v>2968</v>
      </c>
      <c r="O484" s="12" t="s">
        <v>2971</v>
      </c>
      <c r="P484" s="13" t="n">
        <v>45</v>
      </c>
      <c r="Q484" s="13" t="n">
        <v>40</v>
      </c>
      <c r="R484" s="13" t="n">
        <v>35</v>
      </c>
      <c r="S484" s="13" t="n">
        <v>30</v>
      </c>
      <c r="T484" s="9" t="s">
        <v>4878</v>
      </c>
      <c r="U484" s="9"/>
      <c r="V484" s="9" t="s">
        <v>4565</v>
      </c>
      <c r="W484" s="9"/>
      <c r="X484" s="11" t="s">
        <v>4883</v>
      </c>
      <c r="Y484" s="9"/>
    </row>
    <row r="485" customFormat="false" ht="15" hidden="false" customHeight="false" outlineLevel="0" collapsed="false">
      <c r="A485" s="9" t="s">
        <v>2972</v>
      </c>
      <c r="B485" s="9" t="s">
        <v>2963</v>
      </c>
      <c r="C485" s="11" t="s">
        <v>2966</v>
      </c>
      <c r="D485" s="12" t="s">
        <v>2969</v>
      </c>
      <c r="E485" s="9" t="s">
        <v>3003</v>
      </c>
      <c r="F485" s="9" t="s">
        <v>3000</v>
      </c>
      <c r="G485" s="11" t="s">
        <v>3001</v>
      </c>
      <c r="H485" s="12" t="s">
        <v>3002</v>
      </c>
      <c r="I485" s="9"/>
      <c r="J485" s="11"/>
      <c r="K485" s="9"/>
      <c r="L485" s="9" t="s">
        <v>68</v>
      </c>
      <c r="M485" s="9" t="s">
        <v>2965</v>
      </c>
      <c r="N485" s="11" t="s">
        <v>2968</v>
      </c>
      <c r="O485" s="12" t="s">
        <v>2971</v>
      </c>
      <c r="P485" s="13" t="n">
        <v>35</v>
      </c>
      <c r="Q485" s="13" t="n">
        <v>25</v>
      </c>
      <c r="R485" s="13" t="n">
        <v>12</v>
      </c>
      <c r="S485" s="13" t="n">
        <v>7</v>
      </c>
      <c r="T485" s="9" t="s">
        <v>4624</v>
      </c>
      <c r="U485" s="9"/>
      <c r="V485" s="9" t="s">
        <v>4565</v>
      </c>
      <c r="W485" s="9" t="s">
        <v>4884</v>
      </c>
      <c r="X485" s="11" t="s">
        <v>4884</v>
      </c>
      <c r="Y485" s="9" t="s">
        <v>4884</v>
      </c>
    </row>
    <row r="486" customFormat="false" ht="15" hidden="false" customHeight="false" outlineLevel="0" collapsed="false">
      <c r="A486" s="9" t="s">
        <v>2972</v>
      </c>
      <c r="B486" s="9" t="s">
        <v>2963</v>
      </c>
      <c r="C486" s="11" t="s">
        <v>2966</v>
      </c>
      <c r="D486" s="12" t="s">
        <v>2969</v>
      </c>
      <c r="E486" s="9" t="s">
        <v>3008</v>
      </c>
      <c r="F486" s="9" t="s">
        <v>3005</v>
      </c>
      <c r="G486" s="11" t="s">
        <v>3006</v>
      </c>
      <c r="H486" s="9" t="s">
        <v>3007</v>
      </c>
      <c r="I486" s="9"/>
      <c r="J486" s="11"/>
      <c r="K486" s="9"/>
      <c r="L486" s="9" t="s">
        <v>68</v>
      </c>
      <c r="M486" s="9" t="s">
        <v>2965</v>
      </c>
      <c r="N486" s="11" t="s">
        <v>2968</v>
      </c>
      <c r="O486" s="12" t="s">
        <v>2971</v>
      </c>
      <c r="P486" s="13" t="n">
        <v>25</v>
      </c>
      <c r="Q486" s="13" t="n">
        <v>20</v>
      </c>
      <c r="R486" s="13" t="n">
        <v>10</v>
      </c>
      <c r="S486" s="13" t="n">
        <v>4</v>
      </c>
      <c r="T486" s="9" t="s">
        <v>4624</v>
      </c>
      <c r="U486" s="9"/>
      <c r="V486" s="9" t="s">
        <v>4565</v>
      </c>
      <c r="W486" s="9"/>
      <c r="X486" s="11"/>
      <c r="Y486" s="9"/>
    </row>
    <row r="487" customFormat="false" ht="15" hidden="false" customHeight="false" outlineLevel="0" collapsed="false">
      <c r="A487" s="9" t="s">
        <v>2972</v>
      </c>
      <c r="B487" s="9" t="s">
        <v>2963</v>
      </c>
      <c r="C487" s="11" t="s">
        <v>2966</v>
      </c>
      <c r="D487" s="12" t="s">
        <v>2969</v>
      </c>
      <c r="E487" s="9" t="s">
        <v>3013</v>
      </c>
      <c r="F487" s="9" t="s">
        <v>3010</v>
      </c>
      <c r="G487" s="11" t="s">
        <v>3011</v>
      </c>
      <c r="H487" s="12" t="s">
        <v>3012</v>
      </c>
      <c r="I487" s="9"/>
      <c r="J487" s="11"/>
      <c r="K487" s="9"/>
      <c r="L487" s="9" t="s">
        <v>68</v>
      </c>
      <c r="M487" s="9" t="s">
        <v>2965</v>
      </c>
      <c r="N487" s="11" t="s">
        <v>2968</v>
      </c>
      <c r="O487" s="12" t="s">
        <v>2971</v>
      </c>
      <c r="P487" s="13" t="n">
        <v>30</v>
      </c>
      <c r="Q487" s="13" t="n">
        <v>20</v>
      </c>
      <c r="R487" s="13" t="n">
        <v>15</v>
      </c>
      <c r="S487" s="13" t="n">
        <v>1.8</v>
      </c>
      <c r="T487" s="9" t="s">
        <v>4624</v>
      </c>
      <c r="U487" s="9"/>
      <c r="V487" s="9" t="s">
        <v>4581</v>
      </c>
      <c r="W487" s="9" t="s">
        <v>4885</v>
      </c>
      <c r="X487" s="11" t="s">
        <v>4885</v>
      </c>
      <c r="Y487" s="9" t="s">
        <v>4885</v>
      </c>
    </row>
    <row r="488" customFormat="false" ht="15" hidden="false" customHeight="false" outlineLevel="0" collapsed="false">
      <c r="A488" s="9" t="s">
        <v>2972</v>
      </c>
      <c r="B488" s="9" t="s">
        <v>2963</v>
      </c>
      <c r="C488" s="11" t="s">
        <v>2966</v>
      </c>
      <c r="D488" s="12" t="s">
        <v>2969</v>
      </c>
      <c r="E488" s="9" t="s">
        <v>3018</v>
      </c>
      <c r="F488" s="9" t="s">
        <v>3015</v>
      </c>
      <c r="G488" s="11" t="s">
        <v>3016</v>
      </c>
      <c r="H488" s="12" t="s">
        <v>3017</v>
      </c>
      <c r="I488" s="9"/>
      <c r="J488" s="11"/>
      <c r="K488" s="9"/>
      <c r="L488" s="9" t="s">
        <v>68</v>
      </c>
      <c r="M488" s="9" t="s">
        <v>2965</v>
      </c>
      <c r="N488" s="11" t="s">
        <v>2968</v>
      </c>
      <c r="O488" s="12" t="s">
        <v>2971</v>
      </c>
      <c r="P488" s="13" t="n">
        <v>30</v>
      </c>
      <c r="Q488" s="13" t="n">
        <v>20</v>
      </c>
      <c r="R488" s="13" t="n">
        <v>15</v>
      </c>
      <c r="S488" s="13" t="n">
        <v>1.8</v>
      </c>
      <c r="T488" s="9" t="s">
        <v>4624</v>
      </c>
      <c r="U488" s="9"/>
      <c r="V488" s="9" t="s">
        <v>4581</v>
      </c>
      <c r="W488" s="9" t="s">
        <v>4886</v>
      </c>
      <c r="X488" s="11"/>
      <c r="Y488" s="9"/>
    </row>
    <row r="489" customFormat="false" ht="15" hidden="false" customHeight="false" outlineLevel="0" collapsed="false">
      <c r="A489" s="9" t="s">
        <v>2972</v>
      </c>
      <c r="B489" s="9" t="s">
        <v>2963</v>
      </c>
      <c r="C489" s="11" t="s">
        <v>2966</v>
      </c>
      <c r="D489" s="12" t="s">
        <v>2969</v>
      </c>
      <c r="E489" s="9" t="s">
        <v>3023</v>
      </c>
      <c r="F489" s="9" t="s">
        <v>3020</v>
      </c>
      <c r="G489" s="11" t="s">
        <v>3021</v>
      </c>
      <c r="H489" s="12" t="s">
        <v>3022</v>
      </c>
      <c r="I489" s="9"/>
      <c r="J489" s="11"/>
      <c r="K489" s="9"/>
      <c r="L489" s="9" t="s">
        <v>68</v>
      </c>
      <c r="M489" s="9" t="s">
        <v>2965</v>
      </c>
      <c r="N489" s="11" t="s">
        <v>2968</v>
      </c>
      <c r="O489" s="12" t="s">
        <v>2971</v>
      </c>
      <c r="P489" s="13" t="n">
        <v>15</v>
      </c>
      <c r="Q489" s="13" t="n">
        <v>10</v>
      </c>
      <c r="R489" s="13" t="n">
        <v>8</v>
      </c>
      <c r="S489" s="13" t="n">
        <v>0.3</v>
      </c>
      <c r="T489" s="9" t="s">
        <v>4624</v>
      </c>
      <c r="U489" s="9"/>
      <c r="V489" s="9" t="s">
        <v>4571</v>
      </c>
      <c r="W489" s="9" t="s">
        <v>4887</v>
      </c>
      <c r="X489" s="11" t="s">
        <v>4887</v>
      </c>
      <c r="Y489" s="9" t="s">
        <v>4887</v>
      </c>
    </row>
    <row r="490" customFormat="false" ht="15" hidden="false" customHeight="false" outlineLevel="0" collapsed="false">
      <c r="A490" s="9" t="s">
        <v>2972</v>
      </c>
      <c r="B490" s="9" t="s">
        <v>2963</v>
      </c>
      <c r="C490" s="11" t="s">
        <v>2966</v>
      </c>
      <c r="D490" s="12" t="s">
        <v>2969</v>
      </c>
      <c r="E490" s="9" t="s">
        <v>3028</v>
      </c>
      <c r="F490" s="9" t="s">
        <v>3025</v>
      </c>
      <c r="G490" s="11" t="s">
        <v>3026</v>
      </c>
      <c r="H490" s="12" t="s">
        <v>3027</v>
      </c>
      <c r="I490" s="9"/>
      <c r="J490" s="11"/>
      <c r="K490" s="9"/>
      <c r="L490" s="9" t="s">
        <v>68</v>
      </c>
      <c r="M490" s="9" t="s">
        <v>237</v>
      </c>
      <c r="N490" s="11" t="s">
        <v>239</v>
      </c>
      <c r="O490" s="12" t="s">
        <v>241</v>
      </c>
      <c r="P490" s="13" t="n">
        <v>30</v>
      </c>
      <c r="Q490" s="13" t="n">
        <v>20</v>
      </c>
      <c r="R490" s="13" t="n">
        <v>15</v>
      </c>
      <c r="S490" s="13" t="n">
        <v>1.8</v>
      </c>
      <c r="T490" s="9" t="s">
        <v>4624</v>
      </c>
      <c r="U490" s="9"/>
      <c r="V490" s="9" t="s">
        <v>4581</v>
      </c>
      <c r="W490" s="9"/>
      <c r="X490" s="11"/>
      <c r="Y490" s="9"/>
    </row>
    <row r="491" customFormat="false" ht="15" hidden="false" customHeight="false" outlineLevel="0" collapsed="false">
      <c r="A491" s="9" t="s">
        <v>2972</v>
      </c>
      <c r="B491" s="9" t="s">
        <v>2963</v>
      </c>
      <c r="C491" s="11" t="s">
        <v>2966</v>
      </c>
      <c r="D491" s="12" t="s">
        <v>2969</v>
      </c>
      <c r="E491" s="9" t="s">
        <v>3033</v>
      </c>
      <c r="F491" s="9" t="s">
        <v>3030</v>
      </c>
      <c r="G491" s="11" t="s">
        <v>3031</v>
      </c>
      <c r="H491" s="12" t="s">
        <v>3032</v>
      </c>
      <c r="I491" s="9"/>
      <c r="J491" s="11"/>
      <c r="K491" s="9"/>
      <c r="L491" s="9" t="s">
        <v>68</v>
      </c>
      <c r="M491" s="9" t="s">
        <v>237</v>
      </c>
      <c r="N491" s="11" t="s">
        <v>239</v>
      </c>
      <c r="O491" s="12" t="s">
        <v>241</v>
      </c>
      <c r="P491" s="13" t="n">
        <v>10</v>
      </c>
      <c r="Q491" s="13" t="n">
        <v>8</v>
      </c>
      <c r="R491" s="13" t="n">
        <v>6</v>
      </c>
      <c r="S491" s="13" t="n">
        <v>0.1</v>
      </c>
      <c r="T491" s="9" t="s">
        <v>4624</v>
      </c>
      <c r="U491" s="9"/>
      <c r="V491" s="9" t="s">
        <v>4572</v>
      </c>
      <c r="W491" s="9"/>
      <c r="X491" s="11"/>
      <c r="Y491" s="9"/>
    </row>
    <row r="492" customFormat="false" ht="15" hidden="false" customHeight="false" outlineLevel="0" collapsed="false">
      <c r="A492" s="9" t="s">
        <v>2972</v>
      </c>
      <c r="B492" s="9" t="s">
        <v>2963</v>
      </c>
      <c r="C492" s="11" t="s">
        <v>2966</v>
      </c>
      <c r="D492" s="12" t="s">
        <v>2969</v>
      </c>
      <c r="E492" s="9" t="s">
        <v>3038</v>
      </c>
      <c r="F492" s="9" t="s">
        <v>3035</v>
      </c>
      <c r="G492" s="11" t="s">
        <v>3036</v>
      </c>
      <c r="H492" s="12" t="s">
        <v>3037</v>
      </c>
      <c r="I492" s="9"/>
      <c r="J492" s="11"/>
      <c r="K492" s="9"/>
      <c r="L492" s="9" t="s">
        <v>68</v>
      </c>
      <c r="M492" s="9" t="s">
        <v>2965</v>
      </c>
      <c r="N492" s="11" t="s">
        <v>2968</v>
      </c>
      <c r="O492" s="12" t="s">
        <v>2971</v>
      </c>
      <c r="P492" s="13" t="n">
        <v>30</v>
      </c>
      <c r="Q492" s="13" t="n">
        <v>20</v>
      </c>
      <c r="R492" s="13" t="n">
        <v>20</v>
      </c>
      <c r="S492" s="13" t="n">
        <v>7</v>
      </c>
      <c r="T492" s="9" t="s">
        <v>4624</v>
      </c>
      <c r="U492" s="9"/>
      <c r="V492" s="9" t="s">
        <v>4565</v>
      </c>
      <c r="W492" s="9"/>
      <c r="X492" s="11"/>
      <c r="Y492" s="9"/>
    </row>
    <row r="493" customFormat="false" ht="15" hidden="false" customHeight="false" outlineLevel="0" collapsed="false">
      <c r="A493" s="9" t="s">
        <v>2972</v>
      </c>
      <c r="B493" s="9" t="s">
        <v>2963</v>
      </c>
      <c r="C493" s="11" t="s">
        <v>2966</v>
      </c>
      <c r="D493" s="12" t="s">
        <v>2969</v>
      </c>
      <c r="E493" s="9" t="s">
        <v>3043</v>
      </c>
      <c r="F493" s="9" t="s">
        <v>3040</v>
      </c>
      <c r="G493" s="11" t="s">
        <v>3041</v>
      </c>
      <c r="H493" s="12" t="s">
        <v>3042</v>
      </c>
      <c r="I493" s="9"/>
      <c r="J493" s="11"/>
      <c r="K493" s="9"/>
      <c r="L493" s="9" t="s">
        <v>68</v>
      </c>
      <c r="M493" s="9" t="s">
        <v>2965</v>
      </c>
      <c r="N493" s="11" t="s">
        <v>2968</v>
      </c>
      <c r="O493" s="12" t="s">
        <v>2971</v>
      </c>
      <c r="P493" s="13" t="n">
        <v>30</v>
      </c>
      <c r="Q493" s="13" t="n">
        <v>20</v>
      </c>
      <c r="R493" s="13" t="n">
        <v>15</v>
      </c>
      <c r="S493" s="13" t="n">
        <v>1.8</v>
      </c>
      <c r="T493" s="9" t="s">
        <v>4624</v>
      </c>
      <c r="U493" s="9"/>
      <c r="V493" s="9" t="s">
        <v>4581</v>
      </c>
      <c r="W493" s="9" t="s">
        <v>4874</v>
      </c>
      <c r="X493" s="11" t="s">
        <v>4874</v>
      </c>
      <c r="Y493" s="9" t="s">
        <v>4874</v>
      </c>
    </row>
    <row r="494" customFormat="false" ht="15" hidden="false" customHeight="false" outlineLevel="0" collapsed="false">
      <c r="A494" s="9" t="s">
        <v>2972</v>
      </c>
      <c r="B494" s="9" t="s">
        <v>2963</v>
      </c>
      <c r="C494" s="11" t="s">
        <v>2966</v>
      </c>
      <c r="D494" s="12" t="s">
        <v>2969</v>
      </c>
      <c r="E494" s="9" t="s">
        <v>3048</v>
      </c>
      <c r="F494" s="9" t="s">
        <v>3045</v>
      </c>
      <c r="G494" s="11" t="s">
        <v>3046</v>
      </c>
      <c r="H494" s="12" t="s">
        <v>3047</v>
      </c>
      <c r="I494" s="9"/>
      <c r="J494" s="11"/>
      <c r="K494" s="9"/>
      <c r="L494" s="9" t="s">
        <v>68</v>
      </c>
      <c r="M494" s="9" t="s">
        <v>2965</v>
      </c>
      <c r="N494" s="11" t="s">
        <v>2968</v>
      </c>
      <c r="O494" s="12" t="s">
        <v>2971</v>
      </c>
      <c r="P494" s="13" t="n">
        <v>25</v>
      </c>
      <c r="Q494" s="13" t="n">
        <v>15</v>
      </c>
      <c r="R494" s="13" t="n">
        <v>10</v>
      </c>
      <c r="S494" s="13" t="n">
        <v>0.9</v>
      </c>
      <c r="T494" s="9" t="s">
        <v>4624</v>
      </c>
      <c r="U494" s="9"/>
      <c r="V494" s="9" t="s">
        <v>4568</v>
      </c>
      <c r="W494" s="9"/>
      <c r="X494" s="11"/>
      <c r="Y494" s="9"/>
    </row>
    <row r="495" customFormat="false" ht="15" hidden="false" customHeight="false" outlineLevel="0" collapsed="false">
      <c r="A495" s="9" t="s">
        <v>2972</v>
      </c>
      <c r="B495" s="9" t="s">
        <v>2963</v>
      </c>
      <c r="C495" s="11" t="s">
        <v>2966</v>
      </c>
      <c r="D495" s="12" t="s">
        <v>2969</v>
      </c>
      <c r="E495" s="9" t="s">
        <v>3053</v>
      </c>
      <c r="F495" s="9" t="s">
        <v>3050</v>
      </c>
      <c r="G495" s="11" t="s">
        <v>3051</v>
      </c>
      <c r="H495" s="12" t="s">
        <v>3052</v>
      </c>
      <c r="I495" s="9"/>
      <c r="J495" s="11"/>
      <c r="K495" s="9"/>
      <c r="L495" s="9" t="s">
        <v>68</v>
      </c>
      <c r="M495" s="9" t="s">
        <v>69</v>
      </c>
      <c r="N495" s="11" t="s">
        <v>73</v>
      </c>
      <c r="O495" s="12" t="s">
        <v>77</v>
      </c>
      <c r="P495" s="13" t="n">
        <v>25</v>
      </c>
      <c r="Q495" s="13" t="n">
        <v>15</v>
      </c>
      <c r="R495" s="13" t="n">
        <v>10</v>
      </c>
      <c r="S495" s="13" t="n">
        <v>0.9</v>
      </c>
      <c r="T495" s="9" t="s">
        <v>4624</v>
      </c>
      <c r="U495" s="9"/>
      <c r="V495" s="9" t="s">
        <v>4568</v>
      </c>
      <c r="W495" s="9"/>
      <c r="X495" s="11"/>
      <c r="Y495" s="9"/>
    </row>
    <row r="496" customFormat="false" ht="15" hidden="false" customHeight="false" outlineLevel="0" collapsed="false">
      <c r="A496" s="9" t="s">
        <v>2972</v>
      </c>
      <c r="B496" s="9" t="s">
        <v>2963</v>
      </c>
      <c r="C496" s="11" t="s">
        <v>2966</v>
      </c>
      <c r="D496" s="12" t="s">
        <v>2969</v>
      </c>
      <c r="E496" s="9" t="s">
        <v>3058</v>
      </c>
      <c r="F496" s="9" t="s">
        <v>3055</v>
      </c>
      <c r="G496" s="11" t="s">
        <v>3056</v>
      </c>
      <c r="H496" s="12" t="s">
        <v>3057</v>
      </c>
      <c r="I496" s="9"/>
      <c r="J496" s="11"/>
      <c r="K496" s="9"/>
      <c r="L496" s="9" t="s">
        <v>68</v>
      </c>
      <c r="M496" s="9" t="s">
        <v>831</v>
      </c>
      <c r="N496" s="11" t="s">
        <v>833</v>
      </c>
      <c r="O496" s="12" t="s">
        <v>835</v>
      </c>
      <c r="P496" s="13" t="n">
        <v>30</v>
      </c>
      <c r="Q496" s="13" t="n">
        <v>30</v>
      </c>
      <c r="R496" s="13" t="n">
        <v>20</v>
      </c>
      <c r="S496" s="13" t="n">
        <v>5</v>
      </c>
      <c r="T496" s="9" t="s">
        <v>4624</v>
      </c>
      <c r="U496" s="9"/>
      <c r="V496" s="9" t="s">
        <v>4565</v>
      </c>
      <c r="W496" s="9"/>
      <c r="X496" s="11" t="s">
        <v>4888</v>
      </c>
      <c r="Y496" s="9" t="s">
        <v>4888</v>
      </c>
    </row>
    <row r="497" customFormat="false" ht="15" hidden="false" customHeight="false" outlineLevel="0" collapsed="false">
      <c r="A497" s="9" t="s">
        <v>2972</v>
      </c>
      <c r="B497" s="9" t="s">
        <v>2963</v>
      </c>
      <c r="C497" s="11" t="s">
        <v>2966</v>
      </c>
      <c r="D497" s="12" t="s">
        <v>2969</v>
      </c>
      <c r="E497" s="9" t="s">
        <v>3063</v>
      </c>
      <c r="F497" s="9" t="s">
        <v>3060</v>
      </c>
      <c r="G497" s="11" t="s">
        <v>3061</v>
      </c>
      <c r="H497" s="12" t="s">
        <v>3062</v>
      </c>
      <c r="I497" s="9"/>
      <c r="J497" s="11"/>
      <c r="K497" s="9"/>
      <c r="L497" s="9" t="s">
        <v>68</v>
      </c>
      <c r="M497" s="9" t="s">
        <v>893</v>
      </c>
      <c r="N497" s="11" t="s">
        <v>895</v>
      </c>
      <c r="O497" s="12" t="s">
        <v>897</v>
      </c>
      <c r="P497" s="13" t="n">
        <v>40</v>
      </c>
      <c r="Q497" s="13" t="n">
        <v>30</v>
      </c>
      <c r="R497" s="13" t="n">
        <v>25</v>
      </c>
      <c r="S497" s="13" t="n">
        <v>10</v>
      </c>
      <c r="T497" s="9" t="s">
        <v>4624</v>
      </c>
      <c r="U497" s="9"/>
      <c r="V497" s="9" t="s">
        <v>4565</v>
      </c>
      <c r="W497" s="9"/>
      <c r="X497" s="11"/>
      <c r="Y497" s="9"/>
    </row>
    <row r="498" customFormat="false" ht="15" hidden="false" customHeight="false" outlineLevel="0" collapsed="false">
      <c r="A498" s="9" t="s">
        <v>3074</v>
      </c>
      <c r="B498" s="9" t="s">
        <v>3065</v>
      </c>
      <c r="C498" s="11" t="s">
        <v>3068</v>
      </c>
      <c r="D498" s="12" t="s">
        <v>3071</v>
      </c>
      <c r="E498" s="9" t="s">
        <v>3075</v>
      </c>
      <c r="F498" s="9" t="s">
        <v>3066</v>
      </c>
      <c r="G498" s="11" t="s">
        <v>3069</v>
      </c>
      <c r="H498" s="12" t="s">
        <v>3072</v>
      </c>
      <c r="I498" s="9"/>
      <c r="J498" s="11"/>
      <c r="K498" s="9"/>
      <c r="L498" s="9" t="s">
        <v>68</v>
      </c>
      <c r="M498" s="9" t="s">
        <v>3067</v>
      </c>
      <c r="N498" s="11" t="s">
        <v>3070</v>
      </c>
      <c r="O498" s="12" t="s">
        <v>3073</v>
      </c>
      <c r="P498" s="13" t="n">
        <v>70</v>
      </c>
      <c r="Q498" s="13" t="n">
        <v>50</v>
      </c>
      <c r="R498" s="13" t="n">
        <v>50</v>
      </c>
      <c r="S498" s="13" t="n">
        <v>70</v>
      </c>
      <c r="T498" s="9" t="s">
        <v>4624</v>
      </c>
      <c r="U498" s="9" t="s">
        <v>4564</v>
      </c>
      <c r="V498" s="9" t="s">
        <v>4565</v>
      </c>
      <c r="W498" s="9"/>
      <c r="X498" s="11"/>
      <c r="Y498" s="9"/>
    </row>
    <row r="499" customFormat="false" ht="15" hidden="false" customHeight="false" outlineLevel="0" collapsed="false">
      <c r="A499" s="9" t="s">
        <v>3074</v>
      </c>
      <c r="B499" s="9" t="s">
        <v>3065</v>
      </c>
      <c r="C499" s="11" t="s">
        <v>3068</v>
      </c>
      <c r="D499" s="12" t="s">
        <v>3071</v>
      </c>
      <c r="E499" s="9" t="s">
        <v>3079</v>
      </c>
      <c r="F499" s="9" t="s">
        <v>3077</v>
      </c>
      <c r="G499" s="11" t="s">
        <v>3070</v>
      </c>
      <c r="H499" s="12" t="s">
        <v>3078</v>
      </c>
      <c r="I499" s="9"/>
      <c r="J499" s="11"/>
      <c r="K499" s="9"/>
      <c r="L499" s="9" t="s">
        <v>68</v>
      </c>
      <c r="M499" s="9" t="s">
        <v>3067</v>
      </c>
      <c r="N499" s="11" t="s">
        <v>3070</v>
      </c>
      <c r="O499" s="12" t="s">
        <v>3073</v>
      </c>
      <c r="P499" s="13" t="n">
        <v>40</v>
      </c>
      <c r="Q499" s="13" t="n">
        <v>35</v>
      </c>
      <c r="R499" s="13" t="n">
        <v>35</v>
      </c>
      <c r="S499" s="13" t="n">
        <v>35</v>
      </c>
      <c r="T499" s="9" t="s">
        <v>4624</v>
      </c>
      <c r="U499" s="9" t="s">
        <v>4564</v>
      </c>
      <c r="V499" s="9" t="s">
        <v>4565</v>
      </c>
      <c r="W499" s="9"/>
      <c r="X499" s="11" t="s">
        <v>4889</v>
      </c>
      <c r="Y499" s="9"/>
    </row>
    <row r="500" customFormat="false" ht="15" hidden="false" customHeight="false" outlineLevel="0" collapsed="false">
      <c r="A500" s="9" t="s">
        <v>3074</v>
      </c>
      <c r="B500" s="9" t="s">
        <v>3065</v>
      </c>
      <c r="C500" s="11" t="s">
        <v>3068</v>
      </c>
      <c r="D500" s="12" t="s">
        <v>3071</v>
      </c>
      <c r="E500" s="9" t="s">
        <v>3084</v>
      </c>
      <c r="F500" s="9" t="s">
        <v>3081</v>
      </c>
      <c r="G500" s="11" t="s">
        <v>3082</v>
      </c>
      <c r="H500" s="12" t="s">
        <v>3083</v>
      </c>
      <c r="I500" s="9"/>
      <c r="J500" s="11"/>
      <c r="K500" s="9"/>
      <c r="L500" s="9" t="s">
        <v>68</v>
      </c>
      <c r="M500" s="9" t="s">
        <v>3067</v>
      </c>
      <c r="N500" s="11" t="s">
        <v>3070</v>
      </c>
      <c r="O500" s="12" t="s">
        <v>3073</v>
      </c>
      <c r="P500" s="13" t="n">
        <v>30</v>
      </c>
      <c r="Q500" s="13" t="n">
        <v>20</v>
      </c>
      <c r="R500" s="13" t="n">
        <v>15</v>
      </c>
      <c r="S500" s="13" t="n">
        <v>1.8</v>
      </c>
      <c r="T500" s="9" t="s">
        <v>4624</v>
      </c>
      <c r="U500" s="9"/>
      <c r="V500" s="9" t="s">
        <v>4581</v>
      </c>
      <c r="W500" s="9"/>
      <c r="X500" s="11"/>
      <c r="Y500" s="9"/>
    </row>
    <row r="501" customFormat="false" ht="15" hidden="false" customHeight="false" outlineLevel="0" collapsed="false">
      <c r="A501" s="9" t="s">
        <v>3074</v>
      </c>
      <c r="B501" s="9" t="s">
        <v>3065</v>
      </c>
      <c r="C501" s="11" t="s">
        <v>3068</v>
      </c>
      <c r="D501" s="12" t="s">
        <v>3071</v>
      </c>
      <c r="E501" s="9" t="s">
        <v>3089</v>
      </c>
      <c r="F501" s="9" t="s">
        <v>3086</v>
      </c>
      <c r="G501" s="11" t="s">
        <v>3087</v>
      </c>
      <c r="H501" s="12" t="s">
        <v>3088</v>
      </c>
      <c r="I501" s="9"/>
      <c r="J501" s="11"/>
      <c r="K501" s="9"/>
      <c r="L501" s="9" t="s">
        <v>68</v>
      </c>
      <c r="M501" s="9" t="s">
        <v>926</v>
      </c>
      <c r="N501" s="11" t="s">
        <v>928</v>
      </c>
      <c r="O501" s="12" t="s">
        <v>930</v>
      </c>
      <c r="P501" s="13" t="n">
        <v>60</v>
      </c>
      <c r="Q501" s="13" t="n">
        <v>45</v>
      </c>
      <c r="R501" s="13" t="n">
        <v>45</v>
      </c>
      <c r="S501" s="13" t="n">
        <v>60</v>
      </c>
      <c r="T501" s="9" t="s">
        <v>4624</v>
      </c>
      <c r="U501" s="9" t="s">
        <v>4564</v>
      </c>
      <c r="V501" s="9" t="s">
        <v>4565</v>
      </c>
      <c r="W501" s="9" t="s">
        <v>4890</v>
      </c>
      <c r="X501" s="11" t="s">
        <v>4890</v>
      </c>
      <c r="Y501" s="9" t="s">
        <v>4890</v>
      </c>
    </row>
    <row r="502" customFormat="false" ht="15" hidden="false" customHeight="false" outlineLevel="0" collapsed="false">
      <c r="A502" s="9" t="s">
        <v>3074</v>
      </c>
      <c r="B502" s="9" t="s">
        <v>3065</v>
      </c>
      <c r="C502" s="11" t="s">
        <v>3068</v>
      </c>
      <c r="D502" s="12" t="s">
        <v>3071</v>
      </c>
      <c r="E502" s="9" t="s">
        <v>3094</v>
      </c>
      <c r="F502" s="9" t="s">
        <v>3091</v>
      </c>
      <c r="G502" s="11" t="s">
        <v>3092</v>
      </c>
      <c r="H502" s="12" t="s">
        <v>3093</v>
      </c>
      <c r="I502" s="9"/>
      <c r="J502" s="11"/>
      <c r="K502" s="9"/>
      <c r="L502" s="9" t="s">
        <v>68</v>
      </c>
      <c r="M502" s="9" t="s">
        <v>266</v>
      </c>
      <c r="N502" s="11" t="s">
        <v>269</v>
      </c>
      <c r="O502" s="12" t="s">
        <v>272</v>
      </c>
      <c r="P502" s="13" t="n">
        <v>30</v>
      </c>
      <c r="Q502" s="13" t="n">
        <v>20</v>
      </c>
      <c r="R502" s="13" t="n">
        <v>15</v>
      </c>
      <c r="S502" s="13" t="n">
        <v>1.8</v>
      </c>
      <c r="T502" s="9" t="s">
        <v>4624</v>
      </c>
      <c r="U502" s="9"/>
      <c r="V502" s="9" t="s">
        <v>4581</v>
      </c>
      <c r="W502" s="9" t="s">
        <v>4891</v>
      </c>
      <c r="X502" s="11" t="s">
        <v>4891</v>
      </c>
      <c r="Y502" s="9" t="s">
        <v>4892</v>
      </c>
    </row>
    <row r="503" customFormat="false" ht="15" hidden="false" customHeight="false" outlineLevel="0" collapsed="false">
      <c r="A503" s="9" t="s">
        <v>3074</v>
      </c>
      <c r="B503" s="9" t="s">
        <v>3065</v>
      </c>
      <c r="C503" s="11" t="s">
        <v>3068</v>
      </c>
      <c r="D503" s="12" t="s">
        <v>3071</v>
      </c>
      <c r="E503" s="9" t="s">
        <v>3099</v>
      </c>
      <c r="F503" s="9" t="s">
        <v>3096</v>
      </c>
      <c r="G503" s="11" t="s">
        <v>3097</v>
      </c>
      <c r="H503" s="9" t="s">
        <v>3098</v>
      </c>
      <c r="I503" s="9"/>
      <c r="J503" s="11"/>
      <c r="K503" s="9"/>
      <c r="L503" s="9" t="s">
        <v>68</v>
      </c>
      <c r="M503" s="9" t="s">
        <v>2140</v>
      </c>
      <c r="N503" s="11" t="s">
        <v>2143</v>
      </c>
      <c r="O503" s="12" t="s">
        <v>2146</v>
      </c>
      <c r="P503" s="13" t="n">
        <v>35</v>
      </c>
      <c r="Q503" s="13" t="n">
        <v>25</v>
      </c>
      <c r="R503" s="13" t="n">
        <v>15</v>
      </c>
      <c r="S503" s="13" t="n">
        <v>12</v>
      </c>
      <c r="T503" s="9" t="s">
        <v>4624</v>
      </c>
      <c r="U503" s="9" t="s">
        <v>4798</v>
      </c>
      <c r="V503" s="9" t="s">
        <v>4565</v>
      </c>
      <c r="W503" s="9" t="s">
        <v>4893</v>
      </c>
      <c r="X503" s="11"/>
      <c r="Y503" s="9"/>
    </row>
    <row r="504" customFormat="false" ht="15" hidden="false" customHeight="false" outlineLevel="0" collapsed="false">
      <c r="A504" s="9" t="s">
        <v>3107</v>
      </c>
      <c r="B504" s="9" t="s">
        <v>3101</v>
      </c>
      <c r="C504" s="11" t="s">
        <v>3103</v>
      </c>
      <c r="D504" s="12" t="s">
        <v>3105</v>
      </c>
      <c r="E504" s="9" t="s">
        <v>3108</v>
      </c>
      <c r="F504" s="9" t="s">
        <v>3102</v>
      </c>
      <c r="G504" s="11" t="s">
        <v>3104</v>
      </c>
      <c r="H504" s="12" t="s">
        <v>3106</v>
      </c>
      <c r="I504" s="9"/>
      <c r="J504" s="11"/>
      <c r="K504" s="9"/>
      <c r="L504" s="9" t="s">
        <v>68</v>
      </c>
      <c r="M504" s="9" t="s">
        <v>266</v>
      </c>
      <c r="N504" s="11" t="s">
        <v>269</v>
      </c>
      <c r="O504" s="12" t="s">
        <v>272</v>
      </c>
      <c r="P504" s="13" t="n">
        <v>30</v>
      </c>
      <c r="Q504" s="13" t="n">
        <v>20</v>
      </c>
      <c r="R504" s="13" t="n">
        <v>20</v>
      </c>
      <c r="S504" s="13" t="n">
        <v>6</v>
      </c>
      <c r="T504" s="9" t="s">
        <v>4563</v>
      </c>
      <c r="U504" s="9"/>
      <c r="V504" s="9" t="s">
        <v>4565</v>
      </c>
      <c r="W504" s="9"/>
      <c r="X504" s="11"/>
      <c r="Y504" s="9"/>
    </row>
    <row r="505" customFormat="false" ht="15" hidden="false" customHeight="false" outlineLevel="0" collapsed="false">
      <c r="A505" s="9" t="s">
        <v>3107</v>
      </c>
      <c r="B505" s="9" t="s">
        <v>3101</v>
      </c>
      <c r="C505" s="11" t="s">
        <v>3103</v>
      </c>
      <c r="D505" s="12" t="s">
        <v>3105</v>
      </c>
      <c r="E505" s="9" t="s">
        <v>3113</v>
      </c>
      <c r="F505" s="9" t="s">
        <v>3110</v>
      </c>
      <c r="G505" s="11" t="s">
        <v>3111</v>
      </c>
      <c r="H505" s="12" t="s">
        <v>3112</v>
      </c>
      <c r="I505" s="9"/>
      <c r="J505" s="11"/>
      <c r="K505" s="9"/>
      <c r="L505" s="9" t="s">
        <v>68</v>
      </c>
      <c r="M505" s="9" t="s">
        <v>266</v>
      </c>
      <c r="N505" s="11" t="s">
        <v>269</v>
      </c>
      <c r="O505" s="12" t="s">
        <v>272</v>
      </c>
      <c r="P505" s="13" t="n">
        <v>15</v>
      </c>
      <c r="Q505" s="13" t="n">
        <v>10</v>
      </c>
      <c r="R505" s="13" t="n">
        <v>8</v>
      </c>
      <c r="S505" s="13" t="n">
        <v>0.3</v>
      </c>
      <c r="T505" s="9" t="s">
        <v>4563</v>
      </c>
      <c r="U505" s="9"/>
      <c r="V505" s="9" t="s">
        <v>4571</v>
      </c>
      <c r="W505" s="9"/>
      <c r="X505" s="11"/>
      <c r="Y505" s="9"/>
    </row>
    <row r="506" customFormat="false" ht="15" hidden="false" customHeight="false" outlineLevel="0" collapsed="false">
      <c r="A506" s="9" t="s">
        <v>3107</v>
      </c>
      <c r="B506" s="9" t="s">
        <v>3101</v>
      </c>
      <c r="C506" s="11" t="s">
        <v>3103</v>
      </c>
      <c r="D506" s="12" t="s">
        <v>3105</v>
      </c>
      <c r="E506" s="9" t="s">
        <v>3118</v>
      </c>
      <c r="F506" s="9" t="s">
        <v>3115</v>
      </c>
      <c r="G506" s="11" t="s">
        <v>3116</v>
      </c>
      <c r="H506" s="12" t="s">
        <v>3117</v>
      </c>
      <c r="I506" s="9"/>
      <c r="J506" s="11"/>
      <c r="K506" s="9"/>
      <c r="L506" s="9" t="s">
        <v>68</v>
      </c>
      <c r="M506" s="9" t="s">
        <v>496</v>
      </c>
      <c r="N506" s="11" t="s">
        <v>498</v>
      </c>
      <c r="O506" s="12" t="s">
        <v>500</v>
      </c>
      <c r="P506" s="13" t="n">
        <v>60</v>
      </c>
      <c r="Q506" s="13" t="n">
        <v>40</v>
      </c>
      <c r="R506" s="13" t="n">
        <v>5</v>
      </c>
      <c r="S506" s="13" t="n">
        <v>4</v>
      </c>
      <c r="T506" s="9" t="s">
        <v>4615</v>
      </c>
      <c r="U506" s="9"/>
      <c r="V506" s="9" t="s">
        <v>4565</v>
      </c>
      <c r="W506" s="9"/>
      <c r="X506" s="11" t="s">
        <v>4894</v>
      </c>
      <c r="Y506" s="9"/>
    </row>
    <row r="507" customFormat="false" ht="15" hidden="false" customHeight="false" outlineLevel="0" collapsed="false">
      <c r="A507" s="9" t="s">
        <v>3107</v>
      </c>
      <c r="B507" s="9" t="s">
        <v>3101</v>
      </c>
      <c r="C507" s="11" t="s">
        <v>3103</v>
      </c>
      <c r="D507" s="12" t="s">
        <v>3105</v>
      </c>
      <c r="E507" s="9" t="s">
        <v>3123</v>
      </c>
      <c r="F507" s="9" t="s">
        <v>3120</v>
      </c>
      <c r="G507" s="11" t="s">
        <v>3121</v>
      </c>
      <c r="H507" s="12" t="s">
        <v>3122</v>
      </c>
      <c r="I507" s="9"/>
      <c r="J507" s="11"/>
      <c r="K507" s="9"/>
      <c r="L507" s="9" t="s">
        <v>68</v>
      </c>
      <c r="M507" s="9" t="s">
        <v>893</v>
      </c>
      <c r="N507" s="11" t="s">
        <v>895</v>
      </c>
      <c r="O507" s="12" t="s">
        <v>897</v>
      </c>
      <c r="P507" s="13" t="n">
        <v>30</v>
      </c>
      <c r="Q507" s="13" t="n">
        <v>25</v>
      </c>
      <c r="R507" s="13" t="n">
        <v>8</v>
      </c>
      <c r="S507" s="13" t="n">
        <v>2</v>
      </c>
      <c r="T507" s="9" t="s">
        <v>4615</v>
      </c>
      <c r="U507" s="9"/>
      <c r="V507" s="9" t="s">
        <v>4565</v>
      </c>
      <c r="W507" s="9"/>
      <c r="X507" s="11" t="s">
        <v>4895</v>
      </c>
      <c r="Y507" s="9"/>
    </row>
    <row r="508" customFormat="false" ht="15" hidden="false" customHeight="false" outlineLevel="0" collapsed="false">
      <c r="A508" s="9" t="s">
        <v>3107</v>
      </c>
      <c r="B508" s="9" t="s">
        <v>3101</v>
      </c>
      <c r="C508" s="11" t="s">
        <v>3103</v>
      </c>
      <c r="D508" s="12" t="s">
        <v>3105</v>
      </c>
      <c r="E508" s="9" t="s">
        <v>3128</v>
      </c>
      <c r="F508" s="9" t="s">
        <v>3125</v>
      </c>
      <c r="G508" s="11" t="s">
        <v>3126</v>
      </c>
      <c r="H508" s="12" t="s">
        <v>3127</v>
      </c>
      <c r="I508" s="9"/>
      <c r="J508" s="11"/>
      <c r="K508" s="9"/>
      <c r="L508" s="9" t="s">
        <v>68</v>
      </c>
      <c r="M508" s="9" t="s">
        <v>893</v>
      </c>
      <c r="N508" s="11" t="s">
        <v>895</v>
      </c>
      <c r="O508" s="12" t="s">
        <v>897</v>
      </c>
      <c r="P508" s="13" t="n">
        <v>10</v>
      </c>
      <c r="Q508" s="13" t="n">
        <v>8</v>
      </c>
      <c r="R508" s="13" t="n">
        <v>6</v>
      </c>
      <c r="S508" s="13" t="n">
        <v>0.1</v>
      </c>
      <c r="T508" s="9" t="s">
        <v>4615</v>
      </c>
      <c r="U508" s="9"/>
      <c r="V508" s="9" t="s">
        <v>4572</v>
      </c>
      <c r="W508" s="9"/>
      <c r="X508" s="11"/>
      <c r="Y508" s="9"/>
    </row>
    <row r="509" customFormat="false" ht="15" hidden="false" customHeight="false" outlineLevel="0" collapsed="false">
      <c r="A509" s="9" t="s">
        <v>3107</v>
      </c>
      <c r="B509" s="9" t="s">
        <v>3101</v>
      </c>
      <c r="C509" s="11" t="s">
        <v>3103</v>
      </c>
      <c r="D509" s="12" t="s">
        <v>3105</v>
      </c>
      <c r="E509" s="9" t="s">
        <v>3133</v>
      </c>
      <c r="F509" s="9" t="s">
        <v>3130</v>
      </c>
      <c r="G509" s="11" t="s">
        <v>3131</v>
      </c>
      <c r="H509" s="12" t="s">
        <v>3132</v>
      </c>
      <c r="I509" s="9"/>
      <c r="J509" s="11"/>
      <c r="K509" s="9"/>
      <c r="L509" s="9" t="s">
        <v>68</v>
      </c>
      <c r="M509" s="9" t="s">
        <v>69</v>
      </c>
      <c r="N509" s="11" t="s">
        <v>73</v>
      </c>
      <c r="O509" s="12" t="s">
        <v>77</v>
      </c>
      <c r="P509" s="13" t="n">
        <v>15</v>
      </c>
      <c r="Q509" s="13" t="n">
        <v>10</v>
      </c>
      <c r="R509" s="13" t="n">
        <v>8</v>
      </c>
      <c r="S509" s="13" t="n">
        <v>0.3</v>
      </c>
      <c r="T509" s="9" t="s">
        <v>4615</v>
      </c>
      <c r="U509" s="9"/>
      <c r="V509" s="9" t="s">
        <v>4571</v>
      </c>
      <c r="W509" s="9"/>
      <c r="X509" s="11" t="s">
        <v>4896</v>
      </c>
      <c r="Y509" s="9"/>
    </row>
    <row r="510" customFormat="false" ht="15" hidden="false" customHeight="false" outlineLevel="0" collapsed="false">
      <c r="A510" s="9" t="s">
        <v>3107</v>
      </c>
      <c r="B510" s="9" t="s">
        <v>3101</v>
      </c>
      <c r="C510" s="11" t="s">
        <v>3103</v>
      </c>
      <c r="D510" s="12" t="s">
        <v>3105</v>
      </c>
      <c r="E510" s="9" t="s">
        <v>3138</v>
      </c>
      <c r="F510" s="9" t="s">
        <v>3135</v>
      </c>
      <c r="G510" s="11" t="s">
        <v>3136</v>
      </c>
      <c r="H510" s="12" t="s">
        <v>3137</v>
      </c>
      <c r="I510" s="9"/>
      <c r="J510" s="11"/>
      <c r="K510" s="9"/>
      <c r="L510" s="9" t="s">
        <v>68</v>
      </c>
      <c r="M510" s="9" t="s">
        <v>69</v>
      </c>
      <c r="N510" s="11" t="s">
        <v>73</v>
      </c>
      <c r="O510" s="12" t="s">
        <v>77</v>
      </c>
      <c r="P510" s="13" t="n">
        <v>25</v>
      </c>
      <c r="Q510" s="13" t="n">
        <v>15</v>
      </c>
      <c r="R510" s="13" t="n">
        <v>10</v>
      </c>
      <c r="S510" s="13" t="n">
        <v>0.9</v>
      </c>
      <c r="T510" s="9" t="s">
        <v>4615</v>
      </c>
      <c r="U510" s="9"/>
      <c r="V510" s="9" t="s">
        <v>4568</v>
      </c>
      <c r="W510" s="9"/>
      <c r="X510" s="11"/>
      <c r="Y510" s="9"/>
    </row>
    <row r="511" customFormat="false" ht="15" hidden="false" customHeight="false" outlineLevel="0" collapsed="false">
      <c r="A511" s="9" t="s">
        <v>3107</v>
      </c>
      <c r="B511" s="9" t="s">
        <v>3101</v>
      </c>
      <c r="C511" s="11" t="s">
        <v>3103</v>
      </c>
      <c r="D511" s="12" t="s">
        <v>3105</v>
      </c>
      <c r="E511" s="9" t="s">
        <v>3143</v>
      </c>
      <c r="F511" s="9" t="s">
        <v>3140</v>
      </c>
      <c r="G511" s="11" t="s">
        <v>3141</v>
      </c>
      <c r="H511" s="12" t="s">
        <v>3142</v>
      </c>
      <c r="I511" s="9"/>
      <c r="J511" s="11"/>
      <c r="K511" s="9"/>
      <c r="L511" s="9" t="s">
        <v>68</v>
      </c>
      <c r="M511" s="9" t="s">
        <v>69</v>
      </c>
      <c r="N511" s="11" t="s">
        <v>73</v>
      </c>
      <c r="O511" s="12" t="s">
        <v>77</v>
      </c>
      <c r="P511" s="13" t="n">
        <v>25</v>
      </c>
      <c r="Q511" s="13" t="n">
        <v>15</v>
      </c>
      <c r="R511" s="13" t="n">
        <v>10</v>
      </c>
      <c r="S511" s="13" t="n">
        <v>0.9</v>
      </c>
      <c r="T511" s="9" t="s">
        <v>4615</v>
      </c>
      <c r="U511" s="9"/>
      <c r="V511" s="9" t="s">
        <v>4568</v>
      </c>
      <c r="W511" s="9" t="s">
        <v>4897</v>
      </c>
      <c r="X511" s="11"/>
      <c r="Y511" s="9"/>
    </row>
    <row r="512" customFormat="false" ht="15" hidden="false" customHeight="false" outlineLevel="0" collapsed="false">
      <c r="A512" s="9" t="s">
        <v>3107</v>
      </c>
      <c r="B512" s="9" t="s">
        <v>3101</v>
      </c>
      <c r="C512" s="11" t="s">
        <v>3103</v>
      </c>
      <c r="D512" s="12" t="s">
        <v>3105</v>
      </c>
      <c r="E512" s="9" t="s">
        <v>3148</v>
      </c>
      <c r="F512" s="9" t="s">
        <v>3145</v>
      </c>
      <c r="G512" s="11" t="s">
        <v>3146</v>
      </c>
      <c r="H512" s="12" t="s">
        <v>3147</v>
      </c>
      <c r="I512" s="9"/>
      <c r="J512" s="11"/>
      <c r="K512" s="9"/>
      <c r="L512" s="9" t="s">
        <v>68</v>
      </c>
      <c r="M512" s="9" t="s">
        <v>69</v>
      </c>
      <c r="N512" s="11" t="s">
        <v>73</v>
      </c>
      <c r="O512" s="12" t="s">
        <v>77</v>
      </c>
      <c r="P512" s="13" t="n">
        <v>25</v>
      </c>
      <c r="Q512" s="13" t="n">
        <v>15</v>
      </c>
      <c r="R512" s="13" t="n">
        <v>10</v>
      </c>
      <c r="S512" s="13" t="n">
        <v>0.9</v>
      </c>
      <c r="T512" s="9" t="s">
        <v>4615</v>
      </c>
      <c r="U512" s="9"/>
      <c r="V512" s="9" t="s">
        <v>4568</v>
      </c>
      <c r="W512" s="9" t="s">
        <v>4897</v>
      </c>
      <c r="X512" s="11"/>
      <c r="Y512" s="9"/>
    </row>
    <row r="513" customFormat="false" ht="15" hidden="false" customHeight="false" outlineLevel="0" collapsed="false">
      <c r="A513" s="9" t="s">
        <v>3107</v>
      </c>
      <c r="B513" s="9" t="s">
        <v>3101</v>
      </c>
      <c r="C513" s="11" t="s">
        <v>3103</v>
      </c>
      <c r="D513" s="12" t="s">
        <v>3105</v>
      </c>
      <c r="E513" s="9" t="s">
        <v>3153</v>
      </c>
      <c r="F513" s="9" t="s">
        <v>3150</v>
      </c>
      <c r="G513" s="11" t="s">
        <v>3151</v>
      </c>
      <c r="H513" s="12" t="s">
        <v>3152</v>
      </c>
      <c r="I513" s="9"/>
      <c r="J513" s="11"/>
      <c r="K513" s="9"/>
      <c r="L513" s="9" t="s">
        <v>68</v>
      </c>
      <c r="M513" s="9" t="s">
        <v>69</v>
      </c>
      <c r="N513" s="11" t="s">
        <v>73</v>
      </c>
      <c r="O513" s="12" t="s">
        <v>77</v>
      </c>
      <c r="P513" s="13" t="n">
        <v>10</v>
      </c>
      <c r="Q513" s="13" t="n">
        <v>8</v>
      </c>
      <c r="R513" s="13" t="n">
        <v>6</v>
      </c>
      <c r="S513" s="13" t="n">
        <v>0.1</v>
      </c>
      <c r="T513" s="9" t="s">
        <v>4615</v>
      </c>
      <c r="U513" s="9"/>
      <c r="V513" s="9" t="s">
        <v>4572</v>
      </c>
      <c r="W513" s="9"/>
      <c r="X513" s="11"/>
      <c r="Y513" s="9"/>
    </row>
    <row r="514" customFormat="false" ht="15" hidden="false" customHeight="false" outlineLevel="0" collapsed="false">
      <c r="A514" s="9" t="s">
        <v>3107</v>
      </c>
      <c r="B514" s="9" t="s">
        <v>3101</v>
      </c>
      <c r="C514" s="11" t="s">
        <v>3103</v>
      </c>
      <c r="D514" s="12" t="s">
        <v>3105</v>
      </c>
      <c r="E514" s="9" t="s">
        <v>3161</v>
      </c>
      <c r="F514" s="9" t="s">
        <v>3155</v>
      </c>
      <c r="G514" s="11" t="s">
        <v>3157</v>
      </c>
      <c r="H514" s="12" t="s">
        <v>3159</v>
      </c>
      <c r="I514" s="9"/>
      <c r="J514" s="11"/>
      <c r="K514" s="9"/>
      <c r="L514" s="9" t="s">
        <v>68</v>
      </c>
      <c r="M514" s="9" t="s">
        <v>3156</v>
      </c>
      <c r="N514" s="11" t="s">
        <v>3158</v>
      </c>
      <c r="O514" s="12" t="s">
        <v>3160</v>
      </c>
      <c r="P514" s="13" t="n">
        <v>10</v>
      </c>
      <c r="Q514" s="13" t="n">
        <v>8</v>
      </c>
      <c r="R514" s="13" t="n">
        <v>6</v>
      </c>
      <c r="S514" s="13" t="n">
        <v>0.1</v>
      </c>
      <c r="T514" s="9" t="s">
        <v>4615</v>
      </c>
      <c r="U514" s="9"/>
      <c r="V514" s="9" t="s">
        <v>4572</v>
      </c>
      <c r="W514" s="9" t="s">
        <v>4898</v>
      </c>
      <c r="X514" s="11"/>
      <c r="Y514" s="9"/>
    </row>
    <row r="515" customFormat="false" ht="15" hidden="false" customHeight="false" outlineLevel="0" collapsed="false">
      <c r="A515" s="9" t="s">
        <v>3107</v>
      </c>
      <c r="B515" s="9" t="s">
        <v>3101</v>
      </c>
      <c r="C515" s="11" t="s">
        <v>3103</v>
      </c>
      <c r="D515" s="12" t="s">
        <v>3105</v>
      </c>
      <c r="E515" s="9" t="s">
        <v>3166</v>
      </c>
      <c r="F515" s="9" t="s">
        <v>3163</v>
      </c>
      <c r="G515" s="11" t="s">
        <v>3164</v>
      </c>
      <c r="H515" s="12" t="s">
        <v>3165</v>
      </c>
      <c r="I515" s="9"/>
      <c r="J515" s="11"/>
      <c r="K515" s="9"/>
      <c r="L515" s="9" t="s">
        <v>68</v>
      </c>
      <c r="M515" s="9" t="s">
        <v>496</v>
      </c>
      <c r="N515" s="11" t="s">
        <v>498</v>
      </c>
      <c r="O515" s="12" t="s">
        <v>500</v>
      </c>
      <c r="P515" s="13" t="n">
        <v>30</v>
      </c>
      <c r="Q515" s="13" t="n">
        <v>20</v>
      </c>
      <c r="R515" s="13" t="n">
        <v>15</v>
      </c>
      <c r="S515" s="13" t="n">
        <v>1.8</v>
      </c>
      <c r="T515" s="9" t="s">
        <v>4615</v>
      </c>
      <c r="U515" s="9"/>
      <c r="V515" s="9" t="s">
        <v>4581</v>
      </c>
      <c r="W515" s="9"/>
      <c r="X515" s="11"/>
      <c r="Y515" s="9"/>
    </row>
    <row r="516" customFormat="false" ht="15" hidden="false" customHeight="false" outlineLevel="0" collapsed="false">
      <c r="A516" s="9" t="s">
        <v>3107</v>
      </c>
      <c r="B516" s="9" t="s">
        <v>3101</v>
      </c>
      <c r="C516" s="11" t="s">
        <v>3103</v>
      </c>
      <c r="D516" s="12" t="s">
        <v>3105</v>
      </c>
      <c r="E516" s="9" t="s">
        <v>3171</v>
      </c>
      <c r="F516" s="9" t="s">
        <v>3168</v>
      </c>
      <c r="G516" s="11" t="s">
        <v>3169</v>
      </c>
      <c r="H516" s="12" t="s">
        <v>3170</v>
      </c>
      <c r="I516" s="9"/>
      <c r="J516" s="11"/>
      <c r="K516" s="9"/>
      <c r="L516" s="9" t="s">
        <v>68</v>
      </c>
      <c r="M516" s="9" t="s">
        <v>893</v>
      </c>
      <c r="N516" s="11" t="s">
        <v>895</v>
      </c>
      <c r="O516" s="12" t="s">
        <v>897</v>
      </c>
      <c r="P516" s="13" t="n">
        <v>30</v>
      </c>
      <c r="Q516" s="13" t="n">
        <v>20</v>
      </c>
      <c r="R516" s="13" t="n">
        <v>15</v>
      </c>
      <c r="S516" s="13" t="n">
        <v>1.8</v>
      </c>
      <c r="T516" s="9" t="s">
        <v>4615</v>
      </c>
      <c r="U516" s="9"/>
      <c r="V516" s="9" t="s">
        <v>4581</v>
      </c>
      <c r="W516" s="9"/>
      <c r="X516" s="11" t="s">
        <v>4899</v>
      </c>
      <c r="Y516" s="9"/>
    </row>
    <row r="517" customFormat="false" ht="15" hidden="false" customHeight="false" outlineLevel="0" collapsed="false">
      <c r="A517" s="9" t="s">
        <v>3107</v>
      </c>
      <c r="B517" s="9" t="s">
        <v>3101</v>
      </c>
      <c r="C517" s="11" t="s">
        <v>3103</v>
      </c>
      <c r="D517" s="12" t="s">
        <v>3105</v>
      </c>
      <c r="E517" s="9" t="s">
        <v>3176</v>
      </c>
      <c r="F517" s="9" t="s">
        <v>3173</v>
      </c>
      <c r="G517" s="11" t="s">
        <v>3174</v>
      </c>
      <c r="H517" s="12" t="s">
        <v>3175</v>
      </c>
      <c r="I517" s="9"/>
      <c r="J517" s="11"/>
      <c r="K517" s="9"/>
      <c r="L517" s="9" t="s">
        <v>68</v>
      </c>
      <c r="M517" s="9" t="s">
        <v>893</v>
      </c>
      <c r="N517" s="11" t="s">
        <v>895</v>
      </c>
      <c r="O517" s="12" t="s">
        <v>897</v>
      </c>
      <c r="P517" s="13" t="n">
        <v>10</v>
      </c>
      <c r="Q517" s="13" t="n">
        <v>8</v>
      </c>
      <c r="R517" s="13" t="n">
        <v>6</v>
      </c>
      <c r="S517" s="13" t="n">
        <v>0.1</v>
      </c>
      <c r="T517" s="9" t="s">
        <v>4615</v>
      </c>
      <c r="U517" s="9"/>
      <c r="V517" s="9" t="s">
        <v>4572</v>
      </c>
      <c r="W517" s="9"/>
      <c r="X517" s="11"/>
      <c r="Y517" s="9"/>
    </row>
    <row r="518" customFormat="false" ht="15" hidden="false" customHeight="false" outlineLevel="0" collapsed="false">
      <c r="A518" s="9" t="s">
        <v>3107</v>
      </c>
      <c r="B518" s="9" t="s">
        <v>3101</v>
      </c>
      <c r="C518" s="11" t="s">
        <v>3103</v>
      </c>
      <c r="D518" s="12" t="s">
        <v>3105</v>
      </c>
      <c r="E518" s="9" t="s">
        <v>3181</v>
      </c>
      <c r="F518" s="9" t="s">
        <v>3178</v>
      </c>
      <c r="G518" s="11" t="s">
        <v>3179</v>
      </c>
      <c r="H518" s="12" t="s">
        <v>3180</v>
      </c>
      <c r="I518" s="9"/>
      <c r="J518" s="11"/>
      <c r="K518" s="9"/>
      <c r="L518" s="9" t="s">
        <v>68</v>
      </c>
      <c r="M518" s="9" t="s">
        <v>893</v>
      </c>
      <c r="N518" s="11" t="s">
        <v>895</v>
      </c>
      <c r="O518" s="12" t="s">
        <v>897</v>
      </c>
      <c r="P518" s="13" t="n">
        <v>15</v>
      </c>
      <c r="Q518" s="13" t="n">
        <v>10</v>
      </c>
      <c r="R518" s="13" t="n">
        <v>8</v>
      </c>
      <c r="S518" s="13" t="n">
        <v>0.3</v>
      </c>
      <c r="T518" s="9" t="s">
        <v>4615</v>
      </c>
      <c r="U518" s="9"/>
      <c r="V518" s="9" t="s">
        <v>4571</v>
      </c>
      <c r="W518" s="9"/>
      <c r="X518" s="11"/>
      <c r="Y518" s="9"/>
    </row>
    <row r="519" customFormat="false" ht="15" hidden="false" customHeight="false" outlineLevel="0" collapsed="false">
      <c r="A519" s="9" t="s">
        <v>3107</v>
      </c>
      <c r="B519" s="9" t="s">
        <v>3101</v>
      </c>
      <c r="C519" s="11" t="s">
        <v>3103</v>
      </c>
      <c r="D519" s="12" t="s">
        <v>3105</v>
      </c>
      <c r="E519" s="9" t="s">
        <v>3186</v>
      </c>
      <c r="F519" s="9" t="s">
        <v>3183</v>
      </c>
      <c r="G519" s="11" t="s">
        <v>3184</v>
      </c>
      <c r="H519" s="12" t="s">
        <v>3185</v>
      </c>
      <c r="I519" s="9"/>
      <c r="J519" s="11"/>
      <c r="K519" s="9"/>
      <c r="L519" s="9" t="s">
        <v>68</v>
      </c>
      <c r="M519" s="9" t="s">
        <v>893</v>
      </c>
      <c r="N519" s="11" t="s">
        <v>895</v>
      </c>
      <c r="O519" s="12" t="s">
        <v>897</v>
      </c>
      <c r="P519" s="13" t="n">
        <v>25</v>
      </c>
      <c r="Q519" s="13" t="n">
        <v>20</v>
      </c>
      <c r="R519" s="13" t="n">
        <v>5</v>
      </c>
      <c r="S519" s="13" t="n">
        <v>1.2</v>
      </c>
      <c r="T519" s="9" t="s">
        <v>4563</v>
      </c>
      <c r="U519" s="9"/>
      <c r="V519" s="9" t="s">
        <v>4565</v>
      </c>
      <c r="W519" s="9"/>
      <c r="X519" s="11" t="s">
        <v>4900</v>
      </c>
      <c r="Y519" s="9"/>
    </row>
    <row r="520" customFormat="false" ht="15" hidden="false" customHeight="false" outlineLevel="0" collapsed="false">
      <c r="A520" s="9" t="s">
        <v>3107</v>
      </c>
      <c r="B520" s="9" t="s">
        <v>3101</v>
      </c>
      <c r="C520" s="11" t="s">
        <v>3103</v>
      </c>
      <c r="D520" s="12" t="s">
        <v>3105</v>
      </c>
      <c r="E520" s="9" t="s">
        <v>3189</v>
      </c>
      <c r="F520" s="9" t="s">
        <v>893</v>
      </c>
      <c r="G520" s="11" t="s">
        <v>895</v>
      </c>
      <c r="H520" s="12" t="s">
        <v>3188</v>
      </c>
      <c r="I520" s="9"/>
      <c r="J520" s="11"/>
      <c r="K520" s="9"/>
      <c r="L520" s="9" t="s">
        <v>68</v>
      </c>
      <c r="M520" s="9" t="s">
        <v>893</v>
      </c>
      <c r="N520" s="11" t="s">
        <v>895</v>
      </c>
      <c r="O520" s="12" t="s">
        <v>897</v>
      </c>
      <c r="P520" s="13" t="n">
        <v>60</v>
      </c>
      <c r="Q520" s="13" t="n">
        <v>40</v>
      </c>
      <c r="R520" s="13" t="n">
        <v>30</v>
      </c>
      <c r="S520" s="13" t="n">
        <v>5</v>
      </c>
      <c r="T520" s="9" t="s">
        <v>4615</v>
      </c>
      <c r="U520" s="9"/>
      <c r="V520" s="9" t="s">
        <v>4565</v>
      </c>
      <c r="W520" s="9"/>
      <c r="X520" s="11"/>
      <c r="Y520" s="9"/>
    </row>
    <row r="521" customFormat="false" ht="15" hidden="false" customHeight="false" outlineLevel="0" collapsed="false">
      <c r="A521" s="9" t="s">
        <v>3107</v>
      </c>
      <c r="B521" s="9" t="s">
        <v>3101</v>
      </c>
      <c r="C521" s="11" t="s">
        <v>3103</v>
      </c>
      <c r="D521" s="12" t="s">
        <v>3105</v>
      </c>
      <c r="E521" s="9" t="s">
        <v>3194</v>
      </c>
      <c r="F521" s="9" t="s">
        <v>3191</v>
      </c>
      <c r="G521" s="11" t="s">
        <v>3192</v>
      </c>
      <c r="H521" s="12" t="s">
        <v>3193</v>
      </c>
      <c r="I521" s="9"/>
      <c r="J521" s="11"/>
      <c r="K521" s="9"/>
      <c r="L521" s="9" t="s">
        <v>68</v>
      </c>
      <c r="M521" s="9" t="s">
        <v>893</v>
      </c>
      <c r="N521" s="11" t="s">
        <v>895</v>
      </c>
      <c r="O521" s="12" t="s">
        <v>897</v>
      </c>
      <c r="P521" s="13" t="n">
        <v>15</v>
      </c>
      <c r="Q521" s="13" t="n">
        <v>10</v>
      </c>
      <c r="R521" s="13" t="n">
        <v>8</v>
      </c>
      <c r="S521" s="13" t="n">
        <v>0.3</v>
      </c>
      <c r="T521" s="9" t="s">
        <v>4615</v>
      </c>
      <c r="U521" s="9"/>
      <c r="V521" s="9" t="s">
        <v>4571</v>
      </c>
      <c r="W521" s="9" t="s">
        <v>4901</v>
      </c>
      <c r="X521" s="11"/>
      <c r="Y521" s="9"/>
    </row>
    <row r="522" customFormat="false" ht="15" hidden="false" customHeight="false" outlineLevel="0" collapsed="false">
      <c r="A522" s="9" t="s">
        <v>3107</v>
      </c>
      <c r="B522" s="9" t="s">
        <v>3101</v>
      </c>
      <c r="C522" s="11" t="s">
        <v>3103</v>
      </c>
      <c r="D522" s="12" t="s">
        <v>3105</v>
      </c>
      <c r="E522" s="9" t="s">
        <v>3199</v>
      </c>
      <c r="F522" s="9" t="s">
        <v>3196</v>
      </c>
      <c r="G522" s="11" t="s">
        <v>3197</v>
      </c>
      <c r="H522" s="12" t="s">
        <v>3198</v>
      </c>
      <c r="I522" s="9"/>
      <c r="J522" s="11"/>
      <c r="K522" s="9"/>
      <c r="L522" s="9" t="s">
        <v>68</v>
      </c>
      <c r="M522" s="9" t="s">
        <v>1162</v>
      </c>
      <c r="N522" s="11" t="s">
        <v>1164</v>
      </c>
      <c r="O522" s="12" t="s">
        <v>1166</v>
      </c>
      <c r="P522" s="13" t="n">
        <v>25</v>
      </c>
      <c r="Q522" s="13" t="n">
        <v>15</v>
      </c>
      <c r="R522" s="13" t="n">
        <v>10</v>
      </c>
      <c r="S522" s="13" t="n">
        <v>0.9</v>
      </c>
      <c r="T522" s="9" t="s">
        <v>4615</v>
      </c>
      <c r="U522" s="9"/>
      <c r="V522" s="9" t="s">
        <v>4568</v>
      </c>
      <c r="W522" s="9"/>
      <c r="X522" s="11"/>
      <c r="Y522" s="9"/>
    </row>
    <row r="523" customFormat="false" ht="15" hidden="false" customHeight="false" outlineLevel="0" collapsed="false">
      <c r="A523" s="9" t="s">
        <v>3107</v>
      </c>
      <c r="B523" s="9" t="s">
        <v>3101</v>
      </c>
      <c r="C523" s="11" t="s">
        <v>3103</v>
      </c>
      <c r="D523" s="12" t="s">
        <v>3105</v>
      </c>
      <c r="E523" s="9" t="s">
        <v>3204</v>
      </c>
      <c r="F523" s="9" t="s">
        <v>3201</v>
      </c>
      <c r="G523" s="11" t="s">
        <v>3202</v>
      </c>
      <c r="H523" s="12" t="s">
        <v>3203</v>
      </c>
      <c r="I523" s="9"/>
      <c r="J523" s="11"/>
      <c r="K523" s="9"/>
      <c r="L523" s="9" t="s">
        <v>68</v>
      </c>
      <c r="M523" s="9" t="s">
        <v>2439</v>
      </c>
      <c r="N523" s="11" t="s">
        <v>2441</v>
      </c>
      <c r="O523" s="12" t="s">
        <v>2443</v>
      </c>
      <c r="P523" s="13" t="n">
        <v>15</v>
      </c>
      <c r="Q523" s="13" t="n">
        <v>10</v>
      </c>
      <c r="R523" s="13" t="n">
        <v>8</v>
      </c>
      <c r="S523" s="13" t="n">
        <v>0.3</v>
      </c>
      <c r="T523" s="9" t="s">
        <v>4615</v>
      </c>
      <c r="U523" s="9"/>
      <c r="V523" s="9" t="s">
        <v>4571</v>
      </c>
      <c r="W523" s="9"/>
      <c r="X523" s="11"/>
      <c r="Y523" s="9"/>
    </row>
    <row r="524" customFormat="false" ht="15" hidden="false" customHeight="false" outlineLevel="0" collapsed="false">
      <c r="A524" s="9" t="s">
        <v>3107</v>
      </c>
      <c r="B524" s="9" t="s">
        <v>3101</v>
      </c>
      <c r="C524" s="11" t="s">
        <v>3103</v>
      </c>
      <c r="D524" s="12" t="s">
        <v>3105</v>
      </c>
      <c r="E524" s="9" t="s">
        <v>3209</v>
      </c>
      <c r="F524" s="9" t="s">
        <v>3206</v>
      </c>
      <c r="G524" s="11" t="s">
        <v>3207</v>
      </c>
      <c r="H524" s="12" t="s">
        <v>3208</v>
      </c>
      <c r="I524" s="9"/>
      <c r="J524" s="11"/>
      <c r="K524" s="9"/>
      <c r="L524" s="9" t="s">
        <v>4604</v>
      </c>
      <c r="M524" s="9" t="s">
        <v>2439</v>
      </c>
      <c r="N524" s="11" t="s">
        <v>2441</v>
      </c>
      <c r="O524" s="12" t="s">
        <v>2443</v>
      </c>
      <c r="P524" s="13" t="n">
        <v>15</v>
      </c>
      <c r="Q524" s="13" t="n">
        <v>10</v>
      </c>
      <c r="R524" s="13" t="n">
        <v>8</v>
      </c>
      <c r="S524" s="13" t="n">
        <v>0.3</v>
      </c>
      <c r="T524" s="9" t="s">
        <v>4615</v>
      </c>
      <c r="U524" s="9"/>
      <c r="V524" s="9" t="s">
        <v>4571</v>
      </c>
      <c r="W524" s="9"/>
      <c r="X524" s="11"/>
      <c r="Y524" s="9"/>
    </row>
    <row r="525" customFormat="false" ht="15" hidden="false" customHeight="false" outlineLevel="0" collapsed="false">
      <c r="A525" s="9" t="s">
        <v>3107</v>
      </c>
      <c r="B525" s="9" t="s">
        <v>3101</v>
      </c>
      <c r="C525" s="11" t="s">
        <v>3103</v>
      </c>
      <c r="D525" s="12" t="s">
        <v>3105</v>
      </c>
      <c r="E525" s="9" t="s">
        <v>3215</v>
      </c>
      <c r="F525" s="9" t="s">
        <v>3212</v>
      </c>
      <c r="G525" s="11" t="s">
        <v>3213</v>
      </c>
      <c r="H525" s="12" t="s">
        <v>3214</v>
      </c>
      <c r="I525" s="9"/>
      <c r="J525" s="11"/>
      <c r="K525" s="9"/>
      <c r="L525" s="9" t="s">
        <v>68</v>
      </c>
      <c r="M525" s="9" t="s">
        <v>1162</v>
      </c>
      <c r="N525" s="11" t="s">
        <v>1164</v>
      </c>
      <c r="O525" s="12" t="s">
        <v>1166</v>
      </c>
      <c r="P525" s="13" t="n">
        <v>15</v>
      </c>
      <c r="Q525" s="13" t="n">
        <v>10</v>
      </c>
      <c r="R525" s="13" t="n">
        <v>8</v>
      </c>
      <c r="S525" s="13" t="n">
        <v>0.3</v>
      </c>
      <c r="T525" s="9" t="s">
        <v>4615</v>
      </c>
      <c r="U525" s="9"/>
      <c r="V525" s="9" t="s">
        <v>4571</v>
      </c>
      <c r="W525" s="9"/>
      <c r="X525" s="11"/>
      <c r="Y525" s="9"/>
    </row>
    <row r="526" customFormat="false" ht="15" hidden="false" customHeight="false" outlineLevel="0" collapsed="false">
      <c r="A526" s="9" t="s">
        <v>3226</v>
      </c>
      <c r="B526" s="9" t="s">
        <v>3217</v>
      </c>
      <c r="C526" s="11" t="s">
        <v>3220</v>
      </c>
      <c r="D526" s="12" t="s">
        <v>3223</v>
      </c>
      <c r="E526" s="9" t="s">
        <v>3227</v>
      </c>
      <c r="F526" s="9" t="s">
        <v>3218</v>
      </c>
      <c r="G526" s="11" t="s">
        <v>3221</v>
      </c>
      <c r="H526" s="12" t="s">
        <v>3224</v>
      </c>
      <c r="I526" s="9"/>
      <c r="J526" s="11"/>
      <c r="K526" s="9"/>
      <c r="L526" s="9" t="s">
        <v>161</v>
      </c>
      <c r="M526" s="9" t="s">
        <v>3219</v>
      </c>
      <c r="N526" s="11" t="s">
        <v>3222</v>
      </c>
      <c r="O526" s="12" t="s">
        <v>3225</v>
      </c>
      <c r="P526" s="13" t="n">
        <v>25</v>
      </c>
      <c r="Q526" s="13" t="n">
        <v>15</v>
      </c>
      <c r="R526" s="13" t="n">
        <v>10</v>
      </c>
      <c r="S526" s="13" t="n">
        <v>0.9</v>
      </c>
      <c r="T526" s="9" t="s">
        <v>4615</v>
      </c>
      <c r="U526" s="9"/>
      <c r="V526" s="9" t="s">
        <v>4568</v>
      </c>
      <c r="W526" s="9" t="s">
        <v>4902</v>
      </c>
      <c r="X526" s="11" t="s">
        <v>4903</v>
      </c>
      <c r="Y526" s="12" t="s">
        <v>4904</v>
      </c>
    </row>
    <row r="527" customFormat="false" ht="15" hidden="false" customHeight="false" outlineLevel="0" collapsed="false">
      <c r="A527" s="9" t="s">
        <v>3226</v>
      </c>
      <c r="B527" s="9" t="s">
        <v>3217</v>
      </c>
      <c r="C527" s="11" t="s">
        <v>3220</v>
      </c>
      <c r="D527" s="12" t="s">
        <v>3223</v>
      </c>
      <c r="E527" s="9" t="s">
        <v>3232</v>
      </c>
      <c r="F527" s="9" t="s">
        <v>3229</v>
      </c>
      <c r="G527" s="11" t="s">
        <v>3230</v>
      </c>
      <c r="H527" s="12" t="s">
        <v>3231</v>
      </c>
      <c r="I527" s="9"/>
      <c r="J527" s="11"/>
      <c r="K527" s="9"/>
      <c r="L527" s="9" t="s">
        <v>168</v>
      </c>
      <c r="M527" s="9" t="s">
        <v>3219</v>
      </c>
      <c r="N527" s="11" t="s">
        <v>3222</v>
      </c>
      <c r="O527" s="12" t="s">
        <v>3225</v>
      </c>
      <c r="P527" s="13" t="n">
        <v>15</v>
      </c>
      <c r="Q527" s="13" t="n">
        <v>10</v>
      </c>
      <c r="R527" s="13" t="n">
        <v>8</v>
      </c>
      <c r="S527" s="13" t="n">
        <v>0.3</v>
      </c>
      <c r="T527" s="9" t="s">
        <v>4615</v>
      </c>
      <c r="U527" s="9"/>
      <c r="V527" s="9" t="s">
        <v>4571</v>
      </c>
      <c r="W527" s="9"/>
      <c r="X527" s="11" t="s">
        <v>4905</v>
      </c>
      <c r="Y527" s="9"/>
    </row>
    <row r="528" customFormat="false" ht="15" hidden="false" customHeight="false" outlineLevel="0" collapsed="false">
      <c r="A528" s="9" t="s">
        <v>3226</v>
      </c>
      <c r="B528" s="9" t="s">
        <v>3217</v>
      </c>
      <c r="C528" s="11" t="s">
        <v>3220</v>
      </c>
      <c r="D528" s="12" t="s">
        <v>3223</v>
      </c>
      <c r="E528" s="9" t="s">
        <v>3237</v>
      </c>
      <c r="F528" s="9" t="s">
        <v>3234</v>
      </c>
      <c r="G528" s="11" t="s">
        <v>3235</v>
      </c>
      <c r="H528" s="12" t="s">
        <v>3236</v>
      </c>
      <c r="I528" s="9"/>
      <c r="J528" s="11"/>
      <c r="K528" s="9"/>
      <c r="L528" s="9" t="s">
        <v>4578</v>
      </c>
      <c r="M528" s="9" t="s">
        <v>3219</v>
      </c>
      <c r="N528" s="11" t="s">
        <v>3222</v>
      </c>
      <c r="O528" s="12" t="s">
        <v>3225</v>
      </c>
      <c r="P528" s="13" t="n">
        <v>15</v>
      </c>
      <c r="Q528" s="13" t="n">
        <v>10</v>
      </c>
      <c r="R528" s="13" t="n">
        <v>8</v>
      </c>
      <c r="S528" s="13" t="n">
        <v>0.3</v>
      </c>
      <c r="T528" s="9" t="s">
        <v>4615</v>
      </c>
      <c r="U528" s="9"/>
      <c r="V528" s="9" t="s">
        <v>4571</v>
      </c>
      <c r="W528" s="9" t="s">
        <v>4906</v>
      </c>
      <c r="X528" s="11" t="s">
        <v>4907</v>
      </c>
      <c r="Y528" s="9"/>
    </row>
    <row r="529" customFormat="false" ht="15" hidden="false" customHeight="false" outlineLevel="0" collapsed="false">
      <c r="A529" s="9" t="s">
        <v>3226</v>
      </c>
      <c r="B529" s="9" t="s">
        <v>3217</v>
      </c>
      <c r="C529" s="11" t="s">
        <v>3220</v>
      </c>
      <c r="D529" s="12" t="s">
        <v>3223</v>
      </c>
      <c r="E529" s="9" t="s">
        <v>3243</v>
      </c>
      <c r="F529" s="9" t="s">
        <v>3240</v>
      </c>
      <c r="G529" s="11" t="s">
        <v>3241</v>
      </c>
      <c r="H529" s="12" t="s">
        <v>3242</v>
      </c>
      <c r="I529" s="9"/>
      <c r="J529" s="11"/>
      <c r="K529" s="9"/>
      <c r="L529" s="9" t="s">
        <v>4604</v>
      </c>
      <c r="M529" s="9" t="s">
        <v>3219</v>
      </c>
      <c r="N529" s="11" t="s">
        <v>3222</v>
      </c>
      <c r="O529" s="12" t="s">
        <v>3225</v>
      </c>
      <c r="P529" s="13" t="n">
        <v>15</v>
      </c>
      <c r="Q529" s="13" t="n">
        <v>10</v>
      </c>
      <c r="R529" s="13" t="n">
        <v>8</v>
      </c>
      <c r="S529" s="13" t="n">
        <v>0.3</v>
      </c>
      <c r="T529" s="9" t="s">
        <v>4615</v>
      </c>
      <c r="U529" s="9"/>
      <c r="V529" s="9" t="s">
        <v>4571</v>
      </c>
      <c r="W529" s="9"/>
      <c r="X529" s="11"/>
      <c r="Y529" s="9"/>
    </row>
    <row r="530" customFormat="false" ht="15" hidden="false" customHeight="false" outlineLevel="0" collapsed="false">
      <c r="A530" s="9" t="s">
        <v>3226</v>
      </c>
      <c r="B530" s="9" t="s">
        <v>3217</v>
      </c>
      <c r="C530" s="11" t="s">
        <v>3220</v>
      </c>
      <c r="D530" s="12" t="s">
        <v>3223</v>
      </c>
      <c r="E530" s="9" t="s">
        <v>3249</v>
      </c>
      <c r="F530" s="9" t="s">
        <v>3246</v>
      </c>
      <c r="G530" s="11" t="s">
        <v>3247</v>
      </c>
      <c r="H530" s="12" t="s">
        <v>3248</v>
      </c>
      <c r="I530" s="9"/>
      <c r="J530" s="11"/>
      <c r="K530" s="9"/>
      <c r="L530" s="9" t="s">
        <v>168</v>
      </c>
      <c r="M530" s="9" t="s">
        <v>3219</v>
      </c>
      <c r="N530" s="11" t="s">
        <v>3222</v>
      </c>
      <c r="O530" s="12" t="s">
        <v>3225</v>
      </c>
      <c r="P530" s="13" t="n">
        <v>15</v>
      </c>
      <c r="Q530" s="13" t="n">
        <v>10</v>
      </c>
      <c r="R530" s="13" t="n">
        <v>8</v>
      </c>
      <c r="S530" s="13" t="n">
        <v>0.3</v>
      </c>
      <c r="T530" s="9" t="s">
        <v>4615</v>
      </c>
      <c r="U530" s="9"/>
      <c r="V530" s="9" t="s">
        <v>4571</v>
      </c>
      <c r="W530" s="9"/>
      <c r="X530" s="11"/>
      <c r="Y530" s="9"/>
    </row>
    <row r="531" customFormat="false" ht="15" hidden="false" customHeight="false" outlineLevel="0" collapsed="false">
      <c r="A531" s="9" t="s">
        <v>3226</v>
      </c>
      <c r="B531" s="9" t="s">
        <v>3217</v>
      </c>
      <c r="C531" s="11" t="s">
        <v>3220</v>
      </c>
      <c r="D531" s="12" t="s">
        <v>3223</v>
      </c>
      <c r="E531" s="9" t="s">
        <v>3254</v>
      </c>
      <c r="F531" s="9" t="s">
        <v>3251</v>
      </c>
      <c r="G531" s="11" t="s">
        <v>3252</v>
      </c>
      <c r="H531" s="12" t="s">
        <v>3253</v>
      </c>
      <c r="I531" s="9"/>
      <c r="J531" s="11"/>
      <c r="K531" s="9"/>
      <c r="L531" s="9" t="s">
        <v>161</v>
      </c>
      <c r="M531" s="9" t="s">
        <v>3219</v>
      </c>
      <c r="N531" s="11" t="s">
        <v>3222</v>
      </c>
      <c r="O531" s="12" t="s">
        <v>3225</v>
      </c>
      <c r="P531" s="13" t="n">
        <v>30</v>
      </c>
      <c r="Q531" s="13" t="n">
        <v>20</v>
      </c>
      <c r="R531" s="13" t="n">
        <v>15</v>
      </c>
      <c r="S531" s="13" t="n">
        <v>1.8</v>
      </c>
      <c r="T531" s="9" t="s">
        <v>4615</v>
      </c>
      <c r="U531" s="9"/>
      <c r="V531" s="9" t="s">
        <v>4581</v>
      </c>
      <c r="W531" s="9"/>
      <c r="X531" s="11"/>
      <c r="Y531" s="9"/>
    </row>
    <row r="532" customFormat="false" ht="15" hidden="false" customHeight="false" outlineLevel="0" collapsed="false">
      <c r="A532" s="9" t="s">
        <v>3226</v>
      </c>
      <c r="B532" s="9" t="s">
        <v>3217</v>
      </c>
      <c r="C532" s="11" t="s">
        <v>3220</v>
      </c>
      <c r="D532" s="12" t="s">
        <v>3223</v>
      </c>
      <c r="E532" s="9" t="s">
        <v>3259</v>
      </c>
      <c r="F532" s="9" t="s">
        <v>3256</v>
      </c>
      <c r="G532" s="11" t="s">
        <v>3257</v>
      </c>
      <c r="H532" s="12" t="s">
        <v>3258</v>
      </c>
      <c r="I532" s="9"/>
      <c r="J532" s="11"/>
      <c r="K532" s="9"/>
      <c r="L532" s="9" t="s">
        <v>168</v>
      </c>
      <c r="M532" s="9" t="s">
        <v>3219</v>
      </c>
      <c r="N532" s="11" t="s">
        <v>3222</v>
      </c>
      <c r="O532" s="12" t="s">
        <v>3225</v>
      </c>
      <c r="P532" s="13" t="n">
        <v>25</v>
      </c>
      <c r="Q532" s="13" t="n">
        <v>15</v>
      </c>
      <c r="R532" s="13" t="n">
        <v>10</v>
      </c>
      <c r="S532" s="13" t="n">
        <v>0.9</v>
      </c>
      <c r="T532" s="9" t="s">
        <v>4615</v>
      </c>
      <c r="U532" s="9"/>
      <c r="V532" s="9" t="s">
        <v>4568</v>
      </c>
      <c r="W532" s="9"/>
      <c r="X532" s="11"/>
      <c r="Y532" s="9"/>
    </row>
    <row r="533" customFormat="false" ht="15" hidden="false" customHeight="false" outlineLevel="0" collapsed="false">
      <c r="A533" s="9" t="s">
        <v>3226</v>
      </c>
      <c r="B533" s="9" t="s">
        <v>3217</v>
      </c>
      <c r="C533" s="11" t="s">
        <v>3220</v>
      </c>
      <c r="D533" s="12" t="s">
        <v>3223</v>
      </c>
      <c r="E533" s="9" t="s">
        <v>3264</v>
      </c>
      <c r="F533" s="9" t="s">
        <v>3261</v>
      </c>
      <c r="G533" s="11" t="s">
        <v>3262</v>
      </c>
      <c r="H533" s="12" t="s">
        <v>3263</v>
      </c>
      <c r="I533" s="9"/>
      <c r="J533" s="11"/>
      <c r="K533" s="9"/>
      <c r="L533" s="9" t="s">
        <v>68</v>
      </c>
      <c r="M533" s="9" t="s">
        <v>3219</v>
      </c>
      <c r="N533" s="11" t="s">
        <v>3222</v>
      </c>
      <c r="O533" s="12" t="s">
        <v>3225</v>
      </c>
      <c r="P533" s="13" t="n">
        <v>30</v>
      </c>
      <c r="Q533" s="13" t="n">
        <v>20</v>
      </c>
      <c r="R533" s="13" t="n">
        <v>15</v>
      </c>
      <c r="S533" s="13" t="n">
        <v>1.8</v>
      </c>
      <c r="T533" s="9" t="s">
        <v>4615</v>
      </c>
      <c r="U533" s="9"/>
      <c r="V533" s="9" t="s">
        <v>4581</v>
      </c>
      <c r="W533" s="9"/>
      <c r="X533" s="11"/>
      <c r="Y533" s="9"/>
    </row>
    <row r="534" customFormat="false" ht="15" hidden="false" customHeight="false" outlineLevel="0" collapsed="false">
      <c r="A534" s="9" t="s">
        <v>3226</v>
      </c>
      <c r="B534" s="9" t="s">
        <v>3217</v>
      </c>
      <c r="C534" s="11" t="s">
        <v>3220</v>
      </c>
      <c r="D534" s="12" t="s">
        <v>3223</v>
      </c>
      <c r="E534" s="9" t="s">
        <v>3269</v>
      </c>
      <c r="F534" s="9" t="s">
        <v>3266</v>
      </c>
      <c r="G534" s="11" t="s">
        <v>3267</v>
      </c>
      <c r="H534" s="12" t="s">
        <v>3268</v>
      </c>
      <c r="I534" s="9"/>
      <c r="J534" s="11"/>
      <c r="K534" s="9"/>
      <c r="L534" s="9" t="s">
        <v>4604</v>
      </c>
      <c r="M534" s="9" t="s">
        <v>3219</v>
      </c>
      <c r="N534" s="11" t="s">
        <v>3222</v>
      </c>
      <c r="O534" s="12" t="s">
        <v>3225</v>
      </c>
      <c r="P534" s="13" t="n">
        <v>6</v>
      </c>
      <c r="Q534" s="13" t="n">
        <v>4</v>
      </c>
      <c r="R534" s="13" t="n">
        <v>3</v>
      </c>
      <c r="S534" s="13" t="n">
        <v>0.02</v>
      </c>
      <c r="T534" s="9" t="s">
        <v>4615</v>
      </c>
      <c r="U534" s="9"/>
      <c r="V534" s="9" t="s">
        <v>4680</v>
      </c>
      <c r="W534" s="9" t="s">
        <v>4908</v>
      </c>
      <c r="X534" s="11"/>
      <c r="Y534" s="9"/>
    </row>
    <row r="535" customFormat="false" ht="15" hidden="false" customHeight="false" outlineLevel="0" collapsed="false">
      <c r="A535" s="9" t="s">
        <v>3226</v>
      </c>
      <c r="B535" s="9" t="s">
        <v>3217</v>
      </c>
      <c r="C535" s="11" t="s">
        <v>3220</v>
      </c>
      <c r="D535" s="12" t="s">
        <v>3223</v>
      </c>
      <c r="E535" s="9" t="s">
        <v>3275</v>
      </c>
      <c r="F535" s="9" t="s">
        <v>3272</v>
      </c>
      <c r="G535" s="11" t="s">
        <v>3273</v>
      </c>
      <c r="H535" s="12" t="s">
        <v>3274</v>
      </c>
      <c r="I535" s="9"/>
      <c r="J535" s="11"/>
      <c r="K535" s="9"/>
      <c r="L535" s="9" t="s">
        <v>68</v>
      </c>
      <c r="M535" s="9" t="s">
        <v>1863</v>
      </c>
      <c r="N535" s="11" t="s">
        <v>1864</v>
      </c>
      <c r="O535" s="12" t="s">
        <v>1865</v>
      </c>
      <c r="P535" s="13" t="n">
        <v>15</v>
      </c>
      <c r="Q535" s="13" t="n">
        <v>10</v>
      </c>
      <c r="R535" s="13" t="n">
        <v>8</v>
      </c>
      <c r="S535" s="13" t="n">
        <v>0.3</v>
      </c>
      <c r="T535" s="9" t="s">
        <v>4615</v>
      </c>
      <c r="U535" s="9"/>
      <c r="V535" s="9" t="s">
        <v>4571</v>
      </c>
      <c r="W535" s="9" t="s">
        <v>4909</v>
      </c>
      <c r="X535" s="11"/>
      <c r="Y535" s="12" t="s">
        <v>4910</v>
      </c>
    </row>
    <row r="536" customFormat="false" ht="15" hidden="false" customHeight="false" outlineLevel="0" collapsed="false">
      <c r="A536" s="9" t="s">
        <v>3283</v>
      </c>
      <c r="B536" s="9" t="s">
        <v>3277</v>
      </c>
      <c r="C536" s="11" t="s">
        <v>3279</v>
      </c>
      <c r="D536" s="12" t="s">
        <v>3281</v>
      </c>
      <c r="E536" s="9" t="s">
        <v>3284</v>
      </c>
      <c r="F536" s="9" t="s">
        <v>3278</v>
      </c>
      <c r="G536" s="11" t="s">
        <v>3280</v>
      </c>
      <c r="H536" s="12" t="s">
        <v>3282</v>
      </c>
      <c r="I536" s="9"/>
      <c r="J536" s="11"/>
      <c r="K536" s="9"/>
      <c r="L536" s="9" t="s">
        <v>4578</v>
      </c>
      <c r="M536" s="9" t="s">
        <v>3219</v>
      </c>
      <c r="N536" s="11" t="s">
        <v>3222</v>
      </c>
      <c r="O536" s="12" t="s">
        <v>3225</v>
      </c>
      <c r="P536" s="13" t="n">
        <v>15</v>
      </c>
      <c r="Q536" s="13" t="n">
        <v>10</v>
      </c>
      <c r="R536" s="13" t="n">
        <v>8</v>
      </c>
      <c r="S536" s="13" t="n">
        <v>0.3</v>
      </c>
      <c r="T536" s="9" t="s">
        <v>4615</v>
      </c>
      <c r="U536" s="9"/>
      <c r="V536" s="9" t="s">
        <v>4571</v>
      </c>
      <c r="W536" s="9"/>
      <c r="X536" s="11"/>
      <c r="Y536" s="9"/>
    </row>
    <row r="537" customFormat="false" ht="15" hidden="false" customHeight="false" outlineLevel="0" collapsed="false">
      <c r="A537" s="9" t="s">
        <v>3283</v>
      </c>
      <c r="B537" s="9" t="s">
        <v>3277</v>
      </c>
      <c r="C537" s="11" t="s">
        <v>3279</v>
      </c>
      <c r="D537" s="12" t="s">
        <v>3281</v>
      </c>
      <c r="E537" s="9" t="s">
        <v>3290</v>
      </c>
      <c r="F537" s="9" t="s">
        <v>3287</v>
      </c>
      <c r="G537" s="11" t="s">
        <v>3288</v>
      </c>
      <c r="H537" s="12" t="s">
        <v>3289</v>
      </c>
      <c r="I537" s="9"/>
      <c r="J537" s="11"/>
      <c r="K537" s="9"/>
      <c r="L537" s="9" t="s">
        <v>68</v>
      </c>
      <c r="M537" s="9" t="s">
        <v>69</v>
      </c>
      <c r="N537" s="11" t="s">
        <v>73</v>
      </c>
      <c r="O537" s="12" t="s">
        <v>77</v>
      </c>
      <c r="P537" s="13" t="n">
        <v>40</v>
      </c>
      <c r="Q537" s="13" t="n">
        <v>25</v>
      </c>
      <c r="R537" s="13" t="n">
        <v>15</v>
      </c>
      <c r="S537" s="13" t="n">
        <v>3</v>
      </c>
      <c r="T537" s="9" t="s">
        <v>4615</v>
      </c>
      <c r="U537" s="9"/>
      <c r="V537" s="9" t="s">
        <v>4570</v>
      </c>
      <c r="W537" s="9"/>
      <c r="X537" s="11"/>
      <c r="Y537" s="9"/>
    </row>
    <row r="538" customFormat="false" ht="15" hidden="false" customHeight="false" outlineLevel="0" collapsed="false">
      <c r="A538" s="9" t="s">
        <v>3283</v>
      </c>
      <c r="B538" s="9" t="s">
        <v>3277</v>
      </c>
      <c r="C538" s="11" t="s">
        <v>3279</v>
      </c>
      <c r="D538" s="12" t="s">
        <v>3281</v>
      </c>
      <c r="E538" s="9" t="s">
        <v>3295</v>
      </c>
      <c r="F538" s="9" t="s">
        <v>3292</v>
      </c>
      <c r="G538" s="11" t="s">
        <v>3293</v>
      </c>
      <c r="H538" s="12" t="s">
        <v>3294</v>
      </c>
      <c r="I538" s="9"/>
      <c r="J538" s="11"/>
      <c r="K538" s="9"/>
      <c r="L538" s="9" t="s">
        <v>68</v>
      </c>
      <c r="M538" s="9" t="s">
        <v>69</v>
      </c>
      <c r="N538" s="11" t="s">
        <v>73</v>
      </c>
      <c r="O538" s="12" t="s">
        <v>77</v>
      </c>
      <c r="P538" s="13" t="n">
        <v>10</v>
      </c>
      <c r="Q538" s="13" t="n">
        <v>8</v>
      </c>
      <c r="R538" s="13" t="n">
        <v>6</v>
      </c>
      <c r="S538" s="13" t="n">
        <v>0.1</v>
      </c>
      <c r="T538" s="9" t="s">
        <v>4615</v>
      </c>
      <c r="U538" s="9"/>
      <c r="V538" s="9" t="s">
        <v>4572</v>
      </c>
      <c r="W538" s="9"/>
      <c r="X538" s="11"/>
      <c r="Y538" s="9"/>
    </row>
    <row r="539" customFormat="false" ht="15" hidden="false" customHeight="false" outlineLevel="0" collapsed="false">
      <c r="A539" s="9" t="s">
        <v>3283</v>
      </c>
      <c r="B539" s="9" t="s">
        <v>3277</v>
      </c>
      <c r="C539" s="11" t="s">
        <v>3279</v>
      </c>
      <c r="D539" s="12" t="s">
        <v>3281</v>
      </c>
      <c r="E539" s="9" t="s">
        <v>3300</v>
      </c>
      <c r="F539" s="9" t="s">
        <v>3297</v>
      </c>
      <c r="G539" s="11" t="s">
        <v>3298</v>
      </c>
      <c r="H539" s="12" t="s">
        <v>3299</v>
      </c>
      <c r="I539" s="9"/>
      <c r="J539" s="11"/>
      <c r="K539" s="9"/>
      <c r="L539" s="9" t="s">
        <v>4578</v>
      </c>
      <c r="M539" s="9" t="s">
        <v>3219</v>
      </c>
      <c r="N539" s="11" t="s">
        <v>3222</v>
      </c>
      <c r="O539" s="12" t="s">
        <v>3225</v>
      </c>
      <c r="P539" s="13" t="n">
        <v>10</v>
      </c>
      <c r="Q539" s="13" t="n">
        <v>8</v>
      </c>
      <c r="R539" s="13" t="n">
        <v>6</v>
      </c>
      <c r="S539" s="13" t="n">
        <v>0.1</v>
      </c>
      <c r="T539" s="9" t="s">
        <v>4615</v>
      </c>
      <c r="U539" s="9"/>
      <c r="V539" s="9" t="s">
        <v>4572</v>
      </c>
      <c r="W539" s="9"/>
      <c r="X539" s="11"/>
      <c r="Y539" s="9"/>
    </row>
    <row r="540" customFormat="false" ht="15" hidden="false" customHeight="false" outlineLevel="0" collapsed="false">
      <c r="A540" s="9" t="s">
        <v>3283</v>
      </c>
      <c r="B540" s="9" t="s">
        <v>3277</v>
      </c>
      <c r="C540" s="11" t="s">
        <v>3279</v>
      </c>
      <c r="D540" s="12" t="s">
        <v>3281</v>
      </c>
      <c r="E540" s="9" t="s">
        <v>3306</v>
      </c>
      <c r="F540" s="9" t="s">
        <v>3303</v>
      </c>
      <c r="G540" s="11" t="s">
        <v>3304</v>
      </c>
      <c r="H540" s="12" t="s">
        <v>3305</v>
      </c>
      <c r="I540" s="9"/>
      <c r="J540" s="11"/>
      <c r="K540" s="9"/>
      <c r="L540" s="9" t="s">
        <v>4604</v>
      </c>
      <c r="M540" s="9" t="s">
        <v>2685</v>
      </c>
      <c r="N540" s="11" t="s">
        <v>2687</v>
      </c>
      <c r="O540" s="12" t="s">
        <v>2689</v>
      </c>
      <c r="P540" s="13" t="n">
        <v>15</v>
      </c>
      <c r="Q540" s="13" t="n">
        <v>10</v>
      </c>
      <c r="R540" s="13" t="n">
        <v>8</v>
      </c>
      <c r="S540" s="13" t="n">
        <v>0.3</v>
      </c>
      <c r="T540" s="9" t="s">
        <v>4615</v>
      </c>
      <c r="U540" s="9"/>
      <c r="V540" s="9" t="s">
        <v>4571</v>
      </c>
      <c r="W540" s="9"/>
      <c r="X540" s="11"/>
      <c r="Y540" s="9"/>
    </row>
    <row r="541" customFormat="false" ht="15" hidden="false" customHeight="false" outlineLevel="0" collapsed="false">
      <c r="A541" s="9" t="s">
        <v>3283</v>
      </c>
      <c r="B541" s="9" t="s">
        <v>3277</v>
      </c>
      <c r="C541" s="11" t="s">
        <v>3279</v>
      </c>
      <c r="D541" s="12" t="s">
        <v>3281</v>
      </c>
      <c r="E541" s="9" t="s">
        <v>3312</v>
      </c>
      <c r="F541" s="9" t="s">
        <v>3309</v>
      </c>
      <c r="G541" s="11" t="s">
        <v>3310</v>
      </c>
      <c r="H541" s="12" t="s">
        <v>3311</v>
      </c>
      <c r="I541" s="9"/>
      <c r="J541" s="11"/>
      <c r="K541" s="9"/>
      <c r="L541" s="9" t="s">
        <v>68</v>
      </c>
      <c r="M541" s="9" t="s">
        <v>3219</v>
      </c>
      <c r="N541" s="11" t="s">
        <v>3222</v>
      </c>
      <c r="O541" s="12" t="s">
        <v>3225</v>
      </c>
      <c r="P541" s="13" t="n">
        <v>15</v>
      </c>
      <c r="Q541" s="13" t="n">
        <v>10</v>
      </c>
      <c r="R541" s="13" t="n">
        <v>8</v>
      </c>
      <c r="S541" s="13" t="n">
        <v>0.3</v>
      </c>
      <c r="T541" s="9" t="s">
        <v>4615</v>
      </c>
      <c r="U541" s="9"/>
      <c r="V541" s="9" t="s">
        <v>4571</v>
      </c>
      <c r="W541" s="9"/>
      <c r="X541" s="11"/>
      <c r="Y541" s="9"/>
    </row>
    <row r="542" customFormat="false" ht="15" hidden="false" customHeight="false" outlineLevel="0" collapsed="false">
      <c r="A542" s="9" t="s">
        <v>3283</v>
      </c>
      <c r="B542" s="9" t="s">
        <v>3277</v>
      </c>
      <c r="C542" s="11" t="s">
        <v>3279</v>
      </c>
      <c r="D542" s="12" t="s">
        <v>3281</v>
      </c>
      <c r="E542" s="9" t="s">
        <v>3317</v>
      </c>
      <c r="F542" s="9" t="s">
        <v>3314</v>
      </c>
      <c r="G542" s="11" t="s">
        <v>3315</v>
      </c>
      <c r="H542" s="12" t="s">
        <v>3316</v>
      </c>
      <c r="I542" s="9"/>
      <c r="J542" s="11"/>
      <c r="K542" s="9"/>
      <c r="L542" s="9" t="s">
        <v>68</v>
      </c>
      <c r="M542" s="9" t="s">
        <v>3219</v>
      </c>
      <c r="N542" s="11" t="s">
        <v>3222</v>
      </c>
      <c r="O542" s="12" t="s">
        <v>3225</v>
      </c>
      <c r="P542" s="13" t="n">
        <v>10</v>
      </c>
      <c r="Q542" s="13" t="n">
        <v>8</v>
      </c>
      <c r="R542" s="13" t="n">
        <v>6</v>
      </c>
      <c r="S542" s="13" t="n">
        <v>0.1</v>
      </c>
      <c r="T542" s="9" t="s">
        <v>4615</v>
      </c>
      <c r="U542" s="9"/>
      <c r="V542" s="9" t="s">
        <v>4572</v>
      </c>
      <c r="W542" s="9"/>
      <c r="X542" s="11"/>
      <c r="Y542" s="9"/>
    </row>
    <row r="543" customFormat="false" ht="15" hidden="false" customHeight="false" outlineLevel="0" collapsed="false">
      <c r="A543" s="9" t="s">
        <v>3325</v>
      </c>
      <c r="B543" s="9" t="s">
        <v>3319</v>
      </c>
      <c r="C543" s="11" t="s">
        <v>3321</v>
      </c>
      <c r="D543" s="12" t="s">
        <v>3323</v>
      </c>
      <c r="E543" s="9" t="s">
        <v>3326</v>
      </c>
      <c r="F543" s="9" t="s">
        <v>3320</v>
      </c>
      <c r="G543" s="11" t="s">
        <v>3322</v>
      </c>
      <c r="H543" s="12" t="s">
        <v>3324</v>
      </c>
      <c r="I543" s="9"/>
      <c r="J543" s="11"/>
      <c r="K543" s="9"/>
      <c r="L543" s="9" t="s">
        <v>4604</v>
      </c>
      <c r="M543" s="9" t="s">
        <v>2583</v>
      </c>
      <c r="N543" s="11" t="s">
        <v>2585</v>
      </c>
      <c r="O543" s="12" t="s">
        <v>2587</v>
      </c>
      <c r="P543" s="13" t="n">
        <v>25</v>
      </c>
      <c r="Q543" s="13" t="n">
        <v>15</v>
      </c>
      <c r="R543" s="13" t="n">
        <v>10</v>
      </c>
      <c r="S543" s="13" t="n">
        <v>0.9</v>
      </c>
      <c r="T543" s="9" t="s">
        <v>4615</v>
      </c>
      <c r="U543" s="9"/>
      <c r="V543" s="9" t="s">
        <v>4568</v>
      </c>
      <c r="W543" s="9"/>
      <c r="X543" s="11" t="s">
        <v>4911</v>
      </c>
      <c r="Y543" s="9"/>
    </row>
    <row r="544" customFormat="false" ht="15" hidden="false" customHeight="false" outlineLevel="0" collapsed="false">
      <c r="A544" s="9" t="s">
        <v>3325</v>
      </c>
      <c r="B544" s="9" t="s">
        <v>3319</v>
      </c>
      <c r="C544" s="11" t="s">
        <v>3321</v>
      </c>
      <c r="D544" s="12" t="s">
        <v>3323</v>
      </c>
      <c r="E544" s="9" t="s">
        <v>3332</v>
      </c>
      <c r="F544" s="9" t="s">
        <v>3329</v>
      </c>
      <c r="G544" s="11" t="s">
        <v>3330</v>
      </c>
      <c r="H544" s="12" t="s">
        <v>3331</v>
      </c>
      <c r="I544" s="9"/>
      <c r="J544" s="11"/>
      <c r="K544" s="9"/>
      <c r="L544" s="9" t="s">
        <v>68</v>
      </c>
      <c r="M544" s="9" t="s">
        <v>2439</v>
      </c>
      <c r="N544" s="11" t="s">
        <v>2441</v>
      </c>
      <c r="O544" s="12" t="s">
        <v>2443</v>
      </c>
      <c r="P544" s="13" t="n">
        <v>25</v>
      </c>
      <c r="Q544" s="13" t="n">
        <v>20</v>
      </c>
      <c r="R544" s="13" t="n">
        <v>15</v>
      </c>
      <c r="S544" s="13" t="n">
        <v>2</v>
      </c>
      <c r="T544" s="9" t="s">
        <v>4615</v>
      </c>
      <c r="U544" s="9"/>
      <c r="V544" s="9" t="s">
        <v>4565</v>
      </c>
      <c r="W544" s="9" t="s">
        <v>4912</v>
      </c>
      <c r="X544" s="11"/>
      <c r="Y544" s="12" t="s">
        <v>4913</v>
      </c>
    </row>
    <row r="545" customFormat="false" ht="15" hidden="false" customHeight="false" outlineLevel="0" collapsed="false">
      <c r="A545" s="9" t="s">
        <v>3325</v>
      </c>
      <c r="B545" s="9" t="s">
        <v>3319</v>
      </c>
      <c r="C545" s="11" t="s">
        <v>3321</v>
      </c>
      <c r="D545" s="12" t="s">
        <v>3323</v>
      </c>
      <c r="E545" s="9" t="s">
        <v>3337</v>
      </c>
      <c r="F545" s="9" t="s">
        <v>3334</v>
      </c>
      <c r="G545" s="11" t="s">
        <v>3335</v>
      </c>
      <c r="H545" s="12" t="s">
        <v>3336</v>
      </c>
      <c r="I545" s="9"/>
      <c r="J545" s="11"/>
      <c r="K545" s="9"/>
      <c r="L545" s="9" t="s">
        <v>68</v>
      </c>
      <c r="M545" s="9" t="s">
        <v>2439</v>
      </c>
      <c r="N545" s="11" t="s">
        <v>2441</v>
      </c>
      <c r="O545" s="12" t="s">
        <v>2443</v>
      </c>
      <c r="P545" s="13" t="n">
        <v>30</v>
      </c>
      <c r="Q545" s="13" t="n">
        <v>20</v>
      </c>
      <c r="R545" s="13" t="n">
        <v>15</v>
      </c>
      <c r="S545" s="13" t="n">
        <v>1.8</v>
      </c>
      <c r="T545" s="9" t="s">
        <v>4615</v>
      </c>
      <c r="U545" s="9" t="s">
        <v>4852</v>
      </c>
      <c r="V545" s="9" t="s">
        <v>4581</v>
      </c>
      <c r="W545" s="9"/>
      <c r="X545" s="11"/>
      <c r="Y545" s="9"/>
    </row>
    <row r="546" customFormat="false" ht="15" hidden="false" customHeight="false" outlineLevel="0" collapsed="false">
      <c r="A546" s="9" t="s">
        <v>3325</v>
      </c>
      <c r="B546" s="9" t="s">
        <v>3319</v>
      </c>
      <c r="C546" s="11" t="s">
        <v>3321</v>
      </c>
      <c r="D546" s="12" t="s">
        <v>3323</v>
      </c>
      <c r="E546" s="9" t="s">
        <v>3342</v>
      </c>
      <c r="F546" s="9" t="s">
        <v>3339</v>
      </c>
      <c r="G546" s="11" t="s">
        <v>3340</v>
      </c>
      <c r="H546" s="12" t="s">
        <v>3341</v>
      </c>
      <c r="I546" s="9"/>
      <c r="J546" s="11"/>
      <c r="K546" s="9"/>
      <c r="L546" s="9" t="s">
        <v>4730</v>
      </c>
      <c r="M546" s="9" t="s">
        <v>2405</v>
      </c>
      <c r="N546" s="11" t="s">
        <v>2408</v>
      </c>
      <c r="O546" s="12" t="s">
        <v>2411</v>
      </c>
      <c r="P546" s="13" t="n">
        <v>25</v>
      </c>
      <c r="Q546" s="13" t="n">
        <v>15</v>
      </c>
      <c r="R546" s="13" t="n">
        <v>10</v>
      </c>
      <c r="S546" s="13" t="n">
        <v>0.9</v>
      </c>
      <c r="T546" s="9" t="s">
        <v>4615</v>
      </c>
      <c r="U546" s="9"/>
      <c r="V546" s="9" t="s">
        <v>4568</v>
      </c>
      <c r="W546" s="9"/>
      <c r="X546" s="11"/>
      <c r="Y546" s="12" t="s">
        <v>4914</v>
      </c>
    </row>
    <row r="547" customFormat="false" ht="15" hidden="false" customHeight="false" outlineLevel="0" collapsed="false">
      <c r="A547" s="9" t="s">
        <v>3325</v>
      </c>
      <c r="B547" s="9" t="s">
        <v>3319</v>
      </c>
      <c r="C547" s="11" t="s">
        <v>3321</v>
      </c>
      <c r="D547" s="12" t="s">
        <v>3323</v>
      </c>
      <c r="E547" s="9" t="s">
        <v>3350</v>
      </c>
      <c r="F547" s="9" t="s">
        <v>3347</v>
      </c>
      <c r="G547" s="11" t="s">
        <v>3348</v>
      </c>
      <c r="H547" s="12" t="s">
        <v>3349</v>
      </c>
      <c r="I547" s="9"/>
      <c r="J547" s="11"/>
      <c r="K547" s="9"/>
      <c r="L547" s="9" t="s">
        <v>4604</v>
      </c>
      <c r="M547" s="9" t="s">
        <v>2405</v>
      </c>
      <c r="N547" s="11" t="s">
        <v>2408</v>
      </c>
      <c r="O547" s="12" t="s">
        <v>2411</v>
      </c>
      <c r="P547" s="13" t="n">
        <v>15</v>
      </c>
      <c r="Q547" s="13" t="n">
        <v>10</v>
      </c>
      <c r="R547" s="13" t="n">
        <v>8</v>
      </c>
      <c r="S547" s="13" t="n">
        <v>0.3</v>
      </c>
      <c r="T547" s="9" t="s">
        <v>4615</v>
      </c>
      <c r="U547" s="9"/>
      <c r="V547" s="9" t="s">
        <v>4571</v>
      </c>
      <c r="W547" s="9"/>
      <c r="X547" s="11" t="s">
        <v>4915</v>
      </c>
      <c r="Y547" s="9"/>
    </row>
    <row r="548" customFormat="false" ht="15" hidden="false" customHeight="false" outlineLevel="0" collapsed="false">
      <c r="A548" s="9" t="s">
        <v>3325</v>
      </c>
      <c r="B548" s="9" t="s">
        <v>3319</v>
      </c>
      <c r="C548" s="11" t="s">
        <v>3321</v>
      </c>
      <c r="D548" s="12" t="s">
        <v>3323</v>
      </c>
      <c r="E548" s="9" t="s">
        <v>3356</v>
      </c>
      <c r="F548" s="9" t="s">
        <v>3353</v>
      </c>
      <c r="G548" s="11" t="s">
        <v>3354</v>
      </c>
      <c r="H548" s="12" t="s">
        <v>3355</v>
      </c>
      <c r="I548" s="9"/>
      <c r="J548" s="11"/>
      <c r="K548" s="9"/>
      <c r="L548" s="9" t="s">
        <v>68</v>
      </c>
      <c r="M548" s="9" t="s">
        <v>2106</v>
      </c>
      <c r="N548" s="11" t="s">
        <v>2108</v>
      </c>
      <c r="O548" s="12" t="s">
        <v>2110</v>
      </c>
      <c r="P548" s="13" t="n">
        <v>30</v>
      </c>
      <c r="Q548" s="13" t="n">
        <v>20</v>
      </c>
      <c r="R548" s="13" t="n">
        <v>15</v>
      </c>
      <c r="S548" s="13" t="n">
        <v>1.8</v>
      </c>
      <c r="T548" s="9" t="s">
        <v>4615</v>
      </c>
      <c r="U548" s="9"/>
      <c r="V548" s="9" t="s">
        <v>4581</v>
      </c>
      <c r="W548" s="9"/>
      <c r="X548" s="11" t="s">
        <v>4916</v>
      </c>
      <c r="Y548" s="9"/>
    </row>
    <row r="549" customFormat="false" ht="15" hidden="false" customHeight="false" outlineLevel="0" collapsed="false">
      <c r="A549" s="9" t="s">
        <v>3325</v>
      </c>
      <c r="B549" s="9" t="s">
        <v>3319</v>
      </c>
      <c r="C549" s="11" t="s">
        <v>3321</v>
      </c>
      <c r="D549" s="12" t="s">
        <v>3323</v>
      </c>
      <c r="E549" s="9" t="s">
        <v>3361</v>
      </c>
      <c r="F549" s="9" t="s">
        <v>3358</v>
      </c>
      <c r="G549" s="11" t="s">
        <v>3359</v>
      </c>
      <c r="H549" s="12" t="s">
        <v>3360</v>
      </c>
      <c r="I549" s="9"/>
      <c r="J549" s="11"/>
      <c r="K549" s="9"/>
      <c r="L549" s="9" t="s">
        <v>68</v>
      </c>
      <c r="M549" s="9" t="s">
        <v>2106</v>
      </c>
      <c r="N549" s="11" t="s">
        <v>2108</v>
      </c>
      <c r="O549" s="12" t="s">
        <v>2110</v>
      </c>
      <c r="P549" s="13" t="n">
        <v>25</v>
      </c>
      <c r="Q549" s="13" t="n">
        <v>15</v>
      </c>
      <c r="R549" s="13" t="n">
        <v>10</v>
      </c>
      <c r="S549" s="13" t="n">
        <v>0.9</v>
      </c>
      <c r="T549" s="9" t="s">
        <v>4615</v>
      </c>
      <c r="U549" s="9"/>
      <c r="V549" s="9" t="s">
        <v>4568</v>
      </c>
      <c r="W549" s="9"/>
      <c r="X549" s="11" t="s">
        <v>4917</v>
      </c>
      <c r="Y549" s="9"/>
    </row>
    <row r="550" customFormat="false" ht="15" hidden="false" customHeight="false" outlineLevel="0" collapsed="false">
      <c r="A550" s="9" t="s">
        <v>3325</v>
      </c>
      <c r="B550" s="9" t="s">
        <v>3319</v>
      </c>
      <c r="C550" s="11" t="s">
        <v>3321</v>
      </c>
      <c r="D550" s="12" t="s">
        <v>3323</v>
      </c>
      <c r="E550" s="9" t="s">
        <v>3369</v>
      </c>
      <c r="F550" s="9" t="s">
        <v>3363</v>
      </c>
      <c r="G550" s="11" t="s">
        <v>3365</v>
      </c>
      <c r="H550" s="12" t="s">
        <v>3367</v>
      </c>
      <c r="I550" s="9"/>
      <c r="J550" s="11"/>
      <c r="K550" s="9"/>
      <c r="L550" s="9" t="s">
        <v>68</v>
      </c>
      <c r="M550" s="9" t="s">
        <v>3364</v>
      </c>
      <c r="N550" s="11" t="s">
        <v>3366</v>
      </c>
      <c r="O550" s="12" t="s">
        <v>3368</v>
      </c>
      <c r="P550" s="13" t="n">
        <v>15</v>
      </c>
      <c r="Q550" s="13" t="n">
        <v>10</v>
      </c>
      <c r="R550" s="13" t="n">
        <v>8</v>
      </c>
      <c r="S550" s="13" t="n">
        <v>0.3</v>
      </c>
      <c r="T550" s="9" t="s">
        <v>4615</v>
      </c>
      <c r="U550" s="9"/>
      <c r="V550" s="9" t="s">
        <v>4571</v>
      </c>
      <c r="W550" s="9"/>
      <c r="X550" s="11" t="s">
        <v>4918</v>
      </c>
      <c r="Y550" s="9"/>
    </row>
    <row r="551" customFormat="false" ht="15" hidden="false" customHeight="false" outlineLevel="0" collapsed="false">
      <c r="A551" s="9" t="s">
        <v>3325</v>
      </c>
      <c r="B551" s="9" t="s">
        <v>3319</v>
      </c>
      <c r="C551" s="11" t="s">
        <v>3321</v>
      </c>
      <c r="D551" s="12" t="s">
        <v>3323</v>
      </c>
      <c r="E551" s="9" t="s">
        <v>3374</v>
      </c>
      <c r="F551" s="9" t="s">
        <v>3371</v>
      </c>
      <c r="G551" s="11" t="s">
        <v>3372</v>
      </c>
      <c r="H551" s="12" t="s">
        <v>3373</v>
      </c>
      <c r="I551" s="9"/>
      <c r="J551" s="11"/>
      <c r="K551" s="9"/>
      <c r="L551" s="9" t="s">
        <v>68</v>
      </c>
      <c r="M551" s="9" t="s">
        <v>2848</v>
      </c>
      <c r="N551" s="11" t="s">
        <v>2850</v>
      </c>
      <c r="O551" s="12" t="s">
        <v>2852</v>
      </c>
      <c r="P551" s="13" t="n">
        <v>10</v>
      </c>
      <c r="Q551" s="13" t="n">
        <v>8</v>
      </c>
      <c r="R551" s="13" t="n">
        <v>6</v>
      </c>
      <c r="S551" s="13" t="n">
        <v>0.1</v>
      </c>
      <c r="T551" s="9" t="s">
        <v>4615</v>
      </c>
      <c r="U551" s="9"/>
      <c r="V551" s="9" t="s">
        <v>4572</v>
      </c>
      <c r="W551" s="9"/>
      <c r="X551" s="11"/>
      <c r="Y551" s="9"/>
    </row>
    <row r="552" customFormat="false" ht="15" hidden="false" customHeight="false" outlineLevel="0" collapsed="false">
      <c r="A552" s="9" t="s">
        <v>3325</v>
      </c>
      <c r="B552" s="9" t="s">
        <v>3319</v>
      </c>
      <c r="C552" s="11" t="s">
        <v>3321</v>
      </c>
      <c r="D552" s="12" t="s">
        <v>3323</v>
      </c>
      <c r="E552" s="9" t="s">
        <v>3379</v>
      </c>
      <c r="F552" s="9" t="s">
        <v>3376</v>
      </c>
      <c r="G552" s="11" t="s">
        <v>3377</v>
      </c>
      <c r="H552" s="12" t="s">
        <v>3378</v>
      </c>
      <c r="I552" s="9"/>
      <c r="J552" s="11"/>
      <c r="K552" s="9"/>
      <c r="L552" s="9" t="s">
        <v>68</v>
      </c>
      <c r="M552" s="9" t="s">
        <v>1162</v>
      </c>
      <c r="N552" s="11" t="s">
        <v>1164</v>
      </c>
      <c r="O552" s="12" t="s">
        <v>1166</v>
      </c>
      <c r="P552" s="13" t="n">
        <v>15</v>
      </c>
      <c r="Q552" s="13" t="n">
        <v>10</v>
      </c>
      <c r="R552" s="13" t="n">
        <v>8</v>
      </c>
      <c r="S552" s="13" t="n">
        <v>0.3</v>
      </c>
      <c r="T552" s="9" t="s">
        <v>4615</v>
      </c>
      <c r="U552" s="9"/>
      <c r="V552" s="9" t="s">
        <v>4571</v>
      </c>
      <c r="W552" s="9" t="s">
        <v>4919</v>
      </c>
      <c r="X552" s="11"/>
      <c r="Y552" s="9"/>
    </row>
    <row r="553" customFormat="false" ht="15" hidden="false" customHeight="false" outlineLevel="0" collapsed="false">
      <c r="A553" s="9" t="s">
        <v>3325</v>
      </c>
      <c r="B553" s="9" t="s">
        <v>3319</v>
      </c>
      <c r="C553" s="11" t="s">
        <v>3321</v>
      </c>
      <c r="D553" s="12" t="s">
        <v>3323</v>
      </c>
      <c r="E553" s="9" t="s">
        <v>3384</v>
      </c>
      <c r="F553" s="9" t="s">
        <v>3381</v>
      </c>
      <c r="G553" s="11" t="s">
        <v>3382</v>
      </c>
      <c r="H553" s="12" t="s">
        <v>3383</v>
      </c>
      <c r="I553" s="9"/>
      <c r="J553" s="11"/>
      <c r="K553" s="9"/>
      <c r="L553" s="9" t="s">
        <v>4756</v>
      </c>
      <c r="M553" s="9" t="s">
        <v>2601</v>
      </c>
      <c r="N553" s="11" t="s">
        <v>2603</v>
      </c>
      <c r="O553" s="12" t="s">
        <v>2605</v>
      </c>
      <c r="P553" s="13" t="n">
        <v>30</v>
      </c>
      <c r="Q553" s="13" t="n">
        <v>20</v>
      </c>
      <c r="R553" s="13" t="n">
        <v>15</v>
      </c>
      <c r="S553" s="13" t="n">
        <v>1.8</v>
      </c>
      <c r="T553" s="9" t="s">
        <v>4615</v>
      </c>
      <c r="U553" s="9" t="s">
        <v>4852</v>
      </c>
      <c r="V553" s="9" t="s">
        <v>4581</v>
      </c>
      <c r="W553" s="9"/>
      <c r="X553" s="11"/>
      <c r="Y553" s="9"/>
    </row>
    <row r="554" customFormat="false" ht="15" hidden="false" customHeight="false" outlineLevel="0" collapsed="false">
      <c r="A554" s="9" t="s">
        <v>3325</v>
      </c>
      <c r="B554" s="9" t="s">
        <v>3319</v>
      </c>
      <c r="C554" s="11" t="s">
        <v>3321</v>
      </c>
      <c r="D554" s="12" t="s">
        <v>3323</v>
      </c>
      <c r="E554" s="9" t="s">
        <v>3390</v>
      </c>
      <c r="F554" s="9" t="s">
        <v>3387</v>
      </c>
      <c r="G554" s="11" t="s">
        <v>3388</v>
      </c>
      <c r="H554" s="12" t="s">
        <v>3389</v>
      </c>
      <c r="I554" s="9"/>
      <c r="J554" s="11"/>
      <c r="K554" s="9"/>
      <c r="L554" s="9" t="s">
        <v>68</v>
      </c>
      <c r="M554" s="9" t="s">
        <v>2575</v>
      </c>
      <c r="N554" s="11" t="s">
        <v>2577</v>
      </c>
      <c r="O554" s="12" t="s">
        <v>2579</v>
      </c>
      <c r="P554" s="13" t="n">
        <v>15</v>
      </c>
      <c r="Q554" s="13" t="n">
        <v>10</v>
      </c>
      <c r="R554" s="13" t="n">
        <v>8</v>
      </c>
      <c r="S554" s="13" t="n">
        <v>0.3</v>
      </c>
      <c r="T554" s="9" t="s">
        <v>4615</v>
      </c>
      <c r="U554" s="9"/>
      <c r="V554" s="9" t="s">
        <v>4571</v>
      </c>
      <c r="W554" s="9"/>
      <c r="X554" s="11" t="s">
        <v>4920</v>
      </c>
      <c r="Y554" s="9"/>
    </row>
    <row r="555" customFormat="false" ht="15" hidden="false" customHeight="false" outlineLevel="0" collapsed="false">
      <c r="A555" s="9" t="s">
        <v>3325</v>
      </c>
      <c r="B555" s="9" t="s">
        <v>3319</v>
      </c>
      <c r="C555" s="11" t="s">
        <v>3321</v>
      </c>
      <c r="D555" s="12" t="s">
        <v>3323</v>
      </c>
      <c r="E555" s="9" t="s">
        <v>3395</v>
      </c>
      <c r="F555" s="9" t="s">
        <v>3392</v>
      </c>
      <c r="G555" s="11" t="s">
        <v>3393</v>
      </c>
      <c r="H555" s="12" t="s">
        <v>3394</v>
      </c>
      <c r="I555" s="9"/>
      <c r="J555" s="11"/>
      <c r="K555" s="9"/>
      <c r="L555" s="9" t="s">
        <v>68</v>
      </c>
      <c r="M555" s="9" t="s">
        <v>1162</v>
      </c>
      <c r="N555" s="11" t="s">
        <v>1164</v>
      </c>
      <c r="O555" s="12" t="s">
        <v>1166</v>
      </c>
      <c r="P555" s="13" t="n">
        <v>15</v>
      </c>
      <c r="Q555" s="13" t="n">
        <v>10</v>
      </c>
      <c r="R555" s="13" t="n">
        <v>8</v>
      </c>
      <c r="S555" s="13" t="n">
        <v>0.3</v>
      </c>
      <c r="T555" s="9" t="s">
        <v>4615</v>
      </c>
      <c r="U555" s="9"/>
      <c r="V555" s="9" t="s">
        <v>4571</v>
      </c>
      <c r="W555" s="9"/>
      <c r="X555" s="11"/>
      <c r="Y555" s="9"/>
    </row>
    <row r="556" customFormat="false" ht="15" hidden="false" customHeight="false" outlineLevel="0" collapsed="false">
      <c r="A556" s="9" t="s">
        <v>3403</v>
      </c>
      <c r="B556" s="9" t="s">
        <v>3397</v>
      </c>
      <c r="C556" s="11" t="s">
        <v>3399</v>
      </c>
      <c r="D556" s="12" t="s">
        <v>3401</v>
      </c>
      <c r="E556" s="9" t="s">
        <v>3404</v>
      </c>
      <c r="F556" s="9" t="s">
        <v>3398</v>
      </c>
      <c r="G556" s="11" t="s">
        <v>3400</v>
      </c>
      <c r="H556" s="12" t="s">
        <v>3402</v>
      </c>
      <c r="I556" s="9"/>
      <c r="J556" s="11"/>
      <c r="K556" s="9"/>
      <c r="L556" s="9" t="s">
        <v>4578</v>
      </c>
      <c r="M556" s="9" t="s">
        <v>2685</v>
      </c>
      <c r="N556" s="11" t="s">
        <v>2687</v>
      </c>
      <c r="O556" s="12" t="s">
        <v>2689</v>
      </c>
      <c r="P556" s="13" t="n">
        <v>170</v>
      </c>
      <c r="Q556" s="13" t="n">
        <v>50</v>
      </c>
      <c r="R556" s="13" t="n">
        <v>45</v>
      </c>
      <c r="S556" s="13" t="n">
        <v>6.5</v>
      </c>
      <c r="T556" s="9" t="s">
        <v>4615</v>
      </c>
      <c r="U556" s="9" t="s">
        <v>4719</v>
      </c>
      <c r="V556" s="9" t="s">
        <v>4565</v>
      </c>
      <c r="W556" s="9"/>
      <c r="X556" s="11"/>
      <c r="Y556" s="9"/>
    </row>
    <row r="557" customFormat="false" ht="15" hidden="false" customHeight="false" outlineLevel="0" collapsed="false">
      <c r="A557" s="9" t="s">
        <v>3403</v>
      </c>
      <c r="B557" s="9" t="s">
        <v>3397</v>
      </c>
      <c r="C557" s="11" t="s">
        <v>3399</v>
      </c>
      <c r="D557" s="12" t="s">
        <v>3401</v>
      </c>
      <c r="E557" s="9" t="s">
        <v>3410</v>
      </c>
      <c r="F557" s="9" t="s">
        <v>3407</v>
      </c>
      <c r="G557" s="11" t="s">
        <v>3408</v>
      </c>
      <c r="H557" s="12" t="s">
        <v>3409</v>
      </c>
      <c r="I557" s="9"/>
      <c r="J557" s="11"/>
      <c r="K557" s="9"/>
      <c r="L557" s="9" t="s">
        <v>4578</v>
      </c>
      <c r="M557" s="9" t="s">
        <v>2685</v>
      </c>
      <c r="N557" s="11" t="s">
        <v>2687</v>
      </c>
      <c r="O557" s="12" t="s">
        <v>2689</v>
      </c>
      <c r="P557" s="13" t="n">
        <v>140</v>
      </c>
      <c r="Q557" s="13" t="n">
        <v>15</v>
      </c>
      <c r="R557" s="13" t="n">
        <v>15</v>
      </c>
      <c r="S557" s="13" t="n">
        <v>7</v>
      </c>
      <c r="T557" s="9" t="s">
        <v>4615</v>
      </c>
      <c r="U557" s="9" t="s">
        <v>4719</v>
      </c>
      <c r="V557" s="9" t="s">
        <v>4565</v>
      </c>
      <c r="W557" s="9"/>
      <c r="X557" s="11"/>
      <c r="Y557" s="9"/>
    </row>
    <row r="558" customFormat="false" ht="15" hidden="false" customHeight="false" outlineLevel="0" collapsed="false">
      <c r="A558" s="9" t="s">
        <v>3403</v>
      </c>
      <c r="B558" s="9" t="s">
        <v>3397</v>
      </c>
      <c r="C558" s="11" t="s">
        <v>3399</v>
      </c>
      <c r="D558" s="12" t="s">
        <v>3401</v>
      </c>
      <c r="E558" s="9" t="s">
        <v>3416</v>
      </c>
      <c r="F558" s="9" t="s">
        <v>3413</v>
      </c>
      <c r="G558" s="11" t="s">
        <v>3414</v>
      </c>
      <c r="H558" s="12" t="s">
        <v>3415</v>
      </c>
      <c r="I558" s="9"/>
      <c r="J558" s="11"/>
      <c r="K558" s="9"/>
      <c r="L558" s="9" t="s">
        <v>4578</v>
      </c>
      <c r="M558" s="9" t="s">
        <v>2685</v>
      </c>
      <c r="N558" s="11" t="s">
        <v>2687</v>
      </c>
      <c r="O558" s="12" t="s">
        <v>2689</v>
      </c>
      <c r="P558" s="13" t="n">
        <v>30</v>
      </c>
      <c r="Q558" s="13" t="n">
        <v>20</v>
      </c>
      <c r="R558" s="13" t="n">
        <v>15</v>
      </c>
      <c r="S558" s="13" t="n">
        <v>1.8</v>
      </c>
      <c r="T558" s="9" t="s">
        <v>4615</v>
      </c>
      <c r="U558" s="9"/>
      <c r="V558" s="9" t="s">
        <v>4581</v>
      </c>
      <c r="W558" s="9"/>
      <c r="X558" s="11"/>
      <c r="Y558" s="9"/>
    </row>
    <row r="559" customFormat="false" ht="15" hidden="false" customHeight="false" outlineLevel="0" collapsed="false">
      <c r="A559" s="9" t="s">
        <v>3403</v>
      </c>
      <c r="B559" s="9" t="s">
        <v>3397</v>
      </c>
      <c r="C559" s="11" t="s">
        <v>3399</v>
      </c>
      <c r="D559" s="12" t="s">
        <v>3401</v>
      </c>
      <c r="E559" s="9" t="s">
        <v>3422</v>
      </c>
      <c r="F559" s="9" t="s">
        <v>3419</v>
      </c>
      <c r="G559" s="11" t="s">
        <v>3420</v>
      </c>
      <c r="H559" s="12" t="s">
        <v>3421</v>
      </c>
      <c r="I559" s="9"/>
      <c r="J559" s="11"/>
      <c r="K559" s="9"/>
      <c r="L559" s="9" t="s">
        <v>4730</v>
      </c>
      <c r="M559" s="9" t="s">
        <v>2685</v>
      </c>
      <c r="N559" s="11" t="s">
        <v>2687</v>
      </c>
      <c r="O559" s="12" t="s">
        <v>2689</v>
      </c>
      <c r="P559" s="13" t="n">
        <v>25</v>
      </c>
      <c r="Q559" s="13" t="n">
        <v>15</v>
      </c>
      <c r="R559" s="13" t="n">
        <v>10</v>
      </c>
      <c r="S559" s="13" t="n">
        <v>0.9</v>
      </c>
      <c r="T559" s="9" t="s">
        <v>4615</v>
      </c>
      <c r="U559" s="9"/>
      <c r="V559" s="9" t="s">
        <v>4568</v>
      </c>
      <c r="W559" s="9"/>
      <c r="X559" s="11"/>
      <c r="Y559" s="9"/>
    </row>
    <row r="560" customFormat="false" ht="15" hidden="false" customHeight="false" outlineLevel="0" collapsed="false">
      <c r="A560" s="9" t="s">
        <v>3403</v>
      </c>
      <c r="B560" s="9" t="s">
        <v>3397</v>
      </c>
      <c r="C560" s="11" t="s">
        <v>3399</v>
      </c>
      <c r="D560" s="12" t="s">
        <v>3401</v>
      </c>
      <c r="E560" s="9" t="s">
        <v>3430</v>
      </c>
      <c r="F560" s="9" t="s">
        <v>3427</v>
      </c>
      <c r="G560" s="11" t="s">
        <v>3428</v>
      </c>
      <c r="H560" s="12" t="s">
        <v>3429</v>
      </c>
      <c r="I560" s="9"/>
      <c r="J560" s="11"/>
      <c r="K560" s="9"/>
      <c r="L560" s="9" t="s">
        <v>4578</v>
      </c>
      <c r="M560" s="9" t="s">
        <v>2685</v>
      </c>
      <c r="N560" s="11" t="s">
        <v>2687</v>
      </c>
      <c r="O560" s="12" t="s">
        <v>2689</v>
      </c>
      <c r="P560" s="13" t="n">
        <v>30</v>
      </c>
      <c r="Q560" s="13" t="n">
        <v>20</v>
      </c>
      <c r="R560" s="13" t="n">
        <v>15</v>
      </c>
      <c r="S560" s="13" t="n">
        <v>1.8</v>
      </c>
      <c r="T560" s="9" t="s">
        <v>4615</v>
      </c>
      <c r="U560" s="9"/>
      <c r="V560" s="9" t="s">
        <v>4581</v>
      </c>
      <c r="W560" s="9"/>
      <c r="X560" s="11"/>
      <c r="Y560" s="9"/>
    </row>
    <row r="561" customFormat="false" ht="15" hidden="false" customHeight="false" outlineLevel="0" collapsed="false">
      <c r="A561" s="9" t="s">
        <v>3403</v>
      </c>
      <c r="B561" s="9" t="s">
        <v>3397</v>
      </c>
      <c r="C561" s="11" t="s">
        <v>3399</v>
      </c>
      <c r="D561" s="12" t="s">
        <v>3401</v>
      </c>
      <c r="E561" s="9" t="s">
        <v>3436</v>
      </c>
      <c r="F561" s="9" t="s">
        <v>3433</v>
      </c>
      <c r="G561" s="11" t="s">
        <v>3434</v>
      </c>
      <c r="H561" s="12" t="s">
        <v>3435</v>
      </c>
      <c r="I561" s="9"/>
      <c r="J561" s="11"/>
      <c r="K561" s="9"/>
      <c r="L561" s="9" t="s">
        <v>4578</v>
      </c>
      <c r="M561" s="9" t="s">
        <v>2685</v>
      </c>
      <c r="N561" s="11" t="s">
        <v>2687</v>
      </c>
      <c r="O561" s="12" t="s">
        <v>2689</v>
      </c>
      <c r="P561" s="13" t="n">
        <v>50</v>
      </c>
      <c r="Q561" s="13" t="n">
        <v>30</v>
      </c>
      <c r="R561" s="13" t="n">
        <v>20</v>
      </c>
      <c r="S561" s="13" t="n">
        <v>5</v>
      </c>
      <c r="T561" s="9" t="s">
        <v>4615</v>
      </c>
      <c r="U561" s="9"/>
      <c r="V561" s="9" t="s">
        <v>4589</v>
      </c>
      <c r="W561" s="9" t="s">
        <v>4921</v>
      </c>
      <c r="X561" s="11"/>
      <c r="Y561" s="9"/>
    </row>
    <row r="562" customFormat="false" ht="15" hidden="false" customHeight="false" outlineLevel="0" collapsed="false">
      <c r="A562" s="9" t="s">
        <v>3403</v>
      </c>
      <c r="B562" s="9" t="s">
        <v>3397</v>
      </c>
      <c r="C562" s="11" t="s">
        <v>3399</v>
      </c>
      <c r="D562" s="12" t="s">
        <v>3401</v>
      </c>
      <c r="E562" s="9" t="s">
        <v>3442</v>
      </c>
      <c r="F562" s="9" t="s">
        <v>3439</v>
      </c>
      <c r="G562" s="11" t="s">
        <v>3440</v>
      </c>
      <c r="H562" s="12" t="s">
        <v>3441</v>
      </c>
      <c r="I562" s="9"/>
      <c r="J562" s="11"/>
      <c r="K562" s="9"/>
      <c r="L562" s="9" t="s">
        <v>4578</v>
      </c>
      <c r="M562" s="9" t="s">
        <v>2685</v>
      </c>
      <c r="N562" s="11" t="s">
        <v>2687</v>
      </c>
      <c r="O562" s="12" t="s">
        <v>2689</v>
      </c>
      <c r="P562" s="13" t="n">
        <v>15</v>
      </c>
      <c r="Q562" s="13" t="n">
        <v>10</v>
      </c>
      <c r="R562" s="13" t="n">
        <v>8</v>
      </c>
      <c r="S562" s="13" t="n">
        <v>0.3</v>
      </c>
      <c r="T562" s="9" t="s">
        <v>4615</v>
      </c>
      <c r="U562" s="9"/>
      <c r="V562" s="9" t="s">
        <v>4571</v>
      </c>
      <c r="W562" s="9"/>
      <c r="X562" s="11"/>
      <c r="Y562" s="9"/>
    </row>
    <row r="563" customFormat="false" ht="15" hidden="false" customHeight="false" outlineLevel="0" collapsed="false">
      <c r="A563" s="9" t="s">
        <v>3403</v>
      </c>
      <c r="B563" s="9" t="s">
        <v>3397</v>
      </c>
      <c r="C563" s="11" t="s">
        <v>3399</v>
      </c>
      <c r="D563" s="12" t="s">
        <v>3401</v>
      </c>
      <c r="E563" s="9" t="s">
        <v>3448</v>
      </c>
      <c r="F563" s="9" t="s">
        <v>3445</v>
      </c>
      <c r="G563" s="11" t="s">
        <v>3446</v>
      </c>
      <c r="H563" s="12" t="s">
        <v>3447</v>
      </c>
      <c r="I563" s="9"/>
      <c r="J563" s="11"/>
      <c r="K563" s="9"/>
      <c r="L563" s="9" t="s">
        <v>4578</v>
      </c>
      <c r="M563" s="9" t="s">
        <v>2685</v>
      </c>
      <c r="N563" s="11" t="s">
        <v>2687</v>
      </c>
      <c r="O563" s="12" t="s">
        <v>2689</v>
      </c>
      <c r="P563" s="13" t="n">
        <v>25</v>
      </c>
      <c r="Q563" s="13" t="n">
        <v>15</v>
      </c>
      <c r="R563" s="13" t="n">
        <v>10</v>
      </c>
      <c r="S563" s="13" t="n">
        <v>0.9</v>
      </c>
      <c r="T563" s="9" t="s">
        <v>4615</v>
      </c>
      <c r="U563" s="9"/>
      <c r="V563" s="9" t="s">
        <v>4568</v>
      </c>
      <c r="W563" s="9"/>
      <c r="X563" s="11"/>
      <c r="Y563" s="9"/>
    </row>
    <row r="564" customFormat="false" ht="15" hidden="false" customHeight="false" outlineLevel="0" collapsed="false">
      <c r="A564" s="9" t="s">
        <v>3403</v>
      </c>
      <c r="B564" s="9" t="s">
        <v>3397</v>
      </c>
      <c r="C564" s="11" t="s">
        <v>3399</v>
      </c>
      <c r="D564" s="12" t="s">
        <v>3401</v>
      </c>
      <c r="E564" s="9" t="s">
        <v>3454</v>
      </c>
      <c r="F564" s="9" t="s">
        <v>3451</v>
      </c>
      <c r="G564" s="11" t="s">
        <v>3452</v>
      </c>
      <c r="H564" s="12" t="s">
        <v>3453</v>
      </c>
      <c r="I564" s="9"/>
      <c r="J564" s="11"/>
      <c r="K564" s="9"/>
      <c r="L564" s="9" t="s">
        <v>4578</v>
      </c>
      <c r="M564" s="9" t="s">
        <v>2685</v>
      </c>
      <c r="N564" s="11" t="s">
        <v>2687</v>
      </c>
      <c r="O564" s="12" t="s">
        <v>2689</v>
      </c>
      <c r="P564" s="13" t="n">
        <v>10</v>
      </c>
      <c r="Q564" s="13" t="n">
        <v>8</v>
      </c>
      <c r="R564" s="13" t="n">
        <v>6</v>
      </c>
      <c r="S564" s="13" t="n">
        <v>0.1</v>
      </c>
      <c r="T564" s="9" t="s">
        <v>4615</v>
      </c>
      <c r="U564" s="9"/>
      <c r="V564" s="9" t="s">
        <v>4572</v>
      </c>
      <c r="W564" s="9"/>
      <c r="X564" s="11"/>
      <c r="Y564" s="9"/>
    </row>
    <row r="565" customFormat="false" ht="15" hidden="false" customHeight="false" outlineLevel="0" collapsed="false">
      <c r="A565" s="9" t="s">
        <v>3403</v>
      </c>
      <c r="B565" s="9" t="s">
        <v>3397</v>
      </c>
      <c r="C565" s="11" t="s">
        <v>3399</v>
      </c>
      <c r="D565" s="12" t="s">
        <v>3401</v>
      </c>
      <c r="E565" s="9" t="s">
        <v>3460</v>
      </c>
      <c r="F565" s="9" t="s">
        <v>3457</v>
      </c>
      <c r="G565" s="11" t="s">
        <v>3458</v>
      </c>
      <c r="H565" s="12" t="s">
        <v>3459</v>
      </c>
      <c r="I565" s="9"/>
      <c r="J565" s="11"/>
      <c r="K565" s="9"/>
      <c r="L565" s="9" t="s">
        <v>4578</v>
      </c>
      <c r="M565" s="9" t="s">
        <v>2685</v>
      </c>
      <c r="N565" s="11" t="s">
        <v>2687</v>
      </c>
      <c r="O565" s="12" t="s">
        <v>2689</v>
      </c>
      <c r="P565" s="13" t="n">
        <v>25</v>
      </c>
      <c r="Q565" s="13" t="n">
        <v>15</v>
      </c>
      <c r="R565" s="13" t="n">
        <v>10</v>
      </c>
      <c r="S565" s="13" t="n">
        <v>0.9</v>
      </c>
      <c r="T565" s="9" t="s">
        <v>4615</v>
      </c>
      <c r="U565" s="9"/>
      <c r="V565" s="9" t="s">
        <v>4568</v>
      </c>
      <c r="W565" s="9"/>
      <c r="X565" s="11"/>
      <c r="Y565" s="9"/>
    </row>
    <row r="566" customFormat="false" ht="15" hidden="false" customHeight="false" outlineLevel="0" collapsed="false">
      <c r="A566" s="9" t="s">
        <v>3469</v>
      </c>
      <c r="B566" s="9" t="s">
        <v>3463</v>
      </c>
      <c r="C566" s="11" t="s">
        <v>3465</v>
      </c>
      <c r="D566" s="12" t="s">
        <v>3467</v>
      </c>
      <c r="E566" s="9" t="s">
        <v>3470</v>
      </c>
      <c r="F566" s="9" t="s">
        <v>3464</v>
      </c>
      <c r="G566" s="11" t="s">
        <v>3466</v>
      </c>
      <c r="H566" s="12" t="s">
        <v>3468</v>
      </c>
      <c r="I566" s="9"/>
      <c r="J566" s="11"/>
      <c r="K566" s="9"/>
      <c r="L566" s="9" t="s">
        <v>68</v>
      </c>
      <c r="M566" s="9" t="s">
        <v>2583</v>
      </c>
      <c r="N566" s="11" t="s">
        <v>2585</v>
      </c>
      <c r="O566" s="12" t="s">
        <v>2587</v>
      </c>
      <c r="P566" s="13" t="n">
        <v>90</v>
      </c>
      <c r="Q566" s="13" t="n">
        <v>40</v>
      </c>
      <c r="R566" s="13" t="n">
        <v>12</v>
      </c>
      <c r="S566" s="13" t="n">
        <v>2.2</v>
      </c>
      <c r="T566" s="9" t="s">
        <v>4615</v>
      </c>
      <c r="U566" s="9"/>
      <c r="V566" s="9" t="s">
        <v>4565</v>
      </c>
      <c r="W566" s="9"/>
      <c r="X566" s="11" t="s">
        <v>3465</v>
      </c>
      <c r="Y566" s="12" t="s">
        <v>4922</v>
      </c>
    </row>
    <row r="567" customFormat="false" ht="15" hidden="false" customHeight="false" outlineLevel="0" collapsed="false">
      <c r="A567" s="9" t="s">
        <v>3469</v>
      </c>
      <c r="B567" s="9" t="s">
        <v>3463</v>
      </c>
      <c r="C567" s="11" t="s">
        <v>3465</v>
      </c>
      <c r="D567" s="12" t="s">
        <v>3467</v>
      </c>
      <c r="E567" s="9" t="s">
        <v>3475</v>
      </c>
      <c r="F567" s="9" t="s">
        <v>3472</v>
      </c>
      <c r="G567" s="11" t="s">
        <v>3473</v>
      </c>
      <c r="H567" s="12" t="s">
        <v>3474</v>
      </c>
      <c r="I567" s="9"/>
      <c r="J567" s="11"/>
      <c r="K567" s="9"/>
      <c r="L567" s="9" t="s">
        <v>68</v>
      </c>
      <c r="M567" s="9" t="s">
        <v>2583</v>
      </c>
      <c r="N567" s="11" t="s">
        <v>2585</v>
      </c>
      <c r="O567" s="12" t="s">
        <v>2587</v>
      </c>
      <c r="P567" s="13" t="n">
        <v>100</v>
      </c>
      <c r="Q567" s="13" t="n">
        <v>40</v>
      </c>
      <c r="R567" s="13" t="n">
        <v>30</v>
      </c>
      <c r="S567" s="13" t="n">
        <v>9</v>
      </c>
      <c r="T567" s="9" t="s">
        <v>4615</v>
      </c>
      <c r="U567" s="9"/>
      <c r="V567" s="9" t="s">
        <v>4565</v>
      </c>
      <c r="W567" s="9" t="s">
        <v>4923</v>
      </c>
      <c r="X567" s="11" t="s">
        <v>4924</v>
      </c>
      <c r="Y567" s="9"/>
    </row>
    <row r="568" customFormat="false" ht="15" hidden="false" customHeight="false" outlineLevel="0" collapsed="false">
      <c r="A568" s="9" t="s">
        <v>3469</v>
      </c>
      <c r="B568" s="9" t="s">
        <v>3463</v>
      </c>
      <c r="C568" s="11" t="s">
        <v>3465</v>
      </c>
      <c r="D568" s="12" t="s">
        <v>3467</v>
      </c>
      <c r="E568" s="9" t="s">
        <v>3480</v>
      </c>
      <c r="F568" s="9" t="s">
        <v>3477</v>
      </c>
      <c r="G568" s="11" t="s">
        <v>3478</v>
      </c>
      <c r="H568" s="12" t="s">
        <v>3479</v>
      </c>
      <c r="I568" s="9"/>
      <c r="J568" s="11"/>
      <c r="K568" s="9"/>
      <c r="L568" s="9" t="s">
        <v>68</v>
      </c>
      <c r="M568" s="9" t="s">
        <v>2583</v>
      </c>
      <c r="N568" s="11" t="s">
        <v>2585</v>
      </c>
      <c r="O568" s="12" t="s">
        <v>2587</v>
      </c>
      <c r="P568" s="13" t="n">
        <v>10</v>
      </c>
      <c r="Q568" s="13" t="n">
        <v>8</v>
      </c>
      <c r="R568" s="13" t="n">
        <v>6</v>
      </c>
      <c r="S568" s="13" t="n">
        <v>0.1</v>
      </c>
      <c r="T568" s="9" t="s">
        <v>4615</v>
      </c>
      <c r="U568" s="9"/>
      <c r="V568" s="9" t="s">
        <v>4572</v>
      </c>
      <c r="W568" s="9"/>
      <c r="X568" s="11"/>
      <c r="Y568" s="9"/>
    </row>
    <row r="569" customFormat="false" ht="15" hidden="false" customHeight="false" outlineLevel="0" collapsed="false">
      <c r="A569" s="9" t="s">
        <v>3486</v>
      </c>
      <c r="B569" s="9" t="s">
        <v>3482</v>
      </c>
      <c r="C569" s="11" t="s">
        <v>3483</v>
      </c>
      <c r="D569" s="12" t="s">
        <v>3485</v>
      </c>
      <c r="E569" s="9" t="s">
        <v>3487</v>
      </c>
      <c r="F569" s="9" t="s">
        <v>3482</v>
      </c>
      <c r="G569" s="11" t="s">
        <v>3484</v>
      </c>
      <c r="H569" s="12" t="s">
        <v>3485</v>
      </c>
      <c r="I569" s="9"/>
      <c r="J569" s="11"/>
      <c r="K569" s="9"/>
      <c r="L569" s="9" t="s">
        <v>68</v>
      </c>
      <c r="M569" s="9" t="s">
        <v>3482</v>
      </c>
      <c r="N569" s="11" t="s">
        <v>3484</v>
      </c>
      <c r="O569" s="12" t="s">
        <v>3485</v>
      </c>
      <c r="P569" s="13" t="n">
        <v>140</v>
      </c>
      <c r="Q569" s="13" t="n">
        <v>110</v>
      </c>
      <c r="R569" s="13" t="n">
        <v>15</v>
      </c>
      <c r="S569" s="13" t="n">
        <v>14</v>
      </c>
      <c r="T569" s="9" t="s">
        <v>4615</v>
      </c>
      <c r="U569" s="9" t="s">
        <v>4719</v>
      </c>
      <c r="V569" s="9" t="s">
        <v>4565</v>
      </c>
      <c r="W569" s="9" t="s">
        <v>4925</v>
      </c>
      <c r="X569" s="11" t="s">
        <v>4926</v>
      </c>
      <c r="Y569" s="9"/>
    </row>
    <row r="570" customFormat="false" ht="15" hidden="false" customHeight="false" outlineLevel="0" collapsed="false">
      <c r="A570" s="9" t="s">
        <v>3486</v>
      </c>
      <c r="B570" s="9" t="s">
        <v>3482</v>
      </c>
      <c r="C570" s="11" t="s">
        <v>3483</v>
      </c>
      <c r="D570" s="12" t="s">
        <v>3485</v>
      </c>
      <c r="E570" s="9" t="s">
        <v>3492</v>
      </c>
      <c r="F570" s="9" t="s">
        <v>3489</v>
      </c>
      <c r="G570" s="11" t="s">
        <v>3490</v>
      </c>
      <c r="H570" s="12" t="s">
        <v>3491</v>
      </c>
      <c r="I570" s="9"/>
      <c r="J570" s="11"/>
      <c r="K570" s="9"/>
      <c r="L570" s="9" t="s">
        <v>4604</v>
      </c>
      <c r="M570" s="9" t="s">
        <v>3482</v>
      </c>
      <c r="N570" s="11" t="s">
        <v>3484</v>
      </c>
      <c r="O570" s="12" t="s">
        <v>3485</v>
      </c>
      <c r="P570" s="13" t="n">
        <v>15</v>
      </c>
      <c r="Q570" s="13" t="n">
        <v>10</v>
      </c>
      <c r="R570" s="13" t="n">
        <v>8</v>
      </c>
      <c r="S570" s="13" t="n">
        <v>0.3</v>
      </c>
      <c r="T570" s="9" t="s">
        <v>4615</v>
      </c>
      <c r="U570" s="9"/>
      <c r="V570" s="9" t="s">
        <v>4571</v>
      </c>
      <c r="W570" s="9"/>
      <c r="X570" s="11"/>
      <c r="Y570" s="9"/>
    </row>
    <row r="571" customFormat="false" ht="15" hidden="false" customHeight="false" outlineLevel="0" collapsed="false">
      <c r="A571" s="9" t="s">
        <v>3486</v>
      </c>
      <c r="B571" s="9" t="s">
        <v>3482</v>
      </c>
      <c r="C571" s="11" t="s">
        <v>3483</v>
      </c>
      <c r="D571" s="12" t="s">
        <v>3485</v>
      </c>
      <c r="E571" s="9" t="s">
        <v>3498</v>
      </c>
      <c r="F571" s="9" t="s">
        <v>3495</v>
      </c>
      <c r="G571" s="11" t="s">
        <v>3496</v>
      </c>
      <c r="H571" s="12" t="s">
        <v>3497</v>
      </c>
      <c r="I571" s="9"/>
      <c r="J571" s="11"/>
      <c r="K571" s="9"/>
      <c r="L571" s="9" t="s">
        <v>68</v>
      </c>
      <c r="M571" s="9" t="s">
        <v>2583</v>
      </c>
      <c r="N571" s="11" t="s">
        <v>2585</v>
      </c>
      <c r="O571" s="12" t="s">
        <v>2587</v>
      </c>
      <c r="P571" s="13" t="n">
        <v>15</v>
      </c>
      <c r="Q571" s="13" t="n">
        <v>10</v>
      </c>
      <c r="R571" s="13" t="n">
        <v>8</v>
      </c>
      <c r="S571" s="13" t="n">
        <v>0.3</v>
      </c>
      <c r="T571" s="9" t="s">
        <v>4615</v>
      </c>
      <c r="U571" s="9"/>
      <c r="V571" s="9" t="s">
        <v>4571</v>
      </c>
      <c r="W571" s="9"/>
      <c r="X571" s="11"/>
      <c r="Y571" s="9"/>
    </row>
    <row r="572" customFormat="false" ht="15" hidden="false" customHeight="false" outlineLevel="0" collapsed="false">
      <c r="A572" s="9" t="s">
        <v>3486</v>
      </c>
      <c r="B572" s="9" t="s">
        <v>3482</v>
      </c>
      <c r="C572" s="11" t="s">
        <v>3483</v>
      </c>
      <c r="D572" s="12" t="s">
        <v>3485</v>
      </c>
      <c r="E572" s="9" t="s">
        <v>3503</v>
      </c>
      <c r="F572" s="9" t="s">
        <v>3500</v>
      </c>
      <c r="G572" s="11" t="s">
        <v>3501</v>
      </c>
      <c r="H572" s="12" t="s">
        <v>3502</v>
      </c>
      <c r="I572" s="9"/>
      <c r="J572" s="11"/>
      <c r="K572" s="9"/>
      <c r="L572" s="9" t="s">
        <v>68</v>
      </c>
      <c r="M572" s="9" t="s">
        <v>69</v>
      </c>
      <c r="N572" s="11" t="s">
        <v>73</v>
      </c>
      <c r="O572" s="12" t="s">
        <v>77</v>
      </c>
      <c r="P572" s="13" t="n">
        <v>25</v>
      </c>
      <c r="Q572" s="13" t="n">
        <v>15</v>
      </c>
      <c r="R572" s="13" t="n">
        <v>10</v>
      </c>
      <c r="S572" s="13" t="n">
        <v>0.9</v>
      </c>
      <c r="T572" s="9" t="s">
        <v>4615</v>
      </c>
      <c r="U572" s="9"/>
      <c r="V572" s="9" t="s">
        <v>4568</v>
      </c>
      <c r="W572" s="9"/>
      <c r="X572" s="11"/>
      <c r="Y572" s="9"/>
    </row>
    <row r="573" customFormat="false" ht="15" hidden="false" customHeight="false" outlineLevel="0" collapsed="false">
      <c r="A573" s="9" t="s">
        <v>3486</v>
      </c>
      <c r="B573" s="9" t="s">
        <v>3482</v>
      </c>
      <c r="C573" s="11" t="s">
        <v>3483</v>
      </c>
      <c r="D573" s="12" t="s">
        <v>3485</v>
      </c>
      <c r="E573" s="9" t="s">
        <v>3508</v>
      </c>
      <c r="F573" s="9" t="s">
        <v>3505</v>
      </c>
      <c r="G573" s="11" t="s">
        <v>3506</v>
      </c>
      <c r="H573" s="12" t="s">
        <v>3507</v>
      </c>
      <c r="I573" s="9"/>
      <c r="J573" s="11"/>
      <c r="K573" s="9"/>
      <c r="L573" s="9" t="s">
        <v>4604</v>
      </c>
      <c r="M573" s="9" t="s">
        <v>3482</v>
      </c>
      <c r="N573" s="11" t="s">
        <v>3484</v>
      </c>
      <c r="O573" s="12" t="s">
        <v>3485</v>
      </c>
      <c r="P573" s="13" t="n">
        <v>25</v>
      </c>
      <c r="Q573" s="13" t="n">
        <v>15</v>
      </c>
      <c r="R573" s="13" t="n">
        <v>10</v>
      </c>
      <c r="S573" s="13" t="n">
        <v>0.9</v>
      </c>
      <c r="T573" s="9" t="s">
        <v>4615</v>
      </c>
      <c r="U573" s="9"/>
      <c r="V573" s="9" t="s">
        <v>4568</v>
      </c>
      <c r="W573" s="9"/>
      <c r="X573" s="11" t="s">
        <v>4927</v>
      </c>
      <c r="Y573" s="9"/>
    </row>
    <row r="574" customFormat="false" ht="15" hidden="false" customHeight="false" outlineLevel="0" collapsed="false">
      <c r="A574" s="9" t="s">
        <v>3486</v>
      </c>
      <c r="B574" s="9" t="s">
        <v>3482</v>
      </c>
      <c r="C574" s="11" t="s">
        <v>3483</v>
      </c>
      <c r="D574" s="12" t="s">
        <v>3485</v>
      </c>
      <c r="E574" s="9" t="s">
        <v>3514</v>
      </c>
      <c r="F574" s="9" t="s">
        <v>3511</v>
      </c>
      <c r="G574" s="11" t="s">
        <v>3512</v>
      </c>
      <c r="H574" s="12" t="s">
        <v>3513</v>
      </c>
      <c r="I574" s="9"/>
      <c r="J574" s="11"/>
      <c r="K574" s="9"/>
      <c r="L574" s="9" t="s">
        <v>68</v>
      </c>
      <c r="M574" s="9" t="s">
        <v>3482</v>
      </c>
      <c r="N574" s="11" t="s">
        <v>3484</v>
      </c>
      <c r="O574" s="12" t="s">
        <v>3485</v>
      </c>
      <c r="P574" s="13" t="n">
        <v>50</v>
      </c>
      <c r="Q574" s="13" t="n">
        <v>30</v>
      </c>
      <c r="R574" s="13" t="n">
        <v>20</v>
      </c>
      <c r="S574" s="13" t="n">
        <v>5</v>
      </c>
      <c r="T574" s="9" t="s">
        <v>4615</v>
      </c>
      <c r="U574" s="9"/>
      <c r="V574" s="9" t="s">
        <v>4589</v>
      </c>
      <c r="W574" s="9"/>
      <c r="X574" s="11"/>
      <c r="Y574" s="9"/>
    </row>
    <row r="575" customFormat="false" ht="15" hidden="false" customHeight="false" outlineLevel="0" collapsed="false">
      <c r="A575" s="9" t="s">
        <v>3519</v>
      </c>
      <c r="B575" s="9" t="s">
        <v>3516</v>
      </c>
      <c r="C575" s="11" t="s">
        <v>3517</v>
      </c>
      <c r="D575" s="12" t="s">
        <v>2783</v>
      </c>
      <c r="E575" s="9" t="s">
        <v>3520</v>
      </c>
      <c r="F575" s="9" t="s">
        <v>2779</v>
      </c>
      <c r="G575" s="11" t="s">
        <v>3518</v>
      </c>
      <c r="H575" s="12" t="s">
        <v>2783</v>
      </c>
      <c r="I575" s="9"/>
      <c r="J575" s="11"/>
      <c r="K575" s="9"/>
      <c r="L575" s="9" t="s">
        <v>4604</v>
      </c>
      <c r="M575" s="9" t="s">
        <v>2779</v>
      </c>
      <c r="N575" s="11" t="s">
        <v>2781</v>
      </c>
      <c r="O575" s="12" t="s">
        <v>2783</v>
      </c>
      <c r="P575" s="13" t="n">
        <v>110</v>
      </c>
      <c r="Q575" s="13" t="n">
        <v>50</v>
      </c>
      <c r="R575" s="13" t="n">
        <v>30</v>
      </c>
      <c r="S575" s="13" t="n">
        <v>4.5</v>
      </c>
      <c r="T575" s="9" t="s">
        <v>4615</v>
      </c>
      <c r="U575" s="9"/>
      <c r="V575" s="9" t="s">
        <v>4565</v>
      </c>
      <c r="W575" s="9"/>
      <c r="X575" s="11" t="s">
        <v>4928</v>
      </c>
      <c r="Y575" s="9"/>
    </row>
    <row r="576" customFormat="false" ht="15" hidden="false" customHeight="false" outlineLevel="0" collapsed="false">
      <c r="A576" s="9" t="s">
        <v>3519</v>
      </c>
      <c r="B576" s="9" t="s">
        <v>3516</v>
      </c>
      <c r="C576" s="11" t="s">
        <v>3517</v>
      </c>
      <c r="D576" s="12" t="s">
        <v>2783</v>
      </c>
      <c r="E576" s="9" t="s">
        <v>3529</v>
      </c>
      <c r="F576" s="9" t="s">
        <v>3523</v>
      </c>
      <c r="G576" s="11" t="s">
        <v>3525</v>
      </c>
      <c r="H576" s="12" t="s">
        <v>3527</v>
      </c>
      <c r="I576" s="9"/>
      <c r="J576" s="11"/>
      <c r="K576" s="9"/>
      <c r="L576" s="9" t="s">
        <v>4730</v>
      </c>
      <c r="M576" s="9" t="s">
        <v>3524</v>
      </c>
      <c r="N576" s="11" t="s">
        <v>3526</v>
      </c>
      <c r="O576" s="12" t="s">
        <v>3528</v>
      </c>
      <c r="P576" s="13" t="n">
        <v>50</v>
      </c>
      <c r="Q576" s="13" t="n">
        <v>30</v>
      </c>
      <c r="R576" s="13" t="n">
        <v>20</v>
      </c>
      <c r="S576" s="13" t="n">
        <v>5</v>
      </c>
      <c r="T576" s="9" t="s">
        <v>4615</v>
      </c>
      <c r="U576" s="9"/>
      <c r="V576" s="9" t="s">
        <v>4589</v>
      </c>
      <c r="W576" s="9" t="s">
        <v>4929</v>
      </c>
      <c r="X576" s="11" t="s">
        <v>4930</v>
      </c>
      <c r="Y576" s="9"/>
    </row>
    <row r="577" customFormat="false" ht="15" hidden="false" customHeight="false" outlineLevel="0" collapsed="false">
      <c r="A577" s="9" t="s">
        <v>3519</v>
      </c>
      <c r="B577" s="9" t="s">
        <v>3516</v>
      </c>
      <c r="C577" s="11" t="s">
        <v>3517</v>
      </c>
      <c r="D577" s="12" t="s">
        <v>2783</v>
      </c>
      <c r="E577" s="9" t="s">
        <v>3537</v>
      </c>
      <c r="F577" s="9" t="s">
        <v>3534</v>
      </c>
      <c r="G577" s="11" t="s">
        <v>3535</v>
      </c>
      <c r="H577" s="12" t="s">
        <v>3536</v>
      </c>
      <c r="I577" s="9"/>
      <c r="J577" s="11"/>
      <c r="K577" s="9"/>
      <c r="L577" s="9" t="s">
        <v>4730</v>
      </c>
      <c r="M577" s="9" t="s">
        <v>3524</v>
      </c>
      <c r="N577" s="11" t="s">
        <v>3526</v>
      </c>
      <c r="O577" s="12" t="s">
        <v>3528</v>
      </c>
      <c r="P577" s="13" t="n">
        <v>40</v>
      </c>
      <c r="Q577" s="13" t="n">
        <v>25</v>
      </c>
      <c r="R577" s="13" t="n">
        <v>15</v>
      </c>
      <c r="S577" s="13" t="n">
        <v>3</v>
      </c>
      <c r="T577" s="9" t="s">
        <v>4615</v>
      </c>
      <c r="U577" s="9"/>
      <c r="V577" s="9" t="s">
        <v>4570</v>
      </c>
      <c r="W577" s="9" t="s">
        <v>4931</v>
      </c>
      <c r="X577" s="11"/>
      <c r="Y577" s="9"/>
    </row>
    <row r="578" customFormat="false" ht="15" hidden="false" customHeight="false" outlineLevel="0" collapsed="false">
      <c r="A578" s="9" t="s">
        <v>3519</v>
      </c>
      <c r="B578" s="9" t="s">
        <v>3516</v>
      </c>
      <c r="C578" s="11" t="s">
        <v>3517</v>
      </c>
      <c r="D578" s="12" t="s">
        <v>2783</v>
      </c>
      <c r="E578" s="9" t="s">
        <v>3545</v>
      </c>
      <c r="F578" s="9" t="s">
        <v>3542</v>
      </c>
      <c r="G578" s="11" t="s">
        <v>3543</v>
      </c>
      <c r="H578" s="12" t="s">
        <v>3544</v>
      </c>
      <c r="I578" s="9"/>
      <c r="J578" s="11"/>
      <c r="K578" s="9"/>
      <c r="L578" s="9" t="s">
        <v>4730</v>
      </c>
      <c r="M578" s="9" t="s">
        <v>3524</v>
      </c>
      <c r="N578" s="11" t="s">
        <v>3526</v>
      </c>
      <c r="O578" s="12" t="s">
        <v>3528</v>
      </c>
      <c r="P578" s="13" t="n">
        <v>40</v>
      </c>
      <c r="Q578" s="13" t="n">
        <v>25</v>
      </c>
      <c r="R578" s="13" t="n">
        <v>15</v>
      </c>
      <c r="S578" s="13" t="n">
        <v>3</v>
      </c>
      <c r="T578" s="9" t="s">
        <v>4615</v>
      </c>
      <c r="U578" s="9"/>
      <c r="V578" s="9" t="s">
        <v>4570</v>
      </c>
      <c r="W578" s="9"/>
      <c r="X578" s="11"/>
      <c r="Y578" s="12" t="s">
        <v>4932</v>
      </c>
    </row>
    <row r="579" customFormat="false" ht="15" hidden="false" customHeight="false" outlineLevel="0" collapsed="false">
      <c r="A579" s="9" t="s">
        <v>3519</v>
      </c>
      <c r="B579" s="9" t="s">
        <v>3516</v>
      </c>
      <c r="C579" s="11" t="s">
        <v>3517</v>
      </c>
      <c r="D579" s="12" t="s">
        <v>2783</v>
      </c>
      <c r="E579" s="9" t="s">
        <v>3553</v>
      </c>
      <c r="F579" s="9" t="s">
        <v>3550</v>
      </c>
      <c r="G579" s="11" t="s">
        <v>3551</v>
      </c>
      <c r="H579" s="12" t="s">
        <v>3552</v>
      </c>
      <c r="I579" s="9"/>
      <c r="J579" s="11"/>
      <c r="K579" s="9"/>
      <c r="L579" s="9" t="s">
        <v>4604</v>
      </c>
      <c r="M579" s="9" t="s">
        <v>2839</v>
      </c>
      <c r="N579" s="11" t="s">
        <v>2841</v>
      </c>
      <c r="O579" s="12" t="s">
        <v>2843</v>
      </c>
      <c r="P579" s="13" t="n">
        <v>170</v>
      </c>
      <c r="Q579" s="13" t="n">
        <v>25</v>
      </c>
      <c r="R579" s="13" t="n">
        <v>15</v>
      </c>
      <c r="S579" s="13" t="n">
        <v>4</v>
      </c>
      <c r="T579" s="9" t="s">
        <v>4615</v>
      </c>
      <c r="U579" s="9" t="s">
        <v>4719</v>
      </c>
      <c r="V579" s="9" t="s">
        <v>4565</v>
      </c>
      <c r="W579" s="9" t="s">
        <v>4933</v>
      </c>
      <c r="X579" s="11" t="s">
        <v>4934</v>
      </c>
      <c r="Y579" s="9"/>
    </row>
    <row r="580" customFormat="false" ht="15" hidden="false" customHeight="false" outlineLevel="0" collapsed="false">
      <c r="A580" s="9" t="s">
        <v>3519</v>
      </c>
      <c r="B580" s="9" t="s">
        <v>3516</v>
      </c>
      <c r="C580" s="11" t="s">
        <v>3517</v>
      </c>
      <c r="D580" s="12" t="s">
        <v>2783</v>
      </c>
      <c r="E580" s="9" t="s">
        <v>3559</v>
      </c>
      <c r="F580" s="9" t="s">
        <v>3556</v>
      </c>
      <c r="G580" s="11" t="s">
        <v>3557</v>
      </c>
      <c r="H580" s="12" t="s">
        <v>3558</v>
      </c>
      <c r="I580" s="9"/>
      <c r="J580" s="11"/>
      <c r="K580" s="9"/>
      <c r="L580" s="9" t="s">
        <v>4604</v>
      </c>
      <c r="M580" s="9" t="s">
        <v>2839</v>
      </c>
      <c r="N580" s="11" t="s">
        <v>2841</v>
      </c>
      <c r="O580" s="12" t="s">
        <v>2843</v>
      </c>
      <c r="P580" s="13" t="n">
        <v>130</v>
      </c>
      <c r="Q580" s="13" t="n">
        <v>70</v>
      </c>
      <c r="R580" s="13" t="n">
        <v>30</v>
      </c>
      <c r="S580" s="13" t="n">
        <v>11</v>
      </c>
      <c r="T580" s="9" t="s">
        <v>4615</v>
      </c>
      <c r="U580" s="9" t="s">
        <v>4719</v>
      </c>
      <c r="V580" s="9" t="s">
        <v>4565</v>
      </c>
      <c r="W580" s="9"/>
      <c r="X580" s="11" t="s">
        <v>4935</v>
      </c>
      <c r="Y580" s="9"/>
    </row>
    <row r="581" customFormat="false" ht="15" hidden="false" customHeight="false" outlineLevel="0" collapsed="false">
      <c r="A581" s="9" t="s">
        <v>3568</v>
      </c>
      <c r="B581" s="9" t="s">
        <v>3562</v>
      </c>
      <c r="C581" s="11" t="s">
        <v>3564</v>
      </c>
      <c r="D581" s="12" t="s">
        <v>3566</v>
      </c>
      <c r="E581" s="9" t="s">
        <v>3569</v>
      </c>
      <c r="F581" s="9" t="s">
        <v>3563</v>
      </c>
      <c r="G581" s="11" t="s">
        <v>3565</v>
      </c>
      <c r="H581" s="12" t="s">
        <v>3567</v>
      </c>
      <c r="I581" s="9"/>
      <c r="J581" s="11"/>
      <c r="K581" s="9"/>
      <c r="L581" s="9" t="s">
        <v>4730</v>
      </c>
      <c r="M581" s="9" t="s">
        <v>2405</v>
      </c>
      <c r="N581" s="11" t="s">
        <v>2408</v>
      </c>
      <c r="O581" s="12" t="s">
        <v>2411</v>
      </c>
      <c r="P581" s="13" t="n">
        <v>25</v>
      </c>
      <c r="Q581" s="13" t="n">
        <v>15</v>
      </c>
      <c r="R581" s="13" t="n">
        <v>10</v>
      </c>
      <c r="S581" s="13" t="n">
        <v>0.9</v>
      </c>
      <c r="T581" s="9" t="s">
        <v>4615</v>
      </c>
      <c r="U581" s="9"/>
      <c r="V581" s="9" t="s">
        <v>4568</v>
      </c>
      <c r="W581" s="9"/>
      <c r="X581" s="11"/>
      <c r="Y581" s="9"/>
    </row>
    <row r="582" customFormat="false" ht="15" hidden="false" customHeight="false" outlineLevel="0" collapsed="false">
      <c r="A582" s="9" t="s">
        <v>3568</v>
      </c>
      <c r="B582" s="9" t="s">
        <v>3562</v>
      </c>
      <c r="C582" s="11" t="s">
        <v>3564</v>
      </c>
      <c r="D582" s="12" t="s">
        <v>3566</v>
      </c>
      <c r="E582" s="9" t="s">
        <v>3577</v>
      </c>
      <c r="F582" s="9" t="s">
        <v>3574</v>
      </c>
      <c r="G582" s="11" t="s">
        <v>3575</v>
      </c>
      <c r="H582" s="12" t="s">
        <v>3576</v>
      </c>
      <c r="I582" s="9"/>
      <c r="J582" s="11"/>
      <c r="K582" s="9"/>
      <c r="L582" s="9" t="s">
        <v>4730</v>
      </c>
      <c r="M582" s="9" t="s">
        <v>2405</v>
      </c>
      <c r="N582" s="11" t="s">
        <v>2408</v>
      </c>
      <c r="O582" s="12" t="s">
        <v>2411</v>
      </c>
      <c r="P582" s="13" t="n">
        <v>15</v>
      </c>
      <c r="Q582" s="13" t="n">
        <v>10</v>
      </c>
      <c r="R582" s="13" t="n">
        <v>8</v>
      </c>
      <c r="S582" s="13" t="n">
        <v>0.3</v>
      </c>
      <c r="T582" s="9" t="s">
        <v>4615</v>
      </c>
      <c r="U582" s="9"/>
      <c r="V582" s="9" t="s">
        <v>4571</v>
      </c>
      <c r="W582" s="9"/>
      <c r="X582" s="11"/>
      <c r="Y582" s="9"/>
    </row>
    <row r="583" customFormat="false" ht="15" hidden="false" customHeight="false" outlineLevel="0" collapsed="false">
      <c r="A583" s="9" t="s">
        <v>3568</v>
      </c>
      <c r="B583" s="9" t="s">
        <v>3562</v>
      </c>
      <c r="C583" s="11" t="s">
        <v>3564</v>
      </c>
      <c r="D583" s="12" t="s">
        <v>3566</v>
      </c>
      <c r="E583" s="9" t="s">
        <v>3588</v>
      </c>
      <c r="F583" s="9" t="s">
        <v>3582</v>
      </c>
      <c r="G583" s="11" t="s">
        <v>3584</v>
      </c>
      <c r="H583" s="12" t="s">
        <v>3586</v>
      </c>
      <c r="I583" s="9"/>
      <c r="J583" s="11"/>
      <c r="K583" s="9"/>
      <c r="L583" s="9" t="s">
        <v>4730</v>
      </c>
      <c r="M583" s="9" t="s">
        <v>3583</v>
      </c>
      <c r="N583" s="11" t="s">
        <v>3585</v>
      </c>
      <c r="O583" s="12" t="s">
        <v>3587</v>
      </c>
      <c r="P583" s="13" t="n">
        <v>110</v>
      </c>
      <c r="Q583" s="13" t="n">
        <v>80</v>
      </c>
      <c r="R583" s="13" t="n">
        <v>20</v>
      </c>
      <c r="S583" s="13" t="n">
        <v>14</v>
      </c>
      <c r="T583" s="9" t="s">
        <v>4615</v>
      </c>
      <c r="U583" s="9"/>
      <c r="V583" s="9" t="s">
        <v>4565</v>
      </c>
      <c r="W583" s="9"/>
      <c r="X583" s="11"/>
      <c r="Y583" s="9"/>
    </row>
    <row r="584" customFormat="false" ht="15" hidden="false" customHeight="false" outlineLevel="0" collapsed="false">
      <c r="A584" s="9" t="s">
        <v>3568</v>
      </c>
      <c r="B584" s="9" t="s">
        <v>3562</v>
      </c>
      <c r="C584" s="11" t="s">
        <v>3564</v>
      </c>
      <c r="D584" s="12" t="s">
        <v>3566</v>
      </c>
      <c r="E584" s="9" t="s">
        <v>3596</v>
      </c>
      <c r="F584" s="9" t="s">
        <v>3593</v>
      </c>
      <c r="G584" s="11" t="s">
        <v>3594</v>
      </c>
      <c r="H584" s="12" t="s">
        <v>3595</v>
      </c>
      <c r="I584" s="9"/>
      <c r="J584" s="11"/>
      <c r="K584" s="9"/>
      <c r="L584" s="9" t="s">
        <v>4730</v>
      </c>
      <c r="M584" s="9" t="s">
        <v>3583</v>
      </c>
      <c r="N584" s="11" t="s">
        <v>3585</v>
      </c>
      <c r="O584" s="12" t="s">
        <v>3587</v>
      </c>
      <c r="P584" s="13" t="n">
        <v>120</v>
      </c>
      <c r="Q584" s="13" t="n">
        <v>85</v>
      </c>
      <c r="R584" s="13" t="n">
        <v>25</v>
      </c>
      <c r="S584" s="13" t="n">
        <v>22</v>
      </c>
      <c r="T584" s="9" t="s">
        <v>4615</v>
      </c>
      <c r="U584" s="9"/>
      <c r="V584" s="9" t="s">
        <v>4565</v>
      </c>
      <c r="W584" s="9"/>
      <c r="X584" s="11"/>
      <c r="Y584" s="9"/>
    </row>
    <row r="585" customFormat="false" ht="15" hidden="false" customHeight="false" outlineLevel="0" collapsed="false">
      <c r="A585" s="9" t="s">
        <v>3568</v>
      </c>
      <c r="B585" s="9" t="s">
        <v>3562</v>
      </c>
      <c r="C585" s="11" t="s">
        <v>3564</v>
      </c>
      <c r="D585" s="12" t="s">
        <v>3566</v>
      </c>
      <c r="E585" s="9" t="s">
        <v>3607</v>
      </c>
      <c r="F585" s="9" t="s">
        <v>3601</v>
      </c>
      <c r="G585" s="11" t="s">
        <v>3603</v>
      </c>
      <c r="H585" s="12" t="s">
        <v>3605</v>
      </c>
      <c r="I585" s="9"/>
      <c r="J585" s="11"/>
      <c r="K585" s="9"/>
      <c r="L585" s="9" t="s">
        <v>4730</v>
      </c>
      <c r="M585" s="9" t="s">
        <v>3602</v>
      </c>
      <c r="N585" s="11" t="s">
        <v>3604</v>
      </c>
      <c r="O585" s="12" t="s">
        <v>3606</v>
      </c>
      <c r="P585" s="13" t="n">
        <v>15</v>
      </c>
      <c r="Q585" s="13" t="n">
        <v>10</v>
      </c>
      <c r="R585" s="13" t="n">
        <v>8</v>
      </c>
      <c r="S585" s="13" t="n">
        <v>0.3</v>
      </c>
      <c r="T585" s="9" t="s">
        <v>4615</v>
      </c>
      <c r="U585" s="9"/>
      <c r="V585" s="9" t="s">
        <v>4571</v>
      </c>
      <c r="W585" s="9"/>
      <c r="X585" s="11"/>
      <c r="Y585" s="9"/>
    </row>
    <row r="586" customFormat="false" ht="15" hidden="false" customHeight="false" outlineLevel="0" collapsed="false">
      <c r="A586" s="9" t="s">
        <v>3568</v>
      </c>
      <c r="B586" s="9" t="s">
        <v>3562</v>
      </c>
      <c r="C586" s="11" t="s">
        <v>3564</v>
      </c>
      <c r="D586" s="12" t="s">
        <v>3566</v>
      </c>
      <c r="E586" s="9" t="s">
        <v>3615</v>
      </c>
      <c r="F586" s="9" t="s">
        <v>3612</v>
      </c>
      <c r="G586" s="11" t="s">
        <v>3613</v>
      </c>
      <c r="H586" s="12" t="s">
        <v>3614</v>
      </c>
      <c r="I586" s="9"/>
      <c r="J586" s="11"/>
      <c r="K586" s="9"/>
      <c r="L586" s="9" t="s">
        <v>4730</v>
      </c>
      <c r="M586" s="9" t="s">
        <v>3602</v>
      </c>
      <c r="N586" s="11" t="s">
        <v>3604</v>
      </c>
      <c r="O586" s="12" t="s">
        <v>3606</v>
      </c>
      <c r="P586" s="13" t="n">
        <v>25</v>
      </c>
      <c r="Q586" s="13" t="n">
        <v>15</v>
      </c>
      <c r="R586" s="13" t="n">
        <v>10</v>
      </c>
      <c r="S586" s="13" t="n">
        <v>0.9</v>
      </c>
      <c r="T586" s="9" t="s">
        <v>4615</v>
      </c>
      <c r="U586" s="9"/>
      <c r="V586" s="9" t="s">
        <v>4568</v>
      </c>
      <c r="W586" s="9"/>
      <c r="X586" s="11" t="s">
        <v>4936</v>
      </c>
      <c r="Y586" s="9"/>
    </row>
    <row r="587" customFormat="false" ht="15" hidden="false" customHeight="false" outlineLevel="0" collapsed="false">
      <c r="A587" s="9" t="s">
        <v>3568</v>
      </c>
      <c r="B587" s="9" t="s">
        <v>3562</v>
      </c>
      <c r="C587" s="11" t="s">
        <v>3564</v>
      </c>
      <c r="D587" s="12" t="s">
        <v>3566</v>
      </c>
      <c r="E587" s="9" t="s">
        <v>3623</v>
      </c>
      <c r="F587" s="9" t="s">
        <v>3620</v>
      </c>
      <c r="G587" s="11" t="s">
        <v>3621</v>
      </c>
      <c r="H587" s="12" t="s">
        <v>3622</v>
      </c>
      <c r="I587" s="9"/>
      <c r="J587" s="11"/>
      <c r="K587" s="9"/>
      <c r="L587" s="9" t="s">
        <v>4730</v>
      </c>
      <c r="M587" s="9" t="s">
        <v>3583</v>
      </c>
      <c r="N587" s="11" t="s">
        <v>3585</v>
      </c>
      <c r="O587" s="12" t="s">
        <v>3587</v>
      </c>
      <c r="P587" s="13" t="n">
        <v>25</v>
      </c>
      <c r="Q587" s="13" t="n">
        <v>15</v>
      </c>
      <c r="R587" s="13" t="n">
        <v>10</v>
      </c>
      <c r="S587" s="13" t="n">
        <v>0.9</v>
      </c>
      <c r="T587" s="9" t="s">
        <v>4615</v>
      </c>
      <c r="U587" s="9"/>
      <c r="V587" s="9" t="s">
        <v>4568</v>
      </c>
      <c r="W587" s="9"/>
      <c r="X587" s="11"/>
      <c r="Y587" s="9"/>
    </row>
    <row r="588" customFormat="false" ht="15" hidden="false" customHeight="false" outlineLevel="0" collapsed="false">
      <c r="A588" s="9" t="s">
        <v>3568</v>
      </c>
      <c r="B588" s="9" t="s">
        <v>3562</v>
      </c>
      <c r="C588" s="11" t="s">
        <v>3564</v>
      </c>
      <c r="D588" s="12" t="s">
        <v>3566</v>
      </c>
      <c r="E588" s="9" t="s">
        <v>3631</v>
      </c>
      <c r="F588" s="9" t="s">
        <v>3628</v>
      </c>
      <c r="G588" s="11" t="s">
        <v>3629</v>
      </c>
      <c r="H588" s="12" t="s">
        <v>3630</v>
      </c>
      <c r="I588" s="9"/>
      <c r="J588" s="11"/>
      <c r="K588" s="9"/>
      <c r="L588" s="9" t="s">
        <v>4730</v>
      </c>
      <c r="M588" s="9" t="s">
        <v>2405</v>
      </c>
      <c r="N588" s="11" t="s">
        <v>2408</v>
      </c>
      <c r="O588" s="12" t="s">
        <v>2411</v>
      </c>
      <c r="P588" s="13" t="n">
        <v>15</v>
      </c>
      <c r="Q588" s="13" t="n">
        <v>10</v>
      </c>
      <c r="R588" s="13" t="n">
        <v>8</v>
      </c>
      <c r="S588" s="13" t="n">
        <v>0.3</v>
      </c>
      <c r="T588" s="9" t="s">
        <v>4615</v>
      </c>
      <c r="U588" s="9"/>
      <c r="V588" s="9" t="s">
        <v>4571</v>
      </c>
      <c r="W588" s="9"/>
      <c r="X588" s="11"/>
      <c r="Y588" s="9"/>
    </row>
    <row r="589" customFormat="false" ht="15" hidden="false" customHeight="false" outlineLevel="0" collapsed="false">
      <c r="A589" s="9" t="s">
        <v>3568</v>
      </c>
      <c r="B589" s="9" t="s">
        <v>3562</v>
      </c>
      <c r="C589" s="11" t="s">
        <v>3564</v>
      </c>
      <c r="D589" s="12" t="s">
        <v>3566</v>
      </c>
      <c r="E589" s="9" t="s">
        <v>3639</v>
      </c>
      <c r="F589" s="9" t="s">
        <v>3636</v>
      </c>
      <c r="G589" s="11" t="s">
        <v>3637</v>
      </c>
      <c r="H589" s="12" t="s">
        <v>3638</v>
      </c>
      <c r="I589" s="9"/>
      <c r="J589" s="11"/>
      <c r="K589" s="9"/>
      <c r="L589" s="9" t="s">
        <v>4730</v>
      </c>
      <c r="M589" s="9" t="s">
        <v>2405</v>
      </c>
      <c r="N589" s="11" t="s">
        <v>2408</v>
      </c>
      <c r="O589" s="12" t="s">
        <v>2411</v>
      </c>
      <c r="P589" s="13" t="n">
        <v>15</v>
      </c>
      <c r="Q589" s="13" t="n">
        <v>10</v>
      </c>
      <c r="R589" s="13" t="n">
        <v>8</v>
      </c>
      <c r="S589" s="13" t="n">
        <v>0.3</v>
      </c>
      <c r="T589" s="9" t="s">
        <v>4615</v>
      </c>
      <c r="U589" s="9"/>
      <c r="V589" s="9" t="s">
        <v>4571</v>
      </c>
      <c r="W589" s="9"/>
      <c r="X589" s="11" t="s">
        <v>4937</v>
      </c>
      <c r="Y589" s="9"/>
    </row>
    <row r="590" customFormat="false" ht="15" hidden="false" customHeight="false" outlineLevel="0" collapsed="false">
      <c r="A590" s="9" t="s">
        <v>3568</v>
      </c>
      <c r="B590" s="9" t="s">
        <v>3562</v>
      </c>
      <c r="C590" s="11" t="s">
        <v>3564</v>
      </c>
      <c r="D590" s="12" t="s">
        <v>3566</v>
      </c>
      <c r="E590" s="9" t="s">
        <v>3647</v>
      </c>
      <c r="F590" s="9" t="s">
        <v>3644</v>
      </c>
      <c r="G590" s="11" t="s">
        <v>3645</v>
      </c>
      <c r="H590" s="12" t="s">
        <v>3646</v>
      </c>
      <c r="I590" s="9"/>
      <c r="J590" s="11"/>
      <c r="K590" s="9"/>
      <c r="L590" s="9" t="s">
        <v>4604</v>
      </c>
      <c r="M590" s="9" t="s">
        <v>3583</v>
      </c>
      <c r="N590" s="11" t="s">
        <v>3585</v>
      </c>
      <c r="O590" s="12" t="s">
        <v>3587</v>
      </c>
      <c r="P590" s="13" t="n">
        <v>15</v>
      </c>
      <c r="Q590" s="13" t="n">
        <v>10</v>
      </c>
      <c r="R590" s="13" t="n">
        <v>8</v>
      </c>
      <c r="S590" s="13" t="n">
        <v>0.3</v>
      </c>
      <c r="T590" s="9" t="s">
        <v>4615</v>
      </c>
      <c r="U590" s="9"/>
      <c r="V590" s="9" t="s">
        <v>4571</v>
      </c>
      <c r="W590" s="9"/>
      <c r="X590" s="11"/>
      <c r="Y590" s="9"/>
    </row>
    <row r="591" customFormat="false" ht="15" hidden="false" customHeight="false" outlineLevel="0" collapsed="false">
      <c r="A591" s="9" t="s">
        <v>3568</v>
      </c>
      <c r="B591" s="9" t="s">
        <v>3562</v>
      </c>
      <c r="C591" s="11" t="s">
        <v>3564</v>
      </c>
      <c r="D591" s="12" t="s">
        <v>3566</v>
      </c>
      <c r="E591" s="9" t="s">
        <v>3653</v>
      </c>
      <c r="F591" s="9" t="s">
        <v>3650</v>
      </c>
      <c r="G591" s="11" t="s">
        <v>3651</v>
      </c>
      <c r="H591" s="12" t="s">
        <v>3652</v>
      </c>
      <c r="I591" s="9"/>
      <c r="J591" s="11"/>
      <c r="K591" s="9"/>
      <c r="L591" s="9" t="s">
        <v>4730</v>
      </c>
      <c r="M591" s="9" t="s">
        <v>3583</v>
      </c>
      <c r="N591" s="11" t="s">
        <v>3585</v>
      </c>
      <c r="O591" s="12" t="s">
        <v>3587</v>
      </c>
      <c r="P591" s="13" t="n">
        <v>40</v>
      </c>
      <c r="Q591" s="13" t="n">
        <v>25</v>
      </c>
      <c r="R591" s="13" t="n">
        <v>15</v>
      </c>
      <c r="S591" s="13" t="n">
        <v>3</v>
      </c>
      <c r="T591" s="9" t="s">
        <v>4615</v>
      </c>
      <c r="U591" s="9"/>
      <c r="V591" s="9" t="s">
        <v>4570</v>
      </c>
      <c r="W591" s="9"/>
      <c r="X591" s="11"/>
      <c r="Y591" s="9"/>
    </row>
    <row r="592" customFormat="false" ht="15" hidden="false" customHeight="false" outlineLevel="0" collapsed="false">
      <c r="A592" s="9" t="s">
        <v>3568</v>
      </c>
      <c r="B592" s="9" t="s">
        <v>3562</v>
      </c>
      <c r="C592" s="11" t="s">
        <v>3564</v>
      </c>
      <c r="D592" s="12" t="s">
        <v>3566</v>
      </c>
      <c r="E592" s="9" t="s">
        <v>3661</v>
      </c>
      <c r="F592" s="9" t="s">
        <v>3658</v>
      </c>
      <c r="G592" s="11" t="s">
        <v>3659</v>
      </c>
      <c r="H592" s="12" t="s">
        <v>3660</v>
      </c>
      <c r="I592" s="9"/>
      <c r="J592" s="11"/>
      <c r="K592" s="9"/>
      <c r="L592" s="9" t="s">
        <v>4730</v>
      </c>
      <c r="M592" s="9" t="s">
        <v>2405</v>
      </c>
      <c r="N592" s="11" t="s">
        <v>2408</v>
      </c>
      <c r="O592" s="12" t="s">
        <v>2411</v>
      </c>
      <c r="P592" s="13" t="n">
        <v>50</v>
      </c>
      <c r="Q592" s="13" t="n">
        <v>30</v>
      </c>
      <c r="R592" s="13" t="n">
        <v>20</v>
      </c>
      <c r="S592" s="13" t="n">
        <v>5</v>
      </c>
      <c r="T592" s="9" t="s">
        <v>4615</v>
      </c>
      <c r="U592" s="9"/>
      <c r="V592" s="9" t="s">
        <v>4589</v>
      </c>
      <c r="W592" s="9"/>
      <c r="X592" s="11"/>
      <c r="Y592" s="9"/>
    </row>
    <row r="593" customFormat="false" ht="15" hidden="false" customHeight="false" outlineLevel="0" collapsed="false">
      <c r="A593" s="9" t="s">
        <v>3568</v>
      </c>
      <c r="B593" s="9" t="s">
        <v>3562</v>
      </c>
      <c r="C593" s="11" t="s">
        <v>3564</v>
      </c>
      <c r="D593" s="12" t="s">
        <v>3566</v>
      </c>
      <c r="E593" s="9" t="s">
        <v>3669</v>
      </c>
      <c r="F593" s="9" t="s">
        <v>3666</v>
      </c>
      <c r="G593" s="11" t="s">
        <v>3667</v>
      </c>
      <c r="H593" s="12" t="s">
        <v>3668</v>
      </c>
      <c r="I593" s="9"/>
      <c r="J593" s="11"/>
      <c r="K593" s="9"/>
      <c r="L593" s="9" t="s">
        <v>4730</v>
      </c>
      <c r="M593" s="9" t="s">
        <v>2405</v>
      </c>
      <c r="N593" s="11" t="s">
        <v>2408</v>
      </c>
      <c r="O593" s="12" t="s">
        <v>2411</v>
      </c>
      <c r="P593" s="13" t="n">
        <v>30</v>
      </c>
      <c r="Q593" s="13" t="n">
        <v>20</v>
      </c>
      <c r="R593" s="13" t="n">
        <v>15</v>
      </c>
      <c r="S593" s="13" t="n">
        <v>1.8</v>
      </c>
      <c r="T593" s="9" t="s">
        <v>4615</v>
      </c>
      <c r="U593" s="9"/>
      <c r="V593" s="9" t="s">
        <v>4581</v>
      </c>
      <c r="W593" s="9"/>
      <c r="X593" s="11"/>
      <c r="Y593" s="9"/>
    </row>
    <row r="594" customFormat="false" ht="15" hidden="false" customHeight="false" outlineLevel="0" collapsed="false">
      <c r="A594" s="9" t="s">
        <v>3568</v>
      </c>
      <c r="B594" s="9" t="s">
        <v>3562</v>
      </c>
      <c r="C594" s="11" t="s">
        <v>3564</v>
      </c>
      <c r="D594" s="12" t="s">
        <v>3566</v>
      </c>
      <c r="E594" s="9" t="s">
        <v>3677</v>
      </c>
      <c r="F594" s="9" t="s">
        <v>3674</v>
      </c>
      <c r="G594" s="11" t="s">
        <v>3675</v>
      </c>
      <c r="H594" s="12" t="s">
        <v>3676</v>
      </c>
      <c r="I594" s="9"/>
      <c r="J594" s="11"/>
      <c r="K594" s="9"/>
      <c r="L594" s="9" t="s">
        <v>4730</v>
      </c>
      <c r="M594" s="9" t="s">
        <v>3602</v>
      </c>
      <c r="N594" s="11" t="s">
        <v>3604</v>
      </c>
      <c r="O594" s="12" t="s">
        <v>3606</v>
      </c>
      <c r="P594" s="13" t="n">
        <v>40</v>
      </c>
      <c r="Q594" s="13" t="n">
        <v>30</v>
      </c>
      <c r="R594" s="13" t="n">
        <v>8</v>
      </c>
      <c r="S594" s="13" t="n">
        <v>1.6</v>
      </c>
      <c r="T594" s="9" t="s">
        <v>4615</v>
      </c>
      <c r="U594" s="9"/>
      <c r="V594" s="9" t="s">
        <v>4565</v>
      </c>
      <c r="W594" s="9"/>
      <c r="X594" s="11"/>
      <c r="Y594" s="9"/>
    </row>
    <row r="595" customFormat="false" ht="15" hidden="false" customHeight="false" outlineLevel="0" collapsed="false">
      <c r="A595" s="9" t="s">
        <v>3568</v>
      </c>
      <c r="B595" s="9" t="s">
        <v>3562</v>
      </c>
      <c r="C595" s="11" t="s">
        <v>3564</v>
      </c>
      <c r="D595" s="12" t="s">
        <v>3566</v>
      </c>
      <c r="E595" s="9" t="s">
        <v>3685</v>
      </c>
      <c r="F595" s="9" t="s">
        <v>3682</v>
      </c>
      <c r="G595" s="11" t="s">
        <v>3683</v>
      </c>
      <c r="H595" s="12" t="s">
        <v>3684</v>
      </c>
      <c r="I595" s="9"/>
      <c r="J595" s="11"/>
      <c r="K595" s="9"/>
      <c r="L595" s="9" t="s">
        <v>4730</v>
      </c>
      <c r="M595" s="9" t="s">
        <v>3602</v>
      </c>
      <c r="N595" s="11" t="s">
        <v>3604</v>
      </c>
      <c r="O595" s="12" t="s">
        <v>3606</v>
      </c>
      <c r="P595" s="13" t="n">
        <v>40</v>
      </c>
      <c r="Q595" s="13" t="n">
        <v>25</v>
      </c>
      <c r="R595" s="13" t="n">
        <v>15</v>
      </c>
      <c r="S595" s="13" t="n">
        <v>3</v>
      </c>
      <c r="T595" s="9" t="s">
        <v>4615</v>
      </c>
      <c r="U595" s="9"/>
      <c r="V595" s="9" t="s">
        <v>4570</v>
      </c>
      <c r="W595" s="9" t="s">
        <v>4938</v>
      </c>
      <c r="X595" s="11" t="s">
        <v>4939</v>
      </c>
      <c r="Y595" s="9"/>
    </row>
    <row r="596" customFormat="false" ht="15" hidden="false" customHeight="false" outlineLevel="0" collapsed="false">
      <c r="A596" s="9" t="s">
        <v>3568</v>
      </c>
      <c r="B596" s="9" t="s">
        <v>3562</v>
      </c>
      <c r="C596" s="11" t="s">
        <v>3564</v>
      </c>
      <c r="D596" s="12" t="s">
        <v>3566</v>
      </c>
      <c r="E596" s="9" t="s">
        <v>3693</v>
      </c>
      <c r="F596" s="9" t="s">
        <v>3690</v>
      </c>
      <c r="G596" s="11" t="s">
        <v>3691</v>
      </c>
      <c r="H596" s="12" t="s">
        <v>3692</v>
      </c>
      <c r="I596" s="9"/>
      <c r="J596" s="11"/>
      <c r="K596" s="9"/>
      <c r="L596" s="9" t="s">
        <v>4730</v>
      </c>
      <c r="M596" s="9" t="s">
        <v>3583</v>
      </c>
      <c r="N596" s="11" t="s">
        <v>3585</v>
      </c>
      <c r="O596" s="12" t="s">
        <v>3587</v>
      </c>
      <c r="P596" s="13" t="n">
        <v>40</v>
      </c>
      <c r="Q596" s="13" t="n">
        <v>25</v>
      </c>
      <c r="R596" s="13" t="n">
        <v>15</v>
      </c>
      <c r="S596" s="13" t="n">
        <v>3</v>
      </c>
      <c r="T596" s="9" t="s">
        <v>4615</v>
      </c>
      <c r="U596" s="9"/>
      <c r="V596" s="9" t="s">
        <v>4570</v>
      </c>
      <c r="W596" s="9"/>
      <c r="X596" s="11"/>
      <c r="Y596" s="12" t="s">
        <v>4940</v>
      </c>
    </row>
    <row r="597" customFormat="false" ht="15" hidden="false" customHeight="false" outlineLevel="0" collapsed="false">
      <c r="A597" s="9" t="s">
        <v>3702</v>
      </c>
      <c r="B597" s="9" t="s">
        <v>2106</v>
      </c>
      <c r="C597" s="11" t="s">
        <v>3699</v>
      </c>
      <c r="D597" s="12" t="s">
        <v>2110</v>
      </c>
      <c r="E597" s="9" t="s">
        <v>3703</v>
      </c>
      <c r="F597" s="9" t="s">
        <v>3698</v>
      </c>
      <c r="G597" s="11" t="s">
        <v>3700</v>
      </c>
      <c r="H597" s="12" t="s">
        <v>3701</v>
      </c>
      <c r="I597" s="9"/>
      <c r="J597" s="11"/>
      <c r="K597" s="9"/>
      <c r="L597" s="9" t="s">
        <v>68</v>
      </c>
      <c r="M597" s="9" t="s">
        <v>2106</v>
      </c>
      <c r="N597" s="11" t="s">
        <v>2108</v>
      </c>
      <c r="O597" s="12" t="s">
        <v>2110</v>
      </c>
      <c r="P597" s="13" t="n">
        <v>120</v>
      </c>
      <c r="Q597" s="13" t="n">
        <v>50</v>
      </c>
      <c r="R597" s="13" t="n">
        <v>15</v>
      </c>
      <c r="S597" s="13" t="n">
        <v>10</v>
      </c>
      <c r="T597" s="9" t="s">
        <v>4615</v>
      </c>
      <c r="U597" s="9"/>
      <c r="V597" s="9" t="s">
        <v>4565</v>
      </c>
      <c r="W597" s="9"/>
      <c r="X597" s="11"/>
      <c r="Y597" s="9"/>
    </row>
    <row r="598" customFormat="false" ht="15" hidden="false" customHeight="false" outlineLevel="0" collapsed="false">
      <c r="A598" s="9" t="s">
        <v>3702</v>
      </c>
      <c r="B598" s="9" t="s">
        <v>2106</v>
      </c>
      <c r="C598" s="11" t="s">
        <v>3699</v>
      </c>
      <c r="D598" s="12" t="s">
        <v>2110</v>
      </c>
      <c r="E598" s="9" t="s">
        <v>3708</v>
      </c>
      <c r="F598" s="9" t="s">
        <v>3705</v>
      </c>
      <c r="G598" s="11" t="s">
        <v>3706</v>
      </c>
      <c r="H598" s="12" t="s">
        <v>3707</v>
      </c>
      <c r="I598" s="9"/>
      <c r="J598" s="11"/>
      <c r="K598" s="9"/>
      <c r="L598" s="9" t="s">
        <v>68</v>
      </c>
      <c r="M598" s="9" t="s">
        <v>3705</v>
      </c>
      <c r="N598" s="11" t="s">
        <v>3706</v>
      </c>
      <c r="O598" s="12" t="s">
        <v>3707</v>
      </c>
      <c r="P598" s="13" t="n">
        <v>120</v>
      </c>
      <c r="Q598" s="13" t="n">
        <v>100</v>
      </c>
      <c r="R598" s="13" t="n">
        <v>20</v>
      </c>
      <c r="S598" s="13" t="n">
        <v>18</v>
      </c>
      <c r="T598" s="9" t="s">
        <v>4615</v>
      </c>
      <c r="U598" s="9"/>
      <c r="V598" s="9" t="s">
        <v>4565</v>
      </c>
      <c r="W598" s="9" t="s">
        <v>4941</v>
      </c>
      <c r="X598" s="11" t="s">
        <v>4942</v>
      </c>
      <c r="Y598" s="9"/>
    </row>
    <row r="599" customFormat="false" ht="15" hidden="false" customHeight="false" outlineLevel="0" collapsed="false">
      <c r="A599" s="9" t="s">
        <v>3702</v>
      </c>
      <c r="B599" s="9" t="s">
        <v>2106</v>
      </c>
      <c r="C599" s="11" t="s">
        <v>3699</v>
      </c>
      <c r="D599" s="12" t="s">
        <v>2110</v>
      </c>
      <c r="E599" s="9" t="s">
        <v>3713</v>
      </c>
      <c r="F599" s="9" t="s">
        <v>3710</v>
      </c>
      <c r="G599" s="11" t="s">
        <v>3711</v>
      </c>
      <c r="H599" s="12" t="s">
        <v>3712</v>
      </c>
      <c r="I599" s="9"/>
      <c r="J599" s="11"/>
      <c r="K599" s="9"/>
      <c r="L599" s="9" t="s">
        <v>4604</v>
      </c>
      <c r="M599" s="9" t="s">
        <v>2106</v>
      </c>
      <c r="N599" s="11" t="s">
        <v>2108</v>
      </c>
      <c r="O599" s="12" t="s">
        <v>2110</v>
      </c>
      <c r="P599" s="13" t="n">
        <v>15</v>
      </c>
      <c r="Q599" s="13" t="n">
        <v>10</v>
      </c>
      <c r="R599" s="13" t="n">
        <v>8</v>
      </c>
      <c r="S599" s="13" t="n">
        <v>0.3</v>
      </c>
      <c r="T599" s="9" t="s">
        <v>4615</v>
      </c>
      <c r="U599" s="9"/>
      <c r="V599" s="9" t="s">
        <v>4571</v>
      </c>
      <c r="W599" s="9"/>
      <c r="X599" s="11"/>
      <c r="Y599" s="9"/>
    </row>
    <row r="600" customFormat="false" ht="15" hidden="false" customHeight="false" outlineLevel="0" collapsed="false">
      <c r="A600" s="9" t="s">
        <v>3702</v>
      </c>
      <c r="B600" s="9" t="s">
        <v>2106</v>
      </c>
      <c r="C600" s="11" t="s">
        <v>3699</v>
      </c>
      <c r="D600" s="12" t="s">
        <v>2110</v>
      </c>
      <c r="E600" s="9" t="s">
        <v>3719</v>
      </c>
      <c r="F600" s="9" t="s">
        <v>3716</v>
      </c>
      <c r="G600" s="11" t="s">
        <v>3717</v>
      </c>
      <c r="H600" s="12" t="s">
        <v>3718</v>
      </c>
      <c r="I600" s="9"/>
      <c r="J600" s="11"/>
      <c r="K600" s="9"/>
      <c r="L600" s="9" t="s">
        <v>4604</v>
      </c>
      <c r="M600" s="9" t="s">
        <v>2106</v>
      </c>
      <c r="N600" s="11" t="s">
        <v>2108</v>
      </c>
      <c r="O600" s="12" t="s">
        <v>2110</v>
      </c>
      <c r="P600" s="13" t="n">
        <v>25</v>
      </c>
      <c r="Q600" s="13" t="n">
        <v>15</v>
      </c>
      <c r="R600" s="13" t="n">
        <v>10</v>
      </c>
      <c r="S600" s="13" t="n">
        <v>0.9</v>
      </c>
      <c r="T600" s="9" t="s">
        <v>4615</v>
      </c>
      <c r="U600" s="9"/>
      <c r="V600" s="9" t="s">
        <v>4568</v>
      </c>
      <c r="W600" s="9" t="s">
        <v>4943</v>
      </c>
      <c r="X600" s="11" t="s">
        <v>4927</v>
      </c>
      <c r="Y600" s="9"/>
    </row>
    <row r="601" customFormat="false" ht="15" hidden="false" customHeight="false" outlineLevel="0" collapsed="false">
      <c r="A601" s="9" t="s">
        <v>3702</v>
      </c>
      <c r="B601" s="9" t="s">
        <v>2106</v>
      </c>
      <c r="C601" s="11" t="s">
        <v>3699</v>
      </c>
      <c r="D601" s="12" t="s">
        <v>2110</v>
      </c>
      <c r="E601" s="9" t="s">
        <v>3725</v>
      </c>
      <c r="F601" s="9" t="s">
        <v>3722</v>
      </c>
      <c r="G601" s="11" t="s">
        <v>3723</v>
      </c>
      <c r="H601" s="12" t="s">
        <v>3724</v>
      </c>
      <c r="I601" s="9"/>
      <c r="J601" s="11"/>
      <c r="K601" s="9"/>
      <c r="L601" s="9" t="s">
        <v>4604</v>
      </c>
      <c r="M601" s="9" t="s">
        <v>3705</v>
      </c>
      <c r="N601" s="11" t="s">
        <v>3706</v>
      </c>
      <c r="O601" s="12" t="s">
        <v>3707</v>
      </c>
      <c r="P601" s="13" t="n">
        <v>25</v>
      </c>
      <c r="Q601" s="13" t="n">
        <v>15</v>
      </c>
      <c r="R601" s="13" t="n">
        <v>10</v>
      </c>
      <c r="S601" s="13" t="n">
        <v>0.9</v>
      </c>
      <c r="T601" s="9" t="s">
        <v>4615</v>
      </c>
      <c r="U601" s="9"/>
      <c r="V601" s="9" t="s">
        <v>4568</v>
      </c>
      <c r="W601" s="9"/>
      <c r="X601" s="11" t="s">
        <v>4927</v>
      </c>
      <c r="Y601" s="9"/>
    </row>
    <row r="602" customFormat="false" ht="15" hidden="false" customHeight="false" outlineLevel="0" collapsed="false">
      <c r="A602" s="9" t="s">
        <v>3702</v>
      </c>
      <c r="B602" s="9" t="s">
        <v>2106</v>
      </c>
      <c r="C602" s="11" t="s">
        <v>3699</v>
      </c>
      <c r="D602" s="12" t="s">
        <v>2110</v>
      </c>
      <c r="E602" s="9" t="s">
        <v>3731</v>
      </c>
      <c r="F602" s="9" t="s">
        <v>3728</v>
      </c>
      <c r="G602" s="11" t="s">
        <v>3729</v>
      </c>
      <c r="H602" s="12" t="s">
        <v>3730</v>
      </c>
      <c r="I602" s="9"/>
      <c r="J602" s="11"/>
      <c r="K602" s="9"/>
      <c r="L602" s="9" t="s">
        <v>68</v>
      </c>
      <c r="M602" s="9" t="s">
        <v>2106</v>
      </c>
      <c r="N602" s="11" t="s">
        <v>2108</v>
      </c>
      <c r="O602" s="12" t="s">
        <v>2110</v>
      </c>
      <c r="P602" s="13" t="n">
        <v>15</v>
      </c>
      <c r="Q602" s="13" t="n">
        <v>10</v>
      </c>
      <c r="R602" s="13" t="n">
        <v>8</v>
      </c>
      <c r="S602" s="13" t="n">
        <v>0.3</v>
      </c>
      <c r="T602" s="9" t="s">
        <v>4615</v>
      </c>
      <c r="U602" s="9"/>
      <c r="V602" s="9" t="s">
        <v>4571</v>
      </c>
      <c r="W602" s="9"/>
      <c r="X602" s="11"/>
      <c r="Y602" s="9"/>
    </row>
    <row r="603" customFormat="false" ht="15" hidden="false" customHeight="false" outlineLevel="0" collapsed="false">
      <c r="A603" s="9" t="s">
        <v>3702</v>
      </c>
      <c r="B603" s="9" t="s">
        <v>2106</v>
      </c>
      <c r="C603" s="11" t="s">
        <v>3699</v>
      </c>
      <c r="D603" s="12" t="s">
        <v>2110</v>
      </c>
      <c r="E603" s="9" t="s">
        <v>3736</v>
      </c>
      <c r="F603" s="9" t="s">
        <v>3733</v>
      </c>
      <c r="G603" s="11" t="s">
        <v>3734</v>
      </c>
      <c r="H603" s="12" t="s">
        <v>3735</v>
      </c>
      <c r="I603" s="9"/>
      <c r="J603" s="11"/>
      <c r="K603" s="9"/>
      <c r="L603" s="9" t="s">
        <v>68</v>
      </c>
      <c r="M603" s="9" t="s">
        <v>2106</v>
      </c>
      <c r="N603" s="11" t="s">
        <v>2108</v>
      </c>
      <c r="O603" s="12" t="s">
        <v>2110</v>
      </c>
      <c r="P603" s="13" t="n">
        <v>120</v>
      </c>
      <c r="Q603" s="13" t="n">
        <v>25</v>
      </c>
      <c r="R603" s="13" t="n">
        <v>12</v>
      </c>
      <c r="S603" s="13" t="n">
        <v>3</v>
      </c>
      <c r="T603" s="9" t="s">
        <v>4615</v>
      </c>
      <c r="U603" s="9"/>
      <c r="V603" s="9" t="s">
        <v>4565</v>
      </c>
      <c r="W603" s="9"/>
      <c r="X603" s="11" t="s">
        <v>4944</v>
      </c>
      <c r="Y603" s="9"/>
    </row>
    <row r="604" customFormat="false" ht="15" hidden="false" customHeight="false" outlineLevel="0" collapsed="false">
      <c r="A604" s="9" t="s">
        <v>3702</v>
      </c>
      <c r="B604" s="9" t="s">
        <v>2106</v>
      </c>
      <c r="C604" s="11" t="s">
        <v>3699</v>
      </c>
      <c r="D604" s="12" t="s">
        <v>2110</v>
      </c>
      <c r="E604" s="9" t="s">
        <v>3741</v>
      </c>
      <c r="F604" s="9" t="s">
        <v>3738</v>
      </c>
      <c r="G604" s="11" t="s">
        <v>3739</v>
      </c>
      <c r="H604" s="12" t="s">
        <v>3740</v>
      </c>
      <c r="I604" s="9"/>
      <c r="J604" s="11"/>
      <c r="K604" s="9"/>
      <c r="L604" s="9" t="s">
        <v>68</v>
      </c>
      <c r="M604" s="9" t="s">
        <v>2106</v>
      </c>
      <c r="N604" s="11" t="s">
        <v>2108</v>
      </c>
      <c r="O604" s="12" t="s">
        <v>2110</v>
      </c>
      <c r="P604" s="13" t="n">
        <v>40</v>
      </c>
      <c r="Q604" s="13" t="n">
        <v>30</v>
      </c>
      <c r="R604" s="13" t="n">
        <v>8</v>
      </c>
      <c r="S604" s="13" t="n">
        <v>1.8</v>
      </c>
      <c r="T604" s="9" t="s">
        <v>4615</v>
      </c>
      <c r="U604" s="9"/>
      <c r="V604" s="9" t="s">
        <v>4565</v>
      </c>
      <c r="W604" s="9"/>
      <c r="X604" s="11"/>
      <c r="Y604" s="9"/>
    </row>
    <row r="605" customFormat="false" ht="15" hidden="false" customHeight="false" outlineLevel="0" collapsed="false">
      <c r="A605" s="9" t="s">
        <v>3702</v>
      </c>
      <c r="B605" s="9" t="s">
        <v>2106</v>
      </c>
      <c r="C605" s="11" t="s">
        <v>3699</v>
      </c>
      <c r="D605" s="12" t="s">
        <v>2110</v>
      </c>
      <c r="E605" s="9" t="s">
        <v>3746</v>
      </c>
      <c r="F605" s="9" t="s">
        <v>3743</v>
      </c>
      <c r="G605" s="11" t="s">
        <v>3744</v>
      </c>
      <c r="H605" s="12" t="s">
        <v>3745</v>
      </c>
      <c r="I605" s="9"/>
      <c r="J605" s="11"/>
      <c r="K605" s="9"/>
      <c r="L605" s="9" t="s">
        <v>168</v>
      </c>
      <c r="M605" s="9" t="s">
        <v>2260</v>
      </c>
      <c r="N605" s="11" t="s">
        <v>2262</v>
      </c>
      <c r="O605" s="12" t="s">
        <v>2264</v>
      </c>
      <c r="P605" s="13" t="n">
        <v>50</v>
      </c>
      <c r="Q605" s="13" t="n">
        <v>30</v>
      </c>
      <c r="R605" s="13" t="n">
        <v>20</v>
      </c>
      <c r="S605" s="13" t="n">
        <v>5</v>
      </c>
      <c r="T605" s="9" t="s">
        <v>4615</v>
      </c>
      <c r="U605" s="9"/>
      <c r="V605" s="9" t="s">
        <v>4589</v>
      </c>
      <c r="W605" s="9" t="s">
        <v>4945</v>
      </c>
      <c r="X605" s="11"/>
      <c r="Y605" s="9"/>
    </row>
    <row r="606" customFormat="false" ht="15" hidden="false" customHeight="false" outlineLevel="0" collapsed="false">
      <c r="A606" s="9" t="s">
        <v>3702</v>
      </c>
      <c r="B606" s="9" t="s">
        <v>2106</v>
      </c>
      <c r="C606" s="11" t="s">
        <v>3699</v>
      </c>
      <c r="D606" s="12" t="s">
        <v>2110</v>
      </c>
      <c r="E606" s="9" t="s">
        <v>3751</v>
      </c>
      <c r="F606" s="9" t="s">
        <v>3748</v>
      </c>
      <c r="G606" s="11" t="s">
        <v>3749</v>
      </c>
      <c r="H606" s="12" t="s">
        <v>3750</v>
      </c>
      <c r="I606" s="9"/>
      <c r="J606" s="11"/>
      <c r="K606" s="9"/>
      <c r="L606" s="9" t="s">
        <v>68</v>
      </c>
      <c r="M606" s="9" t="s">
        <v>2106</v>
      </c>
      <c r="N606" s="11" t="s">
        <v>2108</v>
      </c>
      <c r="O606" s="12" t="s">
        <v>2110</v>
      </c>
      <c r="P606" s="13" t="n">
        <v>40</v>
      </c>
      <c r="Q606" s="13" t="n">
        <v>25</v>
      </c>
      <c r="R606" s="13" t="n">
        <v>15</v>
      </c>
      <c r="S606" s="13" t="n">
        <v>3</v>
      </c>
      <c r="T606" s="9" t="s">
        <v>4615</v>
      </c>
      <c r="U606" s="9"/>
      <c r="V606" s="9" t="s">
        <v>4570</v>
      </c>
      <c r="W606" s="9"/>
      <c r="X606" s="11"/>
      <c r="Y606" s="9"/>
    </row>
    <row r="607" customFormat="false" ht="15" hidden="false" customHeight="false" outlineLevel="0" collapsed="false">
      <c r="A607" s="9" t="s">
        <v>3702</v>
      </c>
      <c r="B607" s="9" t="s">
        <v>2106</v>
      </c>
      <c r="C607" s="11" t="s">
        <v>3699</v>
      </c>
      <c r="D607" s="12" t="s">
        <v>2110</v>
      </c>
      <c r="E607" s="9" t="s">
        <v>3756</v>
      </c>
      <c r="F607" s="9" t="s">
        <v>3753</v>
      </c>
      <c r="G607" s="11" t="s">
        <v>3754</v>
      </c>
      <c r="H607" s="12" t="s">
        <v>3755</v>
      </c>
      <c r="I607" s="9"/>
      <c r="J607" s="11"/>
      <c r="K607" s="9"/>
      <c r="L607" s="9" t="s">
        <v>4604</v>
      </c>
      <c r="M607" s="9" t="s">
        <v>2106</v>
      </c>
      <c r="N607" s="11" t="s">
        <v>2108</v>
      </c>
      <c r="O607" s="12" t="s">
        <v>2110</v>
      </c>
      <c r="P607" s="13" t="n">
        <v>40</v>
      </c>
      <c r="Q607" s="13" t="n">
        <v>25</v>
      </c>
      <c r="R607" s="13" t="n">
        <v>15</v>
      </c>
      <c r="S607" s="13" t="n">
        <v>3</v>
      </c>
      <c r="T607" s="9" t="s">
        <v>4615</v>
      </c>
      <c r="U607" s="9"/>
      <c r="V607" s="9" t="s">
        <v>4570</v>
      </c>
      <c r="W607" s="9"/>
      <c r="X607" s="11"/>
      <c r="Y607" s="9"/>
    </row>
    <row r="608" customFormat="false" ht="15" hidden="false" customHeight="false" outlineLevel="0" collapsed="false">
      <c r="A608" s="9" t="s">
        <v>3702</v>
      </c>
      <c r="B608" s="9" t="s">
        <v>2106</v>
      </c>
      <c r="C608" s="11" t="s">
        <v>3699</v>
      </c>
      <c r="D608" s="12" t="s">
        <v>2110</v>
      </c>
      <c r="E608" s="9" t="s">
        <v>3765</v>
      </c>
      <c r="F608" s="9" t="s">
        <v>3759</v>
      </c>
      <c r="G608" s="11" t="s">
        <v>3761</v>
      </c>
      <c r="H608" s="12" t="s">
        <v>3763</v>
      </c>
      <c r="I608" s="9"/>
      <c r="J608" s="11"/>
      <c r="K608" s="9"/>
      <c r="L608" s="9" t="s">
        <v>68</v>
      </c>
      <c r="M608" s="9" t="s">
        <v>3760</v>
      </c>
      <c r="N608" s="11" t="s">
        <v>3762</v>
      </c>
      <c r="O608" s="12" t="s">
        <v>3764</v>
      </c>
      <c r="P608" s="13" t="n">
        <v>50</v>
      </c>
      <c r="Q608" s="13" t="n">
        <v>30</v>
      </c>
      <c r="R608" s="13" t="n">
        <v>20</v>
      </c>
      <c r="S608" s="13" t="n">
        <v>5</v>
      </c>
      <c r="T608" s="9" t="s">
        <v>4615</v>
      </c>
      <c r="U608" s="9"/>
      <c r="V608" s="9" t="s">
        <v>4589</v>
      </c>
      <c r="W608" s="9"/>
      <c r="X608" s="11"/>
      <c r="Y608" s="9"/>
    </row>
    <row r="609" customFormat="false" ht="15" hidden="false" customHeight="false" outlineLevel="0" collapsed="false">
      <c r="A609" s="9" t="s">
        <v>3702</v>
      </c>
      <c r="B609" s="9" t="s">
        <v>2106</v>
      </c>
      <c r="C609" s="11" t="s">
        <v>3699</v>
      </c>
      <c r="D609" s="12" t="s">
        <v>2110</v>
      </c>
      <c r="E609" s="9" t="s">
        <v>3770</v>
      </c>
      <c r="F609" s="9" t="s">
        <v>3767</v>
      </c>
      <c r="G609" s="11" t="s">
        <v>3768</v>
      </c>
      <c r="H609" s="12" t="s">
        <v>3769</v>
      </c>
      <c r="I609" s="9"/>
      <c r="J609" s="11"/>
      <c r="K609" s="9"/>
      <c r="L609" s="9" t="s">
        <v>68</v>
      </c>
      <c r="M609" s="9" t="s">
        <v>3760</v>
      </c>
      <c r="N609" s="11" t="s">
        <v>3762</v>
      </c>
      <c r="O609" s="12" t="s">
        <v>3764</v>
      </c>
      <c r="P609" s="13" t="n">
        <v>15</v>
      </c>
      <c r="Q609" s="13" t="n">
        <v>10</v>
      </c>
      <c r="R609" s="13" t="n">
        <v>8</v>
      </c>
      <c r="S609" s="13" t="n">
        <v>0.3</v>
      </c>
      <c r="T609" s="9" t="s">
        <v>4615</v>
      </c>
      <c r="U609" s="9"/>
      <c r="V609" s="9" t="s">
        <v>4571</v>
      </c>
      <c r="W609" s="9"/>
      <c r="X609" s="11"/>
      <c r="Y609" s="9"/>
    </row>
    <row r="610" customFormat="false" ht="15" hidden="false" customHeight="false" outlineLevel="0" collapsed="false">
      <c r="A610" s="9" t="s">
        <v>3778</v>
      </c>
      <c r="B610" s="9" t="s">
        <v>3772</v>
      </c>
      <c r="C610" s="11" t="s">
        <v>3774</v>
      </c>
      <c r="D610" s="12" t="s">
        <v>3776</v>
      </c>
      <c r="E610" s="9" t="s">
        <v>3779</v>
      </c>
      <c r="F610" s="9" t="s">
        <v>3773</v>
      </c>
      <c r="G610" s="11" t="s">
        <v>3775</v>
      </c>
      <c r="H610" s="12" t="s">
        <v>3777</v>
      </c>
      <c r="I610" s="9"/>
      <c r="J610" s="11"/>
      <c r="K610" s="9"/>
      <c r="L610" s="9" t="s">
        <v>68</v>
      </c>
      <c r="M610" s="9" t="s">
        <v>3772</v>
      </c>
      <c r="N610" s="11" t="s">
        <v>3774</v>
      </c>
      <c r="O610" s="12" t="s">
        <v>3776</v>
      </c>
      <c r="P610" s="13" t="n">
        <v>150</v>
      </c>
      <c r="Q610" s="13" t="n">
        <v>110</v>
      </c>
      <c r="R610" s="13" t="n">
        <v>15</v>
      </c>
      <c r="S610" s="13" t="n">
        <v>16</v>
      </c>
      <c r="T610" s="9" t="s">
        <v>4615</v>
      </c>
      <c r="U610" s="9" t="s">
        <v>4719</v>
      </c>
      <c r="V610" s="9" t="s">
        <v>4565</v>
      </c>
      <c r="W610" s="9"/>
      <c r="X610" s="11"/>
      <c r="Y610" s="9"/>
    </row>
    <row r="611" customFormat="false" ht="15" hidden="false" customHeight="false" outlineLevel="0" collapsed="false">
      <c r="A611" s="9" t="s">
        <v>3778</v>
      </c>
      <c r="B611" s="9" t="s">
        <v>3772</v>
      </c>
      <c r="C611" s="11" t="s">
        <v>3774</v>
      </c>
      <c r="D611" s="12" t="s">
        <v>3776</v>
      </c>
      <c r="E611" s="9" t="s">
        <v>3784</v>
      </c>
      <c r="F611" s="9" t="s">
        <v>3781</v>
      </c>
      <c r="G611" s="11" t="s">
        <v>3782</v>
      </c>
      <c r="H611" s="12" t="s">
        <v>3783</v>
      </c>
      <c r="I611" s="9"/>
      <c r="J611" s="11"/>
      <c r="K611" s="9"/>
      <c r="L611" s="9" t="s">
        <v>4604</v>
      </c>
      <c r="M611" s="9" t="s">
        <v>3364</v>
      </c>
      <c r="N611" s="11" t="s">
        <v>3366</v>
      </c>
      <c r="O611" s="12" t="s">
        <v>3368</v>
      </c>
      <c r="P611" s="13" t="n">
        <v>130</v>
      </c>
      <c r="Q611" s="13" t="n">
        <v>8</v>
      </c>
      <c r="R611" s="13" t="n">
        <v>8</v>
      </c>
      <c r="S611" s="13" t="n">
        <v>2.5</v>
      </c>
      <c r="T611" s="9" t="s">
        <v>4615</v>
      </c>
      <c r="U611" s="9" t="s">
        <v>4719</v>
      </c>
      <c r="V611" s="9" t="s">
        <v>4565</v>
      </c>
      <c r="W611" s="9"/>
      <c r="X611" s="11"/>
      <c r="Y611" s="9"/>
    </row>
    <row r="612" customFormat="false" ht="15" hidden="false" customHeight="false" outlineLevel="0" collapsed="false">
      <c r="A612" s="9" t="s">
        <v>3778</v>
      </c>
      <c r="B612" s="9" t="s">
        <v>3772</v>
      </c>
      <c r="C612" s="11" t="s">
        <v>3774</v>
      </c>
      <c r="D612" s="12" t="s">
        <v>3776</v>
      </c>
      <c r="E612" s="9" t="s">
        <v>3790</v>
      </c>
      <c r="F612" s="9" t="s">
        <v>3787</v>
      </c>
      <c r="G612" s="11" t="s">
        <v>3788</v>
      </c>
      <c r="H612" s="12" t="s">
        <v>3789</v>
      </c>
      <c r="I612" s="9"/>
      <c r="J612" s="11"/>
      <c r="K612" s="9"/>
      <c r="L612" s="9" t="s">
        <v>4604</v>
      </c>
      <c r="M612" s="9" t="s">
        <v>3364</v>
      </c>
      <c r="N612" s="11" t="s">
        <v>3366</v>
      </c>
      <c r="O612" s="12" t="s">
        <v>3368</v>
      </c>
      <c r="P612" s="13" t="n">
        <v>40</v>
      </c>
      <c r="Q612" s="13" t="n">
        <v>25</v>
      </c>
      <c r="R612" s="13" t="n">
        <v>15</v>
      </c>
      <c r="S612" s="13" t="n">
        <v>3</v>
      </c>
      <c r="T612" s="9" t="s">
        <v>4615</v>
      </c>
      <c r="U612" s="9"/>
      <c r="V612" s="9" t="s">
        <v>4570</v>
      </c>
      <c r="W612" s="9"/>
      <c r="X612" s="11" t="s">
        <v>4946</v>
      </c>
      <c r="Y612" s="12" t="s">
        <v>4947</v>
      </c>
    </row>
    <row r="613" customFormat="false" ht="15" hidden="false" customHeight="false" outlineLevel="0" collapsed="false">
      <c r="A613" s="9" t="s">
        <v>3778</v>
      </c>
      <c r="B613" s="9" t="s">
        <v>3772</v>
      </c>
      <c r="C613" s="11" t="s">
        <v>3774</v>
      </c>
      <c r="D613" s="12" t="s">
        <v>3776</v>
      </c>
      <c r="E613" s="9" t="s">
        <v>3799</v>
      </c>
      <c r="F613" s="9" t="s">
        <v>3793</v>
      </c>
      <c r="G613" s="11" t="s">
        <v>3795</v>
      </c>
      <c r="H613" s="12" t="s">
        <v>3797</v>
      </c>
      <c r="I613" s="9"/>
      <c r="J613" s="11"/>
      <c r="K613" s="9"/>
      <c r="L613" s="9" t="s">
        <v>68</v>
      </c>
      <c r="M613" s="9" t="s">
        <v>3794</v>
      </c>
      <c r="N613" s="11" t="s">
        <v>3796</v>
      </c>
      <c r="O613" s="12" t="s">
        <v>3798</v>
      </c>
      <c r="P613" s="13" t="n">
        <v>110</v>
      </c>
      <c r="Q613" s="13" t="n">
        <v>90</v>
      </c>
      <c r="R613" s="13" t="n">
        <v>15</v>
      </c>
      <c r="S613" s="13" t="n">
        <v>22</v>
      </c>
      <c r="T613" s="9" t="s">
        <v>4615</v>
      </c>
      <c r="U613" s="9"/>
      <c r="V613" s="9" t="s">
        <v>4565</v>
      </c>
      <c r="W613" s="9"/>
      <c r="X613" s="11"/>
      <c r="Y613" s="9"/>
    </row>
    <row r="614" customFormat="false" ht="15" hidden="false" customHeight="false" outlineLevel="0" collapsed="false">
      <c r="A614" s="9" t="s">
        <v>3778</v>
      </c>
      <c r="B614" s="9" t="s">
        <v>3772</v>
      </c>
      <c r="C614" s="11" t="s">
        <v>3774</v>
      </c>
      <c r="D614" s="12" t="s">
        <v>3776</v>
      </c>
      <c r="E614" s="9" t="s">
        <v>3804</v>
      </c>
      <c r="F614" s="9" t="s">
        <v>3801</v>
      </c>
      <c r="G614" s="11" t="s">
        <v>3802</v>
      </c>
      <c r="H614" s="12" t="s">
        <v>3803</v>
      </c>
      <c r="I614" s="9"/>
      <c r="J614" s="11"/>
      <c r="K614" s="9"/>
      <c r="L614" s="9" t="s">
        <v>68</v>
      </c>
      <c r="M614" s="9" t="s">
        <v>3794</v>
      </c>
      <c r="N614" s="11" t="s">
        <v>3796</v>
      </c>
      <c r="O614" s="12" t="s">
        <v>3798</v>
      </c>
      <c r="P614" s="13" t="n">
        <v>25</v>
      </c>
      <c r="Q614" s="13" t="n">
        <v>15</v>
      </c>
      <c r="R614" s="13" t="n">
        <v>10</v>
      </c>
      <c r="S614" s="13" t="n">
        <v>0.9</v>
      </c>
      <c r="T614" s="9" t="s">
        <v>4615</v>
      </c>
      <c r="U614" s="9"/>
      <c r="V614" s="9" t="s">
        <v>4568</v>
      </c>
      <c r="W614" s="9"/>
      <c r="X614" s="11"/>
      <c r="Y614" s="9"/>
    </row>
    <row r="615" customFormat="false" ht="15" hidden="false" customHeight="false" outlineLevel="0" collapsed="false">
      <c r="A615" s="9" t="s">
        <v>3778</v>
      </c>
      <c r="B615" s="9" t="s">
        <v>3772</v>
      </c>
      <c r="C615" s="11" t="s">
        <v>3774</v>
      </c>
      <c r="D615" s="12" t="s">
        <v>3776</v>
      </c>
      <c r="E615" s="9" t="s">
        <v>3809</v>
      </c>
      <c r="F615" s="9" t="s">
        <v>3806</v>
      </c>
      <c r="G615" s="11" t="s">
        <v>3807</v>
      </c>
      <c r="H615" s="12" t="s">
        <v>3808</v>
      </c>
      <c r="I615" s="9"/>
      <c r="J615" s="11"/>
      <c r="K615" s="9"/>
      <c r="L615" s="9" t="s">
        <v>68</v>
      </c>
      <c r="M615" s="9" t="s">
        <v>3794</v>
      </c>
      <c r="N615" s="11" t="s">
        <v>3796</v>
      </c>
      <c r="O615" s="12" t="s">
        <v>3798</v>
      </c>
      <c r="P615" s="13" t="n">
        <v>100</v>
      </c>
      <c r="Q615" s="13" t="n">
        <v>80</v>
      </c>
      <c r="R615" s="13" t="n">
        <v>5</v>
      </c>
      <c r="S615" s="13" t="n">
        <v>10</v>
      </c>
      <c r="T615" s="9" t="s">
        <v>4615</v>
      </c>
      <c r="U615" s="9" t="s">
        <v>4852</v>
      </c>
      <c r="V615" s="9" t="s">
        <v>4565</v>
      </c>
      <c r="W615" s="9"/>
      <c r="X615" s="11"/>
      <c r="Y615" s="9"/>
    </row>
    <row r="616" customFormat="false" ht="15" hidden="false" customHeight="false" outlineLevel="0" collapsed="false">
      <c r="A616" s="9" t="s">
        <v>3817</v>
      </c>
      <c r="B616" s="9" t="s">
        <v>3811</v>
      </c>
      <c r="C616" s="11" t="s">
        <v>3813</v>
      </c>
      <c r="D616" s="12" t="s">
        <v>3815</v>
      </c>
      <c r="E616" s="9" t="s">
        <v>3818</v>
      </c>
      <c r="F616" s="9" t="s">
        <v>3812</v>
      </c>
      <c r="G616" s="11" t="s">
        <v>3814</v>
      </c>
      <c r="H616" s="12" t="s">
        <v>3816</v>
      </c>
      <c r="I616" s="9"/>
      <c r="J616" s="11"/>
      <c r="K616" s="9"/>
      <c r="L616" s="9" t="s">
        <v>68</v>
      </c>
      <c r="M616" s="9" t="s">
        <v>2106</v>
      </c>
      <c r="N616" s="11" t="s">
        <v>2108</v>
      </c>
      <c r="O616" s="12" t="s">
        <v>2110</v>
      </c>
      <c r="P616" s="13" t="n">
        <v>10</v>
      </c>
      <c r="Q616" s="13" t="n">
        <v>8</v>
      </c>
      <c r="R616" s="13" t="n">
        <v>6</v>
      </c>
      <c r="S616" s="13" t="n">
        <v>0.1</v>
      </c>
      <c r="T616" s="9" t="s">
        <v>4615</v>
      </c>
      <c r="U616" s="9"/>
      <c r="V616" s="9" t="s">
        <v>4572</v>
      </c>
      <c r="W616" s="9"/>
      <c r="X616" s="11"/>
      <c r="Y616" s="9"/>
    </row>
    <row r="617" customFormat="false" ht="15" hidden="false" customHeight="false" outlineLevel="0" collapsed="false">
      <c r="A617" s="9" t="s">
        <v>3817</v>
      </c>
      <c r="B617" s="9" t="s">
        <v>3811</v>
      </c>
      <c r="C617" s="11" t="s">
        <v>3813</v>
      </c>
      <c r="D617" s="12" t="s">
        <v>3815</v>
      </c>
      <c r="E617" s="9" t="s">
        <v>3823</v>
      </c>
      <c r="F617" s="9" t="s">
        <v>3820</v>
      </c>
      <c r="G617" s="11" t="s">
        <v>3821</v>
      </c>
      <c r="H617" s="12" t="s">
        <v>3822</v>
      </c>
      <c r="I617" s="9"/>
      <c r="J617" s="11"/>
      <c r="K617" s="9"/>
      <c r="L617" s="9" t="s">
        <v>68</v>
      </c>
      <c r="M617" s="9" t="s">
        <v>2106</v>
      </c>
      <c r="N617" s="11" t="s">
        <v>2108</v>
      </c>
      <c r="O617" s="12" t="s">
        <v>2110</v>
      </c>
      <c r="P617" s="13" t="n">
        <v>10</v>
      </c>
      <c r="Q617" s="13" t="n">
        <v>8</v>
      </c>
      <c r="R617" s="13" t="n">
        <v>6</v>
      </c>
      <c r="S617" s="13" t="n">
        <v>0.1</v>
      </c>
      <c r="T617" s="9" t="s">
        <v>4615</v>
      </c>
      <c r="U617" s="9"/>
      <c r="V617" s="9" t="s">
        <v>4572</v>
      </c>
      <c r="W617" s="9"/>
      <c r="X617" s="11"/>
      <c r="Y617" s="9"/>
    </row>
    <row r="618" customFormat="false" ht="15" hidden="false" customHeight="false" outlineLevel="0" collapsed="false">
      <c r="A618" s="9" t="s">
        <v>3817</v>
      </c>
      <c r="B618" s="9" t="s">
        <v>3811</v>
      </c>
      <c r="C618" s="11" t="s">
        <v>3813</v>
      </c>
      <c r="D618" s="12" t="s">
        <v>3815</v>
      </c>
      <c r="E618" s="9" t="s">
        <v>3828</v>
      </c>
      <c r="F618" s="9" t="s">
        <v>3825</v>
      </c>
      <c r="G618" s="11" t="s">
        <v>3826</v>
      </c>
      <c r="H618" s="12" t="s">
        <v>3827</v>
      </c>
      <c r="I618" s="9"/>
      <c r="J618" s="11"/>
      <c r="K618" s="9"/>
      <c r="L618" s="9" t="s">
        <v>68</v>
      </c>
      <c r="M618" s="9" t="s">
        <v>2839</v>
      </c>
      <c r="N618" s="11" t="s">
        <v>2841</v>
      </c>
      <c r="O618" s="12" t="s">
        <v>2843</v>
      </c>
      <c r="P618" s="13" t="n">
        <v>15</v>
      </c>
      <c r="Q618" s="13" t="n">
        <v>10</v>
      </c>
      <c r="R618" s="13" t="n">
        <v>8</v>
      </c>
      <c r="S618" s="13" t="n">
        <v>0.3</v>
      </c>
      <c r="T618" s="9" t="s">
        <v>4563</v>
      </c>
      <c r="U618" s="9"/>
      <c r="V618" s="9" t="s">
        <v>4571</v>
      </c>
      <c r="W618" s="9"/>
      <c r="X618" s="11"/>
      <c r="Y618" s="9"/>
    </row>
    <row r="619" customFormat="false" ht="15" hidden="false" customHeight="false" outlineLevel="0" collapsed="false">
      <c r="A619" s="9" t="s">
        <v>3817</v>
      </c>
      <c r="B619" s="9" t="s">
        <v>3811</v>
      </c>
      <c r="C619" s="11" t="s">
        <v>3813</v>
      </c>
      <c r="D619" s="12" t="s">
        <v>3815</v>
      </c>
      <c r="E619" s="9" t="s">
        <v>3833</v>
      </c>
      <c r="F619" s="9" t="s">
        <v>3830</v>
      </c>
      <c r="G619" s="11" t="s">
        <v>3831</v>
      </c>
      <c r="H619" s="12" t="s">
        <v>3832</v>
      </c>
      <c r="I619" s="9"/>
      <c r="J619" s="11"/>
      <c r="K619" s="9"/>
      <c r="L619" s="9" t="s">
        <v>68</v>
      </c>
      <c r="M619" s="9" t="s">
        <v>237</v>
      </c>
      <c r="N619" s="11" t="s">
        <v>239</v>
      </c>
      <c r="O619" s="12" t="s">
        <v>241</v>
      </c>
      <c r="P619" s="13" t="n">
        <v>70</v>
      </c>
      <c r="Q619" s="13" t="n">
        <v>40</v>
      </c>
      <c r="R619" s="13" t="n">
        <v>25</v>
      </c>
      <c r="S619" s="13" t="n">
        <v>9</v>
      </c>
      <c r="T619" s="9" t="s">
        <v>4615</v>
      </c>
      <c r="U619" s="9"/>
      <c r="V619" s="9" t="s">
        <v>4584</v>
      </c>
      <c r="W619" s="9"/>
      <c r="X619" s="11"/>
      <c r="Y619" s="9"/>
    </row>
    <row r="620" customFormat="false" ht="15" hidden="false" customHeight="false" outlineLevel="0" collapsed="false">
      <c r="A620" s="9" t="s">
        <v>3817</v>
      </c>
      <c r="B620" s="9" t="s">
        <v>3811</v>
      </c>
      <c r="C620" s="11" t="s">
        <v>3813</v>
      </c>
      <c r="D620" s="12" t="s">
        <v>3815</v>
      </c>
      <c r="E620" s="9" t="s">
        <v>3841</v>
      </c>
      <c r="F620" s="9" t="s">
        <v>3835</v>
      </c>
      <c r="G620" s="11" t="s">
        <v>3837</v>
      </c>
      <c r="H620" s="12" t="s">
        <v>3839</v>
      </c>
      <c r="I620" s="9"/>
      <c r="J620" s="11"/>
      <c r="K620" s="9"/>
      <c r="L620" s="9" t="s">
        <v>68</v>
      </c>
      <c r="M620" s="9" t="s">
        <v>3836</v>
      </c>
      <c r="N620" s="11" t="s">
        <v>3838</v>
      </c>
      <c r="O620" s="12" t="s">
        <v>3840</v>
      </c>
      <c r="P620" s="13" t="n">
        <v>50</v>
      </c>
      <c r="Q620" s="13" t="n">
        <v>30</v>
      </c>
      <c r="R620" s="13" t="n">
        <v>20</v>
      </c>
      <c r="S620" s="13" t="n">
        <v>5</v>
      </c>
      <c r="T620" s="9" t="s">
        <v>4615</v>
      </c>
      <c r="U620" s="9"/>
      <c r="V620" s="9" t="s">
        <v>4589</v>
      </c>
      <c r="W620" s="9"/>
      <c r="X620" s="11"/>
      <c r="Y620" s="9"/>
    </row>
    <row r="621" customFormat="false" ht="15" hidden="false" customHeight="false" outlineLevel="0" collapsed="false">
      <c r="A621" s="9" t="s">
        <v>3817</v>
      </c>
      <c r="B621" s="9" t="s">
        <v>3811</v>
      </c>
      <c r="C621" s="11" t="s">
        <v>3813</v>
      </c>
      <c r="D621" s="12" t="s">
        <v>3815</v>
      </c>
      <c r="E621" s="9" t="s">
        <v>3846</v>
      </c>
      <c r="F621" s="9" t="s">
        <v>3843</v>
      </c>
      <c r="G621" s="11" t="s">
        <v>3844</v>
      </c>
      <c r="H621" s="12" t="s">
        <v>3845</v>
      </c>
      <c r="I621" s="9"/>
      <c r="J621" s="11"/>
      <c r="K621" s="9"/>
      <c r="L621" s="9" t="s">
        <v>68</v>
      </c>
      <c r="M621" s="9" t="s">
        <v>2660</v>
      </c>
      <c r="N621" s="11" t="s">
        <v>2663</v>
      </c>
      <c r="O621" s="12" t="s">
        <v>2666</v>
      </c>
      <c r="P621" s="13" t="n">
        <v>30</v>
      </c>
      <c r="Q621" s="13" t="n">
        <v>20</v>
      </c>
      <c r="R621" s="13" t="n">
        <v>15</v>
      </c>
      <c r="S621" s="13" t="n">
        <v>1.8</v>
      </c>
      <c r="T621" s="9" t="s">
        <v>4615</v>
      </c>
      <c r="U621" s="9"/>
      <c r="V621" s="9" t="s">
        <v>4581</v>
      </c>
      <c r="W621" s="9"/>
      <c r="X621" s="11"/>
      <c r="Y621" s="9"/>
    </row>
    <row r="622" customFormat="false" ht="15" hidden="false" customHeight="false" outlineLevel="0" collapsed="false">
      <c r="A622" s="9" t="s">
        <v>3852</v>
      </c>
      <c r="B622" s="9" t="s">
        <v>3848</v>
      </c>
      <c r="C622" s="11" t="s">
        <v>3850</v>
      </c>
      <c r="D622" s="12" t="s">
        <v>3851</v>
      </c>
      <c r="E622" s="9" t="s">
        <v>3853</v>
      </c>
      <c r="F622" s="9" t="s">
        <v>3849</v>
      </c>
      <c r="G622" s="11" t="s">
        <v>2577</v>
      </c>
      <c r="H622" s="12" t="s">
        <v>2579</v>
      </c>
      <c r="I622" s="9"/>
      <c r="J622" s="11"/>
      <c r="K622" s="9"/>
      <c r="L622" s="9" t="s">
        <v>68</v>
      </c>
      <c r="M622" s="9" t="s">
        <v>2575</v>
      </c>
      <c r="N622" s="11" t="s">
        <v>2577</v>
      </c>
      <c r="O622" s="12" t="s">
        <v>2579</v>
      </c>
      <c r="P622" s="13" t="n">
        <v>150</v>
      </c>
      <c r="Q622" s="13" t="n">
        <v>90</v>
      </c>
      <c r="R622" s="13" t="n">
        <v>5</v>
      </c>
      <c r="S622" s="13" t="n">
        <v>14</v>
      </c>
      <c r="T622" s="9" t="s">
        <v>4615</v>
      </c>
      <c r="U622" s="9" t="s">
        <v>4948</v>
      </c>
      <c r="V622" s="9" t="s">
        <v>4565</v>
      </c>
      <c r="W622" s="9"/>
      <c r="X622" s="11" t="s">
        <v>4949</v>
      </c>
      <c r="Y622" s="9"/>
    </row>
    <row r="623" customFormat="false" ht="15" hidden="false" customHeight="false" outlineLevel="0" collapsed="false">
      <c r="A623" s="9" t="s">
        <v>3852</v>
      </c>
      <c r="B623" s="9" t="s">
        <v>3848</v>
      </c>
      <c r="C623" s="11" t="s">
        <v>3850</v>
      </c>
      <c r="D623" s="12" t="s">
        <v>3851</v>
      </c>
      <c r="E623" s="9" t="s">
        <v>3856</v>
      </c>
      <c r="F623" s="9" t="s">
        <v>3855</v>
      </c>
      <c r="G623" s="11" t="s">
        <v>2815</v>
      </c>
      <c r="H623" s="12" t="s">
        <v>2817</v>
      </c>
      <c r="I623" s="9"/>
      <c r="J623" s="11"/>
      <c r="K623" s="9"/>
      <c r="L623" s="9" t="s">
        <v>168</v>
      </c>
      <c r="M623" s="9" t="s">
        <v>2813</v>
      </c>
      <c r="N623" s="11" t="s">
        <v>2815</v>
      </c>
      <c r="O623" s="12" t="s">
        <v>2817</v>
      </c>
      <c r="P623" s="13" t="n">
        <v>130</v>
      </c>
      <c r="Q623" s="13" t="n">
        <v>60</v>
      </c>
      <c r="R623" s="13" t="n">
        <v>5</v>
      </c>
      <c r="S623" s="13" t="n">
        <v>10</v>
      </c>
      <c r="T623" s="9" t="s">
        <v>4615</v>
      </c>
      <c r="U623" s="9" t="s">
        <v>4948</v>
      </c>
      <c r="V623" s="9" t="s">
        <v>4565</v>
      </c>
      <c r="W623" s="9"/>
      <c r="X623" s="11"/>
      <c r="Y623" s="9"/>
    </row>
    <row r="624" customFormat="false" ht="15" hidden="false" customHeight="false" outlineLevel="0" collapsed="false">
      <c r="A624" s="9" t="s">
        <v>3852</v>
      </c>
      <c r="B624" s="9" t="s">
        <v>3848</v>
      </c>
      <c r="C624" s="11" t="s">
        <v>3850</v>
      </c>
      <c r="D624" s="12" t="s">
        <v>3851</v>
      </c>
      <c r="E624" s="9" t="s">
        <v>3864</v>
      </c>
      <c r="F624" s="9" t="s">
        <v>3858</v>
      </c>
      <c r="G624" s="11" t="s">
        <v>3860</v>
      </c>
      <c r="H624" s="12" t="s">
        <v>3862</v>
      </c>
      <c r="I624" s="9"/>
      <c r="J624" s="11"/>
      <c r="K624" s="9"/>
      <c r="L624" s="9" t="s">
        <v>4730</v>
      </c>
      <c r="M624" s="9" t="s">
        <v>3859</v>
      </c>
      <c r="N624" s="11" t="s">
        <v>3861</v>
      </c>
      <c r="O624" s="12" t="s">
        <v>3863</v>
      </c>
      <c r="P624" s="13" t="n">
        <v>90</v>
      </c>
      <c r="Q624" s="13" t="n">
        <v>50</v>
      </c>
      <c r="R624" s="13" t="n">
        <v>4</v>
      </c>
      <c r="S624" s="13" t="n">
        <v>6</v>
      </c>
      <c r="T624" s="9" t="s">
        <v>4615</v>
      </c>
      <c r="U624" s="9" t="s">
        <v>4852</v>
      </c>
      <c r="V624" s="9" t="s">
        <v>4565</v>
      </c>
      <c r="W624" s="9"/>
      <c r="X624" s="11"/>
      <c r="Y624" s="9"/>
    </row>
    <row r="625" customFormat="false" ht="15" hidden="false" customHeight="false" outlineLevel="0" collapsed="false">
      <c r="A625" s="9" t="s">
        <v>3852</v>
      </c>
      <c r="B625" s="9" t="s">
        <v>3848</v>
      </c>
      <c r="C625" s="11" t="s">
        <v>3850</v>
      </c>
      <c r="D625" s="12" t="s">
        <v>3851</v>
      </c>
      <c r="E625" s="9" t="s">
        <v>3872</v>
      </c>
      <c r="F625" s="9" t="s">
        <v>3869</v>
      </c>
      <c r="G625" s="11" t="s">
        <v>3870</v>
      </c>
      <c r="H625" s="12" t="s">
        <v>3871</v>
      </c>
      <c r="I625" s="9"/>
      <c r="J625" s="11"/>
      <c r="K625" s="9"/>
      <c r="L625" s="9" t="s">
        <v>4604</v>
      </c>
      <c r="M625" s="9" t="s">
        <v>3859</v>
      </c>
      <c r="N625" s="11" t="s">
        <v>3861</v>
      </c>
      <c r="O625" s="12" t="s">
        <v>3863</v>
      </c>
      <c r="P625" s="13" t="n">
        <v>60</v>
      </c>
      <c r="Q625" s="13" t="n">
        <v>40</v>
      </c>
      <c r="R625" s="13" t="n">
        <v>4</v>
      </c>
      <c r="S625" s="13" t="n">
        <v>2.5</v>
      </c>
      <c r="T625" s="9" t="s">
        <v>4615</v>
      </c>
      <c r="U625" s="9" t="s">
        <v>4852</v>
      </c>
      <c r="V625" s="9" t="s">
        <v>4565</v>
      </c>
      <c r="W625" s="9"/>
      <c r="X625" s="11" t="s">
        <v>4935</v>
      </c>
      <c r="Y625" s="9"/>
    </row>
    <row r="626" customFormat="false" ht="15" hidden="false" customHeight="false" outlineLevel="0" collapsed="false">
      <c r="A626" s="9" t="s">
        <v>3852</v>
      </c>
      <c r="B626" s="9" t="s">
        <v>3848</v>
      </c>
      <c r="C626" s="11" t="s">
        <v>3850</v>
      </c>
      <c r="D626" s="12" t="s">
        <v>3851</v>
      </c>
      <c r="E626" s="9" t="s">
        <v>3878</v>
      </c>
      <c r="F626" s="9" t="s">
        <v>3875</v>
      </c>
      <c r="G626" s="11" t="s">
        <v>3876</v>
      </c>
      <c r="H626" s="12" t="s">
        <v>3877</v>
      </c>
      <c r="I626" s="9"/>
      <c r="J626" s="11"/>
      <c r="K626" s="9"/>
      <c r="L626" s="9" t="s">
        <v>4730</v>
      </c>
      <c r="M626" s="9" t="s">
        <v>2405</v>
      </c>
      <c r="N626" s="11" t="s">
        <v>2408</v>
      </c>
      <c r="O626" s="12" t="s">
        <v>2411</v>
      </c>
      <c r="P626" s="13" t="n">
        <v>30</v>
      </c>
      <c r="Q626" s="13" t="n">
        <v>20</v>
      </c>
      <c r="R626" s="13" t="n">
        <v>15</v>
      </c>
      <c r="S626" s="13" t="n">
        <v>1.8</v>
      </c>
      <c r="T626" s="9" t="s">
        <v>4615</v>
      </c>
      <c r="U626" s="9"/>
      <c r="V626" s="9" t="s">
        <v>4581</v>
      </c>
      <c r="W626" s="9"/>
      <c r="X626" s="11" t="s">
        <v>4950</v>
      </c>
      <c r="Y626" s="9"/>
    </row>
    <row r="627" customFormat="false" ht="15" hidden="false" customHeight="false" outlineLevel="0" collapsed="false">
      <c r="A627" s="9" t="s">
        <v>3852</v>
      </c>
      <c r="B627" s="9" t="s">
        <v>3848</v>
      </c>
      <c r="C627" s="11" t="s">
        <v>3850</v>
      </c>
      <c r="D627" s="12" t="s">
        <v>3851</v>
      </c>
      <c r="E627" s="9" t="s">
        <v>3886</v>
      </c>
      <c r="F627" s="9" t="s">
        <v>3883</v>
      </c>
      <c r="G627" s="11" t="s">
        <v>3884</v>
      </c>
      <c r="H627" s="12" t="s">
        <v>3885</v>
      </c>
      <c r="I627" s="9"/>
      <c r="J627" s="11"/>
      <c r="K627" s="9"/>
      <c r="L627" s="9" t="s">
        <v>4730</v>
      </c>
      <c r="M627" s="9" t="s">
        <v>3602</v>
      </c>
      <c r="N627" s="11" t="s">
        <v>3604</v>
      </c>
      <c r="O627" s="12" t="s">
        <v>3606</v>
      </c>
      <c r="P627" s="13" t="n">
        <v>25</v>
      </c>
      <c r="Q627" s="13" t="n">
        <v>15</v>
      </c>
      <c r="R627" s="13" t="n">
        <v>10</v>
      </c>
      <c r="S627" s="13" t="n">
        <v>0.9</v>
      </c>
      <c r="T627" s="9" t="s">
        <v>4615</v>
      </c>
      <c r="U627" s="9"/>
      <c r="V627" s="9" t="s">
        <v>4568</v>
      </c>
      <c r="W627" s="9" t="s">
        <v>4951</v>
      </c>
      <c r="X627" s="11" t="s">
        <v>4952</v>
      </c>
      <c r="Y627" s="9"/>
    </row>
    <row r="628" customFormat="false" ht="15" hidden="false" customHeight="false" outlineLevel="0" collapsed="false">
      <c r="A628" s="9" t="s">
        <v>3852</v>
      </c>
      <c r="B628" s="9" t="s">
        <v>3848</v>
      </c>
      <c r="C628" s="11" t="s">
        <v>3850</v>
      </c>
      <c r="D628" s="12" t="s">
        <v>3851</v>
      </c>
      <c r="E628" s="9" t="s">
        <v>3894</v>
      </c>
      <c r="F628" s="9" t="s">
        <v>3891</v>
      </c>
      <c r="G628" s="11" t="s">
        <v>3892</v>
      </c>
      <c r="H628" s="12" t="s">
        <v>3893</v>
      </c>
      <c r="I628" s="9"/>
      <c r="J628" s="11"/>
      <c r="K628" s="9"/>
      <c r="L628" s="9" t="s">
        <v>4730</v>
      </c>
      <c r="M628" s="9" t="s">
        <v>3602</v>
      </c>
      <c r="N628" s="11" t="s">
        <v>3604</v>
      </c>
      <c r="O628" s="12" t="s">
        <v>3606</v>
      </c>
      <c r="P628" s="13" t="n">
        <v>25</v>
      </c>
      <c r="Q628" s="13" t="n">
        <v>15</v>
      </c>
      <c r="R628" s="13" t="n">
        <v>10</v>
      </c>
      <c r="S628" s="13" t="n">
        <v>0.9</v>
      </c>
      <c r="T628" s="9" t="s">
        <v>4615</v>
      </c>
      <c r="U628" s="9"/>
      <c r="V628" s="9" t="s">
        <v>4568</v>
      </c>
      <c r="W628" s="9" t="s">
        <v>4953</v>
      </c>
      <c r="X628" s="11"/>
      <c r="Y628" s="9"/>
    </row>
    <row r="629" customFormat="false" ht="15" hidden="false" customHeight="false" outlineLevel="0" collapsed="false">
      <c r="A629" s="9" t="s">
        <v>3852</v>
      </c>
      <c r="B629" s="9" t="s">
        <v>3848</v>
      </c>
      <c r="C629" s="11" t="s">
        <v>3850</v>
      </c>
      <c r="D629" s="12" t="s">
        <v>3851</v>
      </c>
      <c r="E629" s="9" t="s">
        <v>3902</v>
      </c>
      <c r="F629" s="9" t="s">
        <v>3899</v>
      </c>
      <c r="G629" s="11" t="s">
        <v>3900</v>
      </c>
      <c r="H629" s="12" t="s">
        <v>3901</v>
      </c>
      <c r="I629" s="9"/>
      <c r="J629" s="11"/>
      <c r="K629" s="9"/>
      <c r="L629" s="9" t="s">
        <v>68</v>
      </c>
      <c r="M629" s="9" t="s">
        <v>2575</v>
      </c>
      <c r="N629" s="11" t="s">
        <v>2577</v>
      </c>
      <c r="O629" s="12" t="s">
        <v>2579</v>
      </c>
      <c r="P629" s="13" t="n">
        <v>30</v>
      </c>
      <c r="Q629" s="13" t="n">
        <v>20</v>
      </c>
      <c r="R629" s="13" t="n">
        <v>15</v>
      </c>
      <c r="S629" s="13" t="n">
        <v>1.8</v>
      </c>
      <c r="T629" s="9" t="s">
        <v>4615</v>
      </c>
      <c r="U629" s="9"/>
      <c r="V629" s="9" t="s">
        <v>4581</v>
      </c>
      <c r="W629" s="9"/>
      <c r="X629" s="11"/>
      <c r="Y629" s="9"/>
    </row>
    <row r="630" customFormat="false" ht="15" hidden="false" customHeight="false" outlineLevel="0" collapsed="false">
      <c r="A630" s="9" t="s">
        <v>3852</v>
      </c>
      <c r="B630" s="9" t="s">
        <v>3848</v>
      </c>
      <c r="C630" s="11" t="s">
        <v>3850</v>
      </c>
      <c r="D630" s="12" t="s">
        <v>3851</v>
      </c>
      <c r="E630" s="9" t="s">
        <v>3907</v>
      </c>
      <c r="F630" s="9" t="s">
        <v>3904</v>
      </c>
      <c r="G630" s="11" t="s">
        <v>3905</v>
      </c>
      <c r="H630" s="12" t="s">
        <v>3906</v>
      </c>
      <c r="I630" s="9"/>
      <c r="J630" s="11"/>
      <c r="K630" s="9"/>
      <c r="L630" s="9" t="s">
        <v>68</v>
      </c>
      <c r="M630" s="9" t="s">
        <v>2575</v>
      </c>
      <c r="N630" s="11" t="s">
        <v>2577</v>
      </c>
      <c r="O630" s="12" t="s">
        <v>2579</v>
      </c>
      <c r="P630" s="13" t="n">
        <v>40</v>
      </c>
      <c r="Q630" s="13" t="n">
        <v>30</v>
      </c>
      <c r="R630" s="13" t="n">
        <v>6</v>
      </c>
      <c r="S630" s="13" t="n">
        <v>1.3</v>
      </c>
      <c r="T630" s="9" t="s">
        <v>4615</v>
      </c>
      <c r="U630" s="9"/>
      <c r="V630" s="9" t="s">
        <v>4565</v>
      </c>
      <c r="W630" s="9"/>
      <c r="X630" s="11"/>
      <c r="Y630" s="9"/>
    </row>
    <row r="631" customFormat="false" ht="15" hidden="false" customHeight="false" outlineLevel="0" collapsed="false">
      <c r="A631" s="9" t="s">
        <v>3852</v>
      </c>
      <c r="B631" s="9" t="s">
        <v>3848</v>
      </c>
      <c r="C631" s="11" t="s">
        <v>3850</v>
      </c>
      <c r="D631" s="12" t="s">
        <v>3851</v>
      </c>
      <c r="E631" s="9" t="s">
        <v>3912</v>
      </c>
      <c r="F631" s="9" t="s">
        <v>3909</v>
      </c>
      <c r="G631" s="11" t="s">
        <v>3910</v>
      </c>
      <c r="H631" s="12" t="s">
        <v>3911</v>
      </c>
      <c r="I631" s="9"/>
      <c r="J631" s="11"/>
      <c r="K631" s="9"/>
      <c r="L631" s="9" t="s">
        <v>68</v>
      </c>
      <c r="M631" s="9" t="s">
        <v>3859</v>
      </c>
      <c r="N631" s="11" t="s">
        <v>3861</v>
      </c>
      <c r="O631" s="12" t="s">
        <v>3863</v>
      </c>
      <c r="P631" s="13" t="n">
        <v>25</v>
      </c>
      <c r="Q631" s="13" t="n">
        <v>15</v>
      </c>
      <c r="R631" s="13" t="n">
        <v>10</v>
      </c>
      <c r="S631" s="13" t="n">
        <v>0.9</v>
      </c>
      <c r="T631" s="9" t="s">
        <v>4615</v>
      </c>
      <c r="U631" s="9"/>
      <c r="V631" s="9" t="s">
        <v>4568</v>
      </c>
      <c r="W631" s="9" t="s">
        <v>4954</v>
      </c>
      <c r="X631" s="11"/>
      <c r="Y631" s="12" t="s">
        <v>4955</v>
      </c>
    </row>
    <row r="632" customFormat="false" ht="15" hidden="false" customHeight="false" outlineLevel="0" collapsed="false">
      <c r="A632" s="9" t="s">
        <v>3923</v>
      </c>
      <c r="B632" s="9" t="s">
        <v>3914</v>
      </c>
      <c r="C632" s="11" t="s">
        <v>3917</v>
      </c>
      <c r="D632" s="12" t="s">
        <v>3920</v>
      </c>
      <c r="E632" s="9" t="s">
        <v>3924</v>
      </c>
      <c r="F632" s="9" t="s">
        <v>3915</v>
      </c>
      <c r="G632" s="11" t="s">
        <v>3918</v>
      </c>
      <c r="H632" s="12" t="s">
        <v>3921</v>
      </c>
      <c r="I632" s="9"/>
      <c r="J632" s="11"/>
      <c r="K632" s="9"/>
      <c r="L632" s="9" t="s">
        <v>4604</v>
      </c>
      <c r="M632" s="9" t="s">
        <v>3916</v>
      </c>
      <c r="N632" s="11" t="s">
        <v>3919</v>
      </c>
      <c r="O632" s="12" t="s">
        <v>3922</v>
      </c>
      <c r="P632" s="13" t="n">
        <v>30</v>
      </c>
      <c r="Q632" s="13" t="n">
        <v>25</v>
      </c>
      <c r="R632" s="13" t="n">
        <v>20</v>
      </c>
      <c r="S632" s="13" t="n">
        <v>1.6</v>
      </c>
      <c r="T632" s="9" t="s">
        <v>4615</v>
      </c>
      <c r="U632" s="9" t="s">
        <v>4852</v>
      </c>
      <c r="V632" s="9" t="s">
        <v>4565</v>
      </c>
      <c r="W632" s="9"/>
      <c r="X632" s="11"/>
      <c r="Y632" s="9"/>
    </row>
    <row r="633" customFormat="false" ht="15" hidden="false" customHeight="false" outlineLevel="0" collapsed="false">
      <c r="A633" s="9" t="s">
        <v>3923</v>
      </c>
      <c r="B633" s="9" t="s">
        <v>3914</v>
      </c>
      <c r="C633" s="11" t="s">
        <v>3917</v>
      </c>
      <c r="D633" s="12" t="s">
        <v>3920</v>
      </c>
      <c r="E633" s="9" t="s">
        <v>3930</v>
      </c>
      <c r="F633" s="9" t="s">
        <v>3927</v>
      </c>
      <c r="G633" s="11" t="s">
        <v>3928</v>
      </c>
      <c r="H633" s="12" t="s">
        <v>3929</v>
      </c>
      <c r="I633" s="9"/>
      <c r="J633" s="11"/>
      <c r="K633" s="9"/>
      <c r="L633" s="9" t="s">
        <v>4604</v>
      </c>
      <c r="M633" s="9" t="s">
        <v>3916</v>
      </c>
      <c r="N633" s="11" t="s">
        <v>3919</v>
      </c>
      <c r="O633" s="12" t="s">
        <v>3922</v>
      </c>
      <c r="P633" s="13" t="n">
        <v>15</v>
      </c>
      <c r="Q633" s="13" t="n">
        <v>10</v>
      </c>
      <c r="R633" s="13" t="n">
        <v>8</v>
      </c>
      <c r="S633" s="13" t="n">
        <v>0.3</v>
      </c>
      <c r="T633" s="9" t="s">
        <v>4615</v>
      </c>
      <c r="U633" s="9" t="s">
        <v>4852</v>
      </c>
      <c r="V633" s="9" t="s">
        <v>4571</v>
      </c>
      <c r="W633" s="9"/>
      <c r="X633" s="11"/>
      <c r="Y633" s="9"/>
    </row>
    <row r="634" customFormat="false" ht="15" hidden="false" customHeight="false" outlineLevel="0" collapsed="false">
      <c r="A634" s="9" t="s">
        <v>3923</v>
      </c>
      <c r="B634" s="9" t="s">
        <v>3914</v>
      </c>
      <c r="C634" s="11" t="s">
        <v>3917</v>
      </c>
      <c r="D634" s="12" t="s">
        <v>3920</v>
      </c>
      <c r="E634" s="9" t="s">
        <v>3936</v>
      </c>
      <c r="F634" s="9" t="s">
        <v>3933</v>
      </c>
      <c r="G634" s="11" t="s">
        <v>3934</v>
      </c>
      <c r="H634" s="12" t="s">
        <v>3935</v>
      </c>
      <c r="I634" s="9"/>
      <c r="J634" s="11"/>
      <c r="K634" s="9"/>
      <c r="L634" s="9" t="s">
        <v>4604</v>
      </c>
      <c r="M634" s="9" t="s">
        <v>3916</v>
      </c>
      <c r="N634" s="11" t="s">
        <v>3919</v>
      </c>
      <c r="O634" s="12" t="s">
        <v>3922</v>
      </c>
      <c r="P634" s="13" t="n">
        <v>15</v>
      </c>
      <c r="Q634" s="13" t="n">
        <v>10</v>
      </c>
      <c r="R634" s="13" t="n">
        <v>8</v>
      </c>
      <c r="S634" s="13" t="n">
        <v>0.3</v>
      </c>
      <c r="T634" s="9" t="s">
        <v>4615</v>
      </c>
      <c r="U634" s="9"/>
      <c r="V634" s="9" t="s">
        <v>4571</v>
      </c>
      <c r="W634" s="9"/>
      <c r="X634" s="11"/>
      <c r="Y634" s="9"/>
    </row>
    <row r="635" customFormat="false" ht="15" hidden="false" customHeight="false" outlineLevel="0" collapsed="false">
      <c r="A635" s="9" t="s">
        <v>3923</v>
      </c>
      <c r="B635" s="9" t="s">
        <v>3914</v>
      </c>
      <c r="C635" s="11" t="s">
        <v>3917</v>
      </c>
      <c r="D635" s="12" t="s">
        <v>3920</v>
      </c>
      <c r="E635" s="9" t="s">
        <v>3942</v>
      </c>
      <c r="F635" s="9" t="s">
        <v>3939</v>
      </c>
      <c r="G635" s="11" t="s">
        <v>3940</v>
      </c>
      <c r="H635" s="12" t="s">
        <v>3941</v>
      </c>
      <c r="I635" s="9"/>
      <c r="J635" s="11"/>
      <c r="K635" s="9"/>
      <c r="L635" s="9" t="s">
        <v>4604</v>
      </c>
      <c r="M635" s="9" t="s">
        <v>3916</v>
      </c>
      <c r="N635" s="11" t="s">
        <v>3919</v>
      </c>
      <c r="O635" s="12" t="s">
        <v>3922</v>
      </c>
      <c r="P635" s="13" t="n">
        <v>15</v>
      </c>
      <c r="Q635" s="13" t="n">
        <v>10</v>
      </c>
      <c r="R635" s="13" t="n">
        <v>8</v>
      </c>
      <c r="S635" s="13" t="n">
        <v>0.3</v>
      </c>
      <c r="T635" s="9" t="s">
        <v>4615</v>
      </c>
      <c r="U635" s="9"/>
      <c r="V635" s="9" t="s">
        <v>4571</v>
      </c>
      <c r="W635" s="9"/>
      <c r="X635" s="11"/>
      <c r="Y635" s="9"/>
    </row>
    <row r="636" customFormat="false" ht="15" hidden="false" customHeight="false" outlineLevel="0" collapsed="false">
      <c r="A636" s="9" t="s">
        <v>3923</v>
      </c>
      <c r="B636" s="9" t="s">
        <v>3914</v>
      </c>
      <c r="C636" s="11" t="s">
        <v>3917</v>
      </c>
      <c r="D636" s="12" t="s">
        <v>3920</v>
      </c>
      <c r="E636" s="9" t="s">
        <v>3948</v>
      </c>
      <c r="F636" s="9" t="s">
        <v>3945</v>
      </c>
      <c r="G636" s="11" t="s">
        <v>3946</v>
      </c>
      <c r="H636" s="12" t="s">
        <v>3947</v>
      </c>
      <c r="I636" s="9"/>
      <c r="J636" s="11"/>
      <c r="K636" s="9"/>
      <c r="L636" s="9" t="s">
        <v>4604</v>
      </c>
      <c r="M636" s="9" t="s">
        <v>3916</v>
      </c>
      <c r="N636" s="11" t="s">
        <v>3919</v>
      </c>
      <c r="O636" s="12" t="s">
        <v>3922</v>
      </c>
      <c r="P636" s="13" t="n">
        <v>10</v>
      </c>
      <c r="Q636" s="13" t="n">
        <v>8</v>
      </c>
      <c r="R636" s="13" t="n">
        <v>6</v>
      </c>
      <c r="S636" s="13" t="n">
        <v>0.1</v>
      </c>
      <c r="T636" s="9" t="s">
        <v>4615</v>
      </c>
      <c r="U636" s="9"/>
      <c r="V636" s="9" t="s">
        <v>4572</v>
      </c>
      <c r="W636" s="9" t="s">
        <v>4956</v>
      </c>
      <c r="X636" s="11"/>
      <c r="Y636" s="9"/>
    </row>
    <row r="637" customFormat="false" ht="15" hidden="false" customHeight="false" outlineLevel="0" collapsed="false">
      <c r="A637" s="9" t="s">
        <v>3923</v>
      </c>
      <c r="B637" s="9" t="s">
        <v>3914</v>
      </c>
      <c r="C637" s="11" t="s">
        <v>3917</v>
      </c>
      <c r="D637" s="12" t="s">
        <v>3920</v>
      </c>
      <c r="E637" s="9" t="s">
        <v>3954</v>
      </c>
      <c r="F637" s="9" t="s">
        <v>3951</v>
      </c>
      <c r="G637" s="11" t="s">
        <v>3952</v>
      </c>
      <c r="H637" s="12" t="s">
        <v>3953</v>
      </c>
      <c r="I637" s="9"/>
      <c r="J637" s="11"/>
      <c r="K637" s="9"/>
      <c r="L637" s="9" t="s">
        <v>68</v>
      </c>
      <c r="M637" s="9" t="s">
        <v>2575</v>
      </c>
      <c r="N637" s="11" t="s">
        <v>2577</v>
      </c>
      <c r="O637" s="12" t="s">
        <v>2579</v>
      </c>
      <c r="P637" s="13" t="n">
        <v>15</v>
      </c>
      <c r="Q637" s="13" t="n">
        <v>10</v>
      </c>
      <c r="R637" s="13" t="n">
        <v>8</v>
      </c>
      <c r="S637" s="13" t="n">
        <v>0.3</v>
      </c>
      <c r="T637" s="9" t="s">
        <v>4615</v>
      </c>
      <c r="U637" s="9" t="s">
        <v>4852</v>
      </c>
      <c r="V637" s="9" t="s">
        <v>4571</v>
      </c>
      <c r="W637" s="9"/>
      <c r="X637" s="11"/>
      <c r="Y637" s="9"/>
    </row>
    <row r="638" customFormat="false" ht="15" hidden="false" customHeight="false" outlineLevel="0" collapsed="false">
      <c r="A638" s="9" t="s">
        <v>3923</v>
      </c>
      <c r="B638" s="9" t="s">
        <v>3914</v>
      </c>
      <c r="C638" s="11" t="s">
        <v>3917</v>
      </c>
      <c r="D638" s="12" t="s">
        <v>3920</v>
      </c>
      <c r="E638" s="9" t="s">
        <v>3959</v>
      </c>
      <c r="F638" s="9" t="s">
        <v>3956</v>
      </c>
      <c r="G638" s="11" t="s">
        <v>3957</v>
      </c>
      <c r="H638" s="12" t="s">
        <v>3958</v>
      </c>
      <c r="I638" s="9"/>
      <c r="J638" s="11"/>
      <c r="K638" s="9"/>
      <c r="L638" s="9" t="s">
        <v>68</v>
      </c>
      <c r="M638" s="9" t="s">
        <v>2575</v>
      </c>
      <c r="N638" s="11" t="s">
        <v>2577</v>
      </c>
      <c r="O638" s="12" t="s">
        <v>2579</v>
      </c>
      <c r="P638" s="13" t="n">
        <v>15</v>
      </c>
      <c r="Q638" s="13" t="n">
        <v>10</v>
      </c>
      <c r="R638" s="13" t="n">
        <v>8</v>
      </c>
      <c r="S638" s="13" t="n">
        <v>0.3</v>
      </c>
      <c r="T638" s="9" t="s">
        <v>4615</v>
      </c>
      <c r="U638" s="9" t="s">
        <v>4852</v>
      </c>
      <c r="V638" s="9" t="s">
        <v>4571</v>
      </c>
      <c r="W638" s="9"/>
      <c r="X638" s="11"/>
      <c r="Y638" s="9"/>
    </row>
    <row r="639" customFormat="false" ht="15" hidden="false" customHeight="false" outlineLevel="0" collapsed="false">
      <c r="A639" s="9" t="s">
        <v>3964</v>
      </c>
      <c r="B639" s="9" t="s">
        <v>2601</v>
      </c>
      <c r="C639" s="11" t="s">
        <v>2603</v>
      </c>
      <c r="D639" s="12" t="s">
        <v>2605</v>
      </c>
      <c r="E639" s="9" t="s">
        <v>3965</v>
      </c>
      <c r="F639" s="9" t="s">
        <v>3961</v>
      </c>
      <c r="G639" s="11" t="s">
        <v>3962</v>
      </c>
      <c r="H639" s="12" t="s">
        <v>3963</v>
      </c>
      <c r="I639" s="9"/>
      <c r="J639" s="11"/>
      <c r="K639" s="9"/>
      <c r="L639" s="9" t="s">
        <v>4730</v>
      </c>
      <c r="M639" s="9" t="s">
        <v>2601</v>
      </c>
      <c r="N639" s="11" t="s">
        <v>2603</v>
      </c>
      <c r="O639" s="12" t="s">
        <v>2605</v>
      </c>
      <c r="P639" s="13" t="n">
        <v>70</v>
      </c>
      <c r="Q639" s="13" t="n">
        <v>60</v>
      </c>
      <c r="R639" s="13" t="n">
        <v>70</v>
      </c>
      <c r="S639" s="13" t="n">
        <v>20</v>
      </c>
      <c r="T639" s="9" t="s">
        <v>4615</v>
      </c>
      <c r="U639" s="9"/>
      <c r="V639" s="9" t="s">
        <v>4565</v>
      </c>
      <c r="W639" s="9"/>
      <c r="X639" s="11"/>
      <c r="Y639" s="9"/>
    </row>
    <row r="640" customFormat="false" ht="15" hidden="false" customHeight="false" outlineLevel="0" collapsed="false">
      <c r="A640" s="9" t="s">
        <v>3964</v>
      </c>
      <c r="B640" s="9" t="s">
        <v>2601</v>
      </c>
      <c r="C640" s="11" t="s">
        <v>2603</v>
      </c>
      <c r="D640" s="12" t="s">
        <v>2605</v>
      </c>
      <c r="E640" s="9" t="s">
        <v>3973</v>
      </c>
      <c r="F640" s="9" t="s">
        <v>3970</v>
      </c>
      <c r="G640" s="11" t="s">
        <v>3971</v>
      </c>
      <c r="H640" s="12" t="s">
        <v>3972</v>
      </c>
      <c r="I640" s="9"/>
      <c r="J640" s="11"/>
      <c r="K640" s="9"/>
      <c r="L640" s="9" t="s">
        <v>68</v>
      </c>
      <c r="M640" s="9" t="s">
        <v>2601</v>
      </c>
      <c r="N640" s="11" t="s">
        <v>2603</v>
      </c>
      <c r="O640" s="12" t="s">
        <v>2605</v>
      </c>
      <c r="P640" s="13" t="n">
        <v>50</v>
      </c>
      <c r="Q640" s="13" t="n">
        <v>40</v>
      </c>
      <c r="R640" s="13" t="n">
        <v>15</v>
      </c>
      <c r="S640" s="13" t="n">
        <v>3</v>
      </c>
      <c r="T640" s="9" t="s">
        <v>4615</v>
      </c>
      <c r="U640" s="9"/>
      <c r="V640" s="9" t="s">
        <v>4565</v>
      </c>
      <c r="W640" s="9"/>
      <c r="X640" s="11"/>
      <c r="Y640" s="9"/>
    </row>
    <row r="641" customFormat="false" ht="15" hidden="false" customHeight="false" outlineLevel="0" collapsed="false">
      <c r="A641" s="9" t="s">
        <v>3964</v>
      </c>
      <c r="B641" s="9" t="s">
        <v>2601</v>
      </c>
      <c r="C641" s="11" t="s">
        <v>2603</v>
      </c>
      <c r="D641" s="12" t="s">
        <v>2605</v>
      </c>
      <c r="E641" s="9" t="s">
        <v>3978</v>
      </c>
      <c r="F641" s="9" t="s">
        <v>3975</v>
      </c>
      <c r="G641" s="11" t="s">
        <v>3976</v>
      </c>
      <c r="H641" s="12" t="s">
        <v>3977</v>
      </c>
      <c r="I641" s="9"/>
      <c r="J641" s="11"/>
      <c r="K641" s="9"/>
      <c r="L641" s="9" t="s">
        <v>4730</v>
      </c>
      <c r="M641" s="9" t="s">
        <v>2601</v>
      </c>
      <c r="N641" s="11" t="s">
        <v>2603</v>
      </c>
      <c r="O641" s="12" t="s">
        <v>2605</v>
      </c>
      <c r="P641" s="13" t="n">
        <v>50</v>
      </c>
      <c r="Q641" s="13" t="n">
        <v>30</v>
      </c>
      <c r="R641" s="13" t="n">
        <v>20</v>
      </c>
      <c r="S641" s="13" t="n">
        <v>5</v>
      </c>
      <c r="T641" s="9" t="s">
        <v>4615</v>
      </c>
      <c r="U641" s="9"/>
      <c r="V641" s="9" t="s">
        <v>4589</v>
      </c>
      <c r="W641" s="9"/>
      <c r="X641" s="11" t="s">
        <v>4957</v>
      </c>
      <c r="Y641" s="9"/>
    </row>
    <row r="642" customFormat="false" ht="15" hidden="false" customHeight="false" outlineLevel="0" collapsed="false">
      <c r="A642" s="9" t="s">
        <v>3964</v>
      </c>
      <c r="B642" s="9" t="s">
        <v>2601</v>
      </c>
      <c r="C642" s="11" t="s">
        <v>2603</v>
      </c>
      <c r="D642" s="12" t="s">
        <v>2605</v>
      </c>
      <c r="E642" s="9" t="s">
        <v>3986</v>
      </c>
      <c r="F642" s="9" t="s">
        <v>3983</v>
      </c>
      <c r="G642" s="11" t="s">
        <v>3984</v>
      </c>
      <c r="H642" s="12" t="s">
        <v>3985</v>
      </c>
      <c r="I642" s="9"/>
      <c r="J642" s="11"/>
      <c r="K642" s="9"/>
      <c r="L642" s="9" t="s">
        <v>4730</v>
      </c>
      <c r="M642" s="9" t="s">
        <v>2601</v>
      </c>
      <c r="N642" s="11" t="s">
        <v>2603</v>
      </c>
      <c r="O642" s="12" t="s">
        <v>2605</v>
      </c>
      <c r="P642" s="13" t="n">
        <v>50</v>
      </c>
      <c r="Q642" s="13" t="n">
        <v>30</v>
      </c>
      <c r="R642" s="13" t="n">
        <v>20</v>
      </c>
      <c r="S642" s="13" t="n">
        <v>5</v>
      </c>
      <c r="T642" s="9" t="s">
        <v>4615</v>
      </c>
      <c r="U642" s="9"/>
      <c r="V642" s="9" t="s">
        <v>4589</v>
      </c>
      <c r="W642" s="9"/>
      <c r="X642" s="11"/>
      <c r="Y642" s="9"/>
    </row>
    <row r="643" customFormat="false" ht="15" hidden="false" customHeight="false" outlineLevel="0" collapsed="false">
      <c r="A643" s="9" t="s">
        <v>3964</v>
      </c>
      <c r="B643" s="9" t="s">
        <v>2601</v>
      </c>
      <c r="C643" s="11" t="s">
        <v>2603</v>
      </c>
      <c r="D643" s="12" t="s">
        <v>2605</v>
      </c>
      <c r="E643" s="9" t="s">
        <v>3994</v>
      </c>
      <c r="F643" s="9" t="s">
        <v>3991</v>
      </c>
      <c r="G643" s="11" t="s">
        <v>3992</v>
      </c>
      <c r="H643" s="12" t="s">
        <v>3993</v>
      </c>
      <c r="I643" s="9"/>
      <c r="J643" s="11"/>
      <c r="K643" s="9"/>
      <c r="L643" s="9" t="s">
        <v>4730</v>
      </c>
      <c r="M643" s="9" t="s">
        <v>2601</v>
      </c>
      <c r="N643" s="11" t="s">
        <v>2603</v>
      </c>
      <c r="O643" s="12" t="s">
        <v>2605</v>
      </c>
      <c r="P643" s="13" t="n">
        <v>30</v>
      </c>
      <c r="Q643" s="13" t="n">
        <v>20</v>
      </c>
      <c r="R643" s="13" t="n">
        <v>15</v>
      </c>
      <c r="S643" s="13" t="n">
        <v>1.8</v>
      </c>
      <c r="T643" s="9" t="s">
        <v>4615</v>
      </c>
      <c r="U643" s="9"/>
      <c r="V643" s="9" t="s">
        <v>4581</v>
      </c>
      <c r="W643" s="9" t="s">
        <v>4958</v>
      </c>
      <c r="X643" s="11"/>
      <c r="Y643" s="9"/>
    </row>
    <row r="644" customFormat="false" ht="15" hidden="false" customHeight="false" outlineLevel="0" collapsed="false">
      <c r="A644" s="9" t="s">
        <v>3964</v>
      </c>
      <c r="B644" s="9" t="s">
        <v>2601</v>
      </c>
      <c r="C644" s="11" t="s">
        <v>2603</v>
      </c>
      <c r="D644" s="12" t="s">
        <v>2605</v>
      </c>
      <c r="E644" s="9" t="s">
        <v>4002</v>
      </c>
      <c r="F644" s="9" t="s">
        <v>3999</v>
      </c>
      <c r="G644" s="11" t="s">
        <v>4000</v>
      </c>
      <c r="H644" s="12" t="s">
        <v>4001</v>
      </c>
      <c r="I644" s="9"/>
      <c r="J644" s="11"/>
      <c r="K644" s="9"/>
      <c r="L644" s="9" t="s">
        <v>4730</v>
      </c>
      <c r="M644" s="9" t="s">
        <v>2601</v>
      </c>
      <c r="N644" s="11" t="s">
        <v>2603</v>
      </c>
      <c r="O644" s="12" t="s">
        <v>2605</v>
      </c>
      <c r="P644" s="13" t="n">
        <v>15</v>
      </c>
      <c r="Q644" s="13" t="n">
        <v>10</v>
      </c>
      <c r="R644" s="13" t="n">
        <v>8</v>
      </c>
      <c r="S644" s="13" t="n">
        <v>0.3</v>
      </c>
      <c r="T644" s="9" t="s">
        <v>4615</v>
      </c>
      <c r="U644" s="9"/>
      <c r="V644" s="9" t="s">
        <v>4571</v>
      </c>
      <c r="W644" s="9"/>
      <c r="X644" s="11"/>
      <c r="Y644" s="9"/>
    </row>
    <row r="645" customFormat="false" ht="15" hidden="false" customHeight="false" outlineLevel="0" collapsed="false">
      <c r="A645" s="9" t="s">
        <v>3964</v>
      </c>
      <c r="B645" s="9" t="s">
        <v>2601</v>
      </c>
      <c r="C645" s="11" t="s">
        <v>2603</v>
      </c>
      <c r="D645" s="12" t="s">
        <v>2605</v>
      </c>
      <c r="E645" s="9" t="s">
        <v>4010</v>
      </c>
      <c r="F645" s="9" t="s">
        <v>4007</v>
      </c>
      <c r="G645" s="11" t="s">
        <v>4008</v>
      </c>
      <c r="H645" s="12" t="s">
        <v>4009</v>
      </c>
      <c r="I645" s="9"/>
      <c r="J645" s="11"/>
      <c r="K645" s="9"/>
      <c r="L645" s="9" t="s">
        <v>4730</v>
      </c>
      <c r="M645" s="9" t="s">
        <v>2601</v>
      </c>
      <c r="N645" s="11" t="s">
        <v>2603</v>
      </c>
      <c r="O645" s="12" t="s">
        <v>2605</v>
      </c>
      <c r="P645" s="13" t="n">
        <v>15</v>
      </c>
      <c r="Q645" s="13" t="n">
        <v>10</v>
      </c>
      <c r="R645" s="13" t="n">
        <v>8</v>
      </c>
      <c r="S645" s="13" t="n">
        <v>0.3</v>
      </c>
      <c r="T645" s="9" t="s">
        <v>4615</v>
      </c>
      <c r="U645" s="9"/>
      <c r="V645" s="9" t="s">
        <v>4571</v>
      </c>
      <c r="W645" s="9"/>
      <c r="X645" s="11"/>
      <c r="Y645" s="9"/>
    </row>
    <row r="646" customFormat="false" ht="15" hidden="false" customHeight="false" outlineLevel="0" collapsed="false">
      <c r="A646" s="9" t="s">
        <v>3964</v>
      </c>
      <c r="B646" s="9" t="s">
        <v>2601</v>
      </c>
      <c r="C646" s="11" t="s">
        <v>2603</v>
      </c>
      <c r="D646" s="12" t="s">
        <v>2605</v>
      </c>
      <c r="E646" s="9" t="s">
        <v>4018</v>
      </c>
      <c r="F646" s="9" t="s">
        <v>4015</v>
      </c>
      <c r="G646" s="11" t="s">
        <v>4016</v>
      </c>
      <c r="H646" s="12" t="s">
        <v>4017</v>
      </c>
      <c r="I646" s="9"/>
      <c r="J646" s="11"/>
      <c r="K646" s="9"/>
      <c r="L646" s="9" t="s">
        <v>4730</v>
      </c>
      <c r="M646" s="9" t="s">
        <v>2601</v>
      </c>
      <c r="N646" s="11" t="s">
        <v>2603</v>
      </c>
      <c r="O646" s="12" t="s">
        <v>2605</v>
      </c>
      <c r="P646" s="13" t="n">
        <v>30</v>
      </c>
      <c r="Q646" s="13" t="n">
        <v>20</v>
      </c>
      <c r="R646" s="13" t="n">
        <v>15</v>
      </c>
      <c r="S646" s="13" t="n">
        <v>1.8</v>
      </c>
      <c r="T646" s="9" t="s">
        <v>4615</v>
      </c>
      <c r="U646" s="9"/>
      <c r="V646" s="9" t="s">
        <v>4581</v>
      </c>
      <c r="W646" s="9"/>
      <c r="X646" s="11"/>
      <c r="Y646" s="9"/>
    </row>
    <row r="647" customFormat="false" ht="15" hidden="false" customHeight="false" outlineLevel="0" collapsed="false">
      <c r="A647" s="9" t="s">
        <v>3964</v>
      </c>
      <c r="B647" s="9" t="s">
        <v>2601</v>
      </c>
      <c r="C647" s="11" t="s">
        <v>2603</v>
      </c>
      <c r="D647" s="12" t="s">
        <v>2605</v>
      </c>
      <c r="E647" s="9" t="s">
        <v>4026</v>
      </c>
      <c r="F647" s="9" t="s">
        <v>4023</v>
      </c>
      <c r="G647" s="11" t="s">
        <v>4024</v>
      </c>
      <c r="H647" s="12" t="s">
        <v>4025</v>
      </c>
      <c r="I647" s="9"/>
      <c r="J647" s="11"/>
      <c r="K647" s="9"/>
      <c r="L647" s="9" t="s">
        <v>4730</v>
      </c>
      <c r="M647" s="9" t="s">
        <v>2601</v>
      </c>
      <c r="N647" s="11" t="s">
        <v>2603</v>
      </c>
      <c r="O647" s="12" t="s">
        <v>2605</v>
      </c>
      <c r="P647" s="13" t="n">
        <v>30</v>
      </c>
      <c r="Q647" s="13" t="n">
        <v>20</v>
      </c>
      <c r="R647" s="13" t="n">
        <v>15</v>
      </c>
      <c r="S647" s="13" t="n">
        <v>1.8</v>
      </c>
      <c r="T647" s="9" t="s">
        <v>4615</v>
      </c>
      <c r="U647" s="9"/>
      <c r="V647" s="9" t="s">
        <v>4581</v>
      </c>
      <c r="W647" s="9"/>
      <c r="X647" s="11"/>
      <c r="Y647" s="9"/>
    </row>
    <row r="648" customFormat="false" ht="15" hidden="false" customHeight="false" outlineLevel="0" collapsed="false">
      <c r="A648" s="9" t="s">
        <v>4034</v>
      </c>
      <c r="B648" s="9" t="s">
        <v>2439</v>
      </c>
      <c r="C648" s="11" t="s">
        <v>4032</v>
      </c>
      <c r="D648" s="12" t="s">
        <v>2443</v>
      </c>
      <c r="E648" s="9" t="s">
        <v>4035</v>
      </c>
      <c r="F648" s="9" t="s">
        <v>4031</v>
      </c>
      <c r="G648" s="11" t="s">
        <v>2441</v>
      </c>
      <c r="H648" s="12" t="s">
        <v>4033</v>
      </c>
      <c r="I648" s="9"/>
      <c r="J648" s="11"/>
      <c r="K648" s="9"/>
      <c r="L648" s="9" t="s">
        <v>68</v>
      </c>
      <c r="M648" s="9" t="s">
        <v>2439</v>
      </c>
      <c r="N648" s="11" t="s">
        <v>2441</v>
      </c>
      <c r="O648" s="12" t="s">
        <v>2443</v>
      </c>
      <c r="P648" s="13" t="n">
        <v>130</v>
      </c>
      <c r="Q648" s="13" t="n">
        <v>40</v>
      </c>
      <c r="R648" s="13" t="n">
        <v>30</v>
      </c>
      <c r="S648" s="13" t="n">
        <v>9</v>
      </c>
      <c r="T648" s="9" t="s">
        <v>4615</v>
      </c>
      <c r="U648" s="9" t="s">
        <v>4719</v>
      </c>
      <c r="V648" s="9" t="s">
        <v>4565</v>
      </c>
      <c r="W648" s="9"/>
      <c r="X648" s="11" t="s">
        <v>4959</v>
      </c>
      <c r="Y648" s="9"/>
    </row>
    <row r="649" customFormat="false" ht="15" hidden="false" customHeight="false" outlineLevel="0" collapsed="false">
      <c r="A649" s="9" t="s">
        <v>4034</v>
      </c>
      <c r="B649" s="9" t="s">
        <v>2439</v>
      </c>
      <c r="C649" s="11" t="s">
        <v>4032</v>
      </c>
      <c r="D649" s="12" t="s">
        <v>2443</v>
      </c>
      <c r="E649" s="9" t="s">
        <v>4040</v>
      </c>
      <c r="F649" s="9" t="s">
        <v>4037</v>
      </c>
      <c r="G649" s="11" t="s">
        <v>4038</v>
      </c>
      <c r="H649" s="12" t="s">
        <v>4039</v>
      </c>
      <c r="I649" s="9"/>
      <c r="J649" s="11"/>
      <c r="K649" s="9"/>
      <c r="L649" s="9" t="s">
        <v>68</v>
      </c>
      <c r="M649" s="9" t="s">
        <v>2439</v>
      </c>
      <c r="N649" s="11" t="s">
        <v>2441</v>
      </c>
      <c r="O649" s="12" t="s">
        <v>2443</v>
      </c>
      <c r="P649" s="13" t="n">
        <v>40</v>
      </c>
      <c r="Q649" s="13" t="n">
        <v>25</v>
      </c>
      <c r="R649" s="13" t="n">
        <v>15</v>
      </c>
      <c r="S649" s="13" t="n">
        <v>3</v>
      </c>
      <c r="T649" s="9" t="s">
        <v>4615</v>
      </c>
      <c r="U649" s="9"/>
      <c r="V649" s="9" t="s">
        <v>4570</v>
      </c>
      <c r="W649" s="9"/>
      <c r="X649" s="11"/>
      <c r="Y649" s="9"/>
    </row>
    <row r="650" customFormat="false" ht="15" hidden="false" customHeight="false" outlineLevel="0" collapsed="false">
      <c r="A650" s="9" t="s">
        <v>4034</v>
      </c>
      <c r="B650" s="9" t="s">
        <v>2439</v>
      </c>
      <c r="C650" s="11" t="s">
        <v>4032</v>
      </c>
      <c r="D650" s="12" t="s">
        <v>2443</v>
      </c>
      <c r="E650" s="9" t="s">
        <v>4045</v>
      </c>
      <c r="F650" s="9" t="s">
        <v>4042</v>
      </c>
      <c r="G650" s="11" t="s">
        <v>4043</v>
      </c>
      <c r="H650" s="12" t="s">
        <v>4044</v>
      </c>
      <c r="I650" s="9"/>
      <c r="J650" s="11"/>
      <c r="K650" s="9"/>
      <c r="L650" s="9" t="s">
        <v>68</v>
      </c>
      <c r="M650" s="9" t="s">
        <v>2439</v>
      </c>
      <c r="N650" s="11" t="s">
        <v>2441</v>
      </c>
      <c r="O650" s="12" t="s">
        <v>2443</v>
      </c>
      <c r="P650" s="13" t="n">
        <v>50</v>
      </c>
      <c r="Q650" s="13" t="n">
        <v>30</v>
      </c>
      <c r="R650" s="13" t="n">
        <v>20</v>
      </c>
      <c r="S650" s="13" t="n">
        <v>5</v>
      </c>
      <c r="T650" s="9" t="s">
        <v>4615</v>
      </c>
      <c r="U650" s="9"/>
      <c r="V650" s="9" t="s">
        <v>4589</v>
      </c>
      <c r="W650" s="9"/>
      <c r="X650" s="11" t="s">
        <v>4960</v>
      </c>
      <c r="Y650" s="9"/>
    </row>
    <row r="651" customFormat="false" ht="15" hidden="false" customHeight="false" outlineLevel="0" collapsed="false">
      <c r="A651" s="9" t="s">
        <v>4034</v>
      </c>
      <c r="B651" s="9" t="s">
        <v>2439</v>
      </c>
      <c r="C651" s="11" t="s">
        <v>4032</v>
      </c>
      <c r="D651" s="12" t="s">
        <v>2443</v>
      </c>
      <c r="E651" s="9" t="s">
        <v>4050</v>
      </c>
      <c r="F651" s="9" t="s">
        <v>4047</v>
      </c>
      <c r="G651" s="11" t="s">
        <v>4048</v>
      </c>
      <c r="H651" s="12" t="s">
        <v>4049</v>
      </c>
      <c r="I651" s="9"/>
      <c r="J651" s="11"/>
      <c r="K651" s="9"/>
      <c r="L651" s="9" t="s">
        <v>68</v>
      </c>
      <c r="M651" s="9" t="s">
        <v>2439</v>
      </c>
      <c r="N651" s="11" t="s">
        <v>2441</v>
      </c>
      <c r="O651" s="12" t="s">
        <v>2443</v>
      </c>
      <c r="P651" s="13" t="n">
        <v>10</v>
      </c>
      <c r="Q651" s="13" t="n">
        <v>8</v>
      </c>
      <c r="R651" s="13" t="n">
        <v>6</v>
      </c>
      <c r="S651" s="13" t="n">
        <v>0.1</v>
      </c>
      <c r="T651" s="9" t="s">
        <v>4615</v>
      </c>
      <c r="U651" s="9"/>
      <c r="V651" s="9" t="s">
        <v>4572</v>
      </c>
      <c r="W651" s="9"/>
      <c r="X651" s="11"/>
      <c r="Y651" s="9"/>
    </row>
    <row r="652" customFormat="false" ht="15" hidden="false" customHeight="false" outlineLevel="0" collapsed="false">
      <c r="A652" s="9" t="s">
        <v>4055</v>
      </c>
      <c r="B652" s="9" t="s">
        <v>4052</v>
      </c>
      <c r="C652" s="11" t="s">
        <v>4053</v>
      </c>
      <c r="D652" s="12" t="s">
        <v>1166</v>
      </c>
      <c r="E652" s="9" t="s">
        <v>4056</v>
      </c>
      <c r="F652" s="9" t="s">
        <v>1162</v>
      </c>
      <c r="G652" s="11" t="s">
        <v>1164</v>
      </c>
      <c r="H652" s="12" t="s">
        <v>4054</v>
      </c>
      <c r="I652" s="9"/>
      <c r="J652" s="11"/>
      <c r="K652" s="9"/>
      <c r="L652" s="9" t="s">
        <v>68</v>
      </c>
      <c r="M652" s="9" t="s">
        <v>1162</v>
      </c>
      <c r="N652" s="11" t="s">
        <v>1164</v>
      </c>
      <c r="O652" s="12" t="s">
        <v>1166</v>
      </c>
      <c r="P652" s="13" t="n">
        <v>60</v>
      </c>
      <c r="Q652" s="13" t="n">
        <v>30</v>
      </c>
      <c r="R652" s="13" t="n">
        <v>25</v>
      </c>
      <c r="S652" s="13" t="n">
        <v>4</v>
      </c>
      <c r="T652" s="9" t="s">
        <v>4615</v>
      </c>
      <c r="U652" s="9"/>
      <c r="V652" s="9" t="s">
        <v>4565</v>
      </c>
      <c r="W652" s="9"/>
      <c r="X652" s="11"/>
      <c r="Y652" s="9"/>
    </row>
    <row r="653" customFormat="false" ht="15" hidden="false" customHeight="false" outlineLevel="0" collapsed="false">
      <c r="A653" s="9" t="s">
        <v>4055</v>
      </c>
      <c r="B653" s="9" t="s">
        <v>4052</v>
      </c>
      <c r="C653" s="11" t="s">
        <v>4053</v>
      </c>
      <c r="D653" s="12" t="s">
        <v>1166</v>
      </c>
      <c r="E653" s="9" t="s">
        <v>4061</v>
      </c>
      <c r="F653" s="9" t="s">
        <v>4058</v>
      </c>
      <c r="G653" s="11" t="s">
        <v>4059</v>
      </c>
      <c r="H653" s="12" t="s">
        <v>4060</v>
      </c>
      <c r="I653" s="9"/>
      <c r="J653" s="11"/>
      <c r="K653" s="9"/>
      <c r="L653" s="9" t="s">
        <v>68</v>
      </c>
      <c r="M653" s="9" t="s">
        <v>1162</v>
      </c>
      <c r="N653" s="11" t="s">
        <v>1164</v>
      </c>
      <c r="O653" s="12" t="s">
        <v>1166</v>
      </c>
      <c r="P653" s="13" t="n">
        <v>30</v>
      </c>
      <c r="Q653" s="13" t="n">
        <v>20</v>
      </c>
      <c r="R653" s="13" t="n">
        <v>15</v>
      </c>
      <c r="S653" s="13" t="n">
        <v>1.8</v>
      </c>
      <c r="T653" s="9" t="s">
        <v>4615</v>
      </c>
      <c r="U653" s="9"/>
      <c r="V653" s="9" t="s">
        <v>4581</v>
      </c>
      <c r="W653" s="9"/>
      <c r="X653" s="11"/>
      <c r="Y653" s="9"/>
    </row>
    <row r="654" customFormat="false" ht="15" hidden="false" customHeight="false" outlineLevel="0" collapsed="false">
      <c r="A654" s="9" t="s">
        <v>4055</v>
      </c>
      <c r="B654" s="9" t="s">
        <v>4052</v>
      </c>
      <c r="C654" s="11" t="s">
        <v>4053</v>
      </c>
      <c r="D654" s="12" t="s">
        <v>1166</v>
      </c>
      <c r="E654" s="9" t="s">
        <v>4066</v>
      </c>
      <c r="F654" s="9" t="s">
        <v>4063</v>
      </c>
      <c r="G654" s="11" t="s">
        <v>4064</v>
      </c>
      <c r="H654" s="12" t="s">
        <v>4065</v>
      </c>
      <c r="I654" s="9"/>
      <c r="J654" s="11"/>
      <c r="K654" s="9"/>
      <c r="L654" s="9" t="s">
        <v>68</v>
      </c>
      <c r="M654" s="9" t="s">
        <v>1162</v>
      </c>
      <c r="N654" s="11" t="s">
        <v>1164</v>
      </c>
      <c r="O654" s="12" t="s">
        <v>1166</v>
      </c>
      <c r="P654" s="13" t="n">
        <v>15</v>
      </c>
      <c r="Q654" s="13" t="n">
        <v>10</v>
      </c>
      <c r="R654" s="13" t="n">
        <v>8</v>
      </c>
      <c r="S654" s="13" t="n">
        <v>0.3</v>
      </c>
      <c r="T654" s="9" t="s">
        <v>4615</v>
      </c>
      <c r="U654" s="9"/>
      <c r="V654" s="9" t="s">
        <v>4571</v>
      </c>
      <c r="W654" s="9"/>
      <c r="X654" s="11"/>
      <c r="Y654" s="9"/>
    </row>
    <row r="655" customFormat="false" ht="15" hidden="false" customHeight="false" outlineLevel="0" collapsed="false">
      <c r="A655" s="9" t="s">
        <v>4055</v>
      </c>
      <c r="B655" s="9" t="s">
        <v>4052</v>
      </c>
      <c r="C655" s="11" t="s">
        <v>4053</v>
      </c>
      <c r="D655" s="12" t="s">
        <v>1166</v>
      </c>
      <c r="E655" s="9" t="s">
        <v>4071</v>
      </c>
      <c r="F655" s="9" t="s">
        <v>4068</v>
      </c>
      <c r="G655" s="11" t="s">
        <v>4069</v>
      </c>
      <c r="H655" s="12" t="s">
        <v>4070</v>
      </c>
      <c r="I655" s="9"/>
      <c r="J655" s="11"/>
      <c r="K655" s="9"/>
      <c r="L655" s="9" t="s">
        <v>68</v>
      </c>
      <c r="M655" s="9" t="s">
        <v>1162</v>
      </c>
      <c r="N655" s="11" t="s">
        <v>1164</v>
      </c>
      <c r="O655" s="12" t="s">
        <v>1166</v>
      </c>
      <c r="P655" s="13" t="n">
        <v>15</v>
      </c>
      <c r="Q655" s="13" t="n">
        <v>10</v>
      </c>
      <c r="R655" s="13" t="n">
        <v>8</v>
      </c>
      <c r="S655" s="13" t="n">
        <v>0.3</v>
      </c>
      <c r="T655" s="9" t="s">
        <v>4615</v>
      </c>
      <c r="U655" s="9"/>
      <c r="V655" s="9" t="s">
        <v>4571</v>
      </c>
      <c r="W655" s="9"/>
      <c r="X655" s="11"/>
      <c r="Y655" s="9"/>
    </row>
    <row r="656" customFormat="false" ht="15" hidden="false" customHeight="false" outlineLevel="0" collapsed="false">
      <c r="A656" s="9" t="s">
        <v>4055</v>
      </c>
      <c r="B656" s="9" t="s">
        <v>4052</v>
      </c>
      <c r="C656" s="11" t="s">
        <v>4053</v>
      </c>
      <c r="D656" s="12" t="s">
        <v>1166</v>
      </c>
      <c r="E656" s="9" t="s">
        <v>4076</v>
      </c>
      <c r="F656" s="9" t="s">
        <v>4073</v>
      </c>
      <c r="G656" s="11" t="s">
        <v>4074</v>
      </c>
      <c r="H656" s="12" t="s">
        <v>4075</v>
      </c>
      <c r="I656" s="9"/>
      <c r="J656" s="11"/>
      <c r="K656" s="9"/>
      <c r="L656" s="9" t="s">
        <v>68</v>
      </c>
      <c r="M656" s="9" t="s">
        <v>1162</v>
      </c>
      <c r="N656" s="11" t="s">
        <v>1164</v>
      </c>
      <c r="O656" s="12" t="s">
        <v>1166</v>
      </c>
      <c r="P656" s="13" t="n">
        <v>15</v>
      </c>
      <c r="Q656" s="13" t="n">
        <v>10</v>
      </c>
      <c r="R656" s="13" t="n">
        <v>8</v>
      </c>
      <c r="S656" s="13" t="n">
        <v>0.3</v>
      </c>
      <c r="T656" s="9" t="s">
        <v>4615</v>
      </c>
      <c r="U656" s="9"/>
      <c r="V656" s="9" t="s">
        <v>4571</v>
      </c>
      <c r="W656" s="9"/>
      <c r="X656" s="11"/>
      <c r="Y656" s="9"/>
    </row>
    <row r="657" customFormat="false" ht="15" hidden="false" customHeight="false" outlineLevel="0" collapsed="false">
      <c r="A657" s="9" t="s">
        <v>4055</v>
      </c>
      <c r="B657" s="9" t="s">
        <v>4052</v>
      </c>
      <c r="C657" s="11" t="s">
        <v>4053</v>
      </c>
      <c r="D657" s="12" t="s">
        <v>1166</v>
      </c>
      <c r="E657" s="9" t="s">
        <v>4081</v>
      </c>
      <c r="F657" s="9" t="s">
        <v>4078</v>
      </c>
      <c r="G657" s="11" t="s">
        <v>4079</v>
      </c>
      <c r="H657" s="12" t="s">
        <v>4080</v>
      </c>
      <c r="I657" s="9"/>
      <c r="J657" s="11"/>
      <c r="K657" s="9"/>
      <c r="L657" s="9" t="s">
        <v>68</v>
      </c>
      <c r="M657" s="9" t="s">
        <v>1162</v>
      </c>
      <c r="N657" s="11" t="s">
        <v>1164</v>
      </c>
      <c r="O657" s="12" t="s">
        <v>1166</v>
      </c>
      <c r="P657" s="13" t="n">
        <v>15</v>
      </c>
      <c r="Q657" s="13" t="n">
        <v>10</v>
      </c>
      <c r="R657" s="13" t="n">
        <v>8</v>
      </c>
      <c r="S657" s="13" t="n">
        <v>0.3</v>
      </c>
      <c r="T657" s="9" t="s">
        <v>4615</v>
      </c>
      <c r="U657" s="9"/>
      <c r="V657" s="9" t="s">
        <v>4571</v>
      </c>
      <c r="W657" s="9"/>
      <c r="X657" s="11"/>
      <c r="Y657" s="9"/>
    </row>
    <row r="658" customFormat="false" ht="15" hidden="false" customHeight="false" outlineLevel="0" collapsed="false">
      <c r="A658" s="9" t="s">
        <v>4055</v>
      </c>
      <c r="B658" s="9" t="s">
        <v>4052</v>
      </c>
      <c r="C658" s="11" t="s">
        <v>4053</v>
      </c>
      <c r="D658" s="12" t="s">
        <v>1166</v>
      </c>
      <c r="E658" s="9" t="s">
        <v>4086</v>
      </c>
      <c r="F658" s="9" t="s">
        <v>4083</v>
      </c>
      <c r="G658" s="11" t="s">
        <v>4084</v>
      </c>
      <c r="H658" s="12" t="s">
        <v>4085</v>
      </c>
      <c r="I658" s="9"/>
      <c r="J658" s="11"/>
      <c r="K658" s="9"/>
      <c r="L658" s="9" t="s">
        <v>68</v>
      </c>
      <c r="M658" s="9" t="s">
        <v>1162</v>
      </c>
      <c r="N658" s="11" t="s">
        <v>1164</v>
      </c>
      <c r="O658" s="12" t="s">
        <v>1166</v>
      </c>
      <c r="P658" s="13" t="n">
        <v>15</v>
      </c>
      <c r="Q658" s="13" t="n">
        <v>10</v>
      </c>
      <c r="R658" s="13" t="n">
        <v>8</v>
      </c>
      <c r="S658" s="13" t="n">
        <v>0.3</v>
      </c>
      <c r="T658" s="9" t="s">
        <v>4615</v>
      </c>
      <c r="U658" s="9"/>
      <c r="V658" s="9" t="s">
        <v>4571</v>
      </c>
      <c r="W658" s="9"/>
      <c r="X658" s="11"/>
      <c r="Y658" s="9"/>
    </row>
    <row r="659" customFormat="false" ht="15" hidden="false" customHeight="false" outlineLevel="0" collapsed="false">
      <c r="A659" s="9" t="s">
        <v>4092</v>
      </c>
      <c r="B659" s="9" t="s">
        <v>2496</v>
      </c>
      <c r="C659" s="11" t="s">
        <v>2498</v>
      </c>
      <c r="D659" s="12" t="s">
        <v>4090</v>
      </c>
      <c r="E659" s="9" t="s">
        <v>4093</v>
      </c>
      <c r="F659" s="9" t="s">
        <v>4088</v>
      </c>
      <c r="G659" s="11" t="s">
        <v>4089</v>
      </c>
      <c r="H659" s="12" t="s">
        <v>4091</v>
      </c>
      <c r="I659" s="9"/>
      <c r="J659" s="11"/>
      <c r="K659" s="9"/>
      <c r="L659" s="9" t="s">
        <v>68</v>
      </c>
      <c r="M659" s="9" t="s">
        <v>2496</v>
      </c>
      <c r="N659" s="11" t="s">
        <v>2498</v>
      </c>
      <c r="O659" s="12" t="s">
        <v>2500</v>
      </c>
      <c r="P659" s="13" t="n">
        <v>30</v>
      </c>
      <c r="Q659" s="13" t="n">
        <v>20</v>
      </c>
      <c r="R659" s="13" t="n">
        <v>15</v>
      </c>
      <c r="S659" s="13" t="n">
        <v>1.8</v>
      </c>
      <c r="T659" s="9" t="s">
        <v>4615</v>
      </c>
      <c r="U659" s="9"/>
      <c r="V659" s="9" t="s">
        <v>4581</v>
      </c>
      <c r="W659" s="9"/>
      <c r="X659" s="11"/>
      <c r="Y659" s="9"/>
    </row>
    <row r="660" customFormat="false" ht="15" hidden="false" customHeight="false" outlineLevel="0" collapsed="false">
      <c r="A660" s="9" t="s">
        <v>4092</v>
      </c>
      <c r="B660" s="9" t="s">
        <v>2496</v>
      </c>
      <c r="C660" s="11" t="s">
        <v>2498</v>
      </c>
      <c r="D660" s="12" t="s">
        <v>4090</v>
      </c>
      <c r="E660" s="9" t="s">
        <v>4098</v>
      </c>
      <c r="F660" s="9" t="s">
        <v>4095</v>
      </c>
      <c r="G660" s="11" t="s">
        <v>4096</v>
      </c>
      <c r="H660" s="12" t="s">
        <v>4097</v>
      </c>
      <c r="I660" s="9"/>
      <c r="J660" s="11"/>
      <c r="K660" s="9"/>
      <c r="L660" s="9" t="s">
        <v>68</v>
      </c>
      <c r="M660" s="9" t="s">
        <v>2496</v>
      </c>
      <c r="N660" s="11" t="s">
        <v>2498</v>
      </c>
      <c r="O660" s="12" t="s">
        <v>2500</v>
      </c>
      <c r="P660" s="13" t="n">
        <v>10</v>
      </c>
      <c r="Q660" s="13" t="n">
        <v>8</v>
      </c>
      <c r="R660" s="13" t="n">
        <v>6</v>
      </c>
      <c r="S660" s="13" t="n">
        <v>0.1</v>
      </c>
      <c r="T660" s="9" t="s">
        <v>4615</v>
      </c>
      <c r="U660" s="9"/>
      <c r="V660" s="9" t="s">
        <v>4572</v>
      </c>
      <c r="W660" s="9"/>
      <c r="X660" s="11"/>
      <c r="Y660" s="9"/>
    </row>
    <row r="661" customFormat="false" ht="15" hidden="false" customHeight="false" outlineLevel="0" collapsed="false">
      <c r="A661" s="9" t="s">
        <v>4092</v>
      </c>
      <c r="B661" s="9" t="s">
        <v>2496</v>
      </c>
      <c r="C661" s="11" t="s">
        <v>2498</v>
      </c>
      <c r="D661" s="12" t="s">
        <v>4090</v>
      </c>
      <c r="E661" s="9" t="s">
        <v>4103</v>
      </c>
      <c r="F661" s="9" t="s">
        <v>4100</v>
      </c>
      <c r="G661" s="11" t="s">
        <v>4101</v>
      </c>
      <c r="H661" s="12" t="s">
        <v>4102</v>
      </c>
      <c r="I661" s="9"/>
      <c r="J661" s="11"/>
      <c r="K661" s="9"/>
      <c r="L661" s="9" t="s">
        <v>68</v>
      </c>
      <c r="M661" s="9" t="s">
        <v>2496</v>
      </c>
      <c r="N661" s="11" t="s">
        <v>2498</v>
      </c>
      <c r="O661" s="12" t="s">
        <v>2500</v>
      </c>
      <c r="P661" s="13" t="n">
        <v>10</v>
      </c>
      <c r="Q661" s="13" t="n">
        <v>8</v>
      </c>
      <c r="R661" s="13" t="n">
        <v>6</v>
      </c>
      <c r="S661" s="13" t="n">
        <v>0.1</v>
      </c>
      <c r="T661" s="9" t="s">
        <v>4615</v>
      </c>
      <c r="U661" s="9"/>
      <c r="V661" s="9" t="s">
        <v>4572</v>
      </c>
      <c r="W661" s="9"/>
      <c r="X661" s="11"/>
      <c r="Y661" s="9"/>
    </row>
    <row r="662" customFormat="false" ht="15" hidden="false" customHeight="false" outlineLevel="0" collapsed="false">
      <c r="A662" s="9" t="s">
        <v>4092</v>
      </c>
      <c r="B662" s="9" t="s">
        <v>2496</v>
      </c>
      <c r="C662" s="11" t="s">
        <v>2498</v>
      </c>
      <c r="D662" s="12" t="s">
        <v>4090</v>
      </c>
      <c r="E662" s="9" t="s">
        <v>4108</v>
      </c>
      <c r="F662" s="9" t="s">
        <v>4105</v>
      </c>
      <c r="G662" s="11" t="s">
        <v>4106</v>
      </c>
      <c r="H662" s="12" t="s">
        <v>4107</v>
      </c>
      <c r="I662" s="9"/>
      <c r="J662" s="11"/>
      <c r="K662" s="9"/>
      <c r="L662" s="9" t="s">
        <v>68</v>
      </c>
      <c r="M662" s="9" t="s">
        <v>2496</v>
      </c>
      <c r="N662" s="11" t="s">
        <v>2498</v>
      </c>
      <c r="O662" s="12" t="s">
        <v>2500</v>
      </c>
      <c r="P662" s="13" t="n">
        <v>15</v>
      </c>
      <c r="Q662" s="13" t="n">
        <v>10</v>
      </c>
      <c r="R662" s="13" t="n">
        <v>8</v>
      </c>
      <c r="S662" s="13" t="n">
        <v>0.3</v>
      </c>
      <c r="T662" s="9" t="s">
        <v>4615</v>
      </c>
      <c r="U662" s="9"/>
      <c r="V662" s="9" t="s">
        <v>4571</v>
      </c>
      <c r="W662" s="9"/>
      <c r="X662" s="11"/>
      <c r="Y662" s="9"/>
    </row>
    <row r="663" customFormat="false" ht="15" hidden="false" customHeight="false" outlineLevel="0" collapsed="false">
      <c r="A663" s="9" t="s">
        <v>4092</v>
      </c>
      <c r="B663" s="9" t="s">
        <v>2496</v>
      </c>
      <c r="C663" s="11" t="s">
        <v>2498</v>
      </c>
      <c r="D663" s="12" t="s">
        <v>4090</v>
      </c>
      <c r="E663" s="9" t="s">
        <v>4113</v>
      </c>
      <c r="F663" s="9" t="s">
        <v>4110</v>
      </c>
      <c r="G663" s="11" t="s">
        <v>4111</v>
      </c>
      <c r="H663" s="12" t="s">
        <v>4112</v>
      </c>
      <c r="I663" s="9"/>
      <c r="J663" s="11"/>
      <c r="K663" s="9"/>
      <c r="L663" s="9" t="s">
        <v>68</v>
      </c>
      <c r="M663" s="9" t="s">
        <v>2496</v>
      </c>
      <c r="N663" s="11" t="s">
        <v>2498</v>
      </c>
      <c r="O663" s="12" t="s">
        <v>2500</v>
      </c>
      <c r="P663" s="13" t="n">
        <v>25</v>
      </c>
      <c r="Q663" s="13" t="n">
        <v>15</v>
      </c>
      <c r="R663" s="13" t="n">
        <v>10</v>
      </c>
      <c r="S663" s="13" t="n">
        <v>0.9</v>
      </c>
      <c r="T663" s="9" t="s">
        <v>4615</v>
      </c>
      <c r="U663" s="9"/>
      <c r="V663" s="9" t="s">
        <v>4568</v>
      </c>
      <c r="W663" s="9"/>
      <c r="X663" s="11"/>
      <c r="Y663" s="9"/>
    </row>
    <row r="664" customFormat="false" ht="15" hidden="false" customHeight="false" outlineLevel="0" collapsed="false">
      <c r="A664" s="9" t="s">
        <v>4092</v>
      </c>
      <c r="B664" s="9" t="s">
        <v>2496</v>
      </c>
      <c r="C664" s="11" t="s">
        <v>2498</v>
      </c>
      <c r="D664" s="12" t="s">
        <v>4090</v>
      </c>
      <c r="E664" s="9" t="s">
        <v>4118</v>
      </c>
      <c r="F664" s="9" t="s">
        <v>4115</v>
      </c>
      <c r="G664" s="11" t="s">
        <v>4116</v>
      </c>
      <c r="H664" s="12" t="s">
        <v>4117</v>
      </c>
      <c r="I664" s="9"/>
      <c r="J664" s="11"/>
      <c r="K664" s="9"/>
      <c r="L664" s="9" t="s">
        <v>68</v>
      </c>
      <c r="M664" s="9" t="s">
        <v>2496</v>
      </c>
      <c r="N664" s="11" t="s">
        <v>2498</v>
      </c>
      <c r="O664" s="12" t="s">
        <v>2500</v>
      </c>
      <c r="P664" s="13" t="n">
        <v>30</v>
      </c>
      <c r="Q664" s="13" t="n">
        <v>20</v>
      </c>
      <c r="R664" s="13" t="n">
        <v>15</v>
      </c>
      <c r="S664" s="13" t="n">
        <v>1.8</v>
      </c>
      <c r="T664" s="9" t="s">
        <v>4563</v>
      </c>
      <c r="U664" s="9"/>
      <c r="V664" s="9" t="s">
        <v>4581</v>
      </c>
      <c r="W664" s="9"/>
      <c r="X664" s="11"/>
      <c r="Y664" s="9"/>
    </row>
    <row r="665" customFormat="false" ht="15" hidden="false" customHeight="false" outlineLevel="0" collapsed="false">
      <c r="A665" s="9" t="s">
        <v>4126</v>
      </c>
      <c r="B665" s="9" t="s">
        <v>4120</v>
      </c>
      <c r="C665" s="11" t="s">
        <v>4122</v>
      </c>
      <c r="D665" s="12" t="s">
        <v>4124</v>
      </c>
      <c r="E665" s="9" t="s">
        <v>4127</v>
      </c>
      <c r="F665" s="9" t="s">
        <v>4121</v>
      </c>
      <c r="G665" s="11" t="s">
        <v>4123</v>
      </c>
      <c r="H665" s="12" t="s">
        <v>4125</v>
      </c>
      <c r="I665" s="9"/>
      <c r="J665" s="11"/>
      <c r="K665" s="9"/>
      <c r="L665" s="9" t="s">
        <v>68</v>
      </c>
      <c r="M665" s="9" t="s">
        <v>2567</v>
      </c>
      <c r="N665" s="11" t="s">
        <v>2569</v>
      </c>
      <c r="O665" s="12" t="s">
        <v>2571</v>
      </c>
      <c r="P665" s="13" t="n">
        <v>100</v>
      </c>
      <c r="Q665" s="13" t="n">
        <v>70</v>
      </c>
      <c r="R665" s="13" t="n">
        <v>6</v>
      </c>
      <c r="S665" s="13" t="n">
        <v>8</v>
      </c>
      <c r="T665" s="9" t="s">
        <v>4615</v>
      </c>
      <c r="U665" s="9"/>
      <c r="V665" s="9" t="s">
        <v>4565</v>
      </c>
      <c r="W665" s="9"/>
      <c r="X665" s="11"/>
      <c r="Y665" s="9"/>
    </row>
    <row r="666" customFormat="false" ht="15" hidden="false" customHeight="false" outlineLevel="0" collapsed="false">
      <c r="A666" s="9" t="s">
        <v>4126</v>
      </c>
      <c r="B666" s="9" t="s">
        <v>4120</v>
      </c>
      <c r="C666" s="11" t="s">
        <v>4122</v>
      </c>
      <c r="D666" s="12" t="s">
        <v>4124</v>
      </c>
      <c r="E666" s="9" t="s">
        <v>4132</v>
      </c>
      <c r="F666" s="9" t="s">
        <v>4129</v>
      </c>
      <c r="G666" s="11" t="s">
        <v>4130</v>
      </c>
      <c r="H666" s="12" t="s">
        <v>4131</v>
      </c>
      <c r="I666" s="9"/>
      <c r="J666" s="11"/>
      <c r="K666" s="9"/>
      <c r="L666" s="9" t="s">
        <v>68</v>
      </c>
      <c r="M666" s="9" t="s">
        <v>2567</v>
      </c>
      <c r="N666" s="11" t="s">
        <v>2569</v>
      </c>
      <c r="O666" s="12" t="s">
        <v>2571</v>
      </c>
      <c r="P666" s="13" t="n">
        <v>60</v>
      </c>
      <c r="Q666" s="13" t="n">
        <v>45</v>
      </c>
      <c r="R666" s="13" t="n">
        <v>6</v>
      </c>
      <c r="S666" s="13" t="n">
        <v>4.5</v>
      </c>
      <c r="T666" s="9" t="s">
        <v>4615</v>
      </c>
      <c r="U666" s="9"/>
      <c r="V666" s="9" t="s">
        <v>4565</v>
      </c>
      <c r="W666" s="9" t="s">
        <v>4961</v>
      </c>
      <c r="X666" s="11"/>
      <c r="Y666" s="9"/>
    </row>
    <row r="667" customFormat="false" ht="15" hidden="false" customHeight="false" outlineLevel="0" collapsed="false">
      <c r="A667" s="9" t="s">
        <v>4126</v>
      </c>
      <c r="B667" s="9" t="s">
        <v>4120</v>
      </c>
      <c r="C667" s="11" t="s">
        <v>4122</v>
      </c>
      <c r="D667" s="12" t="s">
        <v>4124</v>
      </c>
      <c r="E667" s="9" t="s">
        <v>4137</v>
      </c>
      <c r="F667" s="9" t="s">
        <v>4134</v>
      </c>
      <c r="G667" s="11" t="s">
        <v>4135</v>
      </c>
      <c r="H667" s="12" t="s">
        <v>4136</v>
      </c>
      <c r="I667" s="9"/>
      <c r="J667" s="11"/>
      <c r="K667" s="9"/>
      <c r="L667" s="9" t="s">
        <v>68</v>
      </c>
      <c r="M667" s="9" t="s">
        <v>2567</v>
      </c>
      <c r="N667" s="11" t="s">
        <v>2569</v>
      </c>
      <c r="O667" s="12" t="s">
        <v>2571</v>
      </c>
      <c r="P667" s="13" t="n">
        <v>60</v>
      </c>
      <c r="Q667" s="13" t="n">
        <v>45</v>
      </c>
      <c r="R667" s="13" t="n">
        <v>6</v>
      </c>
      <c r="S667" s="13" t="n">
        <v>3</v>
      </c>
      <c r="T667" s="9" t="s">
        <v>4615</v>
      </c>
      <c r="U667" s="9"/>
      <c r="V667" s="9" t="s">
        <v>4565</v>
      </c>
      <c r="W667" s="9" t="s">
        <v>4962</v>
      </c>
      <c r="X667" s="11"/>
      <c r="Y667" s="9"/>
    </row>
    <row r="668" customFormat="false" ht="15" hidden="false" customHeight="false" outlineLevel="0" collapsed="false">
      <c r="A668" s="9" t="s">
        <v>4142</v>
      </c>
      <c r="B668" s="9" t="s">
        <v>2848</v>
      </c>
      <c r="C668" s="11" t="s">
        <v>4139</v>
      </c>
      <c r="D668" s="12" t="s">
        <v>4141</v>
      </c>
      <c r="E668" s="9" t="s">
        <v>4143</v>
      </c>
      <c r="F668" s="9" t="s">
        <v>2848</v>
      </c>
      <c r="G668" s="11" t="s">
        <v>4140</v>
      </c>
      <c r="H668" s="12" t="s">
        <v>4141</v>
      </c>
      <c r="I668" s="9"/>
      <c r="J668" s="11"/>
      <c r="K668" s="9"/>
      <c r="L668" s="9" t="s">
        <v>68</v>
      </c>
      <c r="M668" s="9" t="s">
        <v>2848</v>
      </c>
      <c r="N668" s="11" t="s">
        <v>2850</v>
      </c>
      <c r="O668" s="12" t="s">
        <v>2852</v>
      </c>
      <c r="P668" s="13" t="n">
        <v>150</v>
      </c>
      <c r="Q668" s="13" t="n">
        <v>110</v>
      </c>
      <c r="R668" s="13" t="n">
        <v>6</v>
      </c>
      <c r="S668" s="13" t="n">
        <v>5</v>
      </c>
      <c r="T668" s="9" t="s">
        <v>4615</v>
      </c>
      <c r="U668" s="9" t="s">
        <v>4719</v>
      </c>
      <c r="V668" s="9" t="s">
        <v>4565</v>
      </c>
      <c r="W668" s="9"/>
      <c r="X668" s="11" t="s">
        <v>4139</v>
      </c>
      <c r="Y668" s="9"/>
    </row>
    <row r="669" customFormat="false" ht="15" hidden="false" customHeight="false" outlineLevel="0" collapsed="false">
      <c r="A669" s="9" t="s">
        <v>4142</v>
      </c>
      <c r="B669" s="9" t="s">
        <v>2848</v>
      </c>
      <c r="C669" s="11" t="s">
        <v>4139</v>
      </c>
      <c r="D669" s="12" t="s">
        <v>4141</v>
      </c>
      <c r="E669" s="9" t="s">
        <v>4148</v>
      </c>
      <c r="F669" s="9" t="s">
        <v>4145</v>
      </c>
      <c r="G669" s="11" t="s">
        <v>4146</v>
      </c>
      <c r="H669" s="12" t="s">
        <v>4147</v>
      </c>
      <c r="I669" s="9"/>
      <c r="J669" s="11"/>
      <c r="K669" s="9"/>
      <c r="L669" s="9" t="s">
        <v>4604</v>
      </c>
      <c r="M669" s="9" t="s">
        <v>2848</v>
      </c>
      <c r="N669" s="11" t="s">
        <v>2850</v>
      </c>
      <c r="O669" s="12" t="s">
        <v>2852</v>
      </c>
      <c r="P669" s="13" t="n">
        <v>30</v>
      </c>
      <c r="Q669" s="13" t="n">
        <v>20</v>
      </c>
      <c r="R669" s="13" t="n">
        <v>15</v>
      </c>
      <c r="S669" s="13" t="n">
        <v>1.8</v>
      </c>
      <c r="T669" s="9" t="s">
        <v>4615</v>
      </c>
      <c r="U669" s="9"/>
      <c r="V669" s="9" t="s">
        <v>4581</v>
      </c>
      <c r="W669" s="9"/>
      <c r="X669" s="11" t="s">
        <v>4963</v>
      </c>
      <c r="Y669" s="9"/>
    </row>
    <row r="670" customFormat="false" ht="15" hidden="false" customHeight="false" outlineLevel="0" collapsed="false">
      <c r="A670" s="9" t="s">
        <v>4142</v>
      </c>
      <c r="B670" s="9" t="s">
        <v>2848</v>
      </c>
      <c r="C670" s="11" t="s">
        <v>4139</v>
      </c>
      <c r="D670" s="12" t="s">
        <v>4141</v>
      </c>
      <c r="E670" s="9" t="s">
        <v>4154</v>
      </c>
      <c r="F670" s="9" t="s">
        <v>4151</v>
      </c>
      <c r="G670" s="11" t="s">
        <v>4152</v>
      </c>
      <c r="H670" s="12" t="s">
        <v>4153</v>
      </c>
      <c r="I670" s="9"/>
      <c r="J670" s="11"/>
      <c r="K670" s="9"/>
      <c r="L670" s="9" t="s">
        <v>4604</v>
      </c>
      <c r="M670" s="9" t="s">
        <v>2848</v>
      </c>
      <c r="N670" s="11" t="s">
        <v>2850</v>
      </c>
      <c r="O670" s="12" t="s">
        <v>2852</v>
      </c>
      <c r="P670" s="13" t="n">
        <v>10</v>
      </c>
      <c r="Q670" s="13" t="n">
        <v>8</v>
      </c>
      <c r="R670" s="13" t="n">
        <v>6</v>
      </c>
      <c r="S670" s="13" t="n">
        <v>0.1</v>
      </c>
      <c r="T670" s="9" t="s">
        <v>4615</v>
      </c>
      <c r="U670" s="9"/>
      <c r="V670" s="9" t="s">
        <v>4572</v>
      </c>
      <c r="W670" s="9"/>
      <c r="X670" s="11"/>
      <c r="Y670" s="9"/>
    </row>
    <row r="671" customFormat="false" ht="15" hidden="false" customHeight="false" outlineLevel="0" collapsed="false">
      <c r="A671" s="9" t="s">
        <v>4142</v>
      </c>
      <c r="B671" s="9" t="s">
        <v>2848</v>
      </c>
      <c r="C671" s="11" t="s">
        <v>4139</v>
      </c>
      <c r="D671" s="12" t="s">
        <v>4141</v>
      </c>
      <c r="E671" s="9" t="s">
        <v>4160</v>
      </c>
      <c r="F671" s="9" t="s">
        <v>4157</v>
      </c>
      <c r="G671" s="11" t="s">
        <v>4158</v>
      </c>
      <c r="H671" s="12" t="s">
        <v>4159</v>
      </c>
      <c r="I671" s="9"/>
      <c r="J671" s="11"/>
      <c r="K671" s="9"/>
      <c r="L671" s="9" t="s">
        <v>4730</v>
      </c>
      <c r="M671" s="9" t="s">
        <v>2848</v>
      </c>
      <c r="N671" s="11" t="s">
        <v>2850</v>
      </c>
      <c r="O671" s="12" t="s">
        <v>2852</v>
      </c>
      <c r="P671" s="13" t="n">
        <v>15</v>
      </c>
      <c r="Q671" s="13" t="n">
        <v>10</v>
      </c>
      <c r="R671" s="13" t="n">
        <v>8</v>
      </c>
      <c r="S671" s="13" t="n">
        <v>0.3</v>
      </c>
      <c r="T671" s="9" t="s">
        <v>4615</v>
      </c>
      <c r="U671" s="9"/>
      <c r="V671" s="9" t="s">
        <v>4571</v>
      </c>
      <c r="W671" s="9"/>
      <c r="X671" s="11" t="s">
        <v>4964</v>
      </c>
      <c r="Y671" s="9"/>
    </row>
    <row r="672" customFormat="false" ht="15" hidden="false" customHeight="false" outlineLevel="0" collapsed="false">
      <c r="A672" s="9" t="s">
        <v>4142</v>
      </c>
      <c r="B672" s="9" t="s">
        <v>2848</v>
      </c>
      <c r="C672" s="11" t="s">
        <v>4139</v>
      </c>
      <c r="D672" s="12" t="s">
        <v>4141</v>
      </c>
      <c r="E672" s="9" t="s">
        <v>4168</v>
      </c>
      <c r="F672" s="9" t="s">
        <v>4165</v>
      </c>
      <c r="G672" s="11" t="s">
        <v>4166</v>
      </c>
      <c r="H672" s="12" t="s">
        <v>4167</v>
      </c>
      <c r="I672" s="9"/>
      <c r="J672" s="11"/>
      <c r="K672" s="9"/>
      <c r="L672" s="9" t="s">
        <v>4730</v>
      </c>
      <c r="M672" s="9" t="s">
        <v>2260</v>
      </c>
      <c r="N672" s="11" t="s">
        <v>2262</v>
      </c>
      <c r="O672" s="12" t="s">
        <v>2264</v>
      </c>
      <c r="P672" s="13" t="n">
        <v>30</v>
      </c>
      <c r="Q672" s="13" t="n">
        <v>20</v>
      </c>
      <c r="R672" s="13" t="n">
        <v>15</v>
      </c>
      <c r="S672" s="13" t="n">
        <v>1.8</v>
      </c>
      <c r="T672" s="9" t="s">
        <v>4615</v>
      </c>
      <c r="U672" s="9"/>
      <c r="V672" s="9" t="s">
        <v>4581</v>
      </c>
      <c r="W672" s="9"/>
      <c r="X672" s="11" t="s">
        <v>4965</v>
      </c>
      <c r="Y672" s="9"/>
    </row>
    <row r="673" customFormat="false" ht="15" hidden="false" customHeight="false" outlineLevel="0" collapsed="false">
      <c r="A673" s="9" t="s">
        <v>4179</v>
      </c>
      <c r="B673" s="9" t="s">
        <v>4173</v>
      </c>
      <c r="C673" s="11" t="s">
        <v>4175</v>
      </c>
      <c r="D673" s="12" t="s">
        <v>4177</v>
      </c>
      <c r="E673" s="9" t="s">
        <v>4180</v>
      </c>
      <c r="F673" s="9" t="s">
        <v>4174</v>
      </c>
      <c r="G673" s="11" t="s">
        <v>4176</v>
      </c>
      <c r="H673" s="12" t="s">
        <v>4178</v>
      </c>
      <c r="I673" s="9"/>
      <c r="J673" s="11"/>
      <c r="K673" s="9"/>
      <c r="L673" s="9" t="s">
        <v>68</v>
      </c>
      <c r="M673" s="9" t="s">
        <v>1863</v>
      </c>
      <c r="N673" s="11" t="s">
        <v>1864</v>
      </c>
      <c r="O673" s="12" t="s">
        <v>1865</v>
      </c>
      <c r="P673" s="13" t="n">
        <v>35</v>
      </c>
      <c r="Q673" s="13" t="n">
        <v>35</v>
      </c>
      <c r="R673" s="13" t="n">
        <v>15</v>
      </c>
      <c r="S673" s="13" t="n">
        <v>1.2</v>
      </c>
      <c r="T673" s="9" t="s">
        <v>4615</v>
      </c>
      <c r="U673" s="9" t="s">
        <v>4966</v>
      </c>
      <c r="V673" s="9" t="s">
        <v>4565</v>
      </c>
      <c r="W673" s="9"/>
      <c r="X673" s="11"/>
      <c r="Y673" s="9"/>
    </row>
    <row r="674" customFormat="false" ht="15" hidden="false" customHeight="false" outlineLevel="0" collapsed="false">
      <c r="A674" s="9" t="s">
        <v>4179</v>
      </c>
      <c r="B674" s="9" t="s">
        <v>4173</v>
      </c>
      <c r="C674" s="11" t="s">
        <v>4175</v>
      </c>
      <c r="D674" s="12" t="s">
        <v>4177</v>
      </c>
      <c r="E674" s="9" t="s">
        <v>4185</v>
      </c>
      <c r="F674" s="9" t="s">
        <v>4182</v>
      </c>
      <c r="G674" s="11" t="s">
        <v>4183</v>
      </c>
      <c r="H674" s="12" t="s">
        <v>4184</v>
      </c>
      <c r="I674" s="9"/>
      <c r="J674" s="11"/>
      <c r="K674" s="9"/>
      <c r="L674" s="9" t="s">
        <v>68</v>
      </c>
      <c r="M674" s="9" t="s">
        <v>2439</v>
      </c>
      <c r="N674" s="11" t="s">
        <v>2441</v>
      </c>
      <c r="O674" s="12" t="s">
        <v>2443</v>
      </c>
      <c r="P674" s="13" t="n">
        <v>60</v>
      </c>
      <c r="Q674" s="13" t="n">
        <v>35</v>
      </c>
      <c r="R674" s="13" t="n">
        <v>20</v>
      </c>
      <c r="S674" s="13" t="n">
        <v>3</v>
      </c>
      <c r="T674" s="9" t="s">
        <v>4615</v>
      </c>
      <c r="U674" s="9" t="s">
        <v>4966</v>
      </c>
      <c r="V674" s="9" t="s">
        <v>4565</v>
      </c>
      <c r="W674" s="9"/>
      <c r="X674" s="11"/>
      <c r="Y674" s="9"/>
    </row>
    <row r="675" customFormat="false" ht="15" hidden="false" customHeight="false" outlineLevel="0" collapsed="false">
      <c r="A675" s="9" t="s">
        <v>4179</v>
      </c>
      <c r="B675" s="9" t="s">
        <v>4173</v>
      </c>
      <c r="C675" s="11" t="s">
        <v>4175</v>
      </c>
      <c r="D675" s="12" t="s">
        <v>4177</v>
      </c>
      <c r="E675" s="9" t="s">
        <v>4190</v>
      </c>
      <c r="F675" s="9" t="s">
        <v>4187</v>
      </c>
      <c r="G675" s="11" t="s">
        <v>4188</v>
      </c>
      <c r="H675" s="12" t="s">
        <v>4189</v>
      </c>
      <c r="I675" s="9"/>
      <c r="J675" s="11"/>
      <c r="K675" s="9"/>
      <c r="L675" s="9" t="s">
        <v>4604</v>
      </c>
      <c r="M675" s="9" t="s">
        <v>2601</v>
      </c>
      <c r="N675" s="11" t="s">
        <v>2603</v>
      </c>
      <c r="O675" s="12" t="s">
        <v>2605</v>
      </c>
      <c r="P675" s="13" t="n">
        <v>25</v>
      </c>
      <c r="Q675" s="13" t="n">
        <v>15</v>
      </c>
      <c r="R675" s="13" t="n">
        <v>10</v>
      </c>
      <c r="S675" s="13" t="n">
        <v>0.9</v>
      </c>
      <c r="T675" s="9" t="s">
        <v>4615</v>
      </c>
      <c r="U675" s="9" t="s">
        <v>4966</v>
      </c>
      <c r="V675" s="9" t="s">
        <v>4568</v>
      </c>
      <c r="W675" s="9"/>
      <c r="X675" s="11"/>
      <c r="Y675" s="9"/>
    </row>
    <row r="676" customFormat="false" ht="15" hidden="false" customHeight="false" outlineLevel="0" collapsed="false">
      <c r="A676" s="9" t="s">
        <v>4179</v>
      </c>
      <c r="B676" s="9" t="s">
        <v>4173</v>
      </c>
      <c r="C676" s="11" t="s">
        <v>4175</v>
      </c>
      <c r="D676" s="12" t="s">
        <v>4177</v>
      </c>
      <c r="E676" s="9" t="s">
        <v>4196</v>
      </c>
      <c r="F676" s="9" t="s">
        <v>4193</v>
      </c>
      <c r="G676" s="11" t="s">
        <v>4194</v>
      </c>
      <c r="H676" s="12" t="s">
        <v>4195</v>
      </c>
      <c r="I676" s="9"/>
      <c r="J676" s="11"/>
      <c r="K676" s="9"/>
      <c r="L676" s="9" t="s">
        <v>4604</v>
      </c>
      <c r="M676" s="9" t="s">
        <v>2848</v>
      </c>
      <c r="N676" s="11" t="s">
        <v>2850</v>
      </c>
      <c r="O676" s="12" t="s">
        <v>2852</v>
      </c>
      <c r="P676" s="13" t="n">
        <v>150</v>
      </c>
      <c r="Q676" s="13" t="n">
        <v>15</v>
      </c>
      <c r="R676" s="13" t="n">
        <v>10</v>
      </c>
      <c r="S676" s="13" t="n">
        <v>2</v>
      </c>
      <c r="T676" s="9" t="s">
        <v>4615</v>
      </c>
      <c r="U676" s="9" t="s">
        <v>4967</v>
      </c>
      <c r="V676" s="9" t="s">
        <v>4565</v>
      </c>
      <c r="W676" s="9"/>
      <c r="X676" s="11"/>
      <c r="Y676" s="9"/>
    </row>
    <row r="677" customFormat="false" ht="15" hidden="false" customHeight="false" outlineLevel="0" collapsed="false">
      <c r="A677" s="9" t="s">
        <v>4179</v>
      </c>
      <c r="B677" s="9" t="s">
        <v>4173</v>
      </c>
      <c r="C677" s="11" t="s">
        <v>4175</v>
      </c>
      <c r="D677" s="12" t="s">
        <v>4177</v>
      </c>
      <c r="E677" s="9" t="s">
        <v>4202</v>
      </c>
      <c r="F677" s="9" t="s">
        <v>4199</v>
      </c>
      <c r="G677" s="11" t="s">
        <v>4200</v>
      </c>
      <c r="H677" s="12" t="s">
        <v>4201</v>
      </c>
      <c r="I677" s="9"/>
      <c r="J677" s="11"/>
      <c r="K677" s="9"/>
      <c r="L677" s="9" t="s">
        <v>68</v>
      </c>
      <c r="M677" s="9" t="s">
        <v>2439</v>
      </c>
      <c r="N677" s="11" t="s">
        <v>2441</v>
      </c>
      <c r="O677" s="12" t="s">
        <v>2443</v>
      </c>
      <c r="P677" s="13" t="n">
        <v>25</v>
      </c>
      <c r="Q677" s="13" t="n">
        <v>15</v>
      </c>
      <c r="R677" s="13" t="n">
        <v>10</v>
      </c>
      <c r="S677" s="13" t="n">
        <v>0.9</v>
      </c>
      <c r="T677" s="9" t="s">
        <v>4615</v>
      </c>
      <c r="U677" s="9" t="s">
        <v>4966</v>
      </c>
      <c r="V677" s="9" t="s">
        <v>4568</v>
      </c>
      <c r="W677" s="9"/>
      <c r="X677" s="11"/>
      <c r="Y677" s="9"/>
    </row>
    <row r="678" customFormat="false" ht="15" hidden="false" customHeight="false" outlineLevel="0" collapsed="false">
      <c r="A678" s="9" t="s">
        <v>4209</v>
      </c>
      <c r="B678" s="9" t="s">
        <v>4204</v>
      </c>
      <c r="C678" s="11" t="s">
        <v>4206</v>
      </c>
      <c r="D678" s="12" t="s">
        <v>4208</v>
      </c>
      <c r="E678" s="9" t="s">
        <v>4210</v>
      </c>
      <c r="F678" s="9" t="s">
        <v>4205</v>
      </c>
      <c r="G678" s="11" t="s">
        <v>4207</v>
      </c>
      <c r="H678" s="12" t="s">
        <v>4208</v>
      </c>
      <c r="I678" s="9"/>
      <c r="J678" s="11"/>
      <c r="K678" s="9"/>
      <c r="L678" s="9" t="s">
        <v>4730</v>
      </c>
      <c r="M678" s="9" t="s">
        <v>2601</v>
      </c>
      <c r="N678" s="11" t="s">
        <v>2603</v>
      </c>
      <c r="O678" s="12" t="s">
        <v>2605</v>
      </c>
      <c r="P678" s="13" t="n">
        <v>30</v>
      </c>
      <c r="Q678" s="13" t="n">
        <v>20</v>
      </c>
      <c r="R678" s="13" t="n">
        <v>15</v>
      </c>
      <c r="S678" s="13" t="n">
        <v>1.8</v>
      </c>
      <c r="T678" s="9" t="s">
        <v>4615</v>
      </c>
      <c r="U678" s="9"/>
      <c r="V678" s="9" t="s">
        <v>4581</v>
      </c>
      <c r="W678" s="9"/>
      <c r="X678" s="11"/>
      <c r="Y678" s="9"/>
    </row>
    <row r="679" customFormat="false" ht="15" hidden="false" customHeight="false" outlineLevel="0" collapsed="false">
      <c r="A679" s="9" t="s">
        <v>4209</v>
      </c>
      <c r="B679" s="9" t="s">
        <v>4204</v>
      </c>
      <c r="C679" s="11" t="s">
        <v>4206</v>
      </c>
      <c r="D679" s="12" t="s">
        <v>4208</v>
      </c>
      <c r="E679" s="9" t="s">
        <v>4218</v>
      </c>
      <c r="F679" s="9" t="s">
        <v>4215</v>
      </c>
      <c r="G679" s="11" t="s">
        <v>4216</v>
      </c>
      <c r="H679" s="12" t="s">
        <v>4217</v>
      </c>
      <c r="I679" s="9"/>
      <c r="J679" s="11"/>
      <c r="K679" s="9"/>
      <c r="L679" s="9" t="s">
        <v>4752</v>
      </c>
      <c r="M679" s="9" t="s">
        <v>2601</v>
      </c>
      <c r="N679" s="11" t="s">
        <v>2603</v>
      </c>
      <c r="O679" s="12" t="s">
        <v>2605</v>
      </c>
      <c r="P679" s="13" t="n">
        <v>15</v>
      </c>
      <c r="Q679" s="13" t="n">
        <v>10</v>
      </c>
      <c r="R679" s="13" t="n">
        <v>8</v>
      </c>
      <c r="S679" s="13" t="n">
        <v>0.3</v>
      </c>
      <c r="T679" s="9" t="s">
        <v>4615</v>
      </c>
      <c r="U679" s="9" t="s">
        <v>4966</v>
      </c>
      <c r="V679" s="9" t="s">
        <v>4571</v>
      </c>
      <c r="W679" s="9"/>
      <c r="X679" s="11"/>
      <c r="Y679" s="9"/>
    </row>
    <row r="680" customFormat="false" ht="15" hidden="false" customHeight="false" outlineLevel="0" collapsed="false">
      <c r="A680" s="9" t="s">
        <v>4209</v>
      </c>
      <c r="B680" s="9" t="s">
        <v>4204</v>
      </c>
      <c r="C680" s="11" t="s">
        <v>4206</v>
      </c>
      <c r="D680" s="12" t="s">
        <v>4208</v>
      </c>
      <c r="E680" s="9" t="s">
        <v>4224</v>
      </c>
      <c r="F680" s="9" t="s">
        <v>4221</v>
      </c>
      <c r="G680" s="11" t="s">
        <v>4222</v>
      </c>
      <c r="H680" s="12" t="s">
        <v>4223</v>
      </c>
      <c r="I680" s="9"/>
      <c r="J680" s="11"/>
      <c r="K680" s="9"/>
      <c r="L680" s="9" t="s">
        <v>4730</v>
      </c>
      <c r="M680" s="9" t="s">
        <v>2601</v>
      </c>
      <c r="N680" s="11" t="s">
        <v>2603</v>
      </c>
      <c r="O680" s="12" t="s">
        <v>2605</v>
      </c>
      <c r="P680" s="13" t="n">
        <v>10</v>
      </c>
      <c r="Q680" s="13" t="n">
        <v>8</v>
      </c>
      <c r="R680" s="13" t="n">
        <v>6</v>
      </c>
      <c r="S680" s="13" t="n">
        <v>0.1</v>
      </c>
      <c r="T680" s="9" t="s">
        <v>4615</v>
      </c>
      <c r="U680" s="9"/>
      <c r="V680" s="9" t="s">
        <v>4572</v>
      </c>
      <c r="W680" s="9"/>
      <c r="X680" s="11"/>
      <c r="Y680" s="9"/>
    </row>
    <row r="681" customFormat="false" ht="15" hidden="false" customHeight="false" outlineLevel="0" collapsed="false">
      <c r="A681" s="9" t="s">
        <v>4209</v>
      </c>
      <c r="B681" s="9" t="s">
        <v>4204</v>
      </c>
      <c r="C681" s="11" t="s">
        <v>4206</v>
      </c>
      <c r="D681" s="12" t="s">
        <v>4208</v>
      </c>
      <c r="E681" s="9" t="s">
        <v>4232</v>
      </c>
      <c r="F681" s="9" t="s">
        <v>4229</v>
      </c>
      <c r="G681" s="11" t="s">
        <v>4230</v>
      </c>
      <c r="H681" s="12" t="s">
        <v>4231</v>
      </c>
      <c r="I681" s="9"/>
      <c r="J681" s="11"/>
      <c r="K681" s="9"/>
      <c r="L681" s="9" t="s">
        <v>4756</v>
      </c>
      <c r="M681" s="9" t="s">
        <v>2601</v>
      </c>
      <c r="N681" s="11" t="s">
        <v>2603</v>
      </c>
      <c r="O681" s="12" t="s">
        <v>2605</v>
      </c>
      <c r="P681" s="13" t="n">
        <v>10</v>
      </c>
      <c r="Q681" s="13" t="n">
        <v>8</v>
      </c>
      <c r="R681" s="13" t="n">
        <v>6</v>
      </c>
      <c r="S681" s="13" t="n">
        <v>0.1</v>
      </c>
      <c r="T681" s="9" t="s">
        <v>4615</v>
      </c>
      <c r="U681" s="9"/>
      <c r="V681" s="9" t="s">
        <v>4572</v>
      </c>
      <c r="W681" s="9" t="s">
        <v>4968</v>
      </c>
      <c r="X681" s="11" t="s">
        <v>4968</v>
      </c>
      <c r="Y681" s="9"/>
    </row>
    <row r="682" customFormat="false" ht="15" hidden="false" customHeight="false" outlineLevel="0" collapsed="false">
      <c r="A682" s="9" t="s">
        <v>4241</v>
      </c>
      <c r="B682" s="9" t="s">
        <v>4235</v>
      </c>
      <c r="C682" s="11" t="s">
        <v>4237</v>
      </c>
      <c r="D682" s="12" t="s">
        <v>4239</v>
      </c>
      <c r="E682" s="9" t="s">
        <v>4242</v>
      </c>
      <c r="F682" s="9" t="s">
        <v>4236</v>
      </c>
      <c r="G682" s="11" t="s">
        <v>4238</v>
      </c>
      <c r="H682" s="12" t="s">
        <v>4240</v>
      </c>
      <c r="I682" s="9"/>
      <c r="J682" s="11"/>
      <c r="K682" s="9"/>
      <c r="L682" s="9" t="s">
        <v>4752</v>
      </c>
      <c r="M682" s="9" t="s">
        <v>2685</v>
      </c>
      <c r="N682" s="11" t="s">
        <v>2687</v>
      </c>
      <c r="O682" s="12" t="s">
        <v>2689</v>
      </c>
      <c r="P682" s="13" t="n">
        <v>10</v>
      </c>
      <c r="Q682" s="13" t="n">
        <v>8</v>
      </c>
      <c r="R682" s="13" t="n">
        <v>6</v>
      </c>
      <c r="S682" s="13" t="n">
        <v>0.1</v>
      </c>
      <c r="T682" s="9" t="s">
        <v>4615</v>
      </c>
      <c r="U682" s="9"/>
      <c r="V682" s="9" t="s">
        <v>4572</v>
      </c>
      <c r="W682" s="9" t="s">
        <v>4969</v>
      </c>
      <c r="X682" s="11"/>
      <c r="Y682" s="9"/>
    </row>
    <row r="683" customFormat="false" ht="15" hidden="false" customHeight="false" outlineLevel="0" collapsed="false">
      <c r="A683" s="9" t="s">
        <v>4241</v>
      </c>
      <c r="B683" s="9" t="s">
        <v>4235</v>
      </c>
      <c r="C683" s="11" t="s">
        <v>4237</v>
      </c>
      <c r="D683" s="12" t="s">
        <v>4239</v>
      </c>
      <c r="E683" s="9" t="s">
        <v>4248</v>
      </c>
      <c r="F683" s="9" t="s">
        <v>4245</v>
      </c>
      <c r="G683" s="11" t="s">
        <v>4246</v>
      </c>
      <c r="H683" s="12" t="s">
        <v>4247</v>
      </c>
      <c r="I683" s="9"/>
      <c r="J683" s="11"/>
      <c r="K683" s="9"/>
      <c r="L683" s="9" t="s">
        <v>68</v>
      </c>
      <c r="M683" s="9" t="s">
        <v>3760</v>
      </c>
      <c r="N683" s="11" t="s">
        <v>3762</v>
      </c>
      <c r="O683" s="12" t="s">
        <v>3764</v>
      </c>
      <c r="P683" s="13" t="n">
        <v>45</v>
      </c>
      <c r="Q683" s="13" t="n">
        <v>6</v>
      </c>
      <c r="R683" s="13" t="n">
        <v>45</v>
      </c>
      <c r="S683" s="13" t="n">
        <v>0.8</v>
      </c>
      <c r="T683" s="9" t="s">
        <v>4615</v>
      </c>
      <c r="U683" s="9"/>
      <c r="V683" s="9" t="s">
        <v>4565</v>
      </c>
      <c r="W683" s="9"/>
      <c r="X683" s="11"/>
      <c r="Y683" s="9"/>
    </row>
    <row r="684" customFormat="false" ht="15" hidden="false" customHeight="false" outlineLevel="0" collapsed="false">
      <c r="A684" s="9" t="s">
        <v>4241</v>
      </c>
      <c r="B684" s="9" t="s">
        <v>4235</v>
      </c>
      <c r="C684" s="11" t="s">
        <v>4237</v>
      </c>
      <c r="D684" s="12" t="s">
        <v>4239</v>
      </c>
      <c r="E684" s="9" t="s">
        <v>4253</v>
      </c>
      <c r="F684" s="9" t="s">
        <v>4250</v>
      </c>
      <c r="G684" s="11" t="s">
        <v>4251</v>
      </c>
      <c r="H684" s="12" t="s">
        <v>4252</v>
      </c>
      <c r="I684" s="9"/>
      <c r="J684" s="11"/>
      <c r="K684" s="9"/>
      <c r="L684" s="9" t="s">
        <v>68</v>
      </c>
      <c r="M684" s="9" t="s">
        <v>3760</v>
      </c>
      <c r="N684" s="11" t="s">
        <v>3762</v>
      </c>
      <c r="O684" s="12" t="s">
        <v>3764</v>
      </c>
      <c r="P684" s="13" t="n">
        <v>12</v>
      </c>
      <c r="Q684" s="13" t="n">
        <v>12</v>
      </c>
      <c r="R684" s="13" t="n">
        <v>35</v>
      </c>
      <c r="S684" s="13" t="n">
        <v>1.6</v>
      </c>
      <c r="T684" s="9" t="s">
        <v>4615</v>
      </c>
      <c r="U684" s="9" t="s">
        <v>4970</v>
      </c>
      <c r="V684" s="9" t="s">
        <v>4565</v>
      </c>
      <c r="W684" s="9"/>
      <c r="X684" s="11"/>
      <c r="Y684" s="9"/>
    </row>
    <row r="685" customFormat="false" ht="15" hidden="false" customHeight="false" outlineLevel="0" collapsed="false">
      <c r="A685" s="9" t="s">
        <v>4241</v>
      </c>
      <c r="B685" s="9" t="s">
        <v>4235</v>
      </c>
      <c r="C685" s="11" t="s">
        <v>4237</v>
      </c>
      <c r="D685" s="12" t="s">
        <v>4239</v>
      </c>
      <c r="E685" s="9" t="s">
        <v>4258</v>
      </c>
      <c r="F685" s="9" t="s">
        <v>4255</v>
      </c>
      <c r="G685" s="11" t="s">
        <v>4256</v>
      </c>
      <c r="H685" s="12" t="s">
        <v>4257</v>
      </c>
      <c r="I685" s="9"/>
      <c r="J685" s="11"/>
      <c r="K685" s="9"/>
      <c r="L685" s="9" t="s">
        <v>68</v>
      </c>
      <c r="M685" s="9" t="s">
        <v>3760</v>
      </c>
      <c r="N685" s="11" t="s">
        <v>3762</v>
      </c>
      <c r="O685" s="12" t="s">
        <v>3764</v>
      </c>
      <c r="P685" s="13" t="n">
        <v>25</v>
      </c>
      <c r="Q685" s="13" t="n">
        <v>15</v>
      </c>
      <c r="R685" s="13" t="n">
        <v>10</v>
      </c>
      <c r="S685" s="13" t="n">
        <v>0.9</v>
      </c>
      <c r="T685" s="9" t="s">
        <v>4615</v>
      </c>
      <c r="U685" s="9"/>
      <c r="V685" s="9" t="s">
        <v>4568</v>
      </c>
      <c r="W685" s="9"/>
      <c r="X685" s="11"/>
      <c r="Y685" s="9"/>
    </row>
    <row r="686" customFormat="false" ht="15" hidden="false" customHeight="false" outlineLevel="0" collapsed="false">
      <c r="A686" s="9" t="s">
        <v>4241</v>
      </c>
      <c r="B686" s="9" t="s">
        <v>4235</v>
      </c>
      <c r="C686" s="11" t="s">
        <v>4237</v>
      </c>
      <c r="D686" s="12" t="s">
        <v>4239</v>
      </c>
      <c r="E686" s="9" t="s">
        <v>4263</v>
      </c>
      <c r="F686" s="9" t="s">
        <v>4260</v>
      </c>
      <c r="G686" s="11" t="s">
        <v>4261</v>
      </c>
      <c r="H686" s="12" t="s">
        <v>4262</v>
      </c>
      <c r="I686" s="9"/>
      <c r="J686" s="11"/>
      <c r="K686" s="9"/>
      <c r="L686" s="9" t="s">
        <v>68</v>
      </c>
      <c r="M686" s="9" t="s">
        <v>3760</v>
      </c>
      <c r="N686" s="11" t="s">
        <v>3762</v>
      </c>
      <c r="O686" s="12" t="s">
        <v>3764</v>
      </c>
      <c r="P686" s="13" t="n">
        <v>15</v>
      </c>
      <c r="Q686" s="13" t="n">
        <v>10</v>
      </c>
      <c r="R686" s="13" t="n">
        <v>8</v>
      </c>
      <c r="S686" s="13" t="n">
        <v>0.3</v>
      </c>
      <c r="T686" s="9" t="s">
        <v>4615</v>
      </c>
      <c r="U686" s="9"/>
      <c r="V686" s="9" t="s">
        <v>4571</v>
      </c>
      <c r="W686" s="9"/>
      <c r="X686" s="11"/>
      <c r="Y686" s="9"/>
    </row>
    <row r="687" customFormat="false" ht="15" hidden="false" customHeight="false" outlineLevel="0" collapsed="false">
      <c r="A687" s="9" t="s">
        <v>4241</v>
      </c>
      <c r="B687" s="9" t="s">
        <v>4235</v>
      </c>
      <c r="C687" s="11" t="s">
        <v>4237</v>
      </c>
      <c r="D687" s="12" t="s">
        <v>4239</v>
      </c>
      <c r="E687" s="9" t="s">
        <v>4268</v>
      </c>
      <c r="F687" s="9" t="s">
        <v>4265</v>
      </c>
      <c r="G687" s="11" t="s">
        <v>4266</v>
      </c>
      <c r="H687" s="12" t="s">
        <v>4267</v>
      </c>
      <c r="I687" s="9"/>
      <c r="J687" s="11"/>
      <c r="K687" s="9"/>
      <c r="L687" s="9" t="s">
        <v>68</v>
      </c>
      <c r="M687" s="9" t="s">
        <v>2260</v>
      </c>
      <c r="N687" s="11" t="s">
        <v>2262</v>
      </c>
      <c r="O687" s="12" t="s">
        <v>2264</v>
      </c>
      <c r="P687" s="13" t="n">
        <v>15</v>
      </c>
      <c r="Q687" s="13" t="n">
        <v>10</v>
      </c>
      <c r="R687" s="13" t="n">
        <v>8</v>
      </c>
      <c r="S687" s="13" t="n">
        <v>0.3</v>
      </c>
      <c r="T687" s="9" t="s">
        <v>4615</v>
      </c>
      <c r="U687" s="9"/>
      <c r="V687" s="9" t="s">
        <v>4571</v>
      </c>
      <c r="W687" s="9"/>
      <c r="X687" s="11"/>
      <c r="Y687" s="9"/>
    </row>
    <row r="688" customFormat="false" ht="15" hidden="false" customHeight="false" outlineLevel="0" collapsed="false">
      <c r="A688" s="9" t="s">
        <v>4276</v>
      </c>
      <c r="B688" s="9" t="s">
        <v>4270</v>
      </c>
      <c r="C688" s="11" t="s">
        <v>4272</v>
      </c>
      <c r="D688" s="12" t="s">
        <v>4274</v>
      </c>
      <c r="E688" s="9" t="s">
        <v>4277</v>
      </c>
      <c r="F688" s="9" t="s">
        <v>4271</v>
      </c>
      <c r="G688" s="11" t="s">
        <v>4273</v>
      </c>
      <c r="H688" s="12" t="s">
        <v>4275</v>
      </c>
      <c r="I688" s="9"/>
      <c r="J688" s="11"/>
      <c r="K688" s="9"/>
      <c r="L688" s="9" t="s">
        <v>68</v>
      </c>
      <c r="M688" s="9" t="s">
        <v>343</v>
      </c>
      <c r="N688" s="11" t="s">
        <v>346</v>
      </c>
      <c r="O688" s="12" t="s">
        <v>349</v>
      </c>
      <c r="P688" s="13" t="n">
        <v>10</v>
      </c>
      <c r="Q688" s="13" t="n">
        <v>8</v>
      </c>
      <c r="R688" s="13" t="n">
        <v>6</v>
      </c>
      <c r="S688" s="13" t="n">
        <v>0.1</v>
      </c>
      <c r="T688" s="9" t="s">
        <v>4563</v>
      </c>
      <c r="U688" s="9"/>
      <c r="V688" s="9" t="s">
        <v>4572</v>
      </c>
      <c r="W688" s="9"/>
      <c r="X688" s="11"/>
      <c r="Y688" s="9"/>
    </row>
    <row r="689" customFormat="false" ht="15" hidden="false" customHeight="false" outlineLevel="0" collapsed="false">
      <c r="A689" s="9" t="s">
        <v>4276</v>
      </c>
      <c r="B689" s="9" t="s">
        <v>4270</v>
      </c>
      <c r="C689" s="11" t="s">
        <v>4272</v>
      </c>
      <c r="D689" s="12" t="s">
        <v>4274</v>
      </c>
      <c r="E689" s="9" t="s">
        <v>4282</v>
      </c>
      <c r="F689" s="9" t="s">
        <v>4279</v>
      </c>
      <c r="G689" s="11" t="s">
        <v>4280</v>
      </c>
      <c r="H689" s="12" t="s">
        <v>4281</v>
      </c>
      <c r="I689" s="9"/>
      <c r="J689" s="11"/>
      <c r="K689" s="9"/>
      <c r="L689" s="9" t="s">
        <v>68</v>
      </c>
      <c r="M689" s="9" t="s">
        <v>956</v>
      </c>
      <c r="N689" s="11" t="s">
        <v>959</v>
      </c>
      <c r="O689" s="12" t="s">
        <v>962</v>
      </c>
      <c r="P689" s="13" t="n">
        <v>15</v>
      </c>
      <c r="Q689" s="13" t="n">
        <v>10</v>
      </c>
      <c r="R689" s="13" t="n">
        <v>8</v>
      </c>
      <c r="S689" s="13" t="n">
        <v>0.3</v>
      </c>
      <c r="T689" s="9" t="s">
        <v>4615</v>
      </c>
      <c r="U689" s="9"/>
      <c r="V689" s="9" t="s">
        <v>4571</v>
      </c>
      <c r="W689" s="9" t="s">
        <v>4971</v>
      </c>
      <c r="X689" s="11"/>
      <c r="Y689" s="9"/>
    </row>
    <row r="690" customFormat="false" ht="15" hidden="false" customHeight="false" outlineLevel="0" collapsed="false">
      <c r="A690" s="9" t="s">
        <v>4276</v>
      </c>
      <c r="B690" s="9" t="s">
        <v>4270</v>
      </c>
      <c r="C690" s="11" t="s">
        <v>4272</v>
      </c>
      <c r="D690" s="12" t="s">
        <v>4274</v>
      </c>
      <c r="E690" s="9" t="s">
        <v>4287</v>
      </c>
      <c r="F690" s="9" t="s">
        <v>4284</v>
      </c>
      <c r="G690" s="11" t="s">
        <v>4285</v>
      </c>
      <c r="H690" s="12" t="s">
        <v>4286</v>
      </c>
      <c r="I690" s="9"/>
      <c r="J690" s="11"/>
      <c r="K690" s="9"/>
      <c r="L690" s="9" t="s">
        <v>68</v>
      </c>
      <c r="M690" s="9" t="s">
        <v>956</v>
      </c>
      <c r="N690" s="11" t="s">
        <v>959</v>
      </c>
      <c r="O690" s="12" t="s">
        <v>962</v>
      </c>
      <c r="P690" s="13" t="n">
        <v>10</v>
      </c>
      <c r="Q690" s="13" t="n">
        <v>8</v>
      </c>
      <c r="R690" s="13" t="n">
        <v>6</v>
      </c>
      <c r="S690" s="13" t="n">
        <v>0.1</v>
      </c>
      <c r="T690" s="9" t="s">
        <v>4615</v>
      </c>
      <c r="U690" s="9"/>
      <c r="V690" s="9" t="s">
        <v>4572</v>
      </c>
      <c r="W690" s="9"/>
      <c r="X690" s="11"/>
      <c r="Y690" s="9"/>
    </row>
    <row r="691" customFormat="false" ht="15" hidden="false" customHeight="false" outlineLevel="0" collapsed="false">
      <c r="A691" s="9" t="s">
        <v>4276</v>
      </c>
      <c r="B691" s="9" t="s">
        <v>4270</v>
      </c>
      <c r="C691" s="11" t="s">
        <v>4272</v>
      </c>
      <c r="D691" s="12" t="s">
        <v>4274</v>
      </c>
      <c r="E691" s="9" t="s">
        <v>4292</v>
      </c>
      <c r="F691" s="9" t="s">
        <v>4289</v>
      </c>
      <c r="G691" s="11" t="s">
        <v>4290</v>
      </c>
      <c r="H691" s="12" t="s">
        <v>4291</v>
      </c>
      <c r="I691" s="9"/>
      <c r="J691" s="11"/>
      <c r="K691" s="9"/>
      <c r="L691" s="9" t="s">
        <v>68</v>
      </c>
      <c r="M691" s="9" t="s">
        <v>956</v>
      </c>
      <c r="N691" s="11" t="s">
        <v>959</v>
      </c>
      <c r="O691" s="12" t="s">
        <v>962</v>
      </c>
      <c r="P691" s="13" t="n">
        <v>15</v>
      </c>
      <c r="Q691" s="13" t="n">
        <v>10</v>
      </c>
      <c r="R691" s="13" t="n">
        <v>8</v>
      </c>
      <c r="S691" s="13" t="n">
        <v>0.3</v>
      </c>
      <c r="T691" s="9" t="s">
        <v>4615</v>
      </c>
      <c r="U691" s="9"/>
      <c r="V691" s="9" t="s">
        <v>4571</v>
      </c>
      <c r="W691" s="9" t="s">
        <v>4972</v>
      </c>
      <c r="X691" s="11" t="s">
        <v>4973</v>
      </c>
      <c r="Y691" s="9"/>
    </row>
    <row r="692" customFormat="false" ht="15" hidden="false" customHeight="false" outlineLevel="0" collapsed="false">
      <c r="A692" s="9" t="s">
        <v>4276</v>
      </c>
      <c r="B692" s="9" t="s">
        <v>4270</v>
      </c>
      <c r="C692" s="11" t="s">
        <v>4272</v>
      </c>
      <c r="D692" s="12" t="s">
        <v>4274</v>
      </c>
      <c r="E692" s="9" t="s">
        <v>4297</v>
      </c>
      <c r="F692" s="9" t="s">
        <v>4294</v>
      </c>
      <c r="G692" s="11" t="s">
        <v>4295</v>
      </c>
      <c r="H692" s="12" t="s">
        <v>4296</v>
      </c>
      <c r="I692" s="9"/>
      <c r="J692" s="11"/>
      <c r="K692" s="9"/>
      <c r="L692" s="9" t="s">
        <v>68</v>
      </c>
      <c r="M692" s="9" t="s">
        <v>956</v>
      </c>
      <c r="N692" s="11" t="s">
        <v>959</v>
      </c>
      <c r="O692" s="12" t="s">
        <v>962</v>
      </c>
      <c r="P692" s="13" t="n">
        <v>15</v>
      </c>
      <c r="Q692" s="13" t="n">
        <v>10</v>
      </c>
      <c r="R692" s="13" t="n">
        <v>8</v>
      </c>
      <c r="S692" s="13" t="n">
        <v>0.3</v>
      </c>
      <c r="T692" s="9" t="s">
        <v>4615</v>
      </c>
      <c r="U692" s="9"/>
      <c r="V692" s="9" t="s">
        <v>4571</v>
      </c>
      <c r="W692" s="9" t="s">
        <v>4974</v>
      </c>
      <c r="X692" s="11"/>
      <c r="Y692" s="9"/>
    </row>
    <row r="693" customFormat="false" ht="15" hidden="false" customHeight="false" outlineLevel="0" collapsed="false">
      <c r="A693" s="9" t="s">
        <v>4276</v>
      </c>
      <c r="B693" s="9" t="s">
        <v>4270</v>
      </c>
      <c r="C693" s="11" t="s">
        <v>4272</v>
      </c>
      <c r="D693" s="12" t="s">
        <v>4274</v>
      </c>
      <c r="E693" s="9" t="s">
        <v>4302</v>
      </c>
      <c r="F693" s="9" t="s">
        <v>4299</v>
      </c>
      <c r="G693" s="11" t="s">
        <v>4300</v>
      </c>
      <c r="H693" s="12" t="s">
        <v>4301</v>
      </c>
      <c r="I693" s="9"/>
      <c r="J693" s="11"/>
      <c r="K693" s="9"/>
      <c r="L693" s="9" t="s">
        <v>68</v>
      </c>
      <c r="M693" s="9" t="s">
        <v>956</v>
      </c>
      <c r="N693" s="11" t="s">
        <v>959</v>
      </c>
      <c r="O693" s="12" t="s">
        <v>962</v>
      </c>
      <c r="P693" s="13" t="n">
        <v>15</v>
      </c>
      <c r="Q693" s="13" t="n">
        <v>10</v>
      </c>
      <c r="R693" s="13" t="n">
        <v>8</v>
      </c>
      <c r="S693" s="13" t="n">
        <v>0.3</v>
      </c>
      <c r="T693" s="9" t="s">
        <v>4615</v>
      </c>
      <c r="U693" s="9"/>
      <c r="V693" s="9" t="s">
        <v>4571</v>
      </c>
      <c r="W693" s="9"/>
      <c r="X693" s="11"/>
      <c r="Y693" s="9"/>
    </row>
    <row r="694" customFormat="false" ht="15" hidden="false" customHeight="false" outlineLevel="0" collapsed="false">
      <c r="A694" s="9" t="s">
        <v>4276</v>
      </c>
      <c r="B694" s="9" t="s">
        <v>4270</v>
      </c>
      <c r="C694" s="11" t="s">
        <v>4272</v>
      </c>
      <c r="D694" s="12" t="s">
        <v>4274</v>
      </c>
      <c r="E694" s="9" t="s">
        <v>4307</v>
      </c>
      <c r="F694" s="9" t="s">
        <v>4304</v>
      </c>
      <c r="G694" s="11" t="s">
        <v>4305</v>
      </c>
      <c r="H694" s="12" t="s">
        <v>4306</v>
      </c>
      <c r="I694" s="9"/>
      <c r="J694" s="11"/>
      <c r="K694" s="9"/>
      <c r="L694" s="9" t="s">
        <v>68</v>
      </c>
      <c r="M694" s="9" t="s">
        <v>3524</v>
      </c>
      <c r="N694" s="11" t="s">
        <v>3526</v>
      </c>
      <c r="O694" s="12" t="s">
        <v>3528</v>
      </c>
      <c r="P694" s="13" t="n">
        <v>15</v>
      </c>
      <c r="Q694" s="13" t="n">
        <v>10</v>
      </c>
      <c r="R694" s="13" t="n">
        <v>8</v>
      </c>
      <c r="S694" s="13" t="n">
        <v>0.3</v>
      </c>
      <c r="T694" s="9" t="s">
        <v>4615</v>
      </c>
      <c r="U694" s="9"/>
      <c r="V694" s="9" t="s">
        <v>4571</v>
      </c>
      <c r="W694" s="9" t="s">
        <v>4975</v>
      </c>
      <c r="X694" s="11"/>
      <c r="Y694" s="9"/>
    </row>
    <row r="695" customFormat="false" ht="15" hidden="false" customHeight="false" outlineLevel="0" collapsed="false">
      <c r="A695" s="9" t="s">
        <v>4276</v>
      </c>
      <c r="B695" s="9" t="s">
        <v>4270</v>
      </c>
      <c r="C695" s="11" t="s">
        <v>4272</v>
      </c>
      <c r="D695" s="12" t="s">
        <v>4274</v>
      </c>
      <c r="E695" s="9" t="s">
        <v>4312</v>
      </c>
      <c r="F695" s="9" t="s">
        <v>4309</v>
      </c>
      <c r="G695" s="11" t="s">
        <v>4310</v>
      </c>
      <c r="H695" s="12" t="s">
        <v>4311</v>
      </c>
      <c r="I695" s="9"/>
      <c r="J695" s="11"/>
      <c r="K695" s="9"/>
      <c r="L695" s="9" t="s">
        <v>68</v>
      </c>
      <c r="M695" s="9" t="s">
        <v>956</v>
      </c>
      <c r="N695" s="11" t="s">
        <v>959</v>
      </c>
      <c r="O695" s="12" t="s">
        <v>962</v>
      </c>
      <c r="P695" s="13" t="n">
        <v>25</v>
      </c>
      <c r="Q695" s="13" t="n">
        <v>15</v>
      </c>
      <c r="R695" s="13" t="n">
        <v>10</v>
      </c>
      <c r="S695" s="13" t="n">
        <v>0.9</v>
      </c>
      <c r="T695" s="9" t="s">
        <v>4615</v>
      </c>
      <c r="U695" s="9"/>
      <c r="V695" s="9" t="s">
        <v>4568</v>
      </c>
      <c r="W695" s="9" t="s">
        <v>4976</v>
      </c>
      <c r="X695" s="11"/>
      <c r="Y695" s="9"/>
    </row>
    <row r="696" customFormat="false" ht="15" hidden="false" customHeight="false" outlineLevel="0" collapsed="false">
      <c r="A696" s="9" t="s">
        <v>4276</v>
      </c>
      <c r="B696" s="9" t="s">
        <v>4270</v>
      </c>
      <c r="C696" s="11" t="s">
        <v>4272</v>
      </c>
      <c r="D696" s="12" t="s">
        <v>4274</v>
      </c>
      <c r="E696" s="9" t="s">
        <v>4317</v>
      </c>
      <c r="F696" s="9" t="s">
        <v>4314</v>
      </c>
      <c r="G696" s="11" t="s">
        <v>4315</v>
      </c>
      <c r="H696" s="12" t="s">
        <v>4316</v>
      </c>
      <c r="I696" s="9"/>
      <c r="J696" s="11"/>
      <c r="K696" s="9"/>
      <c r="L696" s="9" t="s">
        <v>68</v>
      </c>
      <c r="M696" s="9" t="s">
        <v>956</v>
      </c>
      <c r="N696" s="11" t="s">
        <v>959</v>
      </c>
      <c r="O696" s="12" t="s">
        <v>962</v>
      </c>
      <c r="P696" s="13" t="n">
        <v>15</v>
      </c>
      <c r="Q696" s="13" t="n">
        <v>10</v>
      </c>
      <c r="R696" s="13" t="n">
        <v>8</v>
      </c>
      <c r="S696" s="13" t="n">
        <v>0.3</v>
      </c>
      <c r="T696" s="9" t="s">
        <v>4615</v>
      </c>
      <c r="U696" s="9"/>
      <c r="V696" s="9" t="s">
        <v>4571</v>
      </c>
      <c r="W696" s="9"/>
      <c r="X696" s="11"/>
      <c r="Y696" s="9"/>
    </row>
    <row r="697" customFormat="false" ht="15" hidden="false" customHeight="false" outlineLevel="0" collapsed="false">
      <c r="A697" s="9" t="s">
        <v>4276</v>
      </c>
      <c r="B697" s="9" t="s">
        <v>4270</v>
      </c>
      <c r="C697" s="11" t="s">
        <v>4272</v>
      </c>
      <c r="D697" s="12" t="s">
        <v>4274</v>
      </c>
      <c r="E697" s="9" t="s">
        <v>4322</v>
      </c>
      <c r="F697" s="9" t="s">
        <v>4319</v>
      </c>
      <c r="G697" s="11" t="s">
        <v>4320</v>
      </c>
      <c r="H697" s="12" t="s">
        <v>4321</v>
      </c>
      <c r="I697" s="9"/>
      <c r="J697" s="11"/>
      <c r="K697" s="9"/>
      <c r="L697" s="9" t="s">
        <v>68</v>
      </c>
      <c r="M697" s="9" t="s">
        <v>956</v>
      </c>
      <c r="N697" s="11" t="s">
        <v>959</v>
      </c>
      <c r="O697" s="12" t="s">
        <v>962</v>
      </c>
      <c r="P697" s="13" t="n">
        <v>10</v>
      </c>
      <c r="Q697" s="13" t="n">
        <v>8</v>
      </c>
      <c r="R697" s="13" t="n">
        <v>6</v>
      </c>
      <c r="S697" s="13" t="n">
        <v>0.1</v>
      </c>
      <c r="T697" s="9" t="s">
        <v>4615</v>
      </c>
      <c r="U697" s="9"/>
      <c r="V697" s="9" t="s">
        <v>4572</v>
      </c>
      <c r="W697" s="9"/>
      <c r="X697" s="11"/>
      <c r="Y697" s="9"/>
    </row>
    <row r="698" customFormat="false" ht="15" hidden="false" customHeight="false" outlineLevel="0" collapsed="false">
      <c r="A698" s="9" t="s">
        <v>4276</v>
      </c>
      <c r="B698" s="9" t="s">
        <v>4270</v>
      </c>
      <c r="C698" s="11" t="s">
        <v>4272</v>
      </c>
      <c r="D698" s="12" t="s">
        <v>4274</v>
      </c>
      <c r="E698" s="9" t="s">
        <v>4327</v>
      </c>
      <c r="F698" s="9" t="s">
        <v>4324</v>
      </c>
      <c r="G698" s="11" t="s">
        <v>4325</v>
      </c>
      <c r="H698" s="12" t="s">
        <v>4326</v>
      </c>
      <c r="I698" s="9"/>
      <c r="J698" s="11"/>
      <c r="K698" s="9"/>
      <c r="L698" s="9" t="s">
        <v>68</v>
      </c>
      <c r="M698" s="9" t="s">
        <v>237</v>
      </c>
      <c r="N698" s="11" t="s">
        <v>239</v>
      </c>
      <c r="O698" s="12" t="s">
        <v>241</v>
      </c>
      <c r="P698" s="13" t="n">
        <v>10</v>
      </c>
      <c r="Q698" s="13" t="n">
        <v>8</v>
      </c>
      <c r="R698" s="13" t="n">
        <v>6</v>
      </c>
      <c r="S698" s="13" t="n">
        <v>0.1</v>
      </c>
      <c r="T698" s="9" t="s">
        <v>4615</v>
      </c>
      <c r="U698" s="9"/>
      <c r="V698" s="9" t="s">
        <v>4572</v>
      </c>
      <c r="W698" s="9"/>
      <c r="X698" s="11"/>
      <c r="Y698" s="9"/>
    </row>
    <row r="699" customFormat="false" ht="15" hidden="false" customHeight="false" outlineLevel="0" collapsed="false">
      <c r="A699" s="9" t="s">
        <v>4335</v>
      </c>
      <c r="B699" s="9" t="s">
        <v>4329</v>
      </c>
      <c r="C699" s="11" t="s">
        <v>4331</v>
      </c>
      <c r="D699" s="12" t="s">
        <v>4333</v>
      </c>
      <c r="E699" s="9" t="s">
        <v>4336</v>
      </c>
      <c r="F699" s="9" t="s">
        <v>4330</v>
      </c>
      <c r="G699" s="11" t="s">
        <v>4332</v>
      </c>
      <c r="H699" s="9" t="s">
        <v>4334</v>
      </c>
      <c r="I699" s="9"/>
      <c r="J699" s="11"/>
      <c r="K699" s="9"/>
      <c r="L699" s="9" t="s">
        <v>68</v>
      </c>
      <c r="M699" s="9" t="s">
        <v>956</v>
      </c>
      <c r="N699" s="11" t="s">
        <v>959</v>
      </c>
      <c r="O699" s="12" t="s">
        <v>962</v>
      </c>
      <c r="P699" s="13" t="n">
        <v>10</v>
      </c>
      <c r="Q699" s="13" t="n">
        <v>8</v>
      </c>
      <c r="R699" s="13" t="n">
        <v>6</v>
      </c>
      <c r="S699" s="13" t="n">
        <v>0.1</v>
      </c>
      <c r="T699" s="9" t="s">
        <v>4615</v>
      </c>
      <c r="U699" s="9"/>
      <c r="V699" s="9" t="s">
        <v>4572</v>
      </c>
      <c r="W699" s="9" t="s">
        <v>4977</v>
      </c>
      <c r="X699" s="11"/>
      <c r="Y699" s="9"/>
    </row>
    <row r="700" customFormat="false" ht="15" hidden="false" customHeight="false" outlineLevel="0" collapsed="false">
      <c r="A700" s="9" t="s">
        <v>4335</v>
      </c>
      <c r="B700" s="9" t="s">
        <v>4329</v>
      </c>
      <c r="C700" s="11" t="s">
        <v>4331</v>
      </c>
      <c r="D700" s="12" t="s">
        <v>4333</v>
      </c>
      <c r="E700" s="9" t="s">
        <v>4341</v>
      </c>
      <c r="F700" s="9" t="s">
        <v>4338</v>
      </c>
      <c r="G700" s="11" t="s">
        <v>4339</v>
      </c>
      <c r="H700" s="12" t="s">
        <v>4340</v>
      </c>
      <c r="I700" s="9"/>
      <c r="J700" s="11"/>
      <c r="K700" s="9"/>
      <c r="L700" s="9" t="s">
        <v>68</v>
      </c>
      <c r="M700" s="9" t="s">
        <v>956</v>
      </c>
      <c r="N700" s="11" t="s">
        <v>959</v>
      </c>
      <c r="O700" s="12" t="s">
        <v>962</v>
      </c>
      <c r="P700" s="13" t="n">
        <v>15</v>
      </c>
      <c r="Q700" s="13" t="n">
        <v>10</v>
      </c>
      <c r="R700" s="13" t="n">
        <v>8</v>
      </c>
      <c r="S700" s="13" t="n">
        <v>0.3</v>
      </c>
      <c r="T700" s="9" t="s">
        <v>4615</v>
      </c>
      <c r="U700" s="9"/>
      <c r="V700" s="9" t="s">
        <v>4571</v>
      </c>
      <c r="W700" s="9" t="s">
        <v>4978</v>
      </c>
      <c r="X700" s="11"/>
      <c r="Y700" s="9"/>
    </row>
    <row r="701" customFormat="false" ht="15" hidden="false" customHeight="false" outlineLevel="0" collapsed="false">
      <c r="A701" s="9" t="s">
        <v>4335</v>
      </c>
      <c r="B701" s="9" t="s">
        <v>4329</v>
      </c>
      <c r="C701" s="11" t="s">
        <v>4331</v>
      </c>
      <c r="D701" s="12" t="s">
        <v>4333</v>
      </c>
      <c r="E701" s="9" t="s">
        <v>4346</v>
      </c>
      <c r="F701" s="9" t="s">
        <v>4343</v>
      </c>
      <c r="G701" s="11" t="s">
        <v>4344</v>
      </c>
      <c r="H701" s="12" t="s">
        <v>4345</v>
      </c>
      <c r="I701" s="9"/>
      <c r="J701" s="11"/>
      <c r="K701" s="9"/>
      <c r="L701" s="9" t="s">
        <v>68</v>
      </c>
      <c r="M701" s="9" t="s">
        <v>956</v>
      </c>
      <c r="N701" s="11" t="s">
        <v>959</v>
      </c>
      <c r="O701" s="12" t="s">
        <v>962</v>
      </c>
      <c r="P701" s="13" t="n">
        <v>10</v>
      </c>
      <c r="Q701" s="13" t="n">
        <v>8</v>
      </c>
      <c r="R701" s="13" t="n">
        <v>6</v>
      </c>
      <c r="S701" s="13" t="n">
        <v>0.1</v>
      </c>
      <c r="T701" s="9" t="s">
        <v>4615</v>
      </c>
      <c r="U701" s="9"/>
      <c r="V701" s="9" t="s">
        <v>4572</v>
      </c>
      <c r="W701" s="9"/>
      <c r="X701" s="11"/>
      <c r="Y701" s="9"/>
    </row>
    <row r="702" customFormat="false" ht="15" hidden="false" customHeight="false" outlineLevel="0" collapsed="false">
      <c r="A702" s="9" t="s">
        <v>4335</v>
      </c>
      <c r="B702" s="9" t="s">
        <v>4329</v>
      </c>
      <c r="C702" s="11" t="s">
        <v>4331</v>
      </c>
      <c r="D702" s="12" t="s">
        <v>4333</v>
      </c>
      <c r="E702" s="9" t="s">
        <v>4351</v>
      </c>
      <c r="F702" s="9" t="s">
        <v>4348</v>
      </c>
      <c r="G702" s="11" t="s">
        <v>4349</v>
      </c>
      <c r="H702" s="12" t="s">
        <v>4350</v>
      </c>
      <c r="I702" s="9"/>
      <c r="J702" s="11"/>
      <c r="K702" s="9"/>
      <c r="L702" s="9" t="s">
        <v>68</v>
      </c>
      <c r="M702" s="9" t="s">
        <v>956</v>
      </c>
      <c r="N702" s="11" t="s">
        <v>959</v>
      </c>
      <c r="O702" s="12" t="s">
        <v>962</v>
      </c>
      <c r="P702" s="13" t="n">
        <v>10</v>
      </c>
      <c r="Q702" s="13" t="n">
        <v>8</v>
      </c>
      <c r="R702" s="13" t="n">
        <v>6</v>
      </c>
      <c r="S702" s="13" t="n">
        <v>0.1</v>
      </c>
      <c r="T702" s="9" t="s">
        <v>4615</v>
      </c>
      <c r="U702" s="9"/>
      <c r="V702" s="9" t="s">
        <v>4572</v>
      </c>
      <c r="W702" s="9"/>
      <c r="X702" s="11"/>
      <c r="Y702" s="9"/>
    </row>
    <row r="703" customFormat="false" ht="15" hidden="false" customHeight="false" outlineLevel="0" collapsed="false">
      <c r="A703" s="9" t="s">
        <v>4335</v>
      </c>
      <c r="B703" s="9" t="s">
        <v>4329</v>
      </c>
      <c r="C703" s="11" t="s">
        <v>4331</v>
      </c>
      <c r="D703" s="12" t="s">
        <v>4333</v>
      </c>
      <c r="E703" s="9" t="s">
        <v>4356</v>
      </c>
      <c r="F703" s="9" t="s">
        <v>4353</v>
      </c>
      <c r="G703" s="11" t="s">
        <v>4354</v>
      </c>
      <c r="H703" s="12" t="s">
        <v>4355</v>
      </c>
      <c r="I703" s="9"/>
      <c r="J703" s="11"/>
      <c r="K703" s="9"/>
      <c r="L703" s="9" t="s">
        <v>68</v>
      </c>
      <c r="M703" s="9" t="s">
        <v>956</v>
      </c>
      <c r="N703" s="11" t="s">
        <v>959</v>
      </c>
      <c r="O703" s="12" t="s">
        <v>962</v>
      </c>
      <c r="P703" s="13" t="n">
        <v>10</v>
      </c>
      <c r="Q703" s="13" t="n">
        <v>8</v>
      </c>
      <c r="R703" s="13" t="n">
        <v>6</v>
      </c>
      <c r="S703" s="13" t="n">
        <v>0.1</v>
      </c>
      <c r="T703" s="9" t="s">
        <v>4615</v>
      </c>
      <c r="U703" s="9"/>
      <c r="V703" s="9" t="s">
        <v>4572</v>
      </c>
      <c r="W703" s="9" t="s">
        <v>4979</v>
      </c>
      <c r="X703" s="11"/>
      <c r="Y703" s="9"/>
    </row>
    <row r="704" customFormat="false" ht="15" hidden="false" customHeight="false" outlineLevel="0" collapsed="false">
      <c r="A704" s="9" t="s">
        <v>4335</v>
      </c>
      <c r="B704" s="9" t="s">
        <v>4329</v>
      </c>
      <c r="C704" s="11" t="s">
        <v>4331</v>
      </c>
      <c r="D704" s="12" t="s">
        <v>4333</v>
      </c>
      <c r="E704" s="9" t="s">
        <v>4361</v>
      </c>
      <c r="F704" s="9" t="s">
        <v>4358</v>
      </c>
      <c r="G704" s="11" t="s">
        <v>4359</v>
      </c>
      <c r="H704" s="12" t="s">
        <v>4360</v>
      </c>
      <c r="I704" s="9"/>
      <c r="J704" s="11"/>
      <c r="K704" s="9"/>
      <c r="L704" s="9" t="s">
        <v>68</v>
      </c>
      <c r="M704" s="9" t="s">
        <v>956</v>
      </c>
      <c r="N704" s="11" t="s">
        <v>959</v>
      </c>
      <c r="O704" s="12" t="s">
        <v>962</v>
      </c>
      <c r="P704" s="13" t="n">
        <v>10</v>
      </c>
      <c r="Q704" s="13" t="n">
        <v>8</v>
      </c>
      <c r="R704" s="13" t="n">
        <v>6</v>
      </c>
      <c r="S704" s="13" t="n">
        <v>0.1</v>
      </c>
      <c r="T704" s="9" t="s">
        <v>4615</v>
      </c>
      <c r="U704" s="9" t="s">
        <v>4628</v>
      </c>
      <c r="V704" s="9" t="s">
        <v>4572</v>
      </c>
      <c r="W704" s="9"/>
      <c r="X704" s="11"/>
      <c r="Y704" s="9"/>
    </row>
    <row r="705" customFormat="false" ht="15" hidden="false" customHeight="false" outlineLevel="0" collapsed="false">
      <c r="A705" s="9" t="s">
        <v>4335</v>
      </c>
      <c r="B705" s="9" t="s">
        <v>4329</v>
      </c>
      <c r="C705" s="11" t="s">
        <v>4331</v>
      </c>
      <c r="D705" s="12" t="s">
        <v>4333</v>
      </c>
      <c r="E705" s="9" t="s">
        <v>4366</v>
      </c>
      <c r="F705" s="9" t="s">
        <v>4363</v>
      </c>
      <c r="G705" s="11" t="s">
        <v>4364</v>
      </c>
      <c r="H705" s="12" t="s">
        <v>4365</v>
      </c>
      <c r="I705" s="9"/>
      <c r="J705" s="11"/>
      <c r="K705" s="9"/>
      <c r="L705" s="9" t="s">
        <v>68</v>
      </c>
      <c r="M705" s="9" t="s">
        <v>956</v>
      </c>
      <c r="N705" s="11" t="s">
        <v>959</v>
      </c>
      <c r="O705" s="12" t="s">
        <v>962</v>
      </c>
      <c r="P705" s="13" t="n">
        <v>6</v>
      </c>
      <c r="Q705" s="13" t="n">
        <v>4</v>
      </c>
      <c r="R705" s="13" t="n">
        <v>3</v>
      </c>
      <c r="S705" s="13" t="n">
        <v>0.02</v>
      </c>
      <c r="T705" s="9" t="s">
        <v>4615</v>
      </c>
      <c r="U705" s="9"/>
      <c r="V705" s="9" t="s">
        <v>4680</v>
      </c>
      <c r="W705" s="9"/>
      <c r="X705" s="11"/>
      <c r="Y705" s="9"/>
    </row>
    <row r="706" customFormat="false" ht="15" hidden="false" customHeight="false" outlineLevel="0" collapsed="false">
      <c r="A706" s="9" t="s">
        <v>4335</v>
      </c>
      <c r="B706" s="9" t="s">
        <v>4329</v>
      </c>
      <c r="C706" s="11" t="s">
        <v>4331</v>
      </c>
      <c r="D706" s="12" t="s">
        <v>4333</v>
      </c>
      <c r="E706" s="9" t="s">
        <v>4371</v>
      </c>
      <c r="F706" s="9" t="s">
        <v>4368</v>
      </c>
      <c r="G706" s="11" t="s">
        <v>4369</v>
      </c>
      <c r="H706" s="12" t="s">
        <v>4370</v>
      </c>
      <c r="I706" s="9"/>
      <c r="J706" s="11"/>
      <c r="K706" s="9"/>
      <c r="L706" s="9" t="s">
        <v>68</v>
      </c>
      <c r="M706" s="9" t="s">
        <v>956</v>
      </c>
      <c r="N706" s="11" t="s">
        <v>959</v>
      </c>
      <c r="O706" s="12" t="s">
        <v>962</v>
      </c>
      <c r="P706" s="13" t="n">
        <v>10</v>
      </c>
      <c r="Q706" s="13" t="n">
        <v>8</v>
      </c>
      <c r="R706" s="13" t="n">
        <v>6</v>
      </c>
      <c r="S706" s="13" t="n">
        <v>0.1</v>
      </c>
      <c r="T706" s="9" t="s">
        <v>4615</v>
      </c>
      <c r="U706" s="9"/>
      <c r="V706" s="9" t="s">
        <v>4572</v>
      </c>
      <c r="W706" s="9" t="s">
        <v>4980</v>
      </c>
      <c r="X706" s="11"/>
      <c r="Y706" s="9"/>
    </row>
    <row r="707" customFormat="false" ht="15" hidden="false" customHeight="false" outlineLevel="0" collapsed="false">
      <c r="A707" s="9" t="s">
        <v>4379</v>
      </c>
      <c r="B707" s="9" t="s">
        <v>4373</v>
      </c>
      <c r="C707" s="11" t="s">
        <v>4375</v>
      </c>
      <c r="D707" s="12" t="s">
        <v>4377</v>
      </c>
      <c r="E707" s="9" t="s">
        <v>4380</v>
      </c>
      <c r="F707" s="9" t="s">
        <v>4374</v>
      </c>
      <c r="G707" s="11" t="s">
        <v>4376</v>
      </c>
      <c r="H707" s="12" t="s">
        <v>4378</v>
      </c>
      <c r="I707" s="9"/>
      <c r="J707" s="11"/>
      <c r="K707" s="9"/>
      <c r="L707" s="9" t="s">
        <v>68</v>
      </c>
      <c r="M707" s="9" t="s">
        <v>2660</v>
      </c>
      <c r="N707" s="11" t="s">
        <v>2663</v>
      </c>
      <c r="O707" s="12" t="s">
        <v>2666</v>
      </c>
      <c r="P707" s="13" t="n">
        <v>45</v>
      </c>
      <c r="Q707" s="13" t="n">
        <v>35</v>
      </c>
      <c r="R707" s="13" t="n">
        <v>20</v>
      </c>
      <c r="S707" s="13" t="n">
        <v>3.5</v>
      </c>
      <c r="T707" s="9" t="s">
        <v>4615</v>
      </c>
      <c r="U707" s="9"/>
      <c r="V707" s="9" t="s">
        <v>4565</v>
      </c>
      <c r="W707" s="9"/>
      <c r="X707" s="11"/>
      <c r="Y707" s="9"/>
    </row>
    <row r="708" customFormat="false" ht="15" hidden="false" customHeight="false" outlineLevel="0" collapsed="false">
      <c r="A708" s="9" t="s">
        <v>4379</v>
      </c>
      <c r="B708" s="9" t="s">
        <v>4373</v>
      </c>
      <c r="C708" s="11" t="s">
        <v>4375</v>
      </c>
      <c r="D708" s="12" t="s">
        <v>4377</v>
      </c>
      <c r="E708" s="9" t="s">
        <v>4385</v>
      </c>
      <c r="F708" s="9" t="s">
        <v>4382</v>
      </c>
      <c r="G708" s="11" t="s">
        <v>4383</v>
      </c>
      <c r="H708" s="12" t="s">
        <v>4384</v>
      </c>
      <c r="I708" s="9"/>
      <c r="J708" s="11"/>
      <c r="K708" s="9"/>
      <c r="L708" s="9" t="s">
        <v>68</v>
      </c>
      <c r="M708" s="9" t="s">
        <v>2575</v>
      </c>
      <c r="N708" s="11" t="s">
        <v>2577</v>
      </c>
      <c r="O708" s="12" t="s">
        <v>2579</v>
      </c>
      <c r="P708" s="13" t="n">
        <v>30</v>
      </c>
      <c r="Q708" s="13" t="n">
        <v>20</v>
      </c>
      <c r="R708" s="13" t="n">
        <v>15</v>
      </c>
      <c r="S708" s="13" t="n">
        <v>1.8</v>
      </c>
      <c r="T708" s="9" t="s">
        <v>4615</v>
      </c>
      <c r="U708" s="9"/>
      <c r="V708" s="9" t="s">
        <v>4581</v>
      </c>
      <c r="W708" s="9"/>
      <c r="X708" s="11"/>
      <c r="Y708" s="9"/>
    </row>
    <row r="709" customFormat="false" ht="15" hidden="false" customHeight="false" outlineLevel="0" collapsed="false">
      <c r="A709" s="9" t="s">
        <v>4379</v>
      </c>
      <c r="B709" s="9" t="s">
        <v>4373</v>
      </c>
      <c r="C709" s="11" t="s">
        <v>4375</v>
      </c>
      <c r="D709" s="12" t="s">
        <v>4377</v>
      </c>
      <c r="E709" s="9" t="s">
        <v>4390</v>
      </c>
      <c r="F709" s="9" t="s">
        <v>4387</v>
      </c>
      <c r="G709" s="11" t="s">
        <v>4388</v>
      </c>
      <c r="H709" s="12" t="s">
        <v>4389</v>
      </c>
      <c r="I709" s="9"/>
      <c r="J709" s="11"/>
      <c r="K709" s="9"/>
      <c r="L709" s="9" t="s">
        <v>4730</v>
      </c>
      <c r="M709" s="9" t="s">
        <v>3859</v>
      </c>
      <c r="N709" s="11" t="s">
        <v>3861</v>
      </c>
      <c r="O709" s="12" t="s">
        <v>3863</v>
      </c>
      <c r="P709" s="13" t="n">
        <v>15</v>
      </c>
      <c r="Q709" s="13" t="n">
        <v>10</v>
      </c>
      <c r="R709" s="13" t="n">
        <v>8</v>
      </c>
      <c r="S709" s="13" t="n">
        <v>0.3</v>
      </c>
      <c r="T709" s="9" t="s">
        <v>4615</v>
      </c>
      <c r="U709" s="9"/>
      <c r="V709" s="9" t="s">
        <v>4571</v>
      </c>
      <c r="W709" s="9"/>
      <c r="X709" s="11"/>
      <c r="Y709" s="9"/>
    </row>
    <row r="710" customFormat="false" ht="15" hidden="false" customHeight="false" outlineLevel="0" collapsed="false">
      <c r="A710" s="9" t="s">
        <v>4379</v>
      </c>
      <c r="B710" s="9" t="s">
        <v>4373</v>
      </c>
      <c r="C710" s="11" t="s">
        <v>4375</v>
      </c>
      <c r="D710" s="12" t="s">
        <v>4377</v>
      </c>
      <c r="E710" s="9" t="s">
        <v>4398</v>
      </c>
      <c r="F710" s="9" t="s">
        <v>4395</v>
      </c>
      <c r="G710" s="11" t="s">
        <v>4396</v>
      </c>
      <c r="H710" s="12" t="s">
        <v>4397</v>
      </c>
      <c r="I710" s="9"/>
      <c r="J710" s="11"/>
      <c r="K710" s="9"/>
      <c r="L710" s="9" t="s">
        <v>68</v>
      </c>
      <c r="M710" s="9" t="s">
        <v>1863</v>
      </c>
      <c r="N710" s="11" t="s">
        <v>1864</v>
      </c>
      <c r="O710" s="12" t="s">
        <v>1865</v>
      </c>
      <c r="P710" s="13" t="n">
        <v>15</v>
      </c>
      <c r="Q710" s="13" t="n">
        <v>10</v>
      </c>
      <c r="R710" s="13" t="n">
        <v>8</v>
      </c>
      <c r="S710" s="13" t="n">
        <v>0.3</v>
      </c>
      <c r="T710" s="9" t="s">
        <v>4615</v>
      </c>
      <c r="U710" s="9"/>
      <c r="V710" s="9" t="s">
        <v>4571</v>
      </c>
      <c r="W710" s="9"/>
      <c r="X710" s="11"/>
      <c r="Y710" s="9"/>
    </row>
    <row r="711" customFormat="false" ht="15" hidden="false" customHeight="false" outlineLevel="0" collapsed="false">
      <c r="A711" s="9" t="s">
        <v>4379</v>
      </c>
      <c r="B711" s="9" t="s">
        <v>4373</v>
      </c>
      <c r="C711" s="11" t="s">
        <v>4375</v>
      </c>
      <c r="D711" s="12" t="s">
        <v>4377</v>
      </c>
      <c r="E711" s="9" t="s">
        <v>4403</v>
      </c>
      <c r="F711" s="9" t="s">
        <v>4400</v>
      </c>
      <c r="G711" s="11" t="s">
        <v>4401</v>
      </c>
      <c r="H711" s="12" t="s">
        <v>4402</v>
      </c>
      <c r="I711" s="9"/>
      <c r="J711" s="11"/>
      <c r="K711" s="9"/>
      <c r="L711" s="9" t="s">
        <v>68</v>
      </c>
      <c r="M711" s="9" t="s">
        <v>2601</v>
      </c>
      <c r="N711" s="11" t="s">
        <v>2603</v>
      </c>
      <c r="O711" s="12" t="s">
        <v>2605</v>
      </c>
      <c r="P711" s="13" t="n">
        <v>40</v>
      </c>
      <c r="Q711" s="13" t="n">
        <v>25</v>
      </c>
      <c r="R711" s="13" t="n">
        <v>15</v>
      </c>
      <c r="S711" s="13" t="n">
        <v>3</v>
      </c>
      <c r="T711" s="9" t="s">
        <v>4615</v>
      </c>
      <c r="U711" s="9"/>
      <c r="V711" s="9" t="s">
        <v>4570</v>
      </c>
      <c r="W711" s="9"/>
      <c r="X711" s="11"/>
      <c r="Y711" s="12" t="s">
        <v>4981</v>
      </c>
    </row>
    <row r="712" customFormat="false" ht="15" hidden="false" customHeight="false" outlineLevel="0" collapsed="false">
      <c r="A712" s="9" t="s">
        <v>4379</v>
      </c>
      <c r="B712" s="9" t="s">
        <v>4373</v>
      </c>
      <c r="C712" s="11" t="s">
        <v>4375</v>
      </c>
      <c r="D712" s="12" t="s">
        <v>4377</v>
      </c>
      <c r="E712" s="9" t="s">
        <v>4408</v>
      </c>
      <c r="F712" s="9" t="s">
        <v>4405</v>
      </c>
      <c r="G712" s="11" t="s">
        <v>4406</v>
      </c>
      <c r="H712" s="12" t="s">
        <v>4407</v>
      </c>
      <c r="I712" s="9"/>
      <c r="J712" s="11"/>
      <c r="K712" s="9"/>
      <c r="L712" s="9" t="s">
        <v>68</v>
      </c>
      <c r="M712" s="9" t="s">
        <v>2601</v>
      </c>
      <c r="N712" s="11" t="s">
        <v>2603</v>
      </c>
      <c r="O712" s="12" t="s">
        <v>2605</v>
      </c>
      <c r="P712" s="13" t="n">
        <v>25</v>
      </c>
      <c r="Q712" s="13" t="n">
        <v>15</v>
      </c>
      <c r="R712" s="13" t="n">
        <v>10</v>
      </c>
      <c r="S712" s="13" t="n">
        <v>0.9</v>
      </c>
      <c r="T712" s="9" t="s">
        <v>4615</v>
      </c>
      <c r="U712" s="9"/>
      <c r="V712" s="9" t="s">
        <v>4568</v>
      </c>
      <c r="W712" s="9"/>
      <c r="X712" s="11"/>
      <c r="Y712" s="9"/>
    </row>
    <row r="713" customFormat="false" ht="15" hidden="false" customHeight="false" outlineLevel="0" collapsed="false">
      <c r="A713" s="9" t="s">
        <v>4379</v>
      </c>
      <c r="B713" s="9" t="s">
        <v>4373</v>
      </c>
      <c r="C713" s="11" t="s">
        <v>4375</v>
      </c>
      <c r="D713" s="12" t="s">
        <v>4377</v>
      </c>
      <c r="E713" s="9" t="s">
        <v>4413</v>
      </c>
      <c r="F713" s="9" t="s">
        <v>4410</v>
      </c>
      <c r="G713" s="11" t="s">
        <v>4411</v>
      </c>
      <c r="H713" s="12" t="s">
        <v>4412</v>
      </c>
      <c r="I713" s="9"/>
      <c r="J713" s="11"/>
      <c r="K713" s="9"/>
      <c r="L713" s="9" t="s">
        <v>68</v>
      </c>
      <c r="M713" s="9" t="s">
        <v>2106</v>
      </c>
      <c r="N713" s="11" t="s">
        <v>2108</v>
      </c>
      <c r="O713" s="12" t="s">
        <v>2110</v>
      </c>
      <c r="P713" s="13" t="n">
        <v>50</v>
      </c>
      <c r="Q713" s="13" t="n">
        <v>35</v>
      </c>
      <c r="R713" s="13" t="n">
        <v>25</v>
      </c>
      <c r="S713" s="13" t="n">
        <v>2</v>
      </c>
      <c r="T713" s="9" t="s">
        <v>4615</v>
      </c>
      <c r="U713" s="9"/>
      <c r="V713" s="9" t="s">
        <v>4565</v>
      </c>
      <c r="W713" s="9"/>
      <c r="X713" s="11"/>
      <c r="Y713" s="9"/>
    </row>
    <row r="714" customFormat="false" ht="15" hidden="false" customHeight="false" outlineLevel="0" collapsed="false">
      <c r="A714" s="9" t="s">
        <v>4379</v>
      </c>
      <c r="B714" s="9" t="s">
        <v>4373</v>
      </c>
      <c r="C714" s="11" t="s">
        <v>4375</v>
      </c>
      <c r="D714" s="12" t="s">
        <v>4377</v>
      </c>
      <c r="E714" s="9" t="s">
        <v>4418</v>
      </c>
      <c r="F714" s="9" t="s">
        <v>4415</v>
      </c>
      <c r="G714" s="11" t="s">
        <v>4416</v>
      </c>
      <c r="H714" s="12" t="s">
        <v>4417</v>
      </c>
      <c r="I714" s="9"/>
      <c r="J714" s="11"/>
      <c r="K714" s="9"/>
      <c r="L714" s="9" t="s">
        <v>68</v>
      </c>
      <c r="M714" s="9" t="s">
        <v>2439</v>
      </c>
      <c r="N714" s="11" t="s">
        <v>2441</v>
      </c>
      <c r="O714" s="12" t="s">
        <v>2443</v>
      </c>
      <c r="P714" s="13" t="n">
        <v>15</v>
      </c>
      <c r="Q714" s="13" t="n">
        <v>10</v>
      </c>
      <c r="R714" s="13" t="n">
        <v>8</v>
      </c>
      <c r="S714" s="13" t="n">
        <v>0.3</v>
      </c>
      <c r="T714" s="9" t="s">
        <v>4615</v>
      </c>
      <c r="U714" s="9"/>
      <c r="V714" s="9" t="s">
        <v>4571</v>
      </c>
      <c r="W714" s="9"/>
      <c r="X714" s="11"/>
      <c r="Y714" s="9"/>
    </row>
    <row r="715" customFormat="false" ht="15" hidden="false" customHeight="false" outlineLevel="0" collapsed="false">
      <c r="A715" s="9" t="s">
        <v>4379</v>
      </c>
      <c r="B715" s="9" t="s">
        <v>4373</v>
      </c>
      <c r="C715" s="11" t="s">
        <v>4375</v>
      </c>
      <c r="D715" s="12" t="s">
        <v>4377</v>
      </c>
      <c r="E715" s="9" t="s">
        <v>4423</v>
      </c>
      <c r="F715" s="9" t="s">
        <v>4420</v>
      </c>
      <c r="G715" s="11" t="s">
        <v>4421</v>
      </c>
      <c r="H715" s="12" t="s">
        <v>4422</v>
      </c>
      <c r="I715" s="9"/>
      <c r="J715" s="11"/>
      <c r="K715" s="9"/>
      <c r="L715" s="9" t="s">
        <v>68</v>
      </c>
      <c r="M715" s="9" t="s">
        <v>3364</v>
      </c>
      <c r="N715" s="11" t="s">
        <v>3366</v>
      </c>
      <c r="O715" s="12" t="s">
        <v>3368</v>
      </c>
      <c r="P715" s="13" t="n">
        <v>140</v>
      </c>
      <c r="Q715" s="13" t="n">
        <v>20</v>
      </c>
      <c r="R715" s="13" t="n">
        <v>12</v>
      </c>
      <c r="S715" s="13" t="n">
        <v>5</v>
      </c>
      <c r="T715" s="9" t="s">
        <v>4615</v>
      </c>
      <c r="U715" s="9" t="s">
        <v>4719</v>
      </c>
      <c r="V715" s="9" t="s">
        <v>4565</v>
      </c>
      <c r="W715" s="9" t="s">
        <v>4982</v>
      </c>
      <c r="X715" s="11"/>
      <c r="Y715" s="9"/>
    </row>
    <row r="716" customFormat="false" ht="15" hidden="false" customHeight="false" outlineLevel="0" collapsed="false">
      <c r="A716" s="9" t="s">
        <v>4379</v>
      </c>
      <c r="B716" s="9" t="s">
        <v>4373</v>
      </c>
      <c r="C716" s="11" t="s">
        <v>4375</v>
      </c>
      <c r="D716" s="12" t="s">
        <v>4377</v>
      </c>
      <c r="E716" s="9" t="s">
        <v>4428</v>
      </c>
      <c r="F716" s="9" t="s">
        <v>4425</v>
      </c>
      <c r="G716" s="11" t="s">
        <v>4426</v>
      </c>
      <c r="H716" s="12" t="s">
        <v>4427</v>
      </c>
      <c r="I716" s="9"/>
      <c r="J716" s="11"/>
      <c r="K716" s="9"/>
      <c r="L716" s="9" t="s">
        <v>68</v>
      </c>
      <c r="M716" s="9" t="s">
        <v>3364</v>
      </c>
      <c r="N716" s="11" t="s">
        <v>3366</v>
      </c>
      <c r="O716" s="12" t="s">
        <v>3368</v>
      </c>
      <c r="P716" s="13" t="n">
        <v>180</v>
      </c>
      <c r="Q716" s="13" t="n">
        <v>80</v>
      </c>
      <c r="R716" s="13" t="n">
        <v>40</v>
      </c>
      <c r="S716" s="13" t="n">
        <v>16</v>
      </c>
      <c r="T716" s="9" t="s">
        <v>4615</v>
      </c>
      <c r="U716" s="9" t="s">
        <v>4719</v>
      </c>
      <c r="V716" s="9" t="s">
        <v>4565</v>
      </c>
      <c r="W716" s="9"/>
      <c r="X716" s="11"/>
      <c r="Y716" s="9"/>
    </row>
    <row r="717" customFormat="false" ht="15" hidden="false" customHeight="false" outlineLevel="0" collapsed="false">
      <c r="A717" s="9" t="s">
        <v>4379</v>
      </c>
      <c r="B717" s="9" t="s">
        <v>4373</v>
      </c>
      <c r="C717" s="11" t="s">
        <v>4375</v>
      </c>
      <c r="D717" s="12" t="s">
        <v>4377</v>
      </c>
      <c r="E717" s="9" t="s">
        <v>4433</v>
      </c>
      <c r="F717" s="9" t="s">
        <v>4430</v>
      </c>
      <c r="G717" s="11" t="s">
        <v>4431</v>
      </c>
      <c r="H717" s="12" t="s">
        <v>4432</v>
      </c>
      <c r="I717" s="9"/>
      <c r="J717" s="11"/>
      <c r="K717" s="9"/>
      <c r="L717" s="9" t="s">
        <v>68</v>
      </c>
      <c r="M717" s="9" t="s">
        <v>2660</v>
      </c>
      <c r="N717" s="11" t="s">
        <v>2663</v>
      </c>
      <c r="O717" s="12" t="s">
        <v>2666</v>
      </c>
      <c r="P717" s="13" t="n">
        <v>90</v>
      </c>
      <c r="Q717" s="13" t="n">
        <v>30</v>
      </c>
      <c r="R717" s="13" t="n">
        <v>25</v>
      </c>
      <c r="S717" s="13" t="n">
        <v>6</v>
      </c>
      <c r="T717" s="9" t="s">
        <v>4615</v>
      </c>
      <c r="U717" s="9"/>
      <c r="V717" s="9" t="s">
        <v>4565</v>
      </c>
      <c r="W717" s="9"/>
      <c r="X717" s="11"/>
      <c r="Y717" s="9"/>
    </row>
    <row r="718" customFormat="false" ht="15" hidden="false" customHeight="false" outlineLevel="0" collapsed="false">
      <c r="A718" s="9" t="s">
        <v>4379</v>
      </c>
      <c r="B718" s="9" t="s">
        <v>4373</v>
      </c>
      <c r="C718" s="11" t="s">
        <v>4375</v>
      </c>
      <c r="D718" s="12" t="s">
        <v>4377</v>
      </c>
      <c r="E718" s="9" t="s">
        <v>4438</v>
      </c>
      <c r="F718" s="9" t="s">
        <v>4435</v>
      </c>
      <c r="G718" s="11" t="s">
        <v>4436</v>
      </c>
      <c r="H718" s="12" t="s">
        <v>4437</v>
      </c>
      <c r="I718" s="9"/>
      <c r="J718" s="11"/>
      <c r="K718" s="9"/>
      <c r="L718" s="9" t="s">
        <v>68</v>
      </c>
      <c r="M718" s="9" t="s">
        <v>237</v>
      </c>
      <c r="N718" s="11" t="s">
        <v>239</v>
      </c>
      <c r="O718" s="12" t="s">
        <v>241</v>
      </c>
      <c r="P718" s="13" t="n">
        <v>70</v>
      </c>
      <c r="Q718" s="13" t="n">
        <v>25</v>
      </c>
      <c r="R718" s="13" t="n">
        <v>15</v>
      </c>
      <c r="S718" s="13" t="n">
        <v>14</v>
      </c>
      <c r="T718" s="9" t="s">
        <v>4615</v>
      </c>
      <c r="U718" s="9"/>
      <c r="V718" s="9" t="s">
        <v>4565</v>
      </c>
      <c r="W718" s="9" t="s">
        <v>4983</v>
      </c>
      <c r="X718" s="11" t="s">
        <v>4984</v>
      </c>
      <c r="Y718" s="9"/>
    </row>
    <row r="719" customFormat="false" ht="15" hidden="false" customHeight="false" outlineLevel="0" collapsed="false">
      <c r="A719" s="9" t="s">
        <v>4379</v>
      </c>
      <c r="B719" s="9" t="s">
        <v>4373</v>
      </c>
      <c r="C719" s="11" t="s">
        <v>4375</v>
      </c>
      <c r="D719" s="12" t="s">
        <v>4377</v>
      </c>
      <c r="E719" s="9" t="s">
        <v>4443</v>
      </c>
      <c r="F719" s="9" t="s">
        <v>4440</v>
      </c>
      <c r="G719" s="11" t="s">
        <v>4441</v>
      </c>
      <c r="H719" s="12" t="s">
        <v>4442</v>
      </c>
      <c r="I719" s="9"/>
      <c r="J719" s="11"/>
      <c r="K719" s="9"/>
      <c r="L719" s="9" t="s">
        <v>68</v>
      </c>
      <c r="M719" s="9" t="s">
        <v>2336</v>
      </c>
      <c r="N719" s="11" t="s">
        <v>2375</v>
      </c>
      <c r="O719" s="12" t="s">
        <v>2377</v>
      </c>
      <c r="P719" s="13" t="n">
        <v>25</v>
      </c>
      <c r="Q719" s="13" t="n">
        <v>15</v>
      </c>
      <c r="R719" s="13" t="n">
        <v>10</v>
      </c>
      <c r="S719" s="13" t="n">
        <v>0.9</v>
      </c>
      <c r="T719" s="9" t="s">
        <v>4615</v>
      </c>
      <c r="U719" s="9"/>
      <c r="V719" s="9" t="s">
        <v>4568</v>
      </c>
      <c r="W719" s="9"/>
      <c r="X719" s="11"/>
      <c r="Y719" s="9"/>
    </row>
    <row r="720" customFormat="false" ht="15" hidden="false" customHeight="false" outlineLevel="0" collapsed="false">
      <c r="A720" s="9" t="s">
        <v>4379</v>
      </c>
      <c r="B720" s="9" t="s">
        <v>4373</v>
      </c>
      <c r="C720" s="11" t="s">
        <v>4375</v>
      </c>
      <c r="D720" s="12" t="s">
        <v>4377</v>
      </c>
      <c r="E720" s="9" t="s">
        <v>4448</v>
      </c>
      <c r="F720" s="9" t="s">
        <v>4445</v>
      </c>
      <c r="G720" s="11" t="s">
        <v>4446</v>
      </c>
      <c r="H720" s="12" t="s">
        <v>4447</v>
      </c>
      <c r="I720" s="9"/>
      <c r="J720" s="11"/>
      <c r="K720" s="9"/>
      <c r="L720" s="9" t="s">
        <v>4730</v>
      </c>
      <c r="M720" s="9" t="s">
        <v>3583</v>
      </c>
      <c r="N720" s="11" t="s">
        <v>3585</v>
      </c>
      <c r="O720" s="12" t="s">
        <v>3587</v>
      </c>
      <c r="P720" s="13" t="n">
        <v>15</v>
      </c>
      <c r="Q720" s="13" t="n">
        <v>10</v>
      </c>
      <c r="R720" s="13" t="n">
        <v>8</v>
      </c>
      <c r="S720" s="13" t="n">
        <v>0.3</v>
      </c>
      <c r="T720" s="9" t="s">
        <v>4615</v>
      </c>
      <c r="U720" s="9"/>
      <c r="V720" s="9" t="s">
        <v>4571</v>
      </c>
      <c r="W720" s="9"/>
      <c r="X720" s="11"/>
      <c r="Y720" s="9"/>
    </row>
    <row r="721" customFormat="false" ht="15" hidden="false" customHeight="false" outlineLevel="0" collapsed="false">
      <c r="A721" s="9" t="s">
        <v>4379</v>
      </c>
      <c r="B721" s="9" t="s">
        <v>4373</v>
      </c>
      <c r="C721" s="11" t="s">
        <v>4375</v>
      </c>
      <c r="D721" s="12" t="s">
        <v>4377</v>
      </c>
      <c r="E721" s="9" t="s">
        <v>4456</v>
      </c>
      <c r="F721" s="9" t="s">
        <v>4453</v>
      </c>
      <c r="G721" s="11" t="s">
        <v>4454</v>
      </c>
      <c r="H721" s="12" t="s">
        <v>4455</v>
      </c>
      <c r="I721" s="9"/>
      <c r="J721" s="11"/>
      <c r="K721" s="9"/>
      <c r="L721" s="9" t="s">
        <v>4730</v>
      </c>
      <c r="M721" s="9" t="s">
        <v>3602</v>
      </c>
      <c r="N721" s="11" t="s">
        <v>3604</v>
      </c>
      <c r="O721" s="12" t="s">
        <v>3606</v>
      </c>
      <c r="P721" s="13" t="n">
        <v>25</v>
      </c>
      <c r="Q721" s="13" t="n">
        <v>15</v>
      </c>
      <c r="R721" s="13" t="n">
        <v>10</v>
      </c>
      <c r="S721" s="13" t="n">
        <v>0.9</v>
      </c>
      <c r="T721" s="9" t="s">
        <v>4615</v>
      </c>
      <c r="U721" s="9"/>
      <c r="V721" s="9" t="s">
        <v>4568</v>
      </c>
      <c r="W721" s="9"/>
      <c r="X721" s="11"/>
      <c r="Y721" s="9"/>
    </row>
    <row r="722" customFormat="false" ht="15" hidden="false" customHeight="false" outlineLevel="0" collapsed="false">
      <c r="A722" s="9" t="s">
        <v>4379</v>
      </c>
      <c r="B722" s="9" t="s">
        <v>4373</v>
      </c>
      <c r="C722" s="11" t="s">
        <v>4375</v>
      </c>
      <c r="D722" s="12" t="s">
        <v>4377</v>
      </c>
      <c r="E722" s="9" t="s">
        <v>4464</v>
      </c>
      <c r="F722" s="9" t="s">
        <v>4461</v>
      </c>
      <c r="G722" s="11" t="s">
        <v>4462</v>
      </c>
      <c r="H722" s="12" t="s">
        <v>4463</v>
      </c>
      <c r="I722" s="9"/>
      <c r="J722" s="11"/>
      <c r="K722" s="9"/>
      <c r="L722" s="9" t="s">
        <v>4604</v>
      </c>
      <c r="M722" s="9" t="s">
        <v>2839</v>
      </c>
      <c r="N722" s="11" t="s">
        <v>2841</v>
      </c>
      <c r="O722" s="12" t="s">
        <v>2843</v>
      </c>
      <c r="P722" s="13" t="n">
        <v>170</v>
      </c>
      <c r="Q722" s="13" t="n">
        <v>20</v>
      </c>
      <c r="R722" s="13" t="n">
        <v>10</v>
      </c>
      <c r="S722" s="13" t="n">
        <v>10</v>
      </c>
      <c r="T722" s="9" t="s">
        <v>4615</v>
      </c>
      <c r="U722" s="9" t="s">
        <v>4719</v>
      </c>
      <c r="V722" s="9" t="s">
        <v>4565</v>
      </c>
      <c r="W722" s="9" t="s">
        <v>4985</v>
      </c>
      <c r="X722" s="11"/>
      <c r="Y722" s="9"/>
    </row>
    <row r="723" customFormat="false" ht="15" hidden="false" customHeight="false" outlineLevel="0" collapsed="false">
      <c r="A723" s="9" t="s">
        <v>4379</v>
      </c>
      <c r="B723" s="9" t="s">
        <v>4373</v>
      </c>
      <c r="C723" s="11" t="s">
        <v>4375</v>
      </c>
      <c r="D723" s="12" t="s">
        <v>4377</v>
      </c>
      <c r="E723" s="9" t="s">
        <v>4470</v>
      </c>
      <c r="F723" s="9" t="s">
        <v>4467</v>
      </c>
      <c r="G723" s="11" t="s">
        <v>4468</v>
      </c>
      <c r="H723" s="12" t="s">
        <v>4469</v>
      </c>
      <c r="I723" s="9"/>
      <c r="J723" s="11"/>
      <c r="K723" s="9"/>
      <c r="L723" s="9" t="s">
        <v>68</v>
      </c>
      <c r="M723" s="9" t="s">
        <v>2685</v>
      </c>
      <c r="N723" s="11" t="s">
        <v>2687</v>
      </c>
      <c r="O723" s="12" t="s">
        <v>2689</v>
      </c>
      <c r="P723" s="13" t="n">
        <v>150</v>
      </c>
      <c r="Q723" s="13" t="n">
        <v>40</v>
      </c>
      <c r="R723" s="13" t="n">
        <v>30</v>
      </c>
      <c r="S723" s="13" t="n">
        <v>20</v>
      </c>
      <c r="T723" s="9" t="s">
        <v>4615</v>
      </c>
      <c r="U723" s="9" t="s">
        <v>4719</v>
      </c>
      <c r="V723" s="9" t="s">
        <v>4565</v>
      </c>
      <c r="W723" s="9"/>
      <c r="X723" s="11" t="s">
        <v>4986</v>
      </c>
      <c r="Y723" s="9"/>
    </row>
    <row r="724" customFormat="false" ht="15" hidden="false" customHeight="false" outlineLevel="0" collapsed="false">
      <c r="A724" s="9" t="s">
        <v>4379</v>
      </c>
      <c r="B724" s="9" t="s">
        <v>4373</v>
      </c>
      <c r="C724" s="11" t="s">
        <v>4375</v>
      </c>
      <c r="D724" s="12" t="s">
        <v>4377</v>
      </c>
      <c r="E724" s="9" t="s">
        <v>4475</v>
      </c>
      <c r="F724" s="9" t="s">
        <v>4472</v>
      </c>
      <c r="G724" s="11" t="s">
        <v>4473</v>
      </c>
      <c r="H724" s="12" t="s">
        <v>4474</v>
      </c>
      <c r="I724" s="9"/>
      <c r="J724" s="11"/>
      <c r="K724" s="9"/>
      <c r="L724" s="9" t="s">
        <v>4730</v>
      </c>
      <c r="M724" s="9" t="s">
        <v>3859</v>
      </c>
      <c r="N724" s="11" t="s">
        <v>3861</v>
      </c>
      <c r="O724" s="12" t="s">
        <v>3863</v>
      </c>
      <c r="P724" s="13" t="n">
        <v>25</v>
      </c>
      <c r="Q724" s="13" t="n">
        <v>15</v>
      </c>
      <c r="R724" s="13" t="n">
        <v>10</v>
      </c>
      <c r="S724" s="13" t="n">
        <v>0.9</v>
      </c>
      <c r="T724" s="9" t="s">
        <v>4615</v>
      </c>
      <c r="U724" s="9"/>
      <c r="V724" s="9" t="s">
        <v>4568</v>
      </c>
      <c r="W724" s="9" t="s">
        <v>4987</v>
      </c>
      <c r="X724" s="11"/>
      <c r="Y724" s="9"/>
    </row>
    <row r="725" customFormat="false" ht="15" hidden="false" customHeight="false" outlineLevel="0" collapsed="false">
      <c r="A725" s="9" t="s">
        <v>4379</v>
      </c>
      <c r="B725" s="9" t="s">
        <v>4373</v>
      </c>
      <c r="C725" s="11" t="s">
        <v>4375</v>
      </c>
      <c r="D725" s="12" t="s">
        <v>4377</v>
      </c>
      <c r="E725" s="9" t="s">
        <v>4483</v>
      </c>
      <c r="F725" s="9" t="s">
        <v>4480</v>
      </c>
      <c r="G725" s="11" t="s">
        <v>4481</v>
      </c>
      <c r="H725" s="12" t="s">
        <v>4482</v>
      </c>
      <c r="I725" s="9"/>
      <c r="J725" s="11"/>
      <c r="K725" s="9"/>
      <c r="L725" s="9" t="s">
        <v>68</v>
      </c>
      <c r="M725" s="9" t="s">
        <v>3482</v>
      </c>
      <c r="N725" s="11" t="s">
        <v>3484</v>
      </c>
      <c r="O725" s="12" t="s">
        <v>3485</v>
      </c>
      <c r="P725" s="13" t="n">
        <v>40</v>
      </c>
      <c r="Q725" s="13" t="n">
        <v>25</v>
      </c>
      <c r="R725" s="13" t="n">
        <v>15</v>
      </c>
      <c r="S725" s="13" t="n">
        <v>3</v>
      </c>
      <c r="T725" s="9" t="s">
        <v>4615</v>
      </c>
      <c r="U725" s="9"/>
      <c r="V725" s="9" t="s">
        <v>4570</v>
      </c>
      <c r="W725" s="9" t="s">
        <v>4988</v>
      </c>
      <c r="X725" s="11"/>
      <c r="Y725" s="9"/>
    </row>
    <row r="726" customFormat="false" ht="15" hidden="false" customHeight="false" outlineLevel="0" collapsed="false">
      <c r="A726" s="9" t="s">
        <v>4379</v>
      </c>
      <c r="B726" s="9" t="s">
        <v>4373</v>
      </c>
      <c r="C726" s="11" t="s">
        <v>4375</v>
      </c>
      <c r="D726" s="12" t="s">
        <v>4377</v>
      </c>
      <c r="E726" s="9" t="s">
        <v>4488</v>
      </c>
      <c r="F726" s="9" t="s">
        <v>4485</v>
      </c>
      <c r="G726" s="11" t="s">
        <v>4486</v>
      </c>
      <c r="H726" s="12" t="s">
        <v>4487</v>
      </c>
      <c r="I726" s="9"/>
      <c r="J726" s="11"/>
      <c r="K726" s="9"/>
      <c r="L726" s="9" t="s">
        <v>68</v>
      </c>
      <c r="M726" s="9" t="s">
        <v>2260</v>
      </c>
      <c r="N726" s="11" t="s">
        <v>2262</v>
      </c>
      <c r="O726" s="12" t="s">
        <v>2264</v>
      </c>
      <c r="P726" s="13" t="n">
        <v>10</v>
      </c>
      <c r="Q726" s="13" t="n">
        <v>8</v>
      </c>
      <c r="R726" s="13" t="n">
        <v>6</v>
      </c>
      <c r="S726" s="13" t="n">
        <v>0.1</v>
      </c>
      <c r="T726" s="9" t="s">
        <v>4615</v>
      </c>
      <c r="U726" s="9" t="s">
        <v>4628</v>
      </c>
      <c r="V726" s="9" t="s">
        <v>4572</v>
      </c>
      <c r="W726" s="9"/>
      <c r="X726" s="11"/>
      <c r="Y726" s="9"/>
    </row>
    <row r="727" customFormat="false" ht="15" hidden="false" customHeight="false" outlineLevel="0" collapsed="false">
      <c r="A727" s="9" t="s">
        <v>4379</v>
      </c>
      <c r="B727" s="9" t="s">
        <v>4373</v>
      </c>
      <c r="C727" s="11" t="s">
        <v>4375</v>
      </c>
      <c r="D727" s="12" t="s">
        <v>4377</v>
      </c>
      <c r="E727" s="9" t="s">
        <v>4493</v>
      </c>
      <c r="F727" s="9" t="s">
        <v>4490</v>
      </c>
      <c r="G727" s="11" t="s">
        <v>4491</v>
      </c>
      <c r="H727" s="12" t="s">
        <v>4492</v>
      </c>
      <c r="I727" s="9"/>
      <c r="J727" s="11"/>
      <c r="K727" s="9"/>
      <c r="L727" s="9" t="s">
        <v>4578</v>
      </c>
      <c r="M727" s="9" t="s">
        <v>2660</v>
      </c>
      <c r="N727" s="11" t="s">
        <v>2663</v>
      </c>
      <c r="O727" s="12" t="s">
        <v>2666</v>
      </c>
      <c r="P727" s="13" t="n">
        <v>15</v>
      </c>
      <c r="Q727" s="13" t="n">
        <v>10</v>
      </c>
      <c r="R727" s="13" t="n">
        <v>8</v>
      </c>
      <c r="S727" s="13" t="n">
        <v>0.3</v>
      </c>
      <c r="T727" s="9" t="s">
        <v>4615</v>
      </c>
      <c r="U727" s="9"/>
      <c r="V727" s="9" t="s">
        <v>4571</v>
      </c>
      <c r="W727" s="9"/>
      <c r="X727" s="11"/>
      <c r="Y727" s="9"/>
    </row>
    <row r="728" customFormat="false" ht="15" hidden="false" customHeight="false" outlineLevel="0" collapsed="false">
      <c r="A728" s="9" t="s">
        <v>4502</v>
      </c>
      <c r="B728" s="9" t="s">
        <v>4496</v>
      </c>
      <c r="C728" s="11" t="s">
        <v>4498</v>
      </c>
      <c r="D728" s="12" t="s">
        <v>4500</v>
      </c>
      <c r="E728" s="9" t="s">
        <v>4503</v>
      </c>
      <c r="F728" s="9" t="s">
        <v>4497</v>
      </c>
      <c r="G728" s="11" t="s">
        <v>4499</v>
      </c>
      <c r="H728" s="12" t="s">
        <v>4501</v>
      </c>
      <c r="I728" s="9"/>
      <c r="J728" s="11"/>
      <c r="K728" s="9"/>
      <c r="L728" s="9" t="s">
        <v>68</v>
      </c>
      <c r="M728" s="9" t="s">
        <v>956</v>
      </c>
      <c r="N728" s="11" t="s">
        <v>959</v>
      </c>
      <c r="O728" s="12" t="s">
        <v>962</v>
      </c>
      <c r="P728" s="13" t="n">
        <v>35</v>
      </c>
      <c r="Q728" s="13" t="n">
        <v>15</v>
      </c>
      <c r="R728" s="13" t="n">
        <v>10</v>
      </c>
      <c r="S728" s="13" t="n">
        <v>3</v>
      </c>
      <c r="T728" s="9" t="s">
        <v>4615</v>
      </c>
      <c r="U728" s="9"/>
      <c r="V728" s="9" t="s">
        <v>4565</v>
      </c>
      <c r="W728" s="9"/>
      <c r="X728" s="11" t="s">
        <v>4989</v>
      </c>
      <c r="Y728" s="9"/>
    </row>
    <row r="729" customFormat="false" ht="15" hidden="false" customHeight="false" outlineLevel="0" collapsed="false">
      <c r="A729" s="9" t="s">
        <v>4502</v>
      </c>
      <c r="B729" s="9" t="s">
        <v>4496</v>
      </c>
      <c r="C729" s="11" t="s">
        <v>4498</v>
      </c>
      <c r="D729" s="12" t="s">
        <v>4500</v>
      </c>
      <c r="E729" s="9" t="s">
        <v>4508</v>
      </c>
      <c r="F729" s="9" t="s">
        <v>4505</v>
      </c>
      <c r="G729" s="11" t="s">
        <v>4506</v>
      </c>
      <c r="H729" s="12" t="s">
        <v>4507</v>
      </c>
      <c r="I729" s="9"/>
      <c r="J729" s="11"/>
      <c r="K729" s="9"/>
      <c r="L729" s="9" t="s">
        <v>68</v>
      </c>
      <c r="M729" s="9" t="s">
        <v>956</v>
      </c>
      <c r="N729" s="11" t="s">
        <v>959</v>
      </c>
      <c r="O729" s="12" t="s">
        <v>962</v>
      </c>
      <c r="P729" s="13" t="n">
        <v>60</v>
      </c>
      <c r="Q729" s="13" t="n">
        <v>25</v>
      </c>
      <c r="R729" s="13" t="n">
        <v>20</v>
      </c>
      <c r="S729" s="13" t="n">
        <v>12</v>
      </c>
      <c r="T729" s="9" t="s">
        <v>4615</v>
      </c>
      <c r="U729" s="9"/>
      <c r="V729" s="9" t="s">
        <v>4565</v>
      </c>
      <c r="W729" s="9"/>
      <c r="X729" s="11"/>
      <c r="Y729" s="9"/>
    </row>
    <row r="730" customFormat="false" ht="15" hidden="false" customHeight="false" outlineLevel="0" collapsed="false">
      <c r="A730" s="9" t="s">
        <v>4502</v>
      </c>
      <c r="B730" s="9" t="s">
        <v>4496</v>
      </c>
      <c r="C730" s="11" t="s">
        <v>4498</v>
      </c>
      <c r="D730" s="12" t="s">
        <v>4500</v>
      </c>
      <c r="E730" s="9" t="s">
        <v>4513</v>
      </c>
      <c r="F730" s="9" t="s">
        <v>4510</v>
      </c>
      <c r="G730" s="11" t="s">
        <v>4511</v>
      </c>
      <c r="H730" s="12" t="s">
        <v>4512</v>
      </c>
      <c r="I730" s="9"/>
      <c r="J730" s="11"/>
      <c r="K730" s="9"/>
      <c r="L730" s="9" t="s">
        <v>68</v>
      </c>
      <c r="M730" s="9" t="s">
        <v>956</v>
      </c>
      <c r="N730" s="11" t="s">
        <v>959</v>
      </c>
      <c r="O730" s="12" t="s">
        <v>962</v>
      </c>
      <c r="P730" s="13" t="n">
        <v>30</v>
      </c>
      <c r="Q730" s="13" t="n">
        <v>20</v>
      </c>
      <c r="R730" s="13" t="n">
        <v>35</v>
      </c>
      <c r="S730" s="13" t="n">
        <v>5</v>
      </c>
      <c r="T730" s="9" t="s">
        <v>4615</v>
      </c>
      <c r="U730" s="9"/>
      <c r="V730" s="9" t="s">
        <v>4565</v>
      </c>
      <c r="W730" s="9"/>
      <c r="X730" s="11" t="s">
        <v>4990</v>
      </c>
      <c r="Y730" s="9"/>
    </row>
    <row r="731" customFormat="false" ht="15" hidden="false" customHeight="false" outlineLevel="0" collapsed="false">
      <c r="A731" s="9" t="s">
        <v>4502</v>
      </c>
      <c r="B731" s="9" t="s">
        <v>4496</v>
      </c>
      <c r="C731" s="11" t="s">
        <v>4498</v>
      </c>
      <c r="D731" s="12" t="s">
        <v>4500</v>
      </c>
      <c r="E731" s="9" t="s">
        <v>4518</v>
      </c>
      <c r="F731" s="9" t="s">
        <v>4515</v>
      </c>
      <c r="G731" s="11" t="s">
        <v>4516</v>
      </c>
      <c r="H731" s="12" t="s">
        <v>4517</v>
      </c>
      <c r="I731" s="9"/>
      <c r="J731" s="11"/>
      <c r="K731" s="9"/>
      <c r="L731" s="9" t="s">
        <v>68</v>
      </c>
      <c r="M731" s="9" t="s">
        <v>956</v>
      </c>
      <c r="N731" s="11" t="s">
        <v>959</v>
      </c>
      <c r="O731" s="12" t="s">
        <v>962</v>
      </c>
      <c r="P731" s="13" t="n">
        <v>45</v>
      </c>
      <c r="Q731" s="13" t="n">
        <v>5</v>
      </c>
      <c r="R731" s="13" t="n">
        <v>5</v>
      </c>
      <c r="S731" s="13" t="n">
        <v>1</v>
      </c>
      <c r="T731" s="9" t="s">
        <v>4615</v>
      </c>
      <c r="U731" s="9"/>
      <c r="V731" s="9" t="s">
        <v>4565</v>
      </c>
      <c r="W731" s="9"/>
      <c r="X731" s="11"/>
      <c r="Y731" s="9"/>
    </row>
    <row r="732" customFormat="false" ht="15" hidden="false" customHeight="false" outlineLevel="0" collapsed="false">
      <c r="A732" s="9" t="s">
        <v>4502</v>
      </c>
      <c r="B732" s="9" t="s">
        <v>4496</v>
      </c>
      <c r="C732" s="11" t="s">
        <v>4498</v>
      </c>
      <c r="D732" s="12" t="s">
        <v>4500</v>
      </c>
      <c r="E732" s="9" t="s">
        <v>4523</v>
      </c>
      <c r="F732" s="9" t="s">
        <v>4520</v>
      </c>
      <c r="G732" s="11" t="s">
        <v>4521</v>
      </c>
      <c r="H732" s="12" t="s">
        <v>4522</v>
      </c>
      <c r="I732" s="9"/>
      <c r="J732" s="11"/>
      <c r="K732" s="9"/>
      <c r="L732" s="9" t="s">
        <v>68</v>
      </c>
      <c r="M732" s="9" t="s">
        <v>956</v>
      </c>
      <c r="N732" s="11" t="s">
        <v>959</v>
      </c>
      <c r="O732" s="12" t="s">
        <v>962</v>
      </c>
      <c r="P732" s="13" t="n">
        <v>25</v>
      </c>
      <c r="Q732" s="13" t="n">
        <v>15</v>
      </c>
      <c r="R732" s="13" t="n">
        <v>10</v>
      </c>
      <c r="S732" s="13" t="n">
        <v>0.9</v>
      </c>
      <c r="T732" s="9" t="s">
        <v>4615</v>
      </c>
      <c r="U732" s="9"/>
      <c r="V732" s="9" t="s">
        <v>4568</v>
      </c>
      <c r="W732" s="9"/>
      <c r="X732" s="11"/>
      <c r="Y732" s="9"/>
    </row>
    <row r="733" customFormat="false" ht="15" hidden="false" customHeight="false" outlineLevel="0" collapsed="false">
      <c r="A733" s="9" t="s">
        <v>4502</v>
      </c>
      <c r="B733" s="9" t="s">
        <v>4496</v>
      </c>
      <c r="C733" s="11" t="s">
        <v>4498</v>
      </c>
      <c r="D733" s="12" t="s">
        <v>4500</v>
      </c>
      <c r="E733" s="9" t="s">
        <v>4528</v>
      </c>
      <c r="F733" s="9" t="s">
        <v>4525</v>
      </c>
      <c r="G733" s="11" t="s">
        <v>4526</v>
      </c>
      <c r="H733" s="12" t="s">
        <v>4527</v>
      </c>
      <c r="I733" s="9"/>
      <c r="J733" s="11"/>
      <c r="K733" s="9"/>
      <c r="L733" s="9" t="s">
        <v>68</v>
      </c>
      <c r="M733" s="9" t="s">
        <v>956</v>
      </c>
      <c r="N733" s="11" t="s">
        <v>959</v>
      </c>
      <c r="O733" s="12" t="s">
        <v>962</v>
      </c>
      <c r="P733" s="13" t="n">
        <v>22</v>
      </c>
      <c r="Q733" s="13" t="n">
        <v>10</v>
      </c>
      <c r="R733" s="13" t="n">
        <v>8</v>
      </c>
      <c r="S733" s="13" t="n">
        <v>1</v>
      </c>
      <c r="T733" s="9" t="s">
        <v>4615</v>
      </c>
      <c r="U733" s="9" t="s">
        <v>4798</v>
      </c>
      <c r="V733" s="9" t="s">
        <v>4565</v>
      </c>
      <c r="W733" s="9"/>
      <c r="X733" s="11" t="s">
        <v>4991</v>
      </c>
      <c r="Y733" s="9"/>
    </row>
    <row r="734" customFormat="false" ht="15" hidden="false" customHeight="false" outlineLevel="0" collapsed="false">
      <c r="A734" s="9" t="s">
        <v>4502</v>
      </c>
      <c r="B734" s="9" t="s">
        <v>4496</v>
      </c>
      <c r="C734" s="11" t="s">
        <v>4498</v>
      </c>
      <c r="D734" s="12" t="s">
        <v>4500</v>
      </c>
      <c r="E734" s="9" t="s">
        <v>4533</v>
      </c>
      <c r="F734" s="9" t="s">
        <v>4530</v>
      </c>
      <c r="G734" s="11" t="s">
        <v>4531</v>
      </c>
      <c r="H734" s="12" t="s">
        <v>4532</v>
      </c>
      <c r="I734" s="9"/>
      <c r="J734" s="11"/>
      <c r="K734" s="9"/>
      <c r="L734" s="9" t="s">
        <v>68</v>
      </c>
      <c r="M734" s="9" t="s">
        <v>956</v>
      </c>
      <c r="N734" s="11" t="s">
        <v>959</v>
      </c>
      <c r="O734" s="12" t="s">
        <v>962</v>
      </c>
      <c r="P734" s="13" t="n">
        <v>25</v>
      </c>
      <c r="Q734" s="13" t="n">
        <v>15</v>
      </c>
      <c r="R734" s="13" t="n">
        <v>10</v>
      </c>
      <c r="S734" s="13" t="n">
        <v>0.9</v>
      </c>
      <c r="T734" s="9" t="s">
        <v>4615</v>
      </c>
      <c r="U734" s="9"/>
      <c r="V734" s="9" t="s">
        <v>4568</v>
      </c>
      <c r="W734" s="9"/>
      <c r="X734" s="11"/>
      <c r="Y734" s="9"/>
    </row>
    <row r="735" customFormat="false" ht="15" hidden="false" customHeight="false" outlineLevel="0" collapsed="false">
      <c r="A735" s="9" t="s">
        <v>4502</v>
      </c>
      <c r="B735" s="9" t="s">
        <v>4496</v>
      </c>
      <c r="C735" s="11" t="s">
        <v>4498</v>
      </c>
      <c r="D735" s="12" t="s">
        <v>4500</v>
      </c>
      <c r="E735" s="9" t="s">
        <v>4538</v>
      </c>
      <c r="F735" s="9" t="s">
        <v>4535</v>
      </c>
      <c r="G735" s="11" t="s">
        <v>4536</v>
      </c>
      <c r="H735" s="12" t="s">
        <v>4537</v>
      </c>
      <c r="I735" s="9"/>
      <c r="J735" s="11"/>
      <c r="K735" s="9"/>
      <c r="L735" s="9" t="s">
        <v>68</v>
      </c>
      <c r="M735" s="9" t="s">
        <v>956</v>
      </c>
      <c r="N735" s="11" t="s">
        <v>959</v>
      </c>
      <c r="O735" s="12" t="s">
        <v>962</v>
      </c>
      <c r="P735" s="13" t="n">
        <v>40</v>
      </c>
      <c r="Q735" s="13" t="n">
        <v>30</v>
      </c>
      <c r="R735" s="13" t="n">
        <v>10</v>
      </c>
      <c r="S735" s="13" t="n">
        <v>4</v>
      </c>
      <c r="T735" s="9" t="s">
        <v>4615</v>
      </c>
      <c r="U735" s="9"/>
      <c r="V735" s="9" t="s">
        <v>4565</v>
      </c>
      <c r="W735" s="9"/>
      <c r="X735" s="11"/>
      <c r="Y735" s="9"/>
    </row>
    <row r="736" customFormat="false" ht="15" hidden="false" customHeight="false" outlineLevel="0" collapsed="false">
      <c r="A736" s="9" t="s">
        <v>4502</v>
      </c>
      <c r="B736" s="9" t="s">
        <v>4496</v>
      </c>
      <c r="C736" s="11" t="s">
        <v>4498</v>
      </c>
      <c r="D736" s="12" t="s">
        <v>4500</v>
      </c>
      <c r="E736" s="9" t="s">
        <v>4543</v>
      </c>
      <c r="F736" s="9" t="s">
        <v>4540</v>
      </c>
      <c r="G736" s="11" t="s">
        <v>4541</v>
      </c>
      <c r="H736" s="9" t="s">
        <v>4542</v>
      </c>
      <c r="I736" s="9"/>
      <c r="J736" s="11"/>
      <c r="K736" s="9"/>
      <c r="L736" s="9" t="s">
        <v>68</v>
      </c>
      <c r="M736" s="9" t="s">
        <v>956</v>
      </c>
      <c r="N736" s="11" t="s">
        <v>959</v>
      </c>
      <c r="O736" s="12" t="s">
        <v>962</v>
      </c>
      <c r="P736" s="13" t="n">
        <v>15</v>
      </c>
      <c r="Q736" s="13" t="n">
        <v>10</v>
      </c>
      <c r="R736" s="13" t="n">
        <v>8</v>
      </c>
      <c r="S736" s="13" t="n">
        <v>0.3</v>
      </c>
      <c r="T736" s="9" t="s">
        <v>4615</v>
      </c>
      <c r="U736" s="9"/>
      <c r="V736" s="9" t="s">
        <v>4571</v>
      </c>
      <c r="W736" s="9"/>
      <c r="X736" s="11"/>
      <c r="Y736" s="9"/>
    </row>
    <row r="737" customFormat="false" ht="15" hidden="false" customHeight="false" outlineLevel="0" collapsed="false">
      <c r="A737" s="9" t="s">
        <v>4502</v>
      </c>
      <c r="B737" s="9" t="s">
        <v>4496</v>
      </c>
      <c r="C737" s="11" t="s">
        <v>4498</v>
      </c>
      <c r="D737" s="12" t="s">
        <v>4500</v>
      </c>
      <c r="E737" s="9" t="s">
        <v>4548</v>
      </c>
      <c r="F737" s="9" t="s">
        <v>4545</v>
      </c>
      <c r="G737" s="11" t="s">
        <v>4546</v>
      </c>
      <c r="H737" s="12" t="s">
        <v>4547</v>
      </c>
      <c r="I737" s="9"/>
      <c r="J737" s="11"/>
      <c r="K737" s="9"/>
      <c r="L737" s="9" t="s">
        <v>68</v>
      </c>
      <c r="M737" s="9" t="s">
        <v>956</v>
      </c>
      <c r="N737" s="11" t="s">
        <v>959</v>
      </c>
      <c r="O737" s="12" t="s">
        <v>962</v>
      </c>
      <c r="P737" s="13" t="n">
        <v>30</v>
      </c>
      <c r="Q737" s="13" t="n">
        <v>20</v>
      </c>
      <c r="R737" s="13" t="n">
        <v>15</v>
      </c>
      <c r="S737" s="13" t="n">
        <v>1.8</v>
      </c>
      <c r="T737" s="9" t="s">
        <v>4615</v>
      </c>
      <c r="U737" s="9"/>
      <c r="V737" s="9" t="s">
        <v>4581</v>
      </c>
      <c r="W737" s="9" t="s">
        <v>4795</v>
      </c>
      <c r="X737" s="11" t="s">
        <v>4796</v>
      </c>
      <c r="Y737" s="9" t="s">
        <v>4797</v>
      </c>
    </row>
  </sheetData>
  <autoFilter ref="A1:Y7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25.5" hidden="false" customHeight="true" outlineLevel="0" collapsed="false">
      <c r="A1" s="4" t="s">
        <v>4992</v>
      </c>
      <c r="B1" s="4" t="s">
        <v>4993</v>
      </c>
      <c r="C1" s="4" t="s">
        <v>4994</v>
      </c>
      <c r="D1" s="4" t="s">
        <v>4995</v>
      </c>
      <c r="E1" s="4" t="s">
        <v>4996</v>
      </c>
      <c r="F1" s="4" t="s">
        <v>4997</v>
      </c>
      <c r="G1" s="4" t="s">
        <v>4998</v>
      </c>
    </row>
    <row r="2" customFormat="false" ht="15" hidden="false" customHeight="false" outlineLevel="0" collapsed="false">
      <c r="A2" s="14" t="s">
        <v>78</v>
      </c>
      <c r="B2" s="14" t="s">
        <v>66</v>
      </c>
      <c r="C2" s="15" t="s">
        <v>70</v>
      </c>
      <c r="D2" s="16" t="s">
        <v>74</v>
      </c>
      <c r="E2" s="14" t="n">
        <f aca="false">SUMPRODUCT(('Part types'!$A$2:$A$737=A2)/COUNTIFS('Part types'!$A$2:$A$737,'Part types'!$A$2:$A$737,'Part types'!$F$2:$F$737,'Part types'!$F$2:$F$737))</f>
        <v>32</v>
      </c>
      <c r="F2" s="14" t="n">
        <f aca="false">COUNTIF('Part types'!$A:$A,A2)</f>
        <v>32</v>
      </c>
      <c r="G2" s="14" t="n">
        <f aca="false">COUNTIF(Catalog!$AC:$AC,A2)</f>
        <v>36</v>
      </c>
    </row>
    <row r="3" customFormat="false" ht="15" hidden="false" customHeight="false" outlineLevel="0" collapsed="false">
      <c r="A3" s="14" t="s">
        <v>273</v>
      </c>
      <c r="B3" s="14" t="s">
        <v>264</v>
      </c>
      <c r="C3" s="15" t="s">
        <v>267</v>
      </c>
      <c r="D3" s="16" t="s">
        <v>270</v>
      </c>
      <c r="E3" s="14" t="n">
        <f aca="false">SUMPRODUCT(('Part types'!$A$2:$A$737=A3)/COUNTIFS('Part types'!$A$2:$A$737,'Part types'!$A$2:$A$737,'Part types'!$F$2:$F$737,'Part types'!$F$2:$F$737))</f>
        <v>14</v>
      </c>
      <c r="F3" s="14" t="n">
        <f aca="false">COUNTIF('Part types'!$A:$A,A3)</f>
        <v>14</v>
      </c>
      <c r="G3" s="14" t="n">
        <f aca="false">COUNTIF(Catalog!$AC:$AC,A3)</f>
        <v>14</v>
      </c>
    </row>
    <row r="4" customFormat="false" ht="15" hidden="false" customHeight="false" outlineLevel="0" collapsed="false">
      <c r="A4" s="14" t="s">
        <v>350</v>
      </c>
      <c r="B4" s="14" t="s">
        <v>341</v>
      </c>
      <c r="C4" s="15" t="s">
        <v>344</v>
      </c>
      <c r="D4" s="16" t="s">
        <v>347</v>
      </c>
      <c r="E4" s="14" t="n">
        <f aca="false">SUMPRODUCT(('Part types'!$A$2:$A$737=A4)/COUNTIFS('Part types'!$A$2:$A$737,'Part types'!$A$2:$A$737,'Part types'!$F$2:$F$737,'Part types'!$F$2:$F$737))</f>
        <v>10</v>
      </c>
      <c r="F4" s="14" t="n">
        <f aca="false">COUNTIF('Part types'!$A:$A,A4)</f>
        <v>10</v>
      </c>
      <c r="G4" s="14" t="n">
        <f aca="false">COUNTIF(Catalog!$AC:$AC,A4)</f>
        <v>10</v>
      </c>
    </row>
    <row r="5" customFormat="false" ht="15" hidden="false" customHeight="false" outlineLevel="0" collapsed="false">
      <c r="A5" s="14" t="s">
        <v>410</v>
      </c>
      <c r="B5" s="14" t="s">
        <v>401</v>
      </c>
      <c r="C5" s="15" t="s">
        <v>404</v>
      </c>
      <c r="D5" s="16" t="s">
        <v>407</v>
      </c>
      <c r="E5" s="14" t="n">
        <f aca="false">SUMPRODUCT(('Part types'!$A$2:$A$737=A5)/COUNTIFS('Part types'!$A$2:$A$737,'Part types'!$A$2:$A$737,'Part types'!$F$2:$F$737,'Part types'!$F$2:$F$737))</f>
        <v>10</v>
      </c>
      <c r="F5" s="14" t="n">
        <f aca="false">COUNTIF('Part types'!$A:$A,A5)</f>
        <v>10</v>
      </c>
      <c r="G5" s="14" t="n">
        <f aca="false">COUNTIF(Catalog!$AC:$AC,A5)</f>
        <v>10</v>
      </c>
    </row>
    <row r="6" customFormat="false" ht="15" hidden="false" customHeight="false" outlineLevel="0" collapsed="false">
      <c r="A6" s="14" t="s">
        <v>467</v>
      </c>
      <c r="B6" s="14" t="s">
        <v>458</v>
      </c>
      <c r="C6" s="15" t="s">
        <v>461</v>
      </c>
      <c r="D6" s="16" t="s">
        <v>464</v>
      </c>
      <c r="E6" s="14" t="n">
        <f aca="false">SUMPRODUCT(('Part types'!$A$2:$A$737=A6)/COUNTIFS('Part types'!$A$2:$A$737,'Part types'!$A$2:$A$737,'Part types'!$F$2:$F$737,'Part types'!$F$2:$F$737))</f>
        <v>10</v>
      </c>
      <c r="F6" s="14" t="n">
        <f aca="false">COUNTIF('Part types'!$A:$A,A6)</f>
        <v>10</v>
      </c>
      <c r="G6" s="14" t="n">
        <f aca="false">COUNTIF(Catalog!$AC:$AC,A6)</f>
        <v>10</v>
      </c>
    </row>
    <row r="7" customFormat="false" ht="15" hidden="false" customHeight="false" outlineLevel="0" collapsed="false">
      <c r="A7" s="14" t="s">
        <v>527</v>
      </c>
      <c r="B7" s="14" t="s">
        <v>518</v>
      </c>
      <c r="C7" s="15" t="s">
        <v>521</v>
      </c>
      <c r="D7" s="16" t="s">
        <v>524</v>
      </c>
      <c r="E7" s="14" t="n">
        <f aca="false">SUMPRODUCT(('Part types'!$A$2:$A$737=A7)/COUNTIFS('Part types'!$A$2:$A$737,'Part types'!$A$2:$A$737,'Part types'!$F$2:$F$737,'Part types'!$F$2:$F$737))</f>
        <v>22</v>
      </c>
      <c r="F7" s="14" t="n">
        <f aca="false">COUNTIF('Part types'!$A:$A,A7)</f>
        <v>22</v>
      </c>
      <c r="G7" s="14" t="n">
        <f aca="false">COUNTIF(Catalog!$AC:$AC,A7)</f>
        <v>23</v>
      </c>
    </row>
    <row r="8" customFormat="false" ht="15" hidden="false" customHeight="false" outlineLevel="0" collapsed="false">
      <c r="A8" s="14" t="s">
        <v>642</v>
      </c>
      <c r="B8" s="14" t="s">
        <v>636</v>
      </c>
      <c r="C8" s="15" t="s">
        <v>638</v>
      </c>
      <c r="D8" s="16" t="s">
        <v>640</v>
      </c>
      <c r="E8" s="14" t="n">
        <f aca="false">SUMPRODUCT(('Part types'!$A$2:$A$737=A8)/COUNTIFS('Part types'!$A$2:$A$737,'Part types'!$A$2:$A$737,'Part types'!$F$2:$F$737,'Part types'!$F$2:$F$737))</f>
        <v>13</v>
      </c>
      <c r="F8" s="14" t="n">
        <f aca="false">COUNTIF('Part types'!$A:$A,A8)</f>
        <v>13</v>
      </c>
      <c r="G8" s="14" t="n">
        <f aca="false">COUNTIF(Catalog!$AC:$AC,A8)</f>
        <v>14</v>
      </c>
    </row>
    <row r="9" customFormat="false" ht="15" hidden="false" customHeight="false" outlineLevel="0" collapsed="false">
      <c r="A9" s="14" t="s">
        <v>718</v>
      </c>
      <c r="B9" s="14" t="s">
        <v>712</v>
      </c>
      <c r="C9" s="15" t="s">
        <v>714</v>
      </c>
      <c r="D9" s="16" t="s">
        <v>716</v>
      </c>
      <c r="E9" s="14" t="n">
        <f aca="false">SUMPRODUCT(('Part types'!$A$2:$A$737=A9)/COUNTIFS('Part types'!$A$2:$A$737,'Part types'!$A$2:$A$737,'Part types'!$F$2:$F$737,'Part types'!$F$2:$F$737))</f>
        <v>9</v>
      </c>
      <c r="F9" s="14" t="n">
        <f aca="false">COUNTIF('Part types'!$A:$A,A9)</f>
        <v>9</v>
      </c>
      <c r="G9" s="14" t="n">
        <f aca="false">COUNTIF(Catalog!$AC:$AC,A9)</f>
        <v>9</v>
      </c>
    </row>
    <row r="10" customFormat="false" ht="15" hidden="false" customHeight="false" outlineLevel="0" collapsed="false">
      <c r="A10" s="14" t="s">
        <v>767</v>
      </c>
      <c r="B10" s="14" t="s">
        <v>761</v>
      </c>
      <c r="C10" s="15" t="s">
        <v>763</v>
      </c>
      <c r="D10" s="16" t="s">
        <v>765</v>
      </c>
      <c r="E10" s="14" t="n">
        <f aca="false">SUMPRODUCT(('Part types'!$A$2:$A$737=A10)/COUNTIFS('Part types'!$A$2:$A$737,'Part types'!$A$2:$A$737,'Part types'!$F$2:$F$737,'Part types'!$F$2:$F$737))</f>
        <v>21</v>
      </c>
      <c r="F10" s="14" t="n">
        <f aca="false">COUNTIF('Part types'!$A:$A,A10)</f>
        <v>21</v>
      </c>
      <c r="G10" s="14" t="n">
        <f aca="false">COUNTIF(Catalog!$AC:$AC,A10)</f>
        <v>21</v>
      </c>
    </row>
    <row r="11" customFormat="false" ht="15" hidden="false" customHeight="false" outlineLevel="0" collapsed="false">
      <c r="A11" s="14" t="s">
        <v>879</v>
      </c>
      <c r="B11" s="14" t="s">
        <v>873</v>
      </c>
      <c r="C11" s="15" t="s">
        <v>875</v>
      </c>
      <c r="D11" s="16" t="s">
        <v>877</v>
      </c>
      <c r="E11" s="14" t="n">
        <f aca="false">SUMPRODUCT(('Part types'!$A$2:$A$737=A11)/COUNTIFS('Part types'!$A$2:$A$737,'Part types'!$A$2:$A$737,'Part types'!$F$2:$F$737,'Part types'!$F$2:$F$737))</f>
        <v>13</v>
      </c>
      <c r="F11" s="14" t="n">
        <f aca="false">COUNTIF('Part types'!$A:$A,A11)</f>
        <v>13</v>
      </c>
      <c r="G11" s="14" t="n">
        <f aca="false">COUNTIF(Catalog!$AC:$AC,A11)</f>
        <v>13</v>
      </c>
    </row>
    <row r="12" customFormat="false" ht="15" hidden="false" customHeight="false" outlineLevel="0" collapsed="false">
      <c r="A12" s="14" t="s">
        <v>963</v>
      </c>
      <c r="B12" s="14" t="s">
        <v>954</v>
      </c>
      <c r="C12" s="15" t="s">
        <v>957</v>
      </c>
      <c r="D12" s="16" t="s">
        <v>960</v>
      </c>
      <c r="E12" s="14" t="n">
        <f aca="false">SUMPRODUCT(('Part types'!$A$2:$A$737=A12)/COUNTIFS('Part types'!$A$2:$A$737,'Part types'!$A$2:$A$737,'Part types'!$F$2:$F$737,'Part types'!$F$2:$F$737))</f>
        <v>12</v>
      </c>
      <c r="F12" s="14" t="n">
        <f aca="false">COUNTIF('Part types'!$A:$A,A12)</f>
        <v>16</v>
      </c>
      <c r="G12" s="14" t="n">
        <f aca="false">COUNTIF(Catalog!$AC:$AC,A12)</f>
        <v>16</v>
      </c>
    </row>
    <row r="13" customFormat="false" ht="15" hidden="false" customHeight="false" outlineLevel="0" collapsed="false">
      <c r="A13" s="14" t="s">
        <v>1035</v>
      </c>
      <c r="B13" s="14" t="s">
        <v>1029</v>
      </c>
      <c r="C13" s="15" t="s">
        <v>1031</v>
      </c>
      <c r="D13" s="16" t="s">
        <v>1033</v>
      </c>
      <c r="E13" s="14" t="n">
        <f aca="false">SUMPRODUCT(('Part types'!$A$2:$A$737=A13)/COUNTIFS('Part types'!$A$2:$A$737,'Part types'!$A$2:$A$737,'Part types'!$F$2:$F$737,'Part types'!$F$2:$F$737))</f>
        <v>14</v>
      </c>
      <c r="F13" s="14" t="n">
        <f aca="false">COUNTIF('Part types'!$A:$A,A13)</f>
        <v>15</v>
      </c>
      <c r="G13" s="14" t="n">
        <f aca="false">COUNTIF(Catalog!$AC:$AC,A13)</f>
        <v>15</v>
      </c>
    </row>
    <row r="14" customFormat="false" ht="15" hidden="false" customHeight="false" outlineLevel="0" collapsed="false">
      <c r="A14" s="14" t="s">
        <v>1108</v>
      </c>
      <c r="B14" s="14" t="s">
        <v>926</v>
      </c>
      <c r="C14" s="15" t="s">
        <v>928</v>
      </c>
      <c r="D14" s="16" t="s">
        <v>930</v>
      </c>
      <c r="E14" s="14" t="n">
        <f aca="false">SUMPRODUCT(('Part types'!$A$2:$A$737=A14)/COUNTIFS('Part types'!$A$2:$A$737,'Part types'!$A$2:$A$737,'Part types'!$F$2:$F$737,'Part types'!$F$2:$F$737))</f>
        <v>19</v>
      </c>
      <c r="F14" s="14" t="n">
        <f aca="false">COUNTIF('Part types'!$A:$A,A14)</f>
        <v>19</v>
      </c>
      <c r="G14" s="14" t="n">
        <f aca="false">COUNTIF(Catalog!$AC:$AC,A14)</f>
        <v>20</v>
      </c>
    </row>
    <row r="15" customFormat="false" ht="15" hidden="false" customHeight="false" outlineLevel="0" collapsed="false">
      <c r="A15" s="14" t="s">
        <v>1214</v>
      </c>
      <c r="B15" s="14" t="s">
        <v>1205</v>
      </c>
      <c r="C15" s="15" t="s">
        <v>1208</v>
      </c>
      <c r="D15" s="16" t="s">
        <v>1211</v>
      </c>
      <c r="E15" s="14" t="n">
        <f aca="false">SUMPRODUCT(('Part types'!$A$2:$A$737=A15)/COUNTIFS('Part types'!$A$2:$A$737,'Part types'!$A$2:$A$737,'Part types'!$F$2:$F$737,'Part types'!$F$2:$F$737))</f>
        <v>13</v>
      </c>
      <c r="F15" s="14" t="n">
        <f aca="false">COUNTIF('Part types'!$A:$A,A15)</f>
        <v>13</v>
      </c>
      <c r="G15" s="14" t="n">
        <f aca="false">COUNTIF(Catalog!$AC:$AC,A15)</f>
        <v>13</v>
      </c>
    </row>
    <row r="16" customFormat="false" ht="15" hidden="false" customHeight="false" outlineLevel="0" collapsed="false">
      <c r="A16" s="14" t="s">
        <v>1285</v>
      </c>
      <c r="B16" s="14" t="s">
        <v>1277</v>
      </c>
      <c r="C16" s="15" t="s">
        <v>1279</v>
      </c>
      <c r="D16" s="16" t="s">
        <v>1282</v>
      </c>
      <c r="E16" s="14" t="n">
        <f aca="false">SUMPRODUCT(('Part types'!$A$2:$A$737=A16)/COUNTIFS('Part types'!$A$2:$A$737,'Part types'!$A$2:$A$737,'Part types'!$F$2:$F$737,'Part types'!$F$2:$F$737))</f>
        <v>11</v>
      </c>
      <c r="F16" s="14" t="n">
        <f aca="false">COUNTIF('Part types'!$A:$A,A16)</f>
        <v>11</v>
      </c>
      <c r="G16" s="14" t="n">
        <f aca="false">COUNTIF(Catalog!$AC:$AC,A16)</f>
        <v>17</v>
      </c>
    </row>
    <row r="17" customFormat="false" ht="15" hidden="false" customHeight="false" outlineLevel="0" collapsed="false">
      <c r="A17" s="14" t="s">
        <v>1353</v>
      </c>
      <c r="B17" s="14" t="s">
        <v>1344</v>
      </c>
      <c r="C17" s="15" t="s">
        <v>1347</v>
      </c>
      <c r="D17" s="16" t="s">
        <v>1350</v>
      </c>
      <c r="E17" s="14" t="n">
        <f aca="false">SUMPRODUCT(('Part types'!$A$2:$A$737=A17)/COUNTIFS('Part types'!$A$2:$A$737,'Part types'!$A$2:$A$737,'Part types'!$F$2:$F$737,'Part types'!$F$2:$F$737))</f>
        <v>6</v>
      </c>
      <c r="F17" s="14" t="n">
        <f aca="false">COUNTIF('Part types'!$A:$A,A17)</f>
        <v>6</v>
      </c>
      <c r="G17" s="14" t="n">
        <f aca="false">COUNTIF(Catalog!$AC:$AC,A17)</f>
        <v>22</v>
      </c>
    </row>
    <row r="18" customFormat="false" ht="15" hidden="false" customHeight="false" outlineLevel="0" collapsed="false">
      <c r="A18" s="14" t="s">
        <v>1418</v>
      </c>
      <c r="B18" s="14" t="s">
        <v>1409</v>
      </c>
      <c r="C18" s="15" t="s">
        <v>1412</v>
      </c>
      <c r="D18" s="16" t="s">
        <v>1415</v>
      </c>
      <c r="E18" s="14" t="n">
        <f aca="false">SUMPRODUCT(('Part types'!$A$2:$A$737=A18)/COUNTIFS('Part types'!$A$2:$A$737,'Part types'!$A$2:$A$737,'Part types'!$F$2:$F$737,'Part types'!$F$2:$F$737))</f>
        <v>17</v>
      </c>
      <c r="F18" s="14" t="n">
        <f aca="false">COUNTIF('Part types'!$A:$A,A18)</f>
        <v>17</v>
      </c>
      <c r="G18" s="14" t="n">
        <f aca="false">COUNTIF(Catalog!$AC:$AC,A18)</f>
        <v>38</v>
      </c>
    </row>
    <row r="19" customFormat="false" ht="15" hidden="false" customHeight="false" outlineLevel="0" collapsed="false">
      <c r="A19" s="14" t="s">
        <v>1534</v>
      </c>
      <c r="B19" s="14" t="s">
        <v>1528</v>
      </c>
      <c r="C19" s="15" t="s">
        <v>1530</v>
      </c>
      <c r="D19" s="16" t="s">
        <v>1532</v>
      </c>
      <c r="E19" s="14" t="n">
        <f aca="false">SUMPRODUCT(('Part types'!$A$2:$A$737=A19)/COUNTIFS('Part types'!$A$2:$A$737,'Part types'!$A$2:$A$737,'Part types'!$F$2:$F$737,'Part types'!$F$2:$F$737))</f>
        <v>13</v>
      </c>
      <c r="F19" s="14" t="n">
        <f aca="false">COUNTIF('Part types'!$A:$A,A19)</f>
        <v>13</v>
      </c>
      <c r="G19" s="14" t="n">
        <f aca="false">COUNTIF(Catalog!$AC:$AC,A19)</f>
        <v>26</v>
      </c>
    </row>
    <row r="20" customFormat="false" ht="15" hidden="false" customHeight="false" outlineLevel="0" collapsed="false">
      <c r="A20" s="14" t="s">
        <v>1619</v>
      </c>
      <c r="B20" s="14" t="s">
        <v>1610</v>
      </c>
      <c r="C20" s="15" t="s">
        <v>1613</v>
      </c>
      <c r="D20" s="16" t="s">
        <v>1616</v>
      </c>
      <c r="E20" s="14" t="n">
        <f aca="false">SUMPRODUCT(('Part types'!$A$2:$A$737=A20)/COUNTIFS('Part types'!$A$2:$A$737,'Part types'!$A$2:$A$737,'Part types'!$F$2:$F$737,'Part types'!$F$2:$F$737))</f>
        <v>13</v>
      </c>
      <c r="F20" s="14" t="n">
        <f aca="false">COUNTIF('Part types'!$A:$A,A20)</f>
        <v>13</v>
      </c>
      <c r="G20" s="14" t="n">
        <f aca="false">COUNTIF(Catalog!$AC:$AC,A20)</f>
        <v>45</v>
      </c>
    </row>
    <row r="21" customFormat="false" ht="15" hidden="false" customHeight="false" outlineLevel="0" collapsed="false">
      <c r="A21" s="14" t="s">
        <v>1726</v>
      </c>
      <c r="B21" s="14" t="s">
        <v>1720</v>
      </c>
      <c r="C21" s="15" t="s">
        <v>1722</v>
      </c>
      <c r="D21" s="16" t="s">
        <v>1724</v>
      </c>
      <c r="E21" s="14" t="n">
        <f aca="false">SUMPRODUCT(('Part types'!$A$2:$A$737=A21)/COUNTIFS('Part types'!$A$2:$A$737,'Part types'!$A$2:$A$737,'Part types'!$F$2:$F$737,'Part types'!$F$2:$F$737))</f>
        <v>15</v>
      </c>
      <c r="F21" s="14" t="n">
        <f aca="false">COUNTIF('Part types'!$A:$A,A21)</f>
        <v>15</v>
      </c>
      <c r="G21" s="14" t="n">
        <f aca="false">COUNTIF(Catalog!$AC:$AC,A21)</f>
        <v>37</v>
      </c>
    </row>
    <row r="22" customFormat="false" ht="15" hidden="false" customHeight="false" outlineLevel="0" collapsed="false">
      <c r="A22" s="14" t="s">
        <v>1827</v>
      </c>
      <c r="B22" s="14" t="s">
        <v>1821</v>
      </c>
      <c r="C22" s="15" t="s">
        <v>1823</v>
      </c>
      <c r="D22" s="16" t="s">
        <v>1825</v>
      </c>
      <c r="E22" s="14" t="n">
        <f aca="false">SUMPRODUCT(('Part types'!$A$2:$A$737=A22)/COUNTIFS('Part types'!$A$2:$A$737,'Part types'!$A$2:$A$737,'Part types'!$F$2:$F$737,'Part types'!$F$2:$F$737))</f>
        <v>22</v>
      </c>
      <c r="F22" s="14" t="n">
        <f aca="false">COUNTIF('Part types'!$A:$A,A22)</f>
        <v>22</v>
      </c>
      <c r="G22" s="14" t="n">
        <f aca="false">COUNTIF(Catalog!$AC:$AC,A22)</f>
        <v>26</v>
      </c>
    </row>
    <row r="23" customFormat="false" ht="15" hidden="false" customHeight="false" outlineLevel="0" collapsed="false">
      <c r="A23" s="14" t="s">
        <v>1945</v>
      </c>
      <c r="B23" s="14" t="s">
        <v>1939</v>
      </c>
      <c r="C23" s="15" t="s">
        <v>1941</v>
      </c>
      <c r="D23" s="16" t="s">
        <v>1943</v>
      </c>
      <c r="E23" s="14" t="n">
        <f aca="false">SUMPRODUCT(('Part types'!$A$2:$A$737=A23)/COUNTIFS('Part types'!$A$2:$A$737,'Part types'!$A$2:$A$737,'Part types'!$F$2:$F$737,'Part types'!$F$2:$F$737))</f>
        <v>13</v>
      </c>
      <c r="F23" s="14" t="n">
        <f aca="false">COUNTIF('Part types'!$A:$A,A23)</f>
        <v>13</v>
      </c>
      <c r="G23" s="14" t="n">
        <f aca="false">COUNTIF(Catalog!$AC:$AC,A23)</f>
        <v>46</v>
      </c>
    </row>
    <row r="24" customFormat="false" ht="15" hidden="false" customHeight="false" outlineLevel="0" collapsed="false">
      <c r="A24" s="14" t="s">
        <v>2051</v>
      </c>
      <c r="B24" s="14" t="s">
        <v>2043</v>
      </c>
      <c r="C24" s="15" t="s">
        <v>2046</v>
      </c>
      <c r="D24" s="16" t="s">
        <v>2049</v>
      </c>
      <c r="E24" s="14" t="n">
        <f aca="false">SUMPRODUCT(('Part types'!$A$2:$A$737=A24)/COUNTIFS('Part types'!$A$2:$A$737,'Part types'!$A$2:$A$737,'Part types'!$F$2:$F$737,'Part types'!$F$2:$F$737))</f>
        <v>13</v>
      </c>
      <c r="F24" s="14" t="n">
        <f aca="false">COUNTIF('Part types'!$A:$A,A24)</f>
        <v>13</v>
      </c>
      <c r="G24" s="14" t="n">
        <f aca="false">COUNTIF(Catalog!$AC:$AC,A24)</f>
        <v>34</v>
      </c>
    </row>
    <row r="25" customFormat="false" ht="15" hidden="false" customHeight="false" outlineLevel="0" collapsed="false">
      <c r="A25" s="14" t="s">
        <v>2147</v>
      </c>
      <c r="B25" s="14" t="s">
        <v>2138</v>
      </c>
      <c r="C25" s="15" t="s">
        <v>2141</v>
      </c>
      <c r="D25" s="16" t="s">
        <v>2144</v>
      </c>
      <c r="E25" s="14" t="n">
        <f aca="false">SUMPRODUCT(('Part types'!$A$2:$A$737=A25)/COUNTIFS('Part types'!$A$2:$A$737,'Part types'!$A$2:$A$737,'Part types'!$F$2:$F$737,'Part types'!$F$2:$F$737))</f>
        <v>8</v>
      </c>
      <c r="F25" s="14" t="n">
        <f aca="false">COUNTIF('Part types'!$A:$A,A25)</f>
        <v>8</v>
      </c>
      <c r="G25" s="14" t="n">
        <f aca="false">COUNTIF(Catalog!$AC:$AC,A25)</f>
        <v>8</v>
      </c>
    </row>
    <row r="26" customFormat="false" ht="15" hidden="false" customHeight="false" outlineLevel="0" collapsed="false">
      <c r="A26" s="14" t="s">
        <v>2191</v>
      </c>
      <c r="B26" s="14" t="s">
        <v>2185</v>
      </c>
      <c r="C26" s="15" t="s">
        <v>2187</v>
      </c>
      <c r="D26" s="16" t="s">
        <v>2189</v>
      </c>
      <c r="E26" s="14" t="n">
        <f aca="false">SUMPRODUCT(('Part types'!$A$2:$A$737=A26)/COUNTIFS('Part types'!$A$2:$A$737,'Part types'!$A$2:$A$737,'Part types'!$F$2:$F$737,'Part types'!$F$2:$F$737))</f>
        <v>17</v>
      </c>
      <c r="F26" s="14" t="n">
        <f aca="false">COUNTIF('Part types'!$A:$A,A26)</f>
        <v>17</v>
      </c>
      <c r="G26" s="14" t="n">
        <f aca="false">COUNTIF(Catalog!$AC:$AC,A26)</f>
        <v>17</v>
      </c>
    </row>
    <row r="27" customFormat="false" ht="15" hidden="false" customHeight="false" outlineLevel="0" collapsed="false">
      <c r="A27" s="14" t="s">
        <v>2283</v>
      </c>
      <c r="B27" s="14" t="s">
        <v>2277</v>
      </c>
      <c r="C27" s="15" t="s">
        <v>2279</v>
      </c>
      <c r="D27" s="16" t="s">
        <v>2281</v>
      </c>
      <c r="E27" s="14" t="n">
        <f aca="false">SUMPRODUCT(('Part types'!$A$2:$A$737=A27)/COUNTIFS('Part types'!$A$2:$A$737,'Part types'!$A$2:$A$737,'Part types'!$F$2:$F$737,'Part types'!$F$2:$F$737))</f>
        <v>10</v>
      </c>
      <c r="F27" s="14" t="n">
        <f aca="false">COUNTIF('Part types'!$A:$A,A27)</f>
        <v>10</v>
      </c>
      <c r="G27" s="14" t="n">
        <f aca="false">COUNTIF(Catalog!$AC:$AC,A27)</f>
        <v>10</v>
      </c>
    </row>
    <row r="28" customFormat="false" ht="15" hidden="false" customHeight="false" outlineLevel="0" collapsed="false">
      <c r="A28" s="14" t="s">
        <v>2345</v>
      </c>
      <c r="B28" s="14" t="s">
        <v>2336</v>
      </c>
      <c r="C28" s="15" t="s">
        <v>2339</v>
      </c>
      <c r="D28" s="16" t="s">
        <v>2342</v>
      </c>
      <c r="E28" s="14" t="n">
        <f aca="false">SUMPRODUCT(('Part types'!$A$2:$A$737=A28)/COUNTIFS('Part types'!$A$2:$A$737,'Part types'!$A$2:$A$737,'Part types'!$F$2:$F$737,'Part types'!$F$2:$F$737))</f>
        <v>11</v>
      </c>
      <c r="F28" s="14" t="n">
        <f aca="false">COUNTIF('Part types'!$A:$A,A28)</f>
        <v>11</v>
      </c>
      <c r="G28" s="14" t="n">
        <f aca="false">COUNTIF(Catalog!$AC:$AC,A28)</f>
        <v>14</v>
      </c>
    </row>
    <row r="29" customFormat="false" ht="15" hidden="false" customHeight="false" outlineLevel="0" collapsed="false">
      <c r="A29" s="14" t="s">
        <v>2412</v>
      </c>
      <c r="B29" s="14" t="s">
        <v>2403</v>
      </c>
      <c r="C29" s="15" t="s">
        <v>2406</v>
      </c>
      <c r="D29" s="16" t="s">
        <v>2409</v>
      </c>
      <c r="E29" s="14" t="n">
        <f aca="false">SUMPRODUCT(('Part types'!$A$2:$A$737=A29)/COUNTIFS('Part types'!$A$2:$A$737,'Part types'!$A$2:$A$737,'Part types'!$F$2:$F$737,'Part types'!$F$2:$F$737))</f>
        <v>7</v>
      </c>
      <c r="F29" s="14" t="n">
        <f aca="false">COUNTIF('Part types'!$A:$A,A29)</f>
        <v>7</v>
      </c>
      <c r="G29" s="14" t="n">
        <f aca="false">COUNTIF(Catalog!$AC:$AC,A29)</f>
        <v>10</v>
      </c>
    </row>
    <row r="30" customFormat="false" ht="15" hidden="false" customHeight="false" outlineLevel="0" collapsed="false">
      <c r="A30" s="14" t="s">
        <v>2457</v>
      </c>
      <c r="B30" s="14" t="s">
        <v>2451</v>
      </c>
      <c r="C30" s="15" t="s">
        <v>2453</v>
      </c>
      <c r="D30" s="16" t="s">
        <v>2455</v>
      </c>
      <c r="E30" s="14" t="n">
        <f aca="false">SUMPRODUCT(('Part types'!$A$2:$A$737=A30)/COUNTIFS('Part types'!$A$2:$A$737,'Part types'!$A$2:$A$737,'Part types'!$F$2:$F$737,'Part types'!$F$2:$F$737))</f>
        <v>27</v>
      </c>
      <c r="F30" s="14" t="n">
        <f aca="false">COUNTIF('Part types'!$A:$A,A30)</f>
        <v>27</v>
      </c>
      <c r="G30" s="14" t="n">
        <f aca="false">COUNTIF(Catalog!$AC:$AC,A30)</f>
        <v>27</v>
      </c>
    </row>
    <row r="31" customFormat="false" ht="15" hidden="false" customHeight="false" outlineLevel="0" collapsed="false">
      <c r="A31" s="14" t="s">
        <v>2614</v>
      </c>
      <c r="B31" s="14" t="s">
        <v>2608</v>
      </c>
      <c r="C31" s="15" t="s">
        <v>2610</v>
      </c>
      <c r="D31" s="16" t="s">
        <v>2612</v>
      </c>
      <c r="E31" s="14" t="n">
        <f aca="false">SUMPRODUCT(('Part types'!$A$2:$A$737=A31)/COUNTIFS('Part types'!$A$2:$A$737,'Part types'!$A$2:$A$737,'Part types'!$F$2:$F$737,'Part types'!$F$2:$F$737))</f>
        <v>8</v>
      </c>
      <c r="F31" s="14" t="n">
        <f aca="false">COUNTIF('Part types'!$A:$A,A31)</f>
        <v>8</v>
      </c>
      <c r="G31" s="14" t="n">
        <f aca="false">COUNTIF(Catalog!$AC:$AC,A31)</f>
        <v>11</v>
      </c>
    </row>
    <row r="32" customFormat="false" ht="15" hidden="false" customHeight="false" outlineLevel="0" collapsed="false">
      <c r="A32" s="14" t="s">
        <v>2667</v>
      </c>
      <c r="B32" s="14" t="s">
        <v>2658</v>
      </c>
      <c r="C32" s="15" t="s">
        <v>2661</v>
      </c>
      <c r="D32" s="16" t="s">
        <v>2664</v>
      </c>
      <c r="E32" s="14" t="n">
        <f aca="false">SUMPRODUCT(('Part types'!$A$2:$A$737=A32)/COUNTIFS('Part types'!$A$2:$A$737,'Part types'!$A$2:$A$737,'Part types'!$F$2:$F$737,'Part types'!$F$2:$F$737))</f>
        <v>6</v>
      </c>
      <c r="F32" s="14" t="n">
        <f aca="false">COUNTIF('Part types'!$A:$A,A32)</f>
        <v>6</v>
      </c>
      <c r="G32" s="14" t="n">
        <f aca="false">COUNTIF(Catalog!$AC:$AC,A32)</f>
        <v>11</v>
      </c>
    </row>
    <row r="33" customFormat="false" ht="15" hidden="false" customHeight="false" outlineLevel="0" collapsed="false">
      <c r="A33" s="14" t="s">
        <v>2712</v>
      </c>
      <c r="B33" s="14" t="s">
        <v>2703</v>
      </c>
      <c r="C33" s="15" t="s">
        <v>2706</v>
      </c>
      <c r="D33" s="16" t="s">
        <v>2709</v>
      </c>
      <c r="E33" s="14" t="n">
        <f aca="false">SUMPRODUCT(('Part types'!$A$2:$A$737=A33)/COUNTIFS('Part types'!$A$2:$A$737,'Part types'!$A$2:$A$737,'Part types'!$F$2:$F$737,'Part types'!$F$2:$F$737))</f>
        <v>29</v>
      </c>
      <c r="F33" s="14" t="n">
        <f aca="false">COUNTIF('Part types'!$A:$A,A33)</f>
        <v>29</v>
      </c>
      <c r="G33" s="14" t="n">
        <f aca="false">COUNTIF(Catalog!$AC:$AC,A33)</f>
        <v>49</v>
      </c>
    </row>
    <row r="34" customFormat="false" ht="15" hidden="false" customHeight="false" outlineLevel="0" collapsed="false">
      <c r="A34" s="14" t="s">
        <v>2895</v>
      </c>
      <c r="B34" s="14" t="s">
        <v>2890</v>
      </c>
      <c r="C34" s="15" t="s">
        <v>2892</v>
      </c>
      <c r="D34" s="16" t="s">
        <v>2893</v>
      </c>
      <c r="E34" s="14" t="n">
        <f aca="false">SUMPRODUCT(('Part types'!$A$2:$A$737=A34)/COUNTIFS('Part types'!$A$2:$A$737,'Part types'!$A$2:$A$737,'Part types'!$F$2:$F$737,'Part types'!$F$2:$F$737))</f>
        <v>14</v>
      </c>
      <c r="F34" s="14" t="n">
        <f aca="false">COUNTIF('Part types'!$A:$A,A34)</f>
        <v>14</v>
      </c>
      <c r="G34" s="14" t="n">
        <f aca="false">COUNTIF(Catalog!$AC:$AC,A34)</f>
        <v>14</v>
      </c>
    </row>
    <row r="35" customFormat="false" ht="15" hidden="false" customHeight="false" outlineLevel="0" collapsed="false">
      <c r="A35" s="14" t="s">
        <v>2972</v>
      </c>
      <c r="B35" s="14" t="s">
        <v>2963</v>
      </c>
      <c r="C35" s="15" t="s">
        <v>2966</v>
      </c>
      <c r="D35" s="16" t="s">
        <v>2969</v>
      </c>
      <c r="E35" s="14" t="n">
        <f aca="false">SUMPRODUCT(('Part types'!$A$2:$A$737=A35)/COUNTIFS('Part types'!$A$2:$A$737,'Part types'!$A$2:$A$737,'Part types'!$F$2:$F$737,'Part types'!$F$2:$F$737))</f>
        <v>19</v>
      </c>
      <c r="F35" s="14" t="n">
        <f aca="false">COUNTIF('Part types'!$A:$A,A35)</f>
        <v>19</v>
      </c>
      <c r="G35" s="14" t="n">
        <f aca="false">COUNTIF(Catalog!$AC:$AC,A35)</f>
        <v>19</v>
      </c>
    </row>
    <row r="36" customFormat="false" ht="15" hidden="false" customHeight="false" outlineLevel="0" collapsed="false">
      <c r="A36" s="14" t="s">
        <v>3074</v>
      </c>
      <c r="B36" s="14" t="s">
        <v>3065</v>
      </c>
      <c r="C36" s="15" t="s">
        <v>3068</v>
      </c>
      <c r="D36" s="16" t="s">
        <v>3071</v>
      </c>
      <c r="E36" s="14" t="n">
        <f aca="false">SUMPRODUCT(('Part types'!$A$2:$A$737=A36)/COUNTIFS('Part types'!$A$2:$A$737,'Part types'!$A$2:$A$737,'Part types'!$F$2:$F$737,'Part types'!$F$2:$F$737))</f>
        <v>6</v>
      </c>
      <c r="F36" s="14" t="n">
        <f aca="false">COUNTIF('Part types'!$A:$A,A36)</f>
        <v>6</v>
      </c>
      <c r="G36" s="14" t="n">
        <f aca="false">COUNTIF(Catalog!$AC:$AC,A36)</f>
        <v>6</v>
      </c>
    </row>
    <row r="37" customFormat="false" ht="15" hidden="false" customHeight="false" outlineLevel="0" collapsed="false">
      <c r="A37" s="14" t="s">
        <v>3107</v>
      </c>
      <c r="B37" s="14" t="s">
        <v>3101</v>
      </c>
      <c r="C37" s="15" t="s">
        <v>3103</v>
      </c>
      <c r="D37" s="16" t="s">
        <v>3105</v>
      </c>
      <c r="E37" s="14" t="n">
        <f aca="false">SUMPRODUCT(('Part types'!$A$2:$A$737=A37)/COUNTIFS('Part types'!$A$2:$A$737,'Part types'!$A$2:$A$737,'Part types'!$F$2:$F$737,'Part types'!$F$2:$F$737))</f>
        <v>22</v>
      </c>
      <c r="F37" s="14" t="n">
        <f aca="false">COUNTIF('Part types'!$A:$A,A37)</f>
        <v>22</v>
      </c>
      <c r="G37" s="14" t="n">
        <f aca="false">COUNTIF(Catalog!$AC:$AC,A37)</f>
        <v>23</v>
      </c>
    </row>
    <row r="38" customFormat="false" ht="15" hidden="false" customHeight="false" outlineLevel="0" collapsed="false">
      <c r="A38" s="14" t="s">
        <v>3226</v>
      </c>
      <c r="B38" s="14" t="s">
        <v>3217</v>
      </c>
      <c r="C38" s="15" t="s">
        <v>3220</v>
      </c>
      <c r="D38" s="16" t="s">
        <v>3223</v>
      </c>
      <c r="E38" s="14" t="n">
        <f aca="false">SUMPRODUCT(('Part types'!$A$2:$A$737=A38)/COUNTIFS('Part types'!$A$2:$A$737,'Part types'!$A$2:$A$737,'Part types'!$F$2:$F$737,'Part types'!$F$2:$F$737))</f>
        <v>10</v>
      </c>
      <c r="F38" s="14" t="n">
        <f aca="false">COUNTIF('Part types'!$A:$A,A38)</f>
        <v>10</v>
      </c>
      <c r="G38" s="14" t="n">
        <f aca="false">COUNTIF(Catalog!$AC:$AC,A38)</f>
        <v>13</v>
      </c>
    </row>
    <row r="39" customFormat="false" ht="15" hidden="false" customHeight="false" outlineLevel="0" collapsed="false">
      <c r="A39" s="14" t="s">
        <v>3283</v>
      </c>
      <c r="B39" s="14" t="s">
        <v>3277</v>
      </c>
      <c r="C39" s="15" t="s">
        <v>3279</v>
      </c>
      <c r="D39" s="16" t="s">
        <v>3281</v>
      </c>
      <c r="E39" s="14" t="n">
        <f aca="false">SUMPRODUCT(('Part types'!$A$2:$A$737=A39)/COUNTIFS('Part types'!$A$2:$A$737,'Part types'!$A$2:$A$737,'Part types'!$F$2:$F$737,'Part types'!$F$2:$F$737))</f>
        <v>7</v>
      </c>
      <c r="F39" s="14" t="n">
        <f aca="false">COUNTIF('Part types'!$A:$A,A39)</f>
        <v>7</v>
      </c>
      <c r="G39" s="14" t="n">
        <f aca="false">COUNTIF(Catalog!$AC:$AC,A39)</f>
        <v>10</v>
      </c>
    </row>
    <row r="40" customFormat="false" ht="15" hidden="false" customHeight="false" outlineLevel="0" collapsed="false">
      <c r="A40" s="14" t="s">
        <v>3325</v>
      </c>
      <c r="B40" s="14" t="s">
        <v>3319</v>
      </c>
      <c r="C40" s="15" t="s">
        <v>3321</v>
      </c>
      <c r="D40" s="16" t="s">
        <v>3323</v>
      </c>
      <c r="E40" s="14" t="n">
        <f aca="false">SUMPRODUCT(('Part types'!$A$2:$A$737=A40)/COUNTIFS('Part types'!$A$2:$A$737,'Part types'!$A$2:$A$737,'Part types'!$F$2:$F$737,'Part types'!$F$2:$F$737))</f>
        <v>13</v>
      </c>
      <c r="F40" s="14" t="n">
        <f aca="false">COUNTIF('Part types'!$A:$A,A40)</f>
        <v>13</v>
      </c>
      <c r="G40" s="14" t="n">
        <f aca="false">COUNTIF(Catalog!$AC:$AC,A40)</f>
        <v>19</v>
      </c>
    </row>
    <row r="41" customFormat="false" ht="15" hidden="false" customHeight="false" outlineLevel="0" collapsed="false">
      <c r="A41" s="14" t="s">
        <v>3403</v>
      </c>
      <c r="B41" s="14" t="s">
        <v>3397</v>
      </c>
      <c r="C41" s="15" t="s">
        <v>3399</v>
      </c>
      <c r="D41" s="16" t="s">
        <v>3401</v>
      </c>
      <c r="E41" s="14" t="n">
        <f aca="false">SUMPRODUCT(('Part types'!$A$2:$A$737=A41)/COUNTIFS('Part types'!$A$2:$A$737,'Part types'!$A$2:$A$737,'Part types'!$F$2:$F$737,'Part types'!$F$2:$F$737))</f>
        <v>10</v>
      </c>
      <c r="F41" s="14" t="n">
        <f aca="false">COUNTIF('Part types'!$A:$A,A41)</f>
        <v>10</v>
      </c>
      <c r="G41" s="14" t="n">
        <f aca="false">COUNTIF(Catalog!$AC:$AC,A41)</f>
        <v>22</v>
      </c>
    </row>
    <row r="42" customFormat="false" ht="15" hidden="false" customHeight="false" outlineLevel="0" collapsed="false">
      <c r="A42" s="14" t="s">
        <v>3469</v>
      </c>
      <c r="B42" s="14" t="s">
        <v>3463</v>
      </c>
      <c r="C42" s="15" t="s">
        <v>3465</v>
      </c>
      <c r="D42" s="16" t="s">
        <v>3467</v>
      </c>
      <c r="E42" s="14" t="n">
        <f aca="false">SUMPRODUCT(('Part types'!$A$2:$A$737=A42)/COUNTIFS('Part types'!$A$2:$A$737,'Part types'!$A$2:$A$737,'Part types'!$F$2:$F$737,'Part types'!$F$2:$F$737))</f>
        <v>3</v>
      </c>
      <c r="F42" s="14" t="n">
        <f aca="false">COUNTIF('Part types'!$A:$A,A42)</f>
        <v>3</v>
      </c>
      <c r="G42" s="14" t="n">
        <f aca="false">COUNTIF(Catalog!$AC:$AC,A42)</f>
        <v>3</v>
      </c>
    </row>
    <row r="43" customFormat="false" ht="15" hidden="false" customHeight="false" outlineLevel="0" collapsed="false">
      <c r="A43" s="14" t="s">
        <v>3486</v>
      </c>
      <c r="B43" s="14" t="s">
        <v>3482</v>
      </c>
      <c r="C43" s="15" t="s">
        <v>3483</v>
      </c>
      <c r="D43" s="16" t="s">
        <v>3485</v>
      </c>
      <c r="E43" s="14" t="n">
        <f aca="false">SUMPRODUCT(('Part types'!$A$2:$A$737=A43)/COUNTIFS('Part types'!$A$2:$A$737,'Part types'!$A$2:$A$737,'Part types'!$F$2:$F$737,'Part types'!$F$2:$F$737))</f>
        <v>6</v>
      </c>
      <c r="F43" s="14" t="n">
        <f aca="false">COUNTIF('Part types'!$A:$A,A43)</f>
        <v>6</v>
      </c>
      <c r="G43" s="14" t="n">
        <f aca="false">COUNTIF(Catalog!$AC:$AC,A43)</f>
        <v>8</v>
      </c>
    </row>
    <row r="44" customFormat="false" ht="15" hidden="false" customHeight="false" outlineLevel="0" collapsed="false">
      <c r="A44" s="14" t="s">
        <v>3519</v>
      </c>
      <c r="B44" s="14" t="s">
        <v>3516</v>
      </c>
      <c r="C44" s="15" t="s">
        <v>3517</v>
      </c>
      <c r="D44" s="16" t="s">
        <v>2783</v>
      </c>
      <c r="E44" s="14" t="n">
        <f aca="false">SUMPRODUCT(('Part types'!$A$2:$A$737=A44)/COUNTIFS('Part types'!$A$2:$A$737,'Part types'!$A$2:$A$737,'Part types'!$F$2:$F$737,'Part types'!$F$2:$F$737))</f>
        <v>6</v>
      </c>
      <c r="F44" s="14" t="n">
        <f aca="false">COUNTIF('Part types'!$A:$A,A44)</f>
        <v>6</v>
      </c>
      <c r="G44" s="14" t="n">
        <f aca="false">COUNTIF(Catalog!$AC:$AC,A44)</f>
        <v>18</v>
      </c>
    </row>
    <row r="45" customFormat="false" ht="15" hidden="false" customHeight="false" outlineLevel="0" collapsed="false">
      <c r="A45" s="14" t="s">
        <v>3568</v>
      </c>
      <c r="B45" s="14" t="s">
        <v>3562</v>
      </c>
      <c r="C45" s="15" t="s">
        <v>3564</v>
      </c>
      <c r="D45" s="16" t="s">
        <v>3566</v>
      </c>
      <c r="E45" s="14" t="n">
        <f aca="false">SUMPRODUCT(('Part types'!$A$2:$A$737=A45)/COUNTIFS('Part types'!$A$2:$A$737,'Part types'!$A$2:$A$737,'Part types'!$F$2:$F$737,'Part types'!$F$2:$F$737))</f>
        <v>16</v>
      </c>
      <c r="F45" s="14" t="n">
        <f aca="false">COUNTIF('Part types'!$A:$A,A45)</f>
        <v>16</v>
      </c>
      <c r="G45" s="14" t="n">
        <f aca="false">COUNTIF(Catalog!$AC:$AC,A45)</f>
        <v>62</v>
      </c>
    </row>
    <row r="46" customFormat="false" ht="15" hidden="false" customHeight="false" outlineLevel="0" collapsed="false">
      <c r="A46" s="14" t="s">
        <v>3702</v>
      </c>
      <c r="B46" s="14" t="s">
        <v>2106</v>
      </c>
      <c r="C46" s="15" t="s">
        <v>3699</v>
      </c>
      <c r="D46" s="16" t="s">
        <v>2110</v>
      </c>
      <c r="E46" s="14" t="n">
        <f aca="false">SUMPRODUCT(('Part types'!$A$2:$A$737=A46)/COUNTIFS('Part types'!$A$2:$A$737,'Part types'!$A$2:$A$737,'Part types'!$F$2:$F$737,'Part types'!$F$2:$F$737))</f>
        <v>13</v>
      </c>
      <c r="F46" s="14" t="n">
        <f aca="false">COUNTIF('Part types'!$A:$A,A46)</f>
        <v>13</v>
      </c>
      <c r="G46" s="14" t="n">
        <f aca="false">COUNTIF(Catalog!$AC:$AC,A46)</f>
        <v>17</v>
      </c>
    </row>
    <row r="47" customFormat="false" ht="15" hidden="false" customHeight="false" outlineLevel="0" collapsed="false">
      <c r="A47" s="14" t="s">
        <v>3778</v>
      </c>
      <c r="B47" s="14" t="s">
        <v>3772</v>
      </c>
      <c r="C47" s="15" t="s">
        <v>3774</v>
      </c>
      <c r="D47" s="16" t="s">
        <v>3776</v>
      </c>
      <c r="E47" s="14" t="n">
        <f aca="false">SUMPRODUCT(('Part types'!$A$2:$A$737=A47)/COUNTIFS('Part types'!$A$2:$A$737,'Part types'!$A$2:$A$737,'Part types'!$F$2:$F$737,'Part types'!$F$2:$F$737))</f>
        <v>6</v>
      </c>
      <c r="F47" s="14" t="n">
        <f aca="false">COUNTIF('Part types'!$A:$A,A47)</f>
        <v>6</v>
      </c>
      <c r="G47" s="14" t="n">
        <f aca="false">COUNTIF(Catalog!$AC:$AC,A47)</f>
        <v>8</v>
      </c>
    </row>
    <row r="48" customFormat="false" ht="15" hidden="false" customHeight="false" outlineLevel="0" collapsed="false">
      <c r="A48" s="14" t="s">
        <v>3817</v>
      </c>
      <c r="B48" s="14" t="s">
        <v>3811</v>
      </c>
      <c r="C48" s="15" t="s">
        <v>3813</v>
      </c>
      <c r="D48" s="16" t="s">
        <v>3815</v>
      </c>
      <c r="E48" s="14" t="n">
        <f aca="false">SUMPRODUCT(('Part types'!$A$2:$A$737=A48)/COUNTIFS('Part types'!$A$2:$A$737,'Part types'!$A$2:$A$737,'Part types'!$F$2:$F$737,'Part types'!$F$2:$F$737))</f>
        <v>6</v>
      </c>
      <c r="F48" s="14" t="n">
        <f aca="false">COUNTIF('Part types'!$A:$A,A48)</f>
        <v>6</v>
      </c>
      <c r="G48" s="14" t="n">
        <f aca="false">COUNTIF(Catalog!$AC:$AC,A48)</f>
        <v>6</v>
      </c>
    </row>
    <row r="49" customFormat="false" ht="15" hidden="false" customHeight="false" outlineLevel="0" collapsed="false">
      <c r="A49" s="14" t="s">
        <v>3852</v>
      </c>
      <c r="B49" s="14" t="s">
        <v>3848</v>
      </c>
      <c r="C49" s="15" t="s">
        <v>3850</v>
      </c>
      <c r="D49" s="16" t="s">
        <v>3851</v>
      </c>
      <c r="E49" s="14" t="n">
        <f aca="false">SUMPRODUCT(('Part types'!$A$2:$A$737=A49)/COUNTIFS('Part types'!$A$2:$A$737,'Part types'!$A$2:$A$737,'Part types'!$F$2:$F$737,'Part types'!$F$2:$F$737))</f>
        <v>10</v>
      </c>
      <c r="F49" s="14" t="n">
        <f aca="false">COUNTIF('Part types'!$A:$A,A49)</f>
        <v>10</v>
      </c>
      <c r="G49" s="14" t="n">
        <f aca="false">COUNTIF(Catalog!$AC:$AC,A49)</f>
        <v>23</v>
      </c>
    </row>
    <row r="50" customFormat="false" ht="15" hidden="false" customHeight="false" outlineLevel="0" collapsed="false">
      <c r="A50" s="14" t="s">
        <v>3923</v>
      </c>
      <c r="B50" s="14" t="s">
        <v>3914</v>
      </c>
      <c r="C50" s="15" t="s">
        <v>3917</v>
      </c>
      <c r="D50" s="16" t="s">
        <v>3920</v>
      </c>
      <c r="E50" s="14" t="n">
        <f aca="false">SUMPRODUCT(('Part types'!$A$2:$A$737=A50)/COUNTIFS('Part types'!$A$2:$A$737,'Part types'!$A$2:$A$737,'Part types'!$F$2:$F$737,'Part types'!$F$2:$F$737))</f>
        <v>7</v>
      </c>
      <c r="F50" s="14" t="n">
        <f aca="false">COUNTIF('Part types'!$A:$A,A50)</f>
        <v>7</v>
      </c>
      <c r="G50" s="14" t="n">
        <f aca="false">COUNTIF(Catalog!$AC:$AC,A50)</f>
        <v>12</v>
      </c>
    </row>
    <row r="51" customFormat="false" ht="15" hidden="false" customHeight="false" outlineLevel="0" collapsed="false">
      <c r="A51" s="14" t="s">
        <v>3964</v>
      </c>
      <c r="B51" s="14" t="s">
        <v>2601</v>
      </c>
      <c r="C51" s="15" t="s">
        <v>2603</v>
      </c>
      <c r="D51" s="16" t="s">
        <v>2605</v>
      </c>
      <c r="E51" s="14" t="n">
        <f aca="false">SUMPRODUCT(('Part types'!$A$2:$A$737=A51)/COUNTIFS('Part types'!$A$2:$A$737,'Part types'!$A$2:$A$737,'Part types'!$F$2:$F$737,'Part types'!$F$2:$F$737))</f>
        <v>9</v>
      </c>
      <c r="F51" s="14" t="n">
        <f aca="false">COUNTIF('Part types'!$A:$A,A51)</f>
        <v>9</v>
      </c>
      <c r="G51" s="14" t="n">
        <f aca="false">COUNTIF(Catalog!$AC:$AC,A51)</f>
        <v>33</v>
      </c>
    </row>
    <row r="52" customFormat="false" ht="15" hidden="false" customHeight="false" outlineLevel="0" collapsed="false">
      <c r="A52" s="14" t="s">
        <v>4034</v>
      </c>
      <c r="B52" s="14" t="s">
        <v>2439</v>
      </c>
      <c r="C52" s="15" t="s">
        <v>4032</v>
      </c>
      <c r="D52" s="16" t="s">
        <v>2443</v>
      </c>
      <c r="E52" s="14" t="n">
        <f aca="false">SUMPRODUCT(('Part types'!$A$2:$A$737=A52)/COUNTIFS('Part types'!$A$2:$A$737,'Part types'!$A$2:$A$737,'Part types'!$F$2:$F$737,'Part types'!$F$2:$F$737))</f>
        <v>4</v>
      </c>
      <c r="F52" s="14" t="n">
        <f aca="false">COUNTIF('Part types'!$A:$A,A52)</f>
        <v>4</v>
      </c>
      <c r="G52" s="14" t="n">
        <f aca="false">COUNTIF(Catalog!$AC:$AC,A52)</f>
        <v>4</v>
      </c>
    </row>
    <row r="53" customFormat="false" ht="15" hidden="false" customHeight="false" outlineLevel="0" collapsed="false">
      <c r="A53" s="14" t="s">
        <v>4055</v>
      </c>
      <c r="B53" s="14" t="s">
        <v>4052</v>
      </c>
      <c r="C53" s="15" t="s">
        <v>4053</v>
      </c>
      <c r="D53" s="16" t="s">
        <v>1166</v>
      </c>
      <c r="E53" s="14" t="n">
        <f aca="false">SUMPRODUCT(('Part types'!$A$2:$A$737=A53)/COUNTIFS('Part types'!$A$2:$A$737,'Part types'!$A$2:$A$737,'Part types'!$F$2:$F$737,'Part types'!$F$2:$F$737))</f>
        <v>7</v>
      </c>
      <c r="F53" s="14" t="n">
        <f aca="false">COUNTIF('Part types'!$A:$A,A53)</f>
        <v>7</v>
      </c>
      <c r="G53" s="14" t="n">
        <f aca="false">COUNTIF(Catalog!$AC:$AC,A53)</f>
        <v>7</v>
      </c>
    </row>
    <row r="54" customFormat="false" ht="15" hidden="false" customHeight="false" outlineLevel="0" collapsed="false">
      <c r="A54" s="14" t="s">
        <v>4092</v>
      </c>
      <c r="B54" s="14" t="s">
        <v>2496</v>
      </c>
      <c r="C54" s="15" t="s">
        <v>2498</v>
      </c>
      <c r="D54" s="16" t="s">
        <v>4090</v>
      </c>
      <c r="E54" s="14" t="n">
        <f aca="false">SUMPRODUCT(('Part types'!$A$2:$A$737=A54)/COUNTIFS('Part types'!$A$2:$A$737,'Part types'!$A$2:$A$737,'Part types'!$F$2:$F$737,'Part types'!$F$2:$F$737))</f>
        <v>6</v>
      </c>
      <c r="F54" s="14" t="n">
        <f aca="false">COUNTIF('Part types'!$A:$A,A54)</f>
        <v>6</v>
      </c>
      <c r="G54" s="14" t="n">
        <f aca="false">COUNTIF(Catalog!$AC:$AC,A54)</f>
        <v>6</v>
      </c>
    </row>
    <row r="55" customFormat="false" ht="15" hidden="false" customHeight="false" outlineLevel="0" collapsed="false">
      <c r="A55" s="14" t="s">
        <v>4126</v>
      </c>
      <c r="B55" s="14" t="s">
        <v>4120</v>
      </c>
      <c r="C55" s="15" t="s">
        <v>4122</v>
      </c>
      <c r="D55" s="16" t="s">
        <v>4124</v>
      </c>
      <c r="E55" s="14" t="n">
        <f aca="false">SUMPRODUCT(('Part types'!$A$2:$A$737=A55)/COUNTIFS('Part types'!$A$2:$A$737,'Part types'!$A$2:$A$737,'Part types'!$F$2:$F$737,'Part types'!$F$2:$F$737))</f>
        <v>3</v>
      </c>
      <c r="F55" s="14" t="n">
        <f aca="false">COUNTIF('Part types'!$A:$A,A55)</f>
        <v>3</v>
      </c>
      <c r="G55" s="14" t="n">
        <f aca="false">COUNTIF(Catalog!$AC:$AC,A55)</f>
        <v>3</v>
      </c>
    </row>
    <row r="56" customFormat="false" ht="15" hidden="false" customHeight="false" outlineLevel="0" collapsed="false">
      <c r="A56" s="14" t="s">
        <v>4142</v>
      </c>
      <c r="B56" s="14" t="s">
        <v>2848</v>
      </c>
      <c r="C56" s="15" t="s">
        <v>4139</v>
      </c>
      <c r="D56" s="16" t="s">
        <v>4141</v>
      </c>
      <c r="E56" s="14" t="n">
        <f aca="false">SUMPRODUCT(('Part types'!$A$2:$A$737=A56)/COUNTIFS('Part types'!$A$2:$A$737,'Part types'!$A$2:$A$737,'Part types'!$F$2:$F$737,'Part types'!$F$2:$F$737))</f>
        <v>5</v>
      </c>
      <c r="F56" s="14" t="n">
        <f aca="false">COUNTIF('Part types'!$A:$A,A56)</f>
        <v>5</v>
      </c>
      <c r="G56" s="14" t="n">
        <f aca="false">COUNTIF(Catalog!$AC:$AC,A56)</f>
        <v>13</v>
      </c>
    </row>
    <row r="57" customFormat="false" ht="15" hidden="false" customHeight="false" outlineLevel="0" collapsed="false">
      <c r="A57" s="14" t="s">
        <v>4179</v>
      </c>
      <c r="B57" s="14" t="s">
        <v>4173</v>
      </c>
      <c r="C57" s="15" t="s">
        <v>4175</v>
      </c>
      <c r="D57" s="16" t="s">
        <v>4177</v>
      </c>
      <c r="E57" s="14" t="n">
        <f aca="false">SUMPRODUCT(('Part types'!$A$2:$A$737=A57)/COUNTIFS('Part types'!$A$2:$A$737,'Part types'!$A$2:$A$737,'Part types'!$F$2:$F$737,'Part types'!$F$2:$F$737))</f>
        <v>5</v>
      </c>
      <c r="F57" s="14" t="n">
        <f aca="false">COUNTIF('Part types'!$A:$A,A57)</f>
        <v>5</v>
      </c>
      <c r="G57" s="14" t="n">
        <f aca="false">COUNTIF(Catalog!$AC:$AC,A57)</f>
        <v>7</v>
      </c>
    </row>
    <row r="58" customFormat="false" ht="15" hidden="false" customHeight="false" outlineLevel="0" collapsed="false">
      <c r="A58" s="14" t="s">
        <v>4209</v>
      </c>
      <c r="B58" s="14" t="s">
        <v>4204</v>
      </c>
      <c r="C58" s="15" t="s">
        <v>4206</v>
      </c>
      <c r="D58" s="16" t="s">
        <v>4208</v>
      </c>
      <c r="E58" s="14" t="n">
        <f aca="false">SUMPRODUCT(('Part types'!$A$2:$A$737=A58)/COUNTIFS('Part types'!$A$2:$A$737,'Part types'!$A$2:$A$737,'Part types'!$F$2:$F$737,'Part types'!$F$2:$F$737))</f>
        <v>4</v>
      </c>
      <c r="F58" s="14" t="n">
        <f aca="false">COUNTIF('Part types'!$A:$A,A58)</f>
        <v>4</v>
      </c>
      <c r="G58" s="14" t="n">
        <f aca="false">COUNTIF(Catalog!$AC:$AC,A58)</f>
        <v>12</v>
      </c>
    </row>
    <row r="59" customFormat="false" ht="15" hidden="false" customHeight="false" outlineLevel="0" collapsed="false">
      <c r="A59" s="14" t="s">
        <v>4241</v>
      </c>
      <c r="B59" s="14" t="s">
        <v>4235</v>
      </c>
      <c r="C59" s="15" t="s">
        <v>4237</v>
      </c>
      <c r="D59" s="16" t="s">
        <v>4239</v>
      </c>
      <c r="E59" s="14" t="n">
        <f aca="false">SUMPRODUCT(('Part types'!$A$2:$A$737=A59)/COUNTIFS('Part types'!$A$2:$A$737,'Part types'!$A$2:$A$737,'Part types'!$F$2:$F$737,'Part types'!$F$2:$F$737))</f>
        <v>6</v>
      </c>
      <c r="F59" s="14" t="n">
        <f aca="false">COUNTIF('Part types'!$A:$A,A59)</f>
        <v>6</v>
      </c>
      <c r="G59" s="14" t="n">
        <f aca="false">COUNTIF(Catalog!$AC:$AC,A59)</f>
        <v>7</v>
      </c>
    </row>
    <row r="60" customFormat="false" ht="15" hidden="false" customHeight="false" outlineLevel="0" collapsed="false">
      <c r="A60" s="14" t="s">
        <v>4276</v>
      </c>
      <c r="B60" s="14" t="s">
        <v>4270</v>
      </c>
      <c r="C60" s="15" t="s">
        <v>4272</v>
      </c>
      <c r="D60" s="16" t="s">
        <v>4274</v>
      </c>
      <c r="E60" s="14" t="n">
        <f aca="false">SUMPRODUCT(('Part types'!$A$2:$A$737=A60)/COUNTIFS('Part types'!$A$2:$A$737,'Part types'!$A$2:$A$737,'Part types'!$F$2:$F$737,'Part types'!$F$2:$F$737))</f>
        <v>11</v>
      </c>
      <c r="F60" s="14" t="n">
        <f aca="false">COUNTIF('Part types'!$A:$A,A60)</f>
        <v>11</v>
      </c>
      <c r="G60" s="14" t="n">
        <f aca="false">COUNTIF(Catalog!$AC:$AC,A60)</f>
        <v>11</v>
      </c>
    </row>
    <row r="61" customFormat="false" ht="15" hidden="false" customHeight="false" outlineLevel="0" collapsed="false">
      <c r="A61" s="14" t="s">
        <v>4335</v>
      </c>
      <c r="B61" s="14" t="s">
        <v>4329</v>
      </c>
      <c r="C61" s="15" t="s">
        <v>4331</v>
      </c>
      <c r="D61" s="16" t="s">
        <v>4333</v>
      </c>
      <c r="E61" s="14" t="n">
        <f aca="false">SUMPRODUCT(('Part types'!$A$2:$A$737=A61)/COUNTIFS('Part types'!$A$2:$A$737,'Part types'!$A$2:$A$737,'Part types'!$F$2:$F$737,'Part types'!$F$2:$F$737))</f>
        <v>8</v>
      </c>
      <c r="F61" s="14" t="n">
        <f aca="false">COUNTIF('Part types'!$A:$A,A61)</f>
        <v>8</v>
      </c>
      <c r="G61" s="14" t="n">
        <f aca="false">COUNTIF(Catalog!$AC:$AC,A61)</f>
        <v>8</v>
      </c>
    </row>
    <row r="62" customFormat="false" ht="15" hidden="false" customHeight="false" outlineLevel="0" collapsed="false">
      <c r="A62" s="14" t="s">
        <v>4379</v>
      </c>
      <c r="B62" s="14" t="s">
        <v>4373</v>
      </c>
      <c r="C62" s="15" t="s">
        <v>4375</v>
      </c>
      <c r="D62" s="16" t="s">
        <v>4377</v>
      </c>
      <c r="E62" s="14" t="n">
        <f aca="false">SUMPRODUCT(('Part types'!$A$2:$A$737=A62)/COUNTIFS('Part types'!$A$2:$A$737,'Part types'!$A$2:$A$737,'Part types'!$F$2:$F$737,'Part types'!$F$2:$F$737))</f>
        <v>21</v>
      </c>
      <c r="F62" s="14" t="n">
        <f aca="false">COUNTIF('Part types'!$A:$A,A62)</f>
        <v>21</v>
      </c>
      <c r="G62" s="14" t="n">
        <f aca="false">COUNTIF(Catalog!$AC:$AC,A62)</f>
        <v>35</v>
      </c>
    </row>
    <row r="63" customFormat="false" ht="15" hidden="false" customHeight="false" outlineLevel="0" collapsed="false">
      <c r="A63" s="14" t="s">
        <v>4502</v>
      </c>
      <c r="B63" s="14" t="s">
        <v>4496</v>
      </c>
      <c r="C63" s="15" t="s">
        <v>4498</v>
      </c>
      <c r="D63" s="16" t="s">
        <v>4500</v>
      </c>
      <c r="E63" s="14" t="n">
        <f aca="false">SUMPRODUCT(('Part types'!$A$2:$A$737=A63)/COUNTIFS('Part types'!$A$2:$A$737,'Part types'!$A$2:$A$737,'Part types'!$F$2:$F$737,'Part types'!$F$2:$F$737))</f>
        <v>10</v>
      </c>
      <c r="F63" s="14" t="n">
        <f aca="false">COUNTIF('Part types'!$A:$A,A63)</f>
        <v>10</v>
      </c>
      <c r="G63" s="14" t="n">
        <f aca="false">COUNTIF(Catalog!$AC:$AC,A63)</f>
        <v>10</v>
      </c>
    </row>
    <row r="64" customFormat="false" ht="15" hidden="false" customHeight="false" outlineLevel="0" collapsed="false">
      <c r="A64" s="17" t="s">
        <v>4999</v>
      </c>
      <c r="B64" s="17"/>
      <c r="C64" s="18"/>
      <c r="D64" s="17"/>
      <c r="E64" s="17" t="n">
        <f aca="false">SUM(E2:E63)</f>
        <v>731</v>
      </c>
      <c r="F64" s="17" t="n">
        <f aca="false">SUM(F2:F63)</f>
        <v>736</v>
      </c>
      <c r="G64" s="17" t="n">
        <f aca="false">SUM(G2:G63)</f>
        <v>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13"/>
  </cols>
  <sheetData>
    <row r="1" customFormat="false" ht="25.5" hidden="false" customHeight="true" outlineLevel="0" collapsed="false">
      <c r="A1" s="4" t="s">
        <v>32</v>
      </c>
      <c r="B1" s="4" t="s">
        <v>4994</v>
      </c>
      <c r="C1" s="4" t="s">
        <v>4995</v>
      </c>
      <c r="D1" s="4" t="s">
        <v>5000</v>
      </c>
      <c r="E1" s="4" t="s">
        <v>4998</v>
      </c>
    </row>
    <row r="2" customFormat="false" ht="15" hidden="false" customHeight="false" outlineLevel="0" collapsed="false">
      <c r="A2" s="14" t="s">
        <v>161</v>
      </c>
      <c r="B2" s="15" t="s">
        <v>163</v>
      </c>
      <c r="C2" s="16" t="s">
        <v>165</v>
      </c>
      <c r="D2" s="14" t="s">
        <v>5001</v>
      </c>
      <c r="E2" s="14" t="n">
        <f aca="false">COUNTIF(Catalog!$E:$E,A2)</f>
        <v>39</v>
      </c>
    </row>
    <row r="3" customFormat="false" ht="15" hidden="false" customHeight="false" outlineLevel="0" collapsed="false">
      <c r="A3" s="14" t="s">
        <v>168</v>
      </c>
      <c r="B3" s="15" t="s">
        <v>169</v>
      </c>
      <c r="C3" s="16" t="s">
        <v>170</v>
      </c>
      <c r="D3" s="14" t="s">
        <v>5001</v>
      </c>
      <c r="E3" s="14" t="n">
        <f aca="false">COUNTIF(Catalog!$E:$E,A3)</f>
        <v>45</v>
      </c>
    </row>
    <row r="4" customFormat="false" ht="15" hidden="false" customHeight="false" outlineLevel="0" collapsed="false">
      <c r="A4" s="14" t="s">
        <v>218</v>
      </c>
      <c r="B4" s="15" t="s">
        <v>220</v>
      </c>
      <c r="C4" s="16" t="s">
        <v>222</v>
      </c>
      <c r="D4" s="14" t="s">
        <v>5001</v>
      </c>
      <c r="E4" s="14" t="n">
        <f aca="false">COUNTIF(Catalog!$E:$E,A4)</f>
        <v>60</v>
      </c>
    </row>
    <row r="5" customFormat="false" ht="15" hidden="false" customHeight="false" outlineLevel="0" collapsed="false">
      <c r="A5" s="14" t="s">
        <v>225</v>
      </c>
      <c r="B5" s="15" t="s">
        <v>226</v>
      </c>
      <c r="C5" s="16" t="s">
        <v>227</v>
      </c>
      <c r="D5" s="14" t="s">
        <v>5001</v>
      </c>
      <c r="E5" s="14" t="n">
        <f aca="false">COUNTIF(Catalog!$E:$E,A5)</f>
        <v>60</v>
      </c>
    </row>
    <row r="6" customFormat="false" ht="15" hidden="false" customHeight="false" outlineLevel="0" collapsed="false">
      <c r="A6" s="14" t="s">
        <v>1346</v>
      </c>
      <c r="B6" s="15" t="s">
        <v>1349</v>
      </c>
      <c r="C6" s="16" t="s">
        <v>1352</v>
      </c>
      <c r="D6" s="14" t="s">
        <v>5001</v>
      </c>
      <c r="E6" s="14" t="n">
        <f aca="false">COUNTIF(Catalog!$E:$E,A6)</f>
        <v>93</v>
      </c>
    </row>
    <row r="7" customFormat="false" ht="15" hidden="false" customHeight="false" outlineLevel="0" collapsed="false">
      <c r="A7" s="14" t="s">
        <v>1356</v>
      </c>
      <c r="B7" s="15" t="s">
        <v>1357</v>
      </c>
      <c r="C7" s="16" t="s">
        <v>1358</v>
      </c>
      <c r="D7" s="14" t="s">
        <v>5001</v>
      </c>
      <c r="E7" s="14" t="n">
        <f aca="false">COUNTIF(Catalog!$E:$E,A7)</f>
        <v>93</v>
      </c>
    </row>
    <row r="8" customFormat="false" ht="15" hidden="false" customHeight="false" outlineLevel="0" collapsed="false">
      <c r="A8" s="14" t="s">
        <v>1360</v>
      </c>
      <c r="B8" s="15" t="s">
        <v>1361</v>
      </c>
      <c r="C8" s="16" t="s">
        <v>1362</v>
      </c>
      <c r="D8" s="14" t="s">
        <v>5001</v>
      </c>
      <c r="E8" s="14" t="n">
        <f aca="false">COUNTIF(Catalog!$E:$E,A8)</f>
        <v>94</v>
      </c>
    </row>
    <row r="9" customFormat="false" ht="15" hidden="false" customHeight="false" outlineLevel="0" collapsed="false">
      <c r="A9" s="14" t="s">
        <v>1364</v>
      </c>
      <c r="B9" s="15" t="s">
        <v>1365</v>
      </c>
      <c r="C9" s="16" t="s">
        <v>1366</v>
      </c>
      <c r="D9" s="14" t="s">
        <v>5001</v>
      </c>
      <c r="E9" s="14" t="n">
        <f aca="false">COUNTIF(Catalog!$E:$E,A9)</f>
        <v>94</v>
      </c>
    </row>
    <row r="10" customFormat="false" ht="15" hidden="false" customHeight="false" outlineLevel="0" collapsed="false">
      <c r="A10" s="14" t="s">
        <v>68</v>
      </c>
      <c r="B10" s="15" t="s">
        <v>72</v>
      </c>
      <c r="C10" s="16" t="s">
        <v>76</v>
      </c>
      <c r="D10" s="14" t="s">
        <v>5001</v>
      </c>
      <c r="E10" s="14" t="n">
        <f aca="false">COUNTIF(Catalog!$E:$E,A10)</f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4" t="s">
        <v>5002</v>
      </c>
      <c r="B1" s="4" t="s">
        <v>4994</v>
      </c>
      <c r="C1" s="4" t="s">
        <v>4995</v>
      </c>
      <c r="D1" s="4" t="s">
        <v>5003</v>
      </c>
    </row>
    <row r="2" customFormat="false" ht="15" hidden="false" customHeight="false" outlineLevel="0" collapsed="false">
      <c r="A2" s="14" t="s">
        <v>69</v>
      </c>
      <c r="B2" s="15" t="s">
        <v>73</v>
      </c>
      <c r="C2" s="16" t="s">
        <v>77</v>
      </c>
      <c r="D2" s="14" t="n">
        <f aca="false">COUNTIF('Part types'!$M:$M,A2)</f>
        <v>28</v>
      </c>
    </row>
    <row r="3" customFormat="false" ht="15" hidden="false" customHeight="false" outlineLevel="0" collapsed="false">
      <c r="A3" s="14" t="s">
        <v>87</v>
      </c>
      <c r="B3" s="15" t="s">
        <v>89</v>
      </c>
      <c r="C3" s="16" t="s">
        <v>91</v>
      </c>
      <c r="D3" s="14" t="n">
        <f aca="false">COUNTIF('Part types'!$M:$M,A3)</f>
        <v>8</v>
      </c>
    </row>
    <row r="4" customFormat="false" ht="15" hidden="false" customHeight="false" outlineLevel="0" collapsed="false">
      <c r="A4" s="14" t="s">
        <v>94</v>
      </c>
      <c r="B4" s="15" t="s">
        <v>95</v>
      </c>
      <c r="C4" s="16" t="s">
        <v>96</v>
      </c>
      <c r="D4" s="14" t="n">
        <f aca="false">COUNTIF('Part types'!$M:$M,A4)</f>
        <v>17</v>
      </c>
    </row>
    <row r="5" customFormat="false" ht="15" hidden="false" customHeight="false" outlineLevel="0" collapsed="false">
      <c r="A5" s="14" t="s">
        <v>266</v>
      </c>
      <c r="B5" s="15" t="s">
        <v>269</v>
      </c>
      <c r="C5" s="16" t="s">
        <v>272</v>
      </c>
      <c r="D5" s="14" t="n">
        <f aca="false">COUNTIF('Part types'!$M:$M,A5)</f>
        <v>24</v>
      </c>
    </row>
    <row r="6" customFormat="false" ht="15" hidden="false" customHeight="false" outlineLevel="0" collapsed="false">
      <c r="A6" s="14" t="s">
        <v>5004</v>
      </c>
      <c r="B6" s="15" t="s">
        <v>5005</v>
      </c>
      <c r="C6" s="16" t="s">
        <v>5006</v>
      </c>
      <c r="D6" s="14" t="n">
        <f aca="false">COUNTIF('Part types'!$M:$M,A6)</f>
        <v>0</v>
      </c>
    </row>
    <row r="7" customFormat="false" ht="15" hidden="false" customHeight="false" outlineLevel="0" collapsed="false">
      <c r="A7" s="14" t="s">
        <v>369</v>
      </c>
      <c r="B7" s="15" t="s">
        <v>371</v>
      </c>
      <c r="C7" s="16" t="s">
        <v>373</v>
      </c>
      <c r="D7" s="14" t="n">
        <f aca="false">COUNTIF('Part types'!$M:$M,A7)</f>
        <v>18</v>
      </c>
    </row>
    <row r="8" customFormat="false" ht="15" hidden="false" customHeight="false" outlineLevel="0" collapsed="false">
      <c r="A8" s="14" t="s">
        <v>110</v>
      </c>
      <c r="B8" s="15" t="s">
        <v>112</v>
      </c>
      <c r="C8" s="16" t="s">
        <v>114</v>
      </c>
      <c r="D8" s="14" t="n">
        <f aca="false">COUNTIF('Part types'!$M:$M,A8)</f>
        <v>15</v>
      </c>
    </row>
    <row r="9" customFormat="false" ht="15" hidden="false" customHeight="false" outlineLevel="0" collapsed="false">
      <c r="A9" s="14" t="s">
        <v>343</v>
      </c>
      <c r="B9" s="15" t="s">
        <v>346</v>
      </c>
      <c r="C9" s="16" t="s">
        <v>349</v>
      </c>
      <c r="D9" s="14" t="n">
        <f aca="false">COUNTIF('Part types'!$M:$M,A9)</f>
        <v>6</v>
      </c>
    </row>
    <row r="10" customFormat="false" ht="15" hidden="false" customHeight="false" outlineLevel="0" collapsed="false">
      <c r="A10" s="14" t="s">
        <v>123</v>
      </c>
      <c r="B10" s="15" t="s">
        <v>125</v>
      </c>
      <c r="C10" s="16" t="s">
        <v>127</v>
      </c>
      <c r="D10" s="14" t="n">
        <f aca="false">COUNTIF('Part types'!$M:$M,A10)</f>
        <v>7</v>
      </c>
    </row>
    <row r="11" customFormat="false" ht="15" hidden="false" customHeight="false" outlineLevel="0" collapsed="false">
      <c r="A11" s="14" t="s">
        <v>403</v>
      </c>
      <c r="B11" s="15" t="s">
        <v>406</v>
      </c>
      <c r="C11" s="16" t="s">
        <v>409</v>
      </c>
      <c r="D11" s="14" t="n">
        <f aca="false">COUNTIF('Part types'!$M:$M,A11)</f>
        <v>16</v>
      </c>
    </row>
    <row r="12" customFormat="false" ht="15" hidden="false" customHeight="false" outlineLevel="0" collapsed="false">
      <c r="A12" s="14" t="s">
        <v>460</v>
      </c>
      <c r="B12" s="15" t="s">
        <v>463</v>
      </c>
      <c r="C12" s="16" t="s">
        <v>466</v>
      </c>
      <c r="D12" s="14" t="n">
        <f aca="false">COUNTIF('Part types'!$M:$M,A12)</f>
        <v>7</v>
      </c>
    </row>
    <row r="13" customFormat="false" ht="15" hidden="false" customHeight="false" outlineLevel="0" collapsed="false">
      <c r="A13" s="14" t="s">
        <v>651</v>
      </c>
      <c r="B13" s="15" t="s">
        <v>653</v>
      </c>
      <c r="C13" s="16" t="s">
        <v>655</v>
      </c>
      <c r="D13" s="14" t="n">
        <f aca="false">COUNTIF('Part types'!$M:$M,A13)</f>
        <v>20</v>
      </c>
    </row>
    <row r="14" customFormat="false" ht="15" hidden="false" customHeight="false" outlineLevel="0" collapsed="false">
      <c r="A14" s="14" t="s">
        <v>2519</v>
      </c>
      <c r="B14" s="15" t="s">
        <v>2521</v>
      </c>
      <c r="C14" s="16" t="s">
        <v>2523</v>
      </c>
      <c r="D14" s="14" t="n">
        <f aca="false">COUNTIF('Part types'!$M:$M,A14)</f>
        <v>1</v>
      </c>
    </row>
    <row r="15" customFormat="false" ht="15" hidden="false" customHeight="false" outlineLevel="0" collapsed="false">
      <c r="A15" s="14" t="s">
        <v>496</v>
      </c>
      <c r="B15" s="15" t="s">
        <v>498</v>
      </c>
      <c r="C15" s="16" t="s">
        <v>500</v>
      </c>
      <c r="D15" s="14" t="n">
        <f aca="false">COUNTIF('Part types'!$M:$M,A15)</f>
        <v>14</v>
      </c>
    </row>
    <row r="16" customFormat="false" ht="15" hidden="false" customHeight="false" outlineLevel="0" collapsed="false">
      <c r="A16" s="14" t="s">
        <v>561</v>
      </c>
      <c r="B16" s="15" t="s">
        <v>563</v>
      </c>
      <c r="C16" s="16" t="s">
        <v>565</v>
      </c>
      <c r="D16" s="14" t="n">
        <f aca="false">COUNTIF('Part types'!$M:$M,A16)</f>
        <v>10</v>
      </c>
    </row>
    <row r="17" customFormat="false" ht="15" hidden="false" customHeight="false" outlineLevel="0" collapsed="false">
      <c r="A17" s="14" t="s">
        <v>520</v>
      </c>
      <c r="B17" s="15" t="s">
        <v>523</v>
      </c>
      <c r="C17" s="16" t="s">
        <v>526</v>
      </c>
      <c r="D17" s="14" t="n">
        <f aca="false">COUNTIF('Part types'!$M:$M,A17)</f>
        <v>8</v>
      </c>
    </row>
    <row r="18" customFormat="false" ht="15" hidden="false" customHeight="false" outlineLevel="0" collapsed="false">
      <c r="A18" s="14" t="s">
        <v>926</v>
      </c>
      <c r="B18" s="15" t="s">
        <v>928</v>
      </c>
      <c r="C18" s="16" t="s">
        <v>930</v>
      </c>
      <c r="D18" s="14" t="n">
        <f aca="false">COUNTIF('Part types'!$M:$M,A18)</f>
        <v>22</v>
      </c>
    </row>
    <row r="19" customFormat="false" ht="15" hidden="false" customHeight="false" outlineLevel="0" collapsed="false">
      <c r="A19" s="14" t="s">
        <v>1207</v>
      </c>
      <c r="B19" s="15" t="s">
        <v>1210</v>
      </c>
      <c r="C19" s="16" t="s">
        <v>1213</v>
      </c>
      <c r="D19" s="14" t="n">
        <f aca="false">COUNTIF('Part types'!$M:$M,A19)</f>
        <v>11</v>
      </c>
    </row>
    <row r="20" customFormat="false" ht="15" hidden="false" customHeight="false" outlineLevel="0" collapsed="false">
      <c r="A20" s="14" t="s">
        <v>1277</v>
      </c>
      <c r="B20" s="15" t="s">
        <v>1281</v>
      </c>
      <c r="C20" s="16" t="s">
        <v>1284</v>
      </c>
      <c r="D20" s="14" t="n">
        <f aca="false">COUNTIF('Part types'!$M:$M,A20)</f>
        <v>16</v>
      </c>
    </row>
    <row r="21" customFormat="false" ht="15" hidden="false" customHeight="false" outlineLevel="0" collapsed="false">
      <c r="A21" s="14" t="s">
        <v>5007</v>
      </c>
      <c r="B21" s="15" t="s">
        <v>5008</v>
      </c>
      <c r="C21" s="16" t="s">
        <v>5009</v>
      </c>
      <c r="D21" s="14" t="n">
        <f aca="false">COUNTIF('Part types'!$M:$M,A21)</f>
        <v>0</v>
      </c>
    </row>
    <row r="22" customFormat="false" ht="15" hidden="false" customHeight="false" outlineLevel="0" collapsed="false">
      <c r="A22" s="14" t="s">
        <v>5010</v>
      </c>
      <c r="B22" s="15" t="s">
        <v>5011</v>
      </c>
      <c r="C22" s="16" t="s">
        <v>5012</v>
      </c>
      <c r="D22" s="14" t="n">
        <f aca="false">COUNTIF('Part types'!$M:$M,A22)</f>
        <v>0</v>
      </c>
    </row>
    <row r="23" customFormat="false" ht="15" hidden="false" customHeight="false" outlineLevel="0" collapsed="false">
      <c r="A23" s="14" t="s">
        <v>1659</v>
      </c>
      <c r="B23" s="15" t="s">
        <v>1661</v>
      </c>
      <c r="C23" s="16" t="s">
        <v>1663</v>
      </c>
      <c r="D23" s="14" t="n">
        <f aca="false">COUNTIF('Part types'!$M:$M,A23)</f>
        <v>2</v>
      </c>
    </row>
    <row r="24" customFormat="false" ht="15" hidden="false" customHeight="false" outlineLevel="0" collapsed="false">
      <c r="A24" s="14" t="s">
        <v>1642</v>
      </c>
      <c r="B24" s="15" t="s">
        <v>1644</v>
      </c>
      <c r="C24" s="16" t="s">
        <v>1646</v>
      </c>
      <c r="D24" s="14" t="n">
        <f aca="false">COUNTIF('Part types'!$M:$M,A24)</f>
        <v>5</v>
      </c>
    </row>
    <row r="25" customFormat="false" ht="15" hidden="false" customHeight="false" outlineLevel="0" collapsed="false">
      <c r="A25" s="14" t="s">
        <v>934</v>
      </c>
      <c r="B25" s="15" t="s">
        <v>936</v>
      </c>
      <c r="C25" s="16" t="s">
        <v>938</v>
      </c>
      <c r="D25" s="14" t="n">
        <f aca="false">COUNTIF('Part types'!$M:$M,A25)</f>
        <v>13</v>
      </c>
    </row>
    <row r="26" customFormat="false" ht="15" hidden="false" customHeight="false" outlineLevel="0" collapsed="false">
      <c r="A26" s="14" t="s">
        <v>1863</v>
      </c>
      <c r="B26" s="15" t="s">
        <v>1864</v>
      </c>
      <c r="C26" s="16" t="s">
        <v>1865</v>
      </c>
      <c r="D26" s="14" t="n">
        <f aca="false">COUNTIF('Part types'!$M:$M,A26)</f>
        <v>15</v>
      </c>
    </row>
    <row r="27" customFormat="false" ht="15" hidden="false" customHeight="false" outlineLevel="0" collapsed="false">
      <c r="A27" s="14" t="s">
        <v>1411</v>
      </c>
      <c r="B27" s="15" t="s">
        <v>1414</v>
      </c>
      <c r="C27" s="16" t="s">
        <v>1417</v>
      </c>
      <c r="D27" s="14" t="n">
        <f aca="false">COUNTIF('Part types'!$M:$M,A27)</f>
        <v>12</v>
      </c>
    </row>
    <row r="28" customFormat="false" ht="15" hidden="false" customHeight="false" outlineLevel="0" collapsed="false">
      <c r="A28" s="14" t="s">
        <v>5013</v>
      </c>
      <c r="B28" s="15" t="s">
        <v>5014</v>
      </c>
      <c r="C28" s="16" t="s">
        <v>5015</v>
      </c>
      <c r="D28" s="14" t="n">
        <f aca="false">COUNTIF('Part types'!$M:$M,A28)</f>
        <v>0</v>
      </c>
    </row>
    <row r="29" customFormat="false" ht="15" hidden="false" customHeight="false" outlineLevel="0" collapsed="false">
      <c r="A29" s="14" t="s">
        <v>1435</v>
      </c>
      <c r="B29" s="15" t="s">
        <v>1437</v>
      </c>
      <c r="C29" s="16" t="s">
        <v>1439</v>
      </c>
      <c r="D29" s="14" t="n">
        <f aca="false">COUNTIF('Part types'!$M:$M,A29)</f>
        <v>3</v>
      </c>
    </row>
    <row r="30" customFormat="false" ht="15" hidden="false" customHeight="false" outlineLevel="0" collapsed="false">
      <c r="A30" s="14" t="s">
        <v>1968</v>
      </c>
      <c r="B30" s="15" t="s">
        <v>1970</v>
      </c>
      <c r="C30" s="16" t="s">
        <v>1943</v>
      </c>
      <c r="D30" s="14" t="n">
        <f aca="false">COUNTIF('Part types'!$M:$M,A30)</f>
        <v>11</v>
      </c>
    </row>
    <row r="31" customFormat="false" ht="15" hidden="false" customHeight="false" outlineLevel="0" collapsed="false">
      <c r="A31" s="14" t="s">
        <v>1385</v>
      </c>
      <c r="B31" s="15" t="s">
        <v>1387</v>
      </c>
      <c r="C31" s="16" t="s">
        <v>1389</v>
      </c>
      <c r="D31" s="14" t="n">
        <f aca="false">COUNTIF('Part types'!$M:$M,A31)</f>
        <v>4</v>
      </c>
    </row>
    <row r="32" customFormat="false" ht="15" hidden="false" customHeight="false" outlineLevel="0" collapsed="false">
      <c r="A32" s="14" t="s">
        <v>2045</v>
      </c>
      <c r="B32" s="15" t="s">
        <v>2048</v>
      </c>
      <c r="C32" s="16" t="s">
        <v>2049</v>
      </c>
      <c r="D32" s="14" t="n">
        <f aca="false">COUNTIF('Part types'!$M:$M,A32)</f>
        <v>6</v>
      </c>
    </row>
    <row r="33" customFormat="false" ht="15" hidden="false" customHeight="false" outlineLevel="0" collapsed="false">
      <c r="A33" s="14" t="s">
        <v>237</v>
      </c>
      <c r="B33" s="15" t="s">
        <v>239</v>
      </c>
      <c r="C33" s="16" t="s">
        <v>241</v>
      </c>
      <c r="D33" s="14" t="n">
        <f aca="false">COUNTIF('Part types'!$M:$M,A33)</f>
        <v>14</v>
      </c>
    </row>
    <row r="34" customFormat="false" ht="15" hidden="false" customHeight="false" outlineLevel="0" collapsed="false">
      <c r="A34" s="14" t="s">
        <v>831</v>
      </c>
      <c r="B34" s="15" t="s">
        <v>833</v>
      </c>
      <c r="C34" s="16" t="s">
        <v>835</v>
      </c>
      <c r="D34" s="14" t="n">
        <f aca="false">COUNTIF('Part types'!$M:$M,A34)</f>
        <v>8</v>
      </c>
    </row>
    <row r="35" customFormat="false" ht="15" hidden="false" customHeight="false" outlineLevel="0" collapsed="false">
      <c r="A35" s="14" t="s">
        <v>2439</v>
      </c>
      <c r="B35" s="15" t="s">
        <v>2441</v>
      </c>
      <c r="C35" s="16" t="s">
        <v>2443</v>
      </c>
      <c r="D35" s="14" t="n">
        <f aca="false">COUNTIF('Part types'!$M:$M,A35)</f>
        <v>17</v>
      </c>
    </row>
    <row r="36" customFormat="false" ht="15" hidden="false" customHeight="false" outlineLevel="0" collapsed="false">
      <c r="A36" s="14" t="s">
        <v>2633</v>
      </c>
      <c r="B36" s="15" t="s">
        <v>2635</v>
      </c>
      <c r="C36" s="16" t="s">
        <v>2637</v>
      </c>
      <c r="D36" s="14" t="n">
        <f aca="false">COUNTIF('Part types'!$M:$M,A36)</f>
        <v>1</v>
      </c>
    </row>
    <row r="37" customFormat="false" ht="15" hidden="false" customHeight="false" outlineLevel="0" collapsed="false">
      <c r="A37" s="14" t="s">
        <v>1162</v>
      </c>
      <c r="B37" s="15" t="s">
        <v>1164</v>
      </c>
      <c r="C37" s="16" t="s">
        <v>1166</v>
      </c>
      <c r="D37" s="14" t="n">
        <f aca="false">COUNTIF('Part types'!$M:$M,A37)</f>
        <v>17</v>
      </c>
    </row>
    <row r="38" customFormat="false" ht="15" hidden="false" customHeight="false" outlineLevel="0" collapsed="false">
      <c r="A38" s="14" t="s">
        <v>2260</v>
      </c>
      <c r="B38" s="15" t="s">
        <v>2262</v>
      </c>
      <c r="C38" s="16" t="s">
        <v>2264</v>
      </c>
      <c r="D38" s="14" t="n">
        <f aca="false">COUNTIF('Part types'!$M:$M,A38)</f>
        <v>8</v>
      </c>
    </row>
    <row r="39" customFormat="false" ht="15" hidden="false" customHeight="false" outlineLevel="0" collapsed="false">
      <c r="A39" s="14" t="s">
        <v>2601</v>
      </c>
      <c r="B39" s="15" t="s">
        <v>2603</v>
      </c>
      <c r="C39" s="16" t="s">
        <v>2605</v>
      </c>
      <c r="D39" s="14" t="n">
        <f aca="false">COUNTIF('Part types'!$M:$M,A39)</f>
        <v>18</v>
      </c>
    </row>
    <row r="40" customFormat="false" ht="15" hidden="false" customHeight="false" outlineLevel="0" collapsed="false">
      <c r="A40" s="14" t="s">
        <v>2848</v>
      </c>
      <c r="B40" s="15" t="s">
        <v>2850</v>
      </c>
      <c r="C40" s="16" t="s">
        <v>2852</v>
      </c>
      <c r="D40" s="14" t="n">
        <f aca="false">COUNTIF('Part types'!$M:$M,A40)</f>
        <v>8</v>
      </c>
    </row>
    <row r="41" customFormat="false" ht="15" hidden="false" customHeight="false" outlineLevel="0" collapsed="false">
      <c r="A41" s="14" t="s">
        <v>2567</v>
      </c>
      <c r="B41" s="15" t="s">
        <v>2569</v>
      </c>
      <c r="C41" s="16" t="s">
        <v>2571</v>
      </c>
      <c r="D41" s="14" t="n">
        <f aca="false">COUNTIF('Part types'!$M:$M,A41)</f>
        <v>5</v>
      </c>
    </row>
    <row r="42" customFormat="false" ht="15" hidden="false" customHeight="false" outlineLevel="0" collapsed="false">
      <c r="A42" s="14" t="s">
        <v>2496</v>
      </c>
      <c r="B42" s="15" t="s">
        <v>2498</v>
      </c>
      <c r="C42" s="16" t="s">
        <v>2500</v>
      </c>
      <c r="D42" s="14" t="n">
        <f aca="false">COUNTIF('Part types'!$M:$M,A42)</f>
        <v>7</v>
      </c>
    </row>
    <row r="43" customFormat="false" ht="15" hidden="false" customHeight="false" outlineLevel="0" collapsed="false">
      <c r="A43" s="14" t="s">
        <v>3583</v>
      </c>
      <c r="B43" s="15" t="s">
        <v>3585</v>
      </c>
      <c r="C43" s="16" t="s">
        <v>3587</v>
      </c>
      <c r="D43" s="14" t="n">
        <f aca="false">COUNTIF('Part types'!$M:$M,A43)</f>
        <v>7</v>
      </c>
    </row>
    <row r="44" customFormat="false" ht="15" hidden="false" customHeight="false" outlineLevel="0" collapsed="false">
      <c r="A44" s="14" t="s">
        <v>2405</v>
      </c>
      <c r="B44" s="15" t="s">
        <v>2408</v>
      </c>
      <c r="C44" s="16" t="s">
        <v>2411</v>
      </c>
      <c r="D44" s="14" t="n">
        <f aca="false">COUNTIF('Part types'!$M:$M,A44)</f>
        <v>13</v>
      </c>
    </row>
    <row r="45" customFormat="false" ht="15" hidden="false" customHeight="false" outlineLevel="0" collapsed="false">
      <c r="A45" s="14" t="s">
        <v>3602</v>
      </c>
      <c r="B45" s="15" t="s">
        <v>3604</v>
      </c>
      <c r="C45" s="16" t="s">
        <v>3606</v>
      </c>
      <c r="D45" s="14" t="n">
        <f aca="false">COUNTIF('Part types'!$M:$M,A45)</f>
        <v>7</v>
      </c>
    </row>
    <row r="46" customFormat="false" ht="15" hidden="false" customHeight="false" outlineLevel="0" collapsed="false">
      <c r="A46" s="14" t="s">
        <v>3859</v>
      </c>
      <c r="B46" s="15" t="s">
        <v>3861</v>
      </c>
      <c r="C46" s="16" t="s">
        <v>3863</v>
      </c>
      <c r="D46" s="14" t="n">
        <f aca="false">COUNTIF('Part types'!$M:$M,A46)</f>
        <v>5</v>
      </c>
    </row>
    <row r="47" customFormat="false" ht="15" hidden="false" customHeight="false" outlineLevel="0" collapsed="false">
      <c r="A47" s="14" t="s">
        <v>2575</v>
      </c>
      <c r="B47" s="15" t="s">
        <v>2577</v>
      </c>
      <c r="C47" s="16" t="s">
        <v>2579</v>
      </c>
      <c r="D47" s="14" t="n">
        <f aca="false">COUNTIF('Part types'!$M:$M,A47)</f>
        <v>9</v>
      </c>
    </row>
    <row r="48" customFormat="false" ht="15" hidden="false" customHeight="false" outlineLevel="0" collapsed="false">
      <c r="A48" s="14" t="s">
        <v>2813</v>
      </c>
      <c r="B48" s="15" t="s">
        <v>2815</v>
      </c>
      <c r="C48" s="16" t="s">
        <v>2817</v>
      </c>
      <c r="D48" s="14" t="n">
        <f aca="false">COUNTIF('Part types'!$M:$M,A48)</f>
        <v>2</v>
      </c>
    </row>
    <row r="49" customFormat="false" ht="15" hidden="false" customHeight="false" outlineLevel="0" collapsed="false">
      <c r="A49" s="14" t="s">
        <v>3772</v>
      </c>
      <c r="B49" s="15" t="s">
        <v>3774</v>
      </c>
      <c r="C49" s="16" t="s">
        <v>3776</v>
      </c>
      <c r="D49" s="14" t="n">
        <f aca="false">COUNTIF('Part types'!$M:$M,A49)</f>
        <v>1</v>
      </c>
    </row>
    <row r="50" customFormat="false" ht="15" hidden="false" customHeight="false" outlineLevel="0" collapsed="false">
      <c r="A50" s="14" t="s">
        <v>3364</v>
      </c>
      <c r="B50" s="15" t="s">
        <v>3366</v>
      </c>
      <c r="C50" s="16" t="s">
        <v>3368</v>
      </c>
      <c r="D50" s="14" t="n">
        <f aca="false">COUNTIF('Part types'!$M:$M,A50)</f>
        <v>5</v>
      </c>
    </row>
    <row r="51" customFormat="false" ht="15" hidden="false" customHeight="false" outlineLevel="0" collapsed="false">
      <c r="A51" s="14" t="s">
        <v>3794</v>
      </c>
      <c r="B51" s="15" t="s">
        <v>3796</v>
      </c>
      <c r="C51" s="16" t="s">
        <v>3798</v>
      </c>
      <c r="D51" s="14" t="n">
        <f aca="false">COUNTIF('Part types'!$M:$M,A51)</f>
        <v>3</v>
      </c>
    </row>
    <row r="52" customFormat="false" ht="15" hidden="false" customHeight="false" outlineLevel="0" collapsed="false">
      <c r="A52" s="14" t="s">
        <v>3482</v>
      </c>
      <c r="B52" s="15" t="s">
        <v>3484</v>
      </c>
      <c r="C52" s="16" t="s">
        <v>3485</v>
      </c>
      <c r="D52" s="14" t="n">
        <f aca="false">COUNTIF('Part types'!$M:$M,A52)</f>
        <v>5</v>
      </c>
    </row>
    <row r="53" customFormat="false" ht="15" hidden="false" customHeight="false" outlineLevel="0" collapsed="false">
      <c r="A53" s="14" t="s">
        <v>2106</v>
      </c>
      <c r="B53" s="15" t="s">
        <v>2108</v>
      </c>
      <c r="C53" s="16" t="s">
        <v>2110</v>
      </c>
      <c r="D53" s="14" t="n">
        <f aca="false">COUNTIF('Part types'!$M:$M,A53)</f>
        <v>17</v>
      </c>
    </row>
    <row r="54" customFormat="false" ht="15" hidden="false" customHeight="false" outlineLevel="0" collapsed="false">
      <c r="A54" s="14" t="s">
        <v>3705</v>
      </c>
      <c r="B54" s="15" t="s">
        <v>3706</v>
      </c>
      <c r="C54" s="16" t="s">
        <v>3707</v>
      </c>
      <c r="D54" s="14" t="n">
        <f aca="false">COUNTIF('Part types'!$M:$M,A54)</f>
        <v>2</v>
      </c>
    </row>
    <row r="55" customFormat="false" ht="15" hidden="false" customHeight="false" outlineLevel="0" collapsed="false">
      <c r="A55" s="14" t="s">
        <v>2685</v>
      </c>
      <c r="B55" s="15" t="s">
        <v>2687</v>
      </c>
      <c r="C55" s="16" t="s">
        <v>2689</v>
      </c>
      <c r="D55" s="14" t="n">
        <f aca="false">COUNTIF('Part types'!$M:$M,A55)</f>
        <v>18</v>
      </c>
    </row>
    <row r="56" customFormat="false" ht="15" hidden="false" customHeight="false" outlineLevel="0" collapsed="false">
      <c r="A56" s="14" t="s">
        <v>704</v>
      </c>
      <c r="B56" s="15" t="s">
        <v>706</v>
      </c>
      <c r="C56" s="16" t="s">
        <v>708</v>
      </c>
      <c r="D56" s="14" t="n">
        <f aca="false">COUNTIF('Part types'!$M:$M,A56)</f>
        <v>5</v>
      </c>
    </row>
    <row r="57" customFormat="false" ht="15" hidden="false" customHeight="false" outlineLevel="0" collapsed="false">
      <c r="A57" s="14" t="s">
        <v>2583</v>
      </c>
      <c r="B57" s="15" t="s">
        <v>2585</v>
      </c>
      <c r="C57" s="16" t="s">
        <v>2587</v>
      </c>
      <c r="D57" s="14" t="n">
        <f aca="false">COUNTIF('Part types'!$M:$M,A57)</f>
        <v>6</v>
      </c>
    </row>
    <row r="58" customFormat="false" ht="15" hidden="false" customHeight="false" outlineLevel="0" collapsed="false">
      <c r="A58" s="14" t="s">
        <v>2779</v>
      </c>
      <c r="B58" s="15" t="s">
        <v>2781</v>
      </c>
      <c r="C58" s="16" t="s">
        <v>2783</v>
      </c>
      <c r="D58" s="14" t="n">
        <f aca="false">COUNTIF('Part types'!$M:$M,A58)</f>
        <v>2</v>
      </c>
    </row>
    <row r="59" customFormat="false" ht="15" hidden="false" customHeight="false" outlineLevel="0" collapsed="false">
      <c r="A59" s="14" t="s">
        <v>2839</v>
      </c>
      <c r="B59" s="15" t="s">
        <v>2841</v>
      </c>
      <c r="C59" s="16" t="s">
        <v>2843</v>
      </c>
      <c r="D59" s="14" t="n">
        <f aca="false">COUNTIF('Part types'!$M:$M,A59)</f>
        <v>5</v>
      </c>
    </row>
    <row r="60" customFormat="false" ht="15" hidden="false" customHeight="false" outlineLevel="0" collapsed="false">
      <c r="A60" s="14" t="s">
        <v>3524</v>
      </c>
      <c r="B60" s="15" t="s">
        <v>3526</v>
      </c>
      <c r="C60" s="16" t="s">
        <v>3528</v>
      </c>
      <c r="D60" s="14" t="n">
        <f aca="false">COUNTIF('Part types'!$M:$M,A60)</f>
        <v>4</v>
      </c>
    </row>
    <row r="61" customFormat="false" ht="15" hidden="false" customHeight="false" outlineLevel="0" collapsed="false">
      <c r="A61" s="14" t="s">
        <v>2705</v>
      </c>
      <c r="B61" s="15" t="s">
        <v>2708</v>
      </c>
      <c r="C61" s="16" t="s">
        <v>2711</v>
      </c>
      <c r="D61" s="14" t="n">
        <f aca="false">COUNTIF('Part types'!$M:$M,A61)</f>
        <v>9</v>
      </c>
    </row>
    <row r="62" customFormat="false" ht="15" hidden="false" customHeight="false" outlineLevel="0" collapsed="false">
      <c r="A62" s="14" t="s">
        <v>2793</v>
      </c>
      <c r="B62" s="15" t="s">
        <v>2795</v>
      </c>
      <c r="C62" s="16" t="s">
        <v>2797</v>
      </c>
      <c r="D62" s="14" t="n">
        <f aca="false">COUNTIF('Part types'!$M:$M,A62)</f>
        <v>3</v>
      </c>
    </row>
    <row r="63" customFormat="false" ht="15" hidden="false" customHeight="false" outlineLevel="0" collapsed="false">
      <c r="A63" s="14" t="s">
        <v>3916</v>
      </c>
      <c r="B63" s="15" t="s">
        <v>3919</v>
      </c>
      <c r="C63" s="16" t="s">
        <v>3922</v>
      </c>
      <c r="D63" s="14" t="n">
        <f aca="false">COUNTIF('Part types'!$M:$M,A63)</f>
        <v>5</v>
      </c>
    </row>
    <row r="64" customFormat="false" ht="15" hidden="false" customHeight="false" outlineLevel="0" collapsed="false">
      <c r="A64" s="14" t="s">
        <v>2140</v>
      </c>
      <c r="B64" s="15" t="s">
        <v>2143</v>
      </c>
      <c r="C64" s="16" t="s">
        <v>2146</v>
      </c>
      <c r="D64" s="14" t="n">
        <f aca="false">COUNTIF('Part types'!$M:$M,A64)</f>
        <v>9</v>
      </c>
    </row>
    <row r="65" customFormat="false" ht="15" hidden="false" customHeight="false" outlineLevel="0" collapsed="false">
      <c r="A65" s="14" t="s">
        <v>947</v>
      </c>
      <c r="B65" s="15" t="s">
        <v>949</v>
      </c>
      <c r="C65" s="16" t="s">
        <v>951</v>
      </c>
      <c r="D65" s="14" t="n">
        <f aca="false">COUNTIF('Part types'!$M:$M,A65)</f>
        <v>14</v>
      </c>
    </row>
    <row r="66" customFormat="false" ht="15" hidden="false" customHeight="false" outlineLevel="0" collapsed="false">
      <c r="A66" s="14" t="s">
        <v>2297</v>
      </c>
      <c r="B66" s="15" t="s">
        <v>2299</v>
      </c>
      <c r="C66" s="16" t="s">
        <v>2301</v>
      </c>
      <c r="D66" s="14" t="n">
        <f aca="false">COUNTIF('Part types'!$M:$M,A66)</f>
        <v>4</v>
      </c>
    </row>
    <row r="67" customFormat="false" ht="15" hidden="false" customHeight="false" outlineLevel="0" collapsed="false">
      <c r="A67" s="14" t="s">
        <v>2320</v>
      </c>
      <c r="B67" s="15" t="s">
        <v>2322</v>
      </c>
      <c r="C67" s="16" t="s">
        <v>2324</v>
      </c>
      <c r="D67" s="14" t="n">
        <f aca="false">COUNTIF('Part types'!$M:$M,A67)</f>
        <v>3</v>
      </c>
    </row>
    <row r="68" customFormat="false" ht="15" hidden="false" customHeight="false" outlineLevel="0" collapsed="false">
      <c r="A68" s="14" t="s">
        <v>2965</v>
      </c>
      <c r="B68" s="15" t="s">
        <v>2968</v>
      </c>
      <c r="C68" s="16" t="s">
        <v>2971</v>
      </c>
      <c r="D68" s="14" t="n">
        <f aca="false">COUNTIF('Part types'!$M:$M,A68)</f>
        <v>14</v>
      </c>
    </row>
    <row r="69" customFormat="false" ht="15" hidden="false" customHeight="false" outlineLevel="0" collapsed="false">
      <c r="A69" s="14" t="s">
        <v>3067</v>
      </c>
      <c r="B69" s="15" t="s">
        <v>3070</v>
      </c>
      <c r="C69" s="16" t="s">
        <v>3073</v>
      </c>
      <c r="D69" s="14" t="n">
        <f aca="false">COUNTIF('Part types'!$M:$M,A69)</f>
        <v>3</v>
      </c>
    </row>
    <row r="70" customFormat="false" ht="15" hidden="false" customHeight="false" outlineLevel="0" collapsed="false">
      <c r="A70" s="14" t="s">
        <v>5016</v>
      </c>
      <c r="B70" s="15" t="s">
        <v>5017</v>
      </c>
      <c r="C70" s="16" t="s">
        <v>5018</v>
      </c>
      <c r="D70" s="14" t="n">
        <f aca="false">COUNTIF('Part types'!$M:$M,A70)</f>
        <v>0</v>
      </c>
    </row>
    <row r="71" customFormat="false" ht="15" hidden="false" customHeight="false" outlineLevel="0" collapsed="false">
      <c r="A71" s="14" t="s">
        <v>2338</v>
      </c>
      <c r="B71" s="15" t="s">
        <v>2341</v>
      </c>
      <c r="C71" s="16" t="s">
        <v>2344</v>
      </c>
      <c r="D71" s="14" t="n">
        <f aca="false">COUNTIF('Part types'!$M:$M,A71)</f>
        <v>6</v>
      </c>
    </row>
    <row r="72" customFormat="false" ht="15" hidden="false" customHeight="false" outlineLevel="0" collapsed="false">
      <c r="A72" s="14" t="s">
        <v>2336</v>
      </c>
      <c r="B72" s="15" t="s">
        <v>2375</v>
      </c>
      <c r="C72" s="16" t="s">
        <v>2377</v>
      </c>
      <c r="D72" s="14" t="n">
        <f aca="false">COUNTIF('Part types'!$M:$M,A72)</f>
        <v>6</v>
      </c>
    </row>
    <row r="73" customFormat="false" ht="15" hidden="false" customHeight="false" outlineLevel="0" collapsed="false">
      <c r="A73" s="14" t="s">
        <v>3156</v>
      </c>
      <c r="B73" s="15" t="s">
        <v>3158</v>
      </c>
      <c r="C73" s="16" t="s">
        <v>3160</v>
      </c>
      <c r="D73" s="14" t="n">
        <f aca="false">COUNTIF('Part types'!$M:$M,A73)</f>
        <v>1</v>
      </c>
    </row>
    <row r="74" customFormat="false" ht="15" hidden="false" customHeight="false" outlineLevel="0" collapsed="false">
      <c r="A74" s="14" t="s">
        <v>893</v>
      </c>
      <c r="B74" s="15" t="s">
        <v>895</v>
      </c>
      <c r="C74" s="16" t="s">
        <v>897</v>
      </c>
      <c r="D74" s="14" t="n">
        <f aca="false">COUNTIF('Part types'!$M:$M,A74)</f>
        <v>11</v>
      </c>
    </row>
    <row r="75" customFormat="false" ht="15" hidden="false" customHeight="false" outlineLevel="0" collapsed="false">
      <c r="A75" s="14" t="s">
        <v>3219</v>
      </c>
      <c r="B75" s="15" t="s">
        <v>3222</v>
      </c>
      <c r="C75" s="16" t="s">
        <v>3225</v>
      </c>
      <c r="D75" s="14" t="n">
        <f aca="false">COUNTIF('Part types'!$M:$M,A75)</f>
        <v>13</v>
      </c>
    </row>
    <row r="76" customFormat="false" ht="15" hidden="false" customHeight="false" outlineLevel="0" collapsed="false">
      <c r="A76" s="14" t="s">
        <v>3836</v>
      </c>
      <c r="B76" s="15" t="s">
        <v>3838</v>
      </c>
      <c r="C76" s="16" t="s">
        <v>3840</v>
      </c>
      <c r="D76" s="14" t="n">
        <f aca="false">COUNTIF('Part types'!$M:$M,A76)</f>
        <v>1</v>
      </c>
    </row>
    <row r="77" customFormat="false" ht="15" hidden="false" customHeight="false" outlineLevel="0" collapsed="false">
      <c r="A77" s="14" t="s">
        <v>3760</v>
      </c>
      <c r="B77" s="15" t="s">
        <v>3762</v>
      </c>
      <c r="C77" s="16" t="s">
        <v>3764</v>
      </c>
      <c r="D77" s="14" t="n">
        <f aca="false">COUNTIF('Part types'!$M:$M,A77)</f>
        <v>6</v>
      </c>
    </row>
    <row r="78" customFormat="false" ht="15" hidden="false" customHeight="false" outlineLevel="0" collapsed="false">
      <c r="A78" s="14" t="s">
        <v>2660</v>
      </c>
      <c r="B78" s="15" t="s">
        <v>2663</v>
      </c>
      <c r="C78" s="16" t="s">
        <v>2666</v>
      </c>
      <c r="D78" s="14" t="n">
        <f aca="false">COUNTIF('Part types'!$M:$M,A78)</f>
        <v>7</v>
      </c>
    </row>
    <row r="79" customFormat="false" ht="15" hidden="false" customHeight="false" outlineLevel="0" collapsed="false">
      <c r="A79" s="14" t="s">
        <v>1612</v>
      </c>
      <c r="B79" s="15" t="s">
        <v>1615</v>
      </c>
      <c r="C79" s="16" t="s">
        <v>1618</v>
      </c>
      <c r="D79" s="14" t="n">
        <f aca="false">COUNTIF('Part types'!$M:$M,A79)</f>
        <v>18</v>
      </c>
    </row>
    <row r="80" customFormat="false" ht="15" hidden="false" customHeight="false" outlineLevel="0" collapsed="false">
      <c r="A80" s="14" t="s">
        <v>1510</v>
      </c>
      <c r="B80" s="15" t="s">
        <v>1512</v>
      </c>
      <c r="C80" s="16" t="s">
        <v>1514</v>
      </c>
      <c r="D80" s="14" t="n">
        <f aca="false">COUNTIF('Part types'!$M:$M,A80)</f>
        <v>5</v>
      </c>
    </row>
    <row r="81" customFormat="false" ht="15" hidden="false" customHeight="false" outlineLevel="0" collapsed="false">
      <c r="A81" s="14" t="s">
        <v>5019</v>
      </c>
      <c r="B81" s="15" t="s">
        <v>5020</v>
      </c>
      <c r="C81" s="16" t="s">
        <v>5021</v>
      </c>
      <c r="D81" s="14" t="n">
        <f aca="false">COUNTIF('Part types'!$M:$M,A81)</f>
        <v>0</v>
      </c>
    </row>
    <row r="82" customFormat="false" ht="15" hidden="false" customHeight="false" outlineLevel="0" collapsed="false">
      <c r="A82" s="14" t="s">
        <v>956</v>
      </c>
      <c r="B82" s="15" t="s">
        <v>959</v>
      </c>
      <c r="C82" s="16" t="s">
        <v>962</v>
      </c>
      <c r="D82" s="14" t="n">
        <f aca="false">COUNTIF('Part types'!$M:$M,A82)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3"/>
    <col collapsed="false" customWidth="true" hidden="false" outlineLevel="0" max="6" min="6" style="0" width="18"/>
  </cols>
  <sheetData>
    <row r="1" customFormat="false" ht="25.5" hidden="false" customHeight="true" outlineLevel="0" collapsed="false">
      <c r="A1" s="4" t="s">
        <v>5022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5003</v>
      </c>
    </row>
    <row r="2" customFormat="false" ht="15" hidden="false" customHeight="false" outlineLevel="0" collapsed="false">
      <c r="A2" s="14" t="s">
        <v>5023</v>
      </c>
      <c r="B2" s="14" t="n">
        <v>6</v>
      </c>
      <c r="C2" s="14" t="n">
        <v>4</v>
      </c>
      <c r="D2" s="14" t="n">
        <v>3</v>
      </c>
      <c r="E2" s="14" t="n">
        <v>0.02</v>
      </c>
      <c r="F2" s="14" t="n">
        <f aca="false">COUNTIF('Part types'!$V:$V,"Estimate: size class "&amp;A2)</f>
        <v>16</v>
      </c>
    </row>
    <row r="3" customFormat="false" ht="15" hidden="false" customHeight="false" outlineLevel="0" collapsed="false">
      <c r="A3" s="14" t="s">
        <v>5024</v>
      </c>
      <c r="B3" s="14" t="n">
        <v>10</v>
      </c>
      <c r="C3" s="14" t="n">
        <v>8</v>
      </c>
      <c r="D3" s="14" t="n">
        <v>6</v>
      </c>
      <c r="E3" s="14" t="n">
        <v>0.1</v>
      </c>
      <c r="F3" s="14" t="n">
        <f aca="false">COUNTIF('Part types'!$V:$V,"Estimate: size class "&amp;A3)</f>
        <v>140</v>
      </c>
    </row>
    <row r="4" customFormat="false" ht="15" hidden="false" customHeight="false" outlineLevel="0" collapsed="false">
      <c r="A4" s="14" t="s">
        <v>5025</v>
      </c>
      <c r="B4" s="14" t="n">
        <v>15</v>
      </c>
      <c r="C4" s="14" t="n">
        <v>10</v>
      </c>
      <c r="D4" s="14" t="n">
        <v>8</v>
      </c>
      <c r="E4" s="14" t="n">
        <v>0.3</v>
      </c>
      <c r="F4" s="14" t="n">
        <f aca="false">COUNTIF('Part types'!$V:$V,"Estimate: size class "&amp;A4)</f>
        <v>172</v>
      </c>
    </row>
    <row r="5" customFormat="false" ht="15" hidden="false" customHeight="false" outlineLevel="0" collapsed="false">
      <c r="A5" s="14" t="s">
        <v>5026</v>
      </c>
      <c r="B5" s="14" t="n">
        <v>25</v>
      </c>
      <c r="C5" s="14" t="n">
        <v>15</v>
      </c>
      <c r="D5" s="14" t="n">
        <v>10</v>
      </c>
      <c r="E5" s="14" t="n">
        <v>0.9</v>
      </c>
      <c r="F5" s="14" t="n">
        <f aca="false">COUNTIF('Part types'!$V:$V,"Estimate: size class "&amp;A5)</f>
        <v>102</v>
      </c>
    </row>
    <row r="6" customFormat="false" ht="15" hidden="false" customHeight="false" outlineLevel="0" collapsed="false">
      <c r="A6" s="14" t="s">
        <v>5027</v>
      </c>
      <c r="B6" s="14" t="n">
        <v>30</v>
      </c>
      <c r="C6" s="14" t="n">
        <v>20</v>
      </c>
      <c r="D6" s="14" t="n">
        <v>15</v>
      </c>
      <c r="E6" s="14" t="n">
        <v>1.8</v>
      </c>
      <c r="F6" s="14" t="n">
        <f aca="false">COUNTIF('Part types'!$V:$V,"Estimate: size class "&amp;A6)</f>
        <v>65</v>
      </c>
    </row>
    <row r="7" customFormat="false" ht="15" hidden="false" customHeight="false" outlineLevel="0" collapsed="false">
      <c r="A7" s="14" t="s">
        <v>5028</v>
      </c>
      <c r="B7" s="14" t="n">
        <v>40</v>
      </c>
      <c r="C7" s="14" t="n">
        <v>25</v>
      </c>
      <c r="D7" s="14" t="n">
        <v>15</v>
      </c>
      <c r="E7" s="14" t="n">
        <v>3</v>
      </c>
      <c r="F7" s="14" t="n">
        <f aca="false">COUNTIF('Part types'!$V:$V,"Estimate: size class "&amp;A7)</f>
        <v>25</v>
      </c>
    </row>
    <row r="8" customFormat="false" ht="15" hidden="false" customHeight="false" outlineLevel="0" collapsed="false">
      <c r="A8" s="14" t="s">
        <v>5029</v>
      </c>
      <c r="B8" s="14" t="n">
        <v>50</v>
      </c>
      <c r="C8" s="14" t="n">
        <v>30</v>
      </c>
      <c r="D8" s="14" t="n">
        <v>20</v>
      </c>
      <c r="E8" s="14" t="n">
        <v>5</v>
      </c>
      <c r="F8" s="14" t="n">
        <f aca="false">COUNTIF('Part types'!$V:$V,"Estimate: size class "&amp;A8)</f>
        <v>13</v>
      </c>
    </row>
    <row r="9" customFormat="false" ht="15" hidden="false" customHeight="false" outlineLevel="0" collapsed="false">
      <c r="A9" s="14" t="s">
        <v>5030</v>
      </c>
      <c r="B9" s="14" t="n">
        <v>70</v>
      </c>
      <c r="C9" s="14" t="n">
        <v>40</v>
      </c>
      <c r="D9" s="14" t="n">
        <v>25</v>
      </c>
      <c r="E9" s="14" t="n">
        <v>9</v>
      </c>
      <c r="F9" s="14" t="n">
        <f aca="false">COUNTIF('Part types'!$V:$V,"Estimate: size class "&amp;A9)</f>
        <v>2</v>
      </c>
    </row>
    <row r="10" customFormat="false" ht="15" hidden="false" customHeight="false" outlineLevel="0" collapsed="false">
      <c r="A10" s="14" t="s">
        <v>5031</v>
      </c>
      <c r="B10" s="14" t="n">
        <v>100</v>
      </c>
      <c r="C10" s="14" t="n">
        <v>60</v>
      </c>
      <c r="D10" s="14" t="n">
        <v>40</v>
      </c>
      <c r="E10" s="14" t="n">
        <v>16</v>
      </c>
      <c r="F10" s="14" t="n">
        <f aca="false">COUNTIF('Part types'!$V:$V,"Estimate: size class "&amp;A10)</f>
        <v>1</v>
      </c>
    </row>
    <row r="11" customFormat="false" ht="15" hidden="false" customHeight="false" outlineLevel="0" collapsed="false">
      <c r="A11" s="14" t="s">
        <v>5032</v>
      </c>
      <c r="B11" s="14" t="n">
        <v>160</v>
      </c>
      <c r="C11" s="14" t="n">
        <v>80</v>
      </c>
      <c r="D11" s="14" t="n">
        <v>50</v>
      </c>
      <c r="E11" s="14" t="n">
        <v>25</v>
      </c>
      <c r="F11" s="14" t="n">
        <f aca="false">COUNTIF('Part types'!$V:$V,"Estimate: size class "&amp;A11)</f>
        <v>0</v>
      </c>
    </row>
    <row r="12" customFormat="false" ht="15" hidden="false" customHeight="false" outlineLevel="0" collapsed="false">
      <c r="A12" s="14" t="s">
        <v>5033</v>
      </c>
      <c r="B12" s="14"/>
      <c r="C12" s="14"/>
      <c r="D12" s="14"/>
      <c r="E12" s="14"/>
      <c r="F12" s="14" t="n">
        <f aca="false">COUNTIF('Part types'!$V:$V,"Estimate: item-specific")</f>
        <v>200</v>
      </c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</row>
    <row r="14" customFormat="false" ht="15" hidden="false" customHeight="false" outlineLevel="0" collapsed="false">
      <c r="A14" s="19" t="s">
        <v>5034</v>
      </c>
      <c r="B14" s="14"/>
      <c r="C14" s="14"/>
      <c r="D14" s="14"/>
      <c r="E14" s="14"/>
      <c r="F14" s="14"/>
    </row>
    <row r="15" customFormat="false" ht="15" hidden="false" customHeight="false" outlineLevel="0" collapsed="false">
      <c r="A15" s="20" t="s">
        <v>5035</v>
      </c>
      <c r="B15" s="14"/>
      <c r="C15" s="14"/>
      <c r="D15" s="14"/>
      <c r="E15" s="14"/>
      <c r="F15" s="14"/>
    </row>
    <row r="16" customFormat="false" ht="15" hidden="false" customHeight="false" outlineLevel="0" collapsed="false">
      <c r="A16" s="20" t="s">
        <v>5036</v>
      </c>
      <c r="B16" s="14"/>
      <c r="C16" s="14"/>
      <c r="D16" s="14"/>
      <c r="E16" s="14"/>
      <c r="F16" s="14"/>
    </row>
    <row r="17" customFormat="false" ht="15" hidden="false" customHeight="false" outlineLevel="0" collapsed="false">
      <c r="A17" s="20" t="s">
        <v>5037</v>
      </c>
      <c r="B17" s="14"/>
      <c r="C17" s="14"/>
      <c r="D17" s="14"/>
      <c r="E17" s="14"/>
      <c r="F17" s="14"/>
    </row>
    <row r="18" customFormat="false" ht="15" hidden="false" customHeight="false" outlineLevel="0" collapsed="false">
      <c r="A18" s="20" t="s">
        <v>5038</v>
      </c>
      <c r="B18" s="14"/>
      <c r="C18" s="14"/>
      <c r="D18" s="14"/>
      <c r="E18" s="14"/>
      <c r="F18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12"/>
    <col collapsed="false" customWidth="true" hidden="false" outlineLevel="0" max="4" min="3" style="0" width="10"/>
  </cols>
  <sheetData>
    <row r="1" customFormat="false" ht="25.5" hidden="false" customHeight="true" outlineLevel="0" collapsed="false">
      <c r="A1" s="4" t="s">
        <v>5039</v>
      </c>
      <c r="B1" s="4" t="s">
        <v>5040</v>
      </c>
      <c r="C1" s="4" t="s">
        <v>5041</v>
      </c>
      <c r="D1" s="4" t="s">
        <v>5042</v>
      </c>
    </row>
    <row r="2" customFormat="false" ht="15" hidden="false" customHeight="false" outlineLevel="0" collapsed="false">
      <c r="A2" s="14" t="s">
        <v>5043</v>
      </c>
      <c r="B2" s="21" t="n">
        <f aca="false">COUNTA(Catalog!A:A)-1</f>
        <v>1111</v>
      </c>
      <c r="C2" s="14"/>
      <c r="D2" s="14"/>
    </row>
    <row r="3" customFormat="false" ht="15" hidden="false" customHeight="false" outlineLevel="0" collapsed="false">
      <c r="A3" s="14" t="s">
        <v>5044</v>
      </c>
      <c r="B3" s="21" t="n">
        <f aca="false">COUNTA('Part types'!E:E)-1</f>
        <v>736</v>
      </c>
      <c r="C3" s="14"/>
      <c r="D3" s="14"/>
    </row>
    <row r="4" customFormat="false" ht="15" hidden="false" customHeight="false" outlineLevel="0" collapsed="false">
      <c r="A4" s="14" t="s">
        <v>5045</v>
      </c>
      <c r="B4" s="21" t="n">
        <f aca="false">SUMPRODUCT(--((LEN(TRIM(SUBSTITUTE(Categories!B2:B63," - "," ")))-LEN(SUBSTITUTE(TRIM(SUBSTITUTE(Categories!B2:B63," - "," "))," ",""))+1)&lt;&gt;1))</f>
        <v>0</v>
      </c>
      <c r="C4" s="14" t="n">
        <v>0</v>
      </c>
      <c r="D4" s="14" t="str">
        <f aca="false">IF(B4=C4,"PASS","CHECK")</f>
        <v>PASS</v>
      </c>
    </row>
    <row r="5" customFormat="false" ht="15" hidden="false" customHeight="false" outlineLevel="0" collapsed="false">
      <c r="A5" s="14" t="s">
        <v>5046</v>
      </c>
      <c r="B5" s="21" t="n">
        <f aca="false">SUMPRODUCT(--((LEN(TRIM(SUBSTITUTE('Part types'!F2:F737," - "," ")))-LEN(SUBSTITUTE(TRIM(SUBSTITUTE('Part types'!F2:F737," - "," "))," ",""))+1)&gt;3))</f>
        <v>0</v>
      </c>
      <c r="C5" s="14" t="n">
        <v>0</v>
      </c>
      <c r="D5" s="14" t="str">
        <f aca="false">IF(B5=C5,"PASS","CHECK")</f>
        <v>PASS</v>
      </c>
    </row>
    <row r="6" customFormat="false" ht="15" hidden="false" customHeight="false" outlineLevel="0" collapsed="false">
      <c r="A6" s="14" t="s">
        <v>5047</v>
      </c>
      <c r="B6" s="21" t="n">
        <f aca="false">SUMPRODUCT(--((LEN(TRIM(SUBSTITUTE(Catalog!D2:D1112," - "," ")))-LEN(SUBSTITUTE(TRIM(SUBSTITUTE(Catalog!D2:D1112," - "," "))," ",""))+1)&gt;5))</f>
        <v>0</v>
      </c>
      <c r="C6" s="14" t="n">
        <v>0</v>
      </c>
      <c r="D6" s="14" t="str">
        <f aca="false">IF(B6=C6,"PASS","CHECK")</f>
        <v>PASS</v>
      </c>
    </row>
    <row r="7" customFormat="false" ht="15" hidden="false" customHeight="false" outlineLevel="0" collapsed="false">
      <c r="A7" s="14" t="s">
        <v>5048</v>
      </c>
      <c r="B7" s="21" t="n">
        <f aca="false">SUMPRODUCT(--(LEFT(Catalog!D2:D1112,LEN(Catalog!C2:C1112))&lt;&gt;Catalog!C2:C1112))</f>
        <v>0</v>
      </c>
      <c r="C7" s="14" t="n">
        <v>0</v>
      </c>
      <c r="D7" s="14" t="str">
        <f aca="false">IF(B7=C7,"PASS","CHECK")</f>
        <v>PASS</v>
      </c>
    </row>
    <row r="8" customFormat="false" ht="15" hidden="false" customHeight="false" outlineLevel="0" collapsed="false">
      <c r="A8" s="14" t="s">
        <v>5049</v>
      </c>
      <c r="B8" s="21" t="n">
        <f aca="false">COUNTIF(Catalog!AK2:AK1112,0)</f>
        <v>0</v>
      </c>
      <c r="C8" s="14" t="n">
        <v>0</v>
      </c>
      <c r="D8" s="14" t="str">
        <f aca="false">IF(B8=C8,"PASS","CHECK")</f>
        <v>PASS</v>
      </c>
    </row>
    <row r="9" customFormat="false" ht="15" hidden="false" customHeight="false" outlineLevel="0" collapsed="false">
      <c r="A9" s="14" t="s">
        <v>5050</v>
      </c>
      <c r="B9" s="21" t="n">
        <f aca="false">SUMPRODUCT(--(COUNTIF(Catalog!A2:A1112,Catalog!A2:A1112)&gt;1))</f>
        <v>0</v>
      </c>
      <c r="C9" s="14" t="n">
        <v>0</v>
      </c>
      <c r="D9" s="14" t="str">
        <f aca="false">IF(B9=C9,"PASS","CHECK")</f>
        <v>PASS</v>
      </c>
    </row>
    <row r="10" customFormat="false" ht="15" hidden="false" customHeight="false" outlineLevel="0" collapsed="false">
      <c r="A10" s="14" t="s">
        <v>5051</v>
      </c>
      <c r="B10" s="21" t="n">
        <f aca="false">SUMPRODUCT(--(COUNTIF(Catalog!D2:D1112,Catalog!D2:D1112)&gt;1))</f>
        <v>0</v>
      </c>
      <c r="C10" s="14" t="n">
        <v>0</v>
      </c>
      <c r="D10" s="14" t="str">
        <f aca="false">IF(B10=C10,"PASS","CHECK")</f>
        <v>PASS</v>
      </c>
    </row>
    <row r="11" customFormat="false" ht="15" hidden="false" customHeight="false" outlineLevel="0" collapsed="false">
      <c r="A11" s="14" t="s">
        <v>5052</v>
      </c>
      <c r="B11" s="21" t="n">
        <f aca="false">SUMPRODUCT(--(COUNTIF(Catalog!M2:M1112,Catalog!M2:M1112)&gt;1))</f>
        <v>0</v>
      </c>
      <c r="C11" s="14" t="n">
        <v>0</v>
      </c>
      <c r="D11" s="14" t="str">
        <f aca="false">IF(B11=C11,"PASS","CHECK")</f>
        <v>PASS</v>
      </c>
    </row>
    <row r="12" customFormat="false" ht="15" hidden="false" customHeight="false" outlineLevel="0" collapsed="false">
      <c r="A12" s="14" t="s">
        <v>5053</v>
      </c>
      <c r="B12" s="21" t="n">
        <f aca="false">SUMPRODUCT(--(COUNTIF(Catalog!V2:V1112,Catalog!V2:V1112)&gt;1))</f>
        <v>0</v>
      </c>
      <c r="C12" s="14" t="n">
        <v>0</v>
      </c>
      <c r="D12" s="14" t="str">
        <f aca="false">IF(B12=C12,"PASS","CHECK")</f>
        <v>PASS</v>
      </c>
    </row>
    <row r="13" customFormat="false" ht="15" hidden="false" customHeight="false" outlineLevel="0" collapsed="false">
      <c r="A13" s="14" t="s">
        <v>5054</v>
      </c>
      <c r="B13" s="21" t="n">
        <f aca="false">SUMPRODUCT(--(COUNTIF(Positions!A2:A10,Catalog!E2:E1112)=0))</f>
        <v>0</v>
      </c>
      <c r="C13" s="14" t="n">
        <v>0</v>
      </c>
      <c r="D13" s="14" t="str">
        <f aca="false">IF(B13=C13,"PASS","CHECK")</f>
        <v>PASS</v>
      </c>
    </row>
    <row r="14" customFormat="false" ht="15" hidden="false" customHeight="false" outlineLevel="0" collapsed="false">
      <c r="A14" s="14" t="s">
        <v>5055</v>
      </c>
      <c r="B14" s="21" t="n">
        <f aca="false">SUMPRODUCT(--(COUNTIF(Placements!A2:A82,Catalog!F2:F1112)=0))</f>
        <v>0</v>
      </c>
      <c r="C14" s="14" t="n">
        <v>0</v>
      </c>
      <c r="D14" s="14" t="str">
        <f aca="false">IF(B14=C14,"PASS","CHECK")</f>
        <v>PASS</v>
      </c>
    </row>
    <row r="15" customFormat="false" ht="15" hidden="false" customHeight="false" outlineLevel="0" collapsed="false">
      <c r="A15" s="14" t="s">
        <v>5056</v>
      </c>
      <c r="B15" s="21" t="n">
        <f aca="false">SUMPRODUCT(--((Catalog!G2:G1112&lt;=0)+(Catalog!H2:H1112&lt;=0)+(Catalog!I2:I1112&lt;=0)+(Catalog!J2:J1112&lt;=0)&gt;0))</f>
        <v>0</v>
      </c>
      <c r="C15" s="14" t="n">
        <v>0</v>
      </c>
      <c r="D15" s="14" t="str">
        <f aca="false">IF(B15=C15,"PASS","CHECK")</f>
        <v>PASS</v>
      </c>
    </row>
    <row r="16" customFormat="false" ht="15" hidden="false" customHeight="false" outlineLevel="0" collapsed="false">
      <c r="A16" s="14" t="s">
        <v>5057</v>
      </c>
      <c r="B16" s="21" t="n">
        <f aca="false">COUNTBLANK('Part types'!G2:H737)</f>
        <v>0</v>
      </c>
      <c r="C16" s="14" t="n">
        <v>0</v>
      </c>
      <c r="D16" s="14" t="str">
        <f aca="false">IF(B16=C16,"PASS","CHECK")</f>
        <v>PASS</v>
      </c>
    </row>
    <row r="17" customFormat="false" ht="15" hidden="false" customHeight="false" outlineLevel="0" collapsed="false">
      <c r="A17" s="14" t="s">
        <v>5058</v>
      </c>
      <c r="B17" s="21" t="n">
        <f aca="false">SUMPRODUCT(--((('Part types'!S2:S737)&gt;500)+(('Part types'!P2:P737)&gt;250)+(('Part types'!Q2:Q737)&gt;250)+(('Part types'!R2:R737)&gt;250)&gt;0))</f>
        <v>0</v>
      </c>
      <c r="C17" s="14" t="n">
        <v>0</v>
      </c>
      <c r="D17" s="14" t="str">
        <f aca="false">IF(B17=C17,"PASS","CHECK")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2026-10-20T16:34:45Z</dcterms:created>
  <dc:creator>openpyxl</dc:creator>
  <dc:description/>
  <dc:language>en-US</dc:language>
  <cp:lastModifiedBy/>
  <dcterms:modified xsi:type="dcterms:W3CDTF">2026-10-20T16:34:47Z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